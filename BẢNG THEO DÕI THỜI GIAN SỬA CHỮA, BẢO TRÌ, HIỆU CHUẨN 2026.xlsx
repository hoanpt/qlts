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ửa chữa" sheetId="1" state="visible" r:id="rId1"/>
    <sheet xmlns:r="http://schemas.openxmlformats.org/officeDocument/2006/relationships" name="Bảo trì" sheetId="2" state="visible" r:id="rId2"/>
    <sheet xmlns:r="http://schemas.openxmlformats.org/officeDocument/2006/relationships" name="Hiệu chuẩn, KĐ, KX" sheetId="3" state="visible" r:id="rId3"/>
  </sheets>
  <definedNames/>
  <calcPr calcId="124519" fullCalcOnLoad="1"/>
</workbook>
</file>

<file path=xl/styles.xml><?xml version="1.0" encoding="utf-8"?>
<styleSheet xmlns="http://schemas.openxmlformats.org/spreadsheetml/2006/main">
  <numFmts count="3">
    <numFmt numFmtId="164" formatCode="_(* #,##0_);_(* \(#,##0\);_(* &quot;-&quot;??_);_(@_)"/>
    <numFmt numFmtId="165" formatCode="d/m/yyyy"/>
    <numFmt numFmtId="166" formatCode="dd/mm/yyyy"/>
  </numFmts>
  <fonts count="28">
    <font>
      <name val="Calibri"/>
      <color theme="1"/>
      <sz val="11"/>
      <scheme val="minor"/>
    </font>
    <font>
      <name val="Times New Roman"/>
      <color theme="1"/>
      <sz val="14"/>
    </font>
    <font>
      <name val="Times New Roman"/>
      <b val="1"/>
      <color theme="1"/>
      <sz val="14"/>
    </font>
    <font>
      <name val="Times New Roman"/>
      <b val="1"/>
      <color rgb="FFFF0000"/>
      <sz val="14"/>
    </font>
    <font/>
    <font>
      <name val="Calibri"/>
      <b val="1"/>
      <color theme="1"/>
      <sz val="15"/>
      <scheme val="minor"/>
    </font>
    <font>
      <name val="Times New Roman"/>
      <color rgb="FFFF0000"/>
      <sz val="14"/>
    </font>
    <font>
      <name val="Times New Roman"/>
      <color rgb="FF000000"/>
      <sz val="14"/>
    </font>
    <font>
      <name val="Times New Roman"/>
      <color rgb="FF000000"/>
      <sz val="13"/>
    </font>
    <font>
      <name val="Calibri"/>
      <color theme="1"/>
      <scheme val="minor"/>
    </font>
    <font>
      <name val="&quot;Times New Roman&quot;"/>
      <color rgb="FF000000"/>
      <sz val="13"/>
    </font>
    <font>
      <name val="Calibri"/>
      <color rgb="FFFF0000"/>
      <scheme val="minor"/>
    </font>
    <font>
      <name val="Times New Roman"/>
      <b val="1"/>
      <color rgb="FF000000"/>
      <sz val="14"/>
    </font>
    <font>
      <name val="&quot;Times New Roman&quot;"/>
      <color theme="1"/>
      <sz val="14"/>
    </font>
    <font>
      <name val="&quot;Times New Roman&quot;"/>
      <color rgb="FFFF0000"/>
      <sz val="13"/>
    </font>
    <font>
      <name val="&quot;Times New Roman&quot;"/>
      <color rgb="FFFF0000"/>
      <sz val="14"/>
    </font>
    <font>
      <name val="Times New Roman"/>
      <color rgb="FFFF0000"/>
      <sz val="14"/>
      <u val="single"/>
    </font>
    <font>
      <name val="Calibri"/>
      <color rgb="FF000000"/>
      <scheme val="minor"/>
    </font>
    <font>
      <name val="Calibri"/>
      <color theme="1"/>
      <sz val="14"/>
    </font>
    <font>
      <name val="&quot;Times New Roman&quot;"/>
      <color theme="1"/>
      <sz val="12"/>
    </font>
    <font>
      <name val="Calibri"/>
      <b val="1"/>
      <color theme="1"/>
      <sz val="14"/>
    </font>
    <font>
      <name val="&quot;Times New Roman&quot;"/>
      <color rgb="FF000000"/>
      <sz val="14"/>
    </font>
    <font>
      <name val="Calibri"/>
      <color rgb="FF000000"/>
      <sz val="14"/>
    </font>
    <font>
      <name val="&quot;Times New Roman&quot;"/>
      <b val="1"/>
      <color rgb="FF000000"/>
      <sz val="14"/>
    </font>
    <font>
      <name val="Calibri"/>
      <b val="1"/>
      <color rgb="FF000000"/>
      <sz val="14"/>
    </font>
    <font>
      <name val="Calibri"/>
      <b val="1"/>
      <color theme="1"/>
      <scheme val="minor"/>
    </font>
    <font>
      <name val="&quot;Times New Roman&quot;"/>
      <b val="1"/>
      <color rgb="FF000000"/>
      <sz val="12"/>
    </font>
    <font>
      <name val="&quot;Times New Roman&quot;"/>
      <color rgb="FF000000"/>
      <sz val="12"/>
    </font>
  </fonts>
  <fills count="8">
    <fill>
      <patternFill/>
    </fill>
    <fill>
      <patternFill patternType="lightGray"/>
    </fill>
    <fill>
      <patternFill patternType="solid">
        <fgColor rgb="FF92D050"/>
        <bgColor rgb="FF92D050"/>
      </patternFill>
    </fill>
    <fill>
      <patternFill patternType="solid">
        <fgColor rgb="FFF7CAAC"/>
        <bgColor rgb="FFF7CAAC"/>
      </patternFill>
    </fill>
    <fill>
      <patternFill patternType="solid">
        <fgColor rgb="FFFFFF00"/>
        <bgColor rgb="FFFFFF00"/>
      </patternFill>
    </fill>
    <fill>
      <patternFill patternType="solid">
        <fgColor theme="0"/>
        <bgColor theme="0"/>
      </patternFill>
    </fill>
    <fill>
      <patternFill patternType="solid">
        <fgColor rgb="FF00FF00"/>
        <bgColor rgb="FF00FF0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rder>
    <border>
      <left style="thin">
        <color rgb="FF000000"/>
      </left>
      <right style="thin">
        <color rgb="FF000000"/>
      </right>
      <bottom style="thin">
        <color rgb="FF000000"/>
      </bottom>
    </border>
    <border>
      <top style="thin">
        <color rgb="FF000000"/>
      </top>
    </border>
  </borders>
  <cellStyleXfs count="1">
    <xf numFmtId="0" fontId="0" fillId="0" borderId="0"/>
  </cellStyleXfs>
  <cellXfs count="257">
    <xf numFmtId="0" fontId="0" fillId="0" borderId="0" applyAlignment="1" pivotButton="0" quotePrefix="0" xfId="0">
      <alignment vertical="bottom"/>
    </xf>
    <xf numFmtId="0" fontId="1" fillId="0" borderId="0" applyAlignment="1" pivotButton="0" quotePrefix="0" xfId="0">
      <alignment horizontal="center" wrapText="1"/>
    </xf>
    <xf numFmtId="0" fontId="2" fillId="0" borderId="0" applyAlignment="1" pivotButton="0" quotePrefix="0" xfId="0">
      <alignment horizontal="center" vertical="top"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xf>
    <xf numFmtId="0" fontId="2" fillId="2" borderId="1" applyAlignment="1" pivotButton="0" quotePrefix="0" xfId="0">
      <alignment horizontal="center" vertical="center" wrapText="1"/>
    </xf>
    <xf numFmtId="0" fontId="2"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2" applyAlignment="1" pivotButton="0" quotePrefix="0" xfId="0">
      <alignment horizontal="center" vertical="center" wrapText="1"/>
    </xf>
    <xf numFmtId="0" fontId="2" fillId="3" borderId="1" applyAlignment="1" pivotButton="0" quotePrefix="0" xfId="0">
      <alignment horizontal="center" vertical="center"/>
    </xf>
    <xf numFmtId="0" fontId="4" fillId="0" borderId="3" pivotButton="0" quotePrefix="0" xfId="0"/>
    <xf numFmtId="0" fontId="3"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1" applyAlignment="1" pivotButton="0" quotePrefix="0" xfId="0">
      <alignment horizontal="center" vertical="center" wrapText="1"/>
    </xf>
    <xf numFmtId="164" fontId="3" fillId="3" borderId="1" applyAlignment="1" pivotButton="0" quotePrefix="0" xfId="0">
      <alignment horizontal="center" vertical="center" wrapText="1"/>
    </xf>
    <xf numFmtId="164" fontId="2" fillId="3" borderId="1" applyAlignment="1" pivotButton="0" quotePrefix="0" xfId="0">
      <alignment horizontal="center" vertical="center" wrapText="1"/>
    </xf>
    <xf numFmtId="0" fontId="2" fillId="4" borderId="1" applyAlignment="1" pivotButton="0" quotePrefix="0" xfId="0">
      <alignment horizontal="center" vertical="center"/>
    </xf>
    <xf numFmtId="0" fontId="2" fillId="4" borderId="2"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vertical="center" wrapText="1"/>
    </xf>
    <xf numFmtId="164" fontId="2" fillId="4" borderId="1" applyAlignment="1" pivotButton="0" quotePrefix="0" xfId="0">
      <alignment vertical="center" wrapText="1"/>
    </xf>
    <xf numFmtId="0" fontId="1" fillId="5" borderId="1" applyAlignment="1" pivotButton="0" quotePrefix="0" xfId="0">
      <alignment horizontal="center" vertical="center"/>
    </xf>
    <xf numFmtId="0" fontId="1" fillId="5"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vertical="center"/>
    </xf>
    <xf numFmtId="0" fontId="1" fillId="0" borderId="1" applyAlignment="1" pivotButton="0" quotePrefix="0" xfId="0">
      <alignment horizontal="left" vertical="center" wrapText="1"/>
    </xf>
    <xf numFmtId="14" fontId="1" fillId="0" borderId="1" applyAlignment="1" pivotButton="0" quotePrefix="0" xfId="0">
      <alignment vertical="center" wrapText="1"/>
    </xf>
    <xf numFmtId="0" fontId="1" fillId="0" borderId="1" applyAlignment="1" pivotButton="0" quotePrefix="0" xfId="0">
      <alignment horizontal="center" vertical="center" wrapText="1"/>
    </xf>
    <xf numFmtId="164" fontId="5" fillId="4" borderId="0" pivotButton="0" quotePrefix="0" xfId="0"/>
    <xf numFmtId="0" fontId="1" fillId="5" borderId="1" applyAlignment="1" pivotButton="0" quotePrefix="0" xfId="0">
      <alignment horizontal="left" vertical="center" wrapText="1"/>
    </xf>
    <xf numFmtId="0" fontId="1" fillId="5" borderId="1" applyAlignment="1" pivotButton="0" quotePrefix="0" xfId="0">
      <alignment horizontal="center" vertical="center" wrapText="1"/>
    </xf>
    <xf numFmtId="14" fontId="1" fillId="0" borderId="1" applyAlignment="1" pivotButton="0" quotePrefix="1" xfId="0">
      <alignment horizontal="center" vertical="center" wrapText="1"/>
    </xf>
    <xf numFmtId="0" fontId="1" fillId="0" borderId="1" applyAlignment="1" pivotButton="0" quotePrefix="0" xfId="0">
      <alignment horizontal="center" vertical="center"/>
    </xf>
    <xf numFmtId="14" fontId="1" fillId="0" borderId="1" applyAlignment="1" pivotButton="0" quotePrefix="1" xfId="0">
      <alignment horizontal="center" vertical="center"/>
    </xf>
    <xf numFmtId="164"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5" borderId="1"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1" xfId="0">
      <alignment horizontal="center" vertical="center"/>
    </xf>
    <xf numFmtId="3" fontId="1" fillId="0" borderId="1" applyAlignment="1" pivotButton="0" quotePrefix="0" xfId="0">
      <alignment vertical="center"/>
    </xf>
    <xf numFmtId="0" fontId="1" fillId="5" borderId="1" applyAlignment="1" pivotButton="0" quotePrefix="0" xfId="0">
      <alignment horizontal="left" vertical="center"/>
    </xf>
    <xf numFmtId="0" fontId="2"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1" fillId="4" borderId="1" applyAlignment="1" pivotButton="0" quotePrefix="0" xfId="0">
      <alignment horizontal="center" vertical="center"/>
    </xf>
    <xf numFmtId="0" fontId="6" fillId="5"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applyAlignment="1" pivotButton="0" quotePrefix="0" xfId="0">
      <alignment vertical="center" wrapText="1"/>
    </xf>
    <xf numFmtId="0" fontId="6" fillId="0" borderId="1" applyAlignment="1" pivotButton="0" quotePrefix="1"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wrapText="1"/>
    </xf>
    <xf numFmtId="14" fontId="7" fillId="0" borderId="1" applyAlignment="1" pivotButton="0" quotePrefix="1" xfId="0">
      <alignment horizontal="center" vertical="center"/>
    </xf>
    <xf numFmtId="0" fontId="2" fillId="3" borderId="4" applyAlignment="1" pivotButton="0" quotePrefix="0" xfId="0">
      <alignment horizontal="center" vertical="center" wrapText="1"/>
    </xf>
    <xf numFmtId="0" fontId="7" fillId="0" borderId="1" applyAlignment="1" pivotButton="0" quotePrefix="0" xfId="0">
      <alignment horizontal="center" vertical="center"/>
    </xf>
    <xf numFmtId="0" fontId="6" fillId="0" borderId="1" applyAlignment="1" pivotButton="0" quotePrefix="0" xfId="0">
      <alignment horizontal="left" vertical="center" wrapText="1"/>
    </xf>
    <xf numFmtId="0" fontId="2" fillId="3" borderId="3" applyAlignment="1" pivotButton="0" quotePrefix="0" xfId="0">
      <alignment horizontal="center" vertical="center" wrapText="1"/>
    </xf>
    <xf numFmtId="0" fontId="8" fillId="0" borderId="1" applyAlignment="1" pivotButton="0" quotePrefix="0" xfId="0">
      <alignment vertical="center" wrapText="1"/>
    </xf>
    <xf numFmtId="0" fontId="6" fillId="6" borderId="1" applyAlignment="1" pivotButton="0" quotePrefix="0" xfId="0">
      <alignment horizontal="center" vertical="center"/>
    </xf>
    <xf numFmtId="164" fontId="1" fillId="0" borderId="1" applyAlignment="1" pivotButton="0" quotePrefix="0" xfId="0">
      <alignment horizontal="center" vertical="center" wrapText="1"/>
    </xf>
    <xf numFmtId="165" fontId="7" fillId="0" borderId="1" applyAlignment="1" pivotButton="0" quotePrefix="0" xfId="0">
      <alignment horizontal="center" vertical="center" wrapText="1"/>
    </xf>
    <xf numFmtId="3" fontId="7" fillId="0" borderId="1" applyAlignment="1" pivotButton="0" quotePrefix="0" xfId="0">
      <alignment vertical="center"/>
    </xf>
    <xf numFmtId="0" fontId="1" fillId="0" borderId="1" applyAlignment="1" pivotButton="0" quotePrefix="0" xfId="0">
      <alignment horizontal="left" vertical="center" wrapText="1"/>
    </xf>
    <xf numFmtId="0" fontId="2" fillId="5" borderId="1" applyAlignment="1" pivotButton="0" quotePrefix="0" xfId="0">
      <alignment vertical="center" wrapText="1"/>
    </xf>
    <xf numFmtId="0" fontId="7" fillId="0" borderId="1" applyAlignment="1" pivotButton="0" quotePrefix="0" xfId="0">
      <alignment horizontal="center" vertical="center" wrapText="1"/>
    </xf>
    <xf numFmtId="0" fontId="2" fillId="5" borderId="1" applyAlignment="1" pivotButton="0" quotePrefix="0" xfId="0">
      <alignment vertical="center"/>
    </xf>
    <xf numFmtId="0" fontId="7" fillId="0"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164" fontId="2" fillId="5" borderId="1" applyAlignment="1" pivotButton="0" quotePrefix="0" xfId="0">
      <alignment vertical="center" wrapText="1"/>
    </xf>
    <xf numFmtId="165" fontId="7" fillId="5" borderId="1" applyAlignment="1" pivotButton="0" quotePrefix="0" xfId="0">
      <alignment horizontal="center" vertical="center" wrapText="1"/>
    </xf>
    <xf numFmtId="164" fontId="2" fillId="3" borderId="1" applyAlignment="1" pivotButton="0" quotePrefix="0" xfId="0">
      <alignment horizontal="right" vertical="center" wrapText="1"/>
    </xf>
    <xf numFmtId="0" fontId="7" fillId="5" borderId="1" applyAlignment="1" pivotButton="0" quotePrefix="0" xfId="0">
      <alignment vertical="center" wrapText="1"/>
    </xf>
    <xf numFmtId="0" fontId="7" fillId="5" borderId="1" applyAlignment="1" pivotButton="0" quotePrefix="0" xfId="0">
      <alignment vertical="center" wrapText="1"/>
    </xf>
    <xf numFmtId="164" fontId="7" fillId="5" borderId="1" applyAlignment="1" pivotButton="0" quotePrefix="0" xfId="0">
      <alignment horizontal="center" vertical="center" wrapText="1"/>
    </xf>
    <xf numFmtId="164"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2" fillId="4" borderId="4" applyAlignment="1" pivotButton="0" quotePrefix="0" xfId="0">
      <alignment horizontal="left" vertical="center" wrapText="1"/>
    </xf>
    <xf numFmtId="0" fontId="7" fillId="5" borderId="1" applyAlignment="1" pivotButton="0" quotePrefix="0" xfId="0">
      <alignment horizontal="center" vertical="center" wrapText="1"/>
    </xf>
    <xf numFmtId="0" fontId="2" fillId="4" borderId="3" applyAlignment="1" pivotButton="0" quotePrefix="0" xfId="0">
      <alignment horizontal="left" vertical="center" wrapText="1"/>
    </xf>
    <xf numFmtId="0" fontId="9" fillId="0" borderId="1" pivotButton="0" quotePrefix="0" xfId="0"/>
    <xf numFmtId="0" fontId="2" fillId="4" borderId="1" applyAlignment="1" pivotButton="0" quotePrefix="0" xfId="0">
      <alignment vertical="center"/>
    </xf>
    <xf numFmtId="0" fontId="2" fillId="4" borderId="2" applyAlignment="1" pivotButton="0" quotePrefix="0" xfId="0">
      <alignment vertical="center" wrapText="1"/>
    </xf>
    <xf numFmtId="0" fontId="2" fillId="4" borderId="1" applyAlignment="1" pivotButton="0" quotePrefix="0" xfId="0">
      <alignment horizontal="center" vertical="center" wrapText="1"/>
    </xf>
    <xf numFmtId="0" fontId="9" fillId="4" borderId="1" pivotButton="0" quotePrefix="0" xfId="0"/>
    <xf numFmtId="0" fontId="1" fillId="0" borderId="1" applyAlignment="1" pivotButton="0" quotePrefix="0" xfId="0">
      <alignment horizontal="left" vertical="center"/>
    </xf>
    <xf numFmtId="0" fontId="3" fillId="5" borderId="1" applyAlignment="1" pivotButton="0" quotePrefix="0" xfId="0">
      <alignment horizontal="center" vertical="center"/>
    </xf>
    <xf numFmtId="164" fontId="2" fillId="4" borderId="1" applyAlignment="1" pivotButton="0" quotePrefix="0" xfId="0">
      <alignment horizontal="right" vertical="center" wrapText="1"/>
    </xf>
    <xf numFmtId="0" fontId="3" fillId="0" borderId="1" applyAlignment="1" pivotButton="0" quotePrefix="0" xfId="0">
      <alignment vertical="center" wrapText="1"/>
    </xf>
    <xf numFmtId="0" fontId="3" fillId="0" borderId="1" applyAlignment="1" pivotButton="0" quotePrefix="0" xfId="0">
      <alignment vertical="center" wrapText="1"/>
    </xf>
    <xf numFmtId="0" fontId="3" fillId="5" borderId="1" applyAlignment="1" pivotButton="0" quotePrefix="0" xfId="0">
      <alignment horizontal="center" vertical="center"/>
    </xf>
    <xf numFmtId="0" fontId="2" fillId="0" borderId="5" applyAlignment="1" pivotButton="0" quotePrefix="0" xfId="0">
      <alignment horizontal="center" vertical="center"/>
    </xf>
    <xf numFmtId="0" fontId="2" fillId="0" borderId="2" applyAlignment="1" pivotButton="0" quotePrefix="0" xfId="0">
      <alignment horizontal="left" vertical="center" wrapText="1"/>
    </xf>
    <xf numFmtId="14" fontId="3" fillId="5" borderId="1" applyAlignment="1" pivotButton="0" quotePrefix="0" xfId="0">
      <alignment horizontal="center" vertical="center"/>
    </xf>
    <xf numFmtId="0" fontId="2" fillId="0" borderId="1" applyAlignment="1" pivotButton="0" quotePrefix="0" xfId="0">
      <alignment horizontal="left" vertical="center" wrapText="1"/>
    </xf>
    <xf numFmtId="165" fontId="7" fillId="0" borderId="1" applyAlignment="1" pivotButton="0" quotePrefix="0" xfId="0">
      <alignment horizontal="center" vertical="center"/>
    </xf>
    <xf numFmtId="0" fontId="3" fillId="5" borderId="1" applyAlignment="1" pivotButton="0" quotePrefix="0" xfId="0">
      <alignment vertical="center" wrapText="1"/>
    </xf>
    <xf numFmtId="166" fontId="7" fillId="0" borderId="1" applyAlignment="1" pivotButton="0" quotePrefix="0" xfId="0">
      <alignment horizontal="center" vertical="center"/>
    </xf>
    <xf numFmtId="0" fontId="3" fillId="5" borderId="1" applyAlignment="1" pivotButton="0" quotePrefix="0" xfId="0">
      <alignment wrapText="1"/>
    </xf>
    <xf numFmtId="0" fontId="7" fillId="0" borderId="1" applyAlignment="1" pivotButton="0" quotePrefix="0" xfId="0">
      <alignment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xf>
    <xf numFmtId="0" fontId="10" fillId="0" borderId="1" applyAlignment="1" pivotButton="0" quotePrefix="0" xfId="0">
      <alignment vertical="center" wrapText="1"/>
    </xf>
    <xf numFmtId="165" fontId="2" fillId="0" borderId="1" applyAlignment="1" pivotButton="0" quotePrefix="0" xfId="0">
      <alignment horizontal="center" vertical="center" wrapText="1"/>
    </xf>
    <xf numFmtId="165" fontId="7" fillId="0" borderId="1" applyAlignment="1" pivotButton="0" quotePrefix="0" xfId="0">
      <alignment vertical="center"/>
    </xf>
    <xf numFmtId="164" fontId="3" fillId="0" borderId="1" applyAlignment="1" pivotButton="0" quotePrefix="0" xfId="0">
      <alignment horizontal="center" vertical="center" wrapText="1"/>
    </xf>
    <xf numFmtId="3" fontId="10" fillId="0" borderId="1" applyAlignment="1" pivotButton="0" quotePrefix="0" xfId="0">
      <alignment vertical="center"/>
    </xf>
    <xf numFmtId="0" fontId="3" fillId="0" borderId="1" applyAlignment="1" pivotButton="0" quotePrefix="0" xfId="0">
      <alignment horizontal="left" vertical="center" wrapText="1"/>
    </xf>
    <xf numFmtId="0" fontId="2" fillId="0" borderId="5" applyAlignment="1" pivotButton="0" quotePrefix="0" xfId="0">
      <alignment horizontal="center" vertical="center" wrapText="1"/>
    </xf>
    <xf numFmtId="0" fontId="7" fillId="0" borderId="1" applyAlignment="1" pivotButton="0" quotePrefix="0" xfId="0">
      <alignment horizontal="left" vertical="center" wrapText="1"/>
    </xf>
    <xf numFmtId="166" fontId="2" fillId="0" borderId="5" applyAlignment="1" pivotButton="0" quotePrefix="0" xfId="0">
      <alignment horizontal="center" vertical="center" wrapText="1"/>
    </xf>
    <xf numFmtId="0" fontId="11" fillId="0" borderId="0" pivotButton="0" quotePrefix="0" xfId="0"/>
    <xf numFmtId="14" fontId="7" fillId="5" borderId="1" applyAlignment="1" pivotButton="0" quotePrefix="1" xfId="0">
      <alignment horizontal="center" vertical="center"/>
    </xf>
    <xf numFmtId="0" fontId="2" fillId="0" borderId="5" applyAlignment="1" pivotButton="0" quotePrefix="0" xfId="0">
      <alignment vertical="center" wrapText="1"/>
    </xf>
    <xf numFmtId="0" fontId="7" fillId="0" borderId="1" applyAlignment="1" pivotButton="0" quotePrefix="1" xfId="0">
      <alignment horizontal="center" vertical="center"/>
    </xf>
    <xf numFmtId="164" fontId="7" fillId="0" borderId="1" applyAlignment="1" pivotButton="0" quotePrefix="0" xfId="0">
      <alignment horizontal="center" vertical="center" wrapText="1"/>
    </xf>
    <xf numFmtId="164" fontId="2" fillId="0" borderId="5" applyAlignment="1" pivotButton="0" quotePrefix="0" xfId="0">
      <alignment horizontal="right" vertical="center" wrapText="1"/>
    </xf>
    <xf numFmtId="0" fontId="7" fillId="0" borderId="1" applyAlignment="1" pivotButton="0" quotePrefix="1" xfId="0">
      <alignment horizontal="left" vertical="center" wrapText="1"/>
    </xf>
    <xf numFmtId="0" fontId="12" fillId="0" borderId="1" applyAlignment="1" pivotButton="0" quotePrefix="0" xfId="0">
      <alignment horizontal="left" vertical="center" wrapText="1"/>
    </xf>
    <xf numFmtId="0" fontId="7" fillId="0" borderId="1" applyAlignment="1" pivotButton="0" quotePrefix="1" xfId="0">
      <alignment vertical="center" wrapText="1"/>
    </xf>
    <xf numFmtId="0" fontId="2" fillId="0" borderId="1" applyAlignment="1" pivotButton="0" quotePrefix="0" xfId="0">
      <alignment horizontal="center" vertical="center" wrapText="1"/>
    </xf>
    <xf numFmtId="0" fontId="7" fillId="5" borderId="1" applyAlignment="1" pivotButton="0" quotePrefix="1" xfId="0">
      <alignment vertical="center" wrapText="1"/>
    </xf>
    <xf numFmtId="0" fontId="2" fillId="0" borderId="1" applyAlignment="1" pivotButton="0" quotePrefix="0" xfId="0">
      <alignment horizontal="center" vertical="center"/>
    </xf>
    <xf numFmtId="0" fontId="1" fillId="0" borderId="5" applyAlignment="1" pivotButton="0" quotePrefix="0" xfId="0">
      <alignment horizontal="center" vertical="center"/>
    </xf>
    <xf numFmtId="0" fontId="7" fillId="0" borderId="1" applyAlignment="1" pivotButton="0" quotePrefix="0" xfId="0">
      <alignment vertical="center"/>
    </xf>
    <xf numFmtId="0" fontId="2" fillId="0" borderId="2" applyAlignment="1" pivotButton="0" quotePrefix="0" xfId="0">
      <alignment horizontal="left" vertical="center" wrapText="1"/>
    </xf>
    <xf numFmtId="0" fontId="8" fillId="0" borderId="1" applyAlignment="1" pivotButton="0" quotePrefix="0" xfId="0">
      <alignment horizontal="left" vertical="center"/>
    </xf>
    <xf numFmtId="14" fontId="7" fillId="0" borderId="1" applyAlignment="1" pivotButton="0" quotePrefix="0" xfId="0">
      <alignment horizontal="center" vertical="center" wrapText="1"/>
    </xf>
    <xf numFmtId="166" fontId="2" fillId="0" borderId="5" applyAlignment="1" pivotButton="0" quotePrefix="0" xfId="0">
      <alignment vertical="center" wrapText="1"/>
    </xf>
    <xf numFmtId="0" fontId="7" fillId="5" borderId="1" applyAlignment="1" pivotButton="0" quotePrefix="1" xfId="0">
      <alignment horizontal="center" vertical="center"/>
    </xf>
    <xf numFmtId="0" fontId="2" fillId="0" borderId="5" applyAlignment="1" pivotButton="0" quotePrefix="0" xfId="0">
      <alignment vertical="center" wrapText="1"/>
    </xf>
    <xf numFmtId="0" fontId="7" fillId="0" borderId="1" applyAlignment="1" pivotButton="0" quotePrefix="0" xfId="0">
      <alignment vertical="center"/>
    </xf>
    <xf numFmtId="0" fontId="7" fillId="0" borderId="1" applyAlignment="1" pivotButton="0" quotePrefix="0" xfId="0">
      <alignment horizontal="center" vertical="center"/>
    </xf>
    <xf numFmtId="164" fontId="7" fillId="0" borderId="1" applyAlignment="1" pivotButton="0" quotePrefix="0" xfId="0">
      <alignment horizontal="center" vertical="center" wrapText="1"/>
    </xf>
    <xf numFmtId="164" fontId="12" fillId="7" borderId="5" applyAlignment="1" pivotButton="0" quotePrefix="0" xfId="0">
      <alignment horizontal="right" vertical="center"/>
    </xf>
    <xf numFmtId="0" fontId="1" fillId="0" borderId="5" applyAlignment="1" pivotButton="0" quotePrefix="0" xfId="0">
      <alignment horizontal="center" vertical="center" wrapText="1"/>
    </xf>
    <xf numFmtId="0" fontId="13" fillId="0" borderId="0" applyAlignment="1" pivotButton="0" quotePrefix="0" xfId="0">
      <alignment vertical="center"/>
    </xf>
    <xf numFmtId="0" fontId="2" fillId="0" borderId="1" applyAlignment="1" pivotButton="0" quotePrefix="0" xfId="0">
      <alignment horizontal="center" vertical="center"/>
    </xf>
    <xf numFmtId="0" fontId="13" fillId="0" borderId="1" applyAlignment="1" pivotButton="0" quotePrefix="0" xfId="0">
      <alignment horizontal="center" vertical="center"/>
    </xf>
    <xf numFmtId="0" fontId="9" fillId="0" borderId="0" applyAlignment="1" pivotButton="0" quotePrefix="0" xfId="0">
      <alignment vertical="center"/>
    </xf>
    <xf numFmtId="0" fontId="7" fillId="0" borderId="1" applyAlignment="1" pivotButton="0" quotePrefix="1" xfId="0">
      <alignment horizontal="center" vertical="center"/>
    </xf>
    <xf numFmtId="0" fontId="1" fillId="0" borderId="5" applyAlignment="1" pivotButton="0" quotePrefix="0" xfId="0">
      <alignment horizontal="center" vertical="center"/>
    </xf>
    <xf numFmtId="0" fontId="6" fillId="5" borderId="1" applyAlignment="1" pivotButton="0" quotePrefix="0" xfId="0">
      <alignment horizontal="center" vertical="center"/>
    </xf>
    <xf numFmtId="0" fontId="1" fillId="0" borderId="1" applyAlignment="1" pivotButton="0" quotePrefix="0" xfId="0">
      <alignment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166" fontId="1" fillId="0" borderId="5" applyAlignment="1" pivotButton="0" quotePrefix="0" xfId="0">
      <alignment horizontal="center" vertical="center" wrapText="1"/>
    </xf>
    <xf numFmtId="165" fontId="6" fillId="0" borderId="1" applyAlignment="1" pivotButton="0" quotePrefix="0" xfId="0">
      <alignment horizontal="center" vertical="center" wrapText="1"/>
    </xf>
    <xf numFmtId="164" fontId="7" fillId="7" borderId="1" applyAlignment="1" pivotButton="0" quotePrefix="0" xfId="0">
      <alignment horizontal="right" vertical="center"/>
    </xf>
    <xf numFmtId="165" fontId="6" fillId="0" borderId="1" applyAlignment="1" pivotButton="0" quotePrefix="0" xfId="0">
      <alignment horizontal="center" vertical="center"/>
    </xf>
    <xf numFmtId="0" fontId="14" fillId="0" borderId="1" applyAlignment="1" pivotButton="0" quotePrefix="0" xfId="0">
      <alignment vertical="center" wrapText="1"/>
    </xf>
    <xf numFmtId="164" fontId="6" fillId="0" borderId="1" applyAlignment="1" pivotButton="0" quotePrefix="0" xfId="0">
      <alignment horizontal="center" vertical="center" wrapText="1"/>
    </xf>
    <xf numFmtId="0" fontId="1" fillId="0" borderId="5" applyAlignment="1" pivotButton="0" quotePrefix="0" xfId="0">
      <alignment vertical="center" wrapText="1"/>
    </xf>
    <xf numFmtId="0" fontId="15" fillId="0" borderId="1" applyAlignment="1" pivotButton="0" quotePrefix="0" xfId="0">
      <alignment horizontal="center" vertical="center"/>
    </xf>
    <xf numFmtId="0" fontId="15" fillId="0" borderId="1" applyAlignment="1" pivotButton="0" quotePrefix="0" xfId="0">
      <alignment horizontal="left" vertical="center" wrapText="1"/>
    </xf>
    <xf numFmtId="0" fontId="16" fillId="0" borderId="1" applyAlignment="1" pivotButton="0" quotePrefix="0" xfId="0">
      <alignment vertical="center"/>
    </xf>
    <xf numFmtId="0" fontId="6" fillId="0" borderId="1" applyAlignment="1" pivotButton="0" quotePrefix="0" xfId="0">
      <alignment vertical="center" wrapText="1"/>
    </xf>
    <xf numFmtId="0" fontId="1" fillId="0" borderId="1" applyAlignment="1" pivotButton="0" quotePrefix="0" xfId="0">
      <alignment vertical="center"/>
    </xf>
    <xf numFmtId="0" fontId="6" fillId="0" borderId="1" applyAlignment="1" pivotButton="0" quotePrefix="0" xfId="0">
      <alignment horizontal="left" vertical="center"/>
    </xf>
    <xf numFmtId="0" fontId="7" fillId="0" borderId="1" applyAlignment="1" pivotButton="0" quotePrefix="0" xfId="0">
      <alignment horizontal="left" vertical="center"/>
    </xf>
    <xf numFmtId="165" fontId="1" fillId="0" borderId="1" applyAlignment="1" pivotButton="0" quotePrefix="0" xfId="0">
      <alignment horizontal="center" vertical="center" wrapText="1"/>
    </xf>
    <xf numFmtId="164" fontId="12" fillId="7" borderId="1" applyAlignment="1" pivotButton="0" quotePrefix="0" xfId="0">
      <alignment horizontal="right" vertical="center"/>
    </xf>
    <xf numFmtId="0" fontId="1" fillId="0" borderId="0" applyAlignment="1" pivotButton="0" quotePrefix="0" xfId="0">
      <alignment horizontal="center" vertical="center"/>
    </xf>
    <xf numFmtId="0" fontId="1" fillId="0" borderId="1" applyAlignment="1" pivotButton="0" quotePrefix="1" xfId="0">
      <alignment horizontal="left" vertical="center" wrapText="1"/>
    </xf>
    <xf numFmtId="0" fontId="1" fillId="0" borderId="1" applyAlignment="1" pivotButton="0" quotePrefix="1" xfId="0">
      <alignment vertical="center" wrapText="1"/>
    </xf>
    <xf numFmtId="14" fontId="1" fillId="5" borderId="1" applyAlignment="1" pivotButton="0" quotePrefix="1" xfId="0">
      <alignment horizontal="center" vertical="center"/>
    </xf>
    <xf numFmtId="0" fontId="2" fillId="0" borderId="1" applyAlignment="1" pivotButton="0" quotePrefix="0" xfId="0">
      <alignment vertical="center" wrapText="1"/>
    </xf>
    <xf numFmtId="0" fontId="1" fillId="0" borderId="0" applyAlignment="1" pivotButton="0" quotePrefix="0" xfId="0">
      <alignment vertical="center" wrapText="1"/>
    </xf>
    <xf numFmtId="0" fontId="6" fillId="0" borderId="1" applyAlignment="1" pivotButton="0" quotePrefix="0" xfId="0">
      <alignment vertical="center"/>
    </xf>
    <xf numFmtId="0" fontId="6" fillId="0" borderId="1" applyAlignment="1" pivotButton="0" quotePrefix="0" xfId="0">
      <alignment vertical="center"/>
    </xf>
    <xf numFmtId="14" fontId="6" fillId="6" borderId="1" applyAlignment="1" pivotButton="0" quotePrefix="0" xfId="0">
      <alignment horizontal="center" vertical="center"/>
    </xf>
    <xf numFmtId="0" fontId="6" fillId="0" borderId="1" applyAlignment="1" pivotButton="0" quotePrefix="1" xfId="0">
      <alignment vertical="center" wrapText="1"/>
    </xf>
    <xf numFmtId="0" fontId="6" fillId="0" borderId="5" applyAlignment="1" pivotButton="0" quotePrefix="0" xfId="0">
      <alignment vertical="center" wrapText="1"/>
    </xf>
    <xf numFmtId="164" fontId="6" fillId="7" borderId="1" applyAlignment="1" pivotButton="0" quotePrefix="0" xfId="0">
      <alignment horizontal="right" vertical="center"/>
    </xf>
    <xf numFmtId="0" fontId="17" fillId="0" borderId="0" pivotButton="0" quotePrefix="0" xfId="0"/>
    <xf numFmtId="0" fontId="3" fillId="0" borderId="1" applyAlignment="1" pivotButton="0" quotePrefix="0" xfId="0">
      <alignment horizontal="center" vertical="center"/>
    </xf>
    <xf numFmtId="0" fontId="11" fillId="0" borderId="0" applyAlignment="1" pivotButton="0" quotePrefix="0" xfId="0">
      <alignment vertical="center"/>
    </xf>
    <xf numFmtId="165" fontId="1"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xf>
    <xf numFmtId="0"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2" fillId="4" borderId="2" applyAlignment="1" pivotButton="0" quotePrefix="0" xfId="0">
      <alignment vertical="center" wrapText="1"/>
    </xf>
    <xf numFmtId="0" fontId="13" fillId="0" borderId="1" applyAlignment="1" pivotButton="0" quotePrefix="0" xfId="0">
      <alignment horizontal="left" vertical="center"/>
    </xf>
    <xf numFmtId="0" fontId="1" fillId="5" borderId="1" applyAlignment="1" pivotButton="0" quotePrefix="0" xfId="0">
      <alignment horizontal="center" vertical="center" wrapText="1"/>
    </xf>
    <xf numFmtId="165" fontId="1" fillId="5" borderId="1" applyAlignment="1" pivotButton="0" quotePrefix="0" xfId="0">
      <alignment horizontal="center" vertical="center"/>
    </xf>
    <xf numFmtId="0" fontId="7" fillId="0" borderId="1" applyAlignment="1" pivotButton="0" quotePrefix="0" xfId="0">
      <alignment horizontal="center" vertical="center" wrapText="1"/>
    </xf>
    <xf numFmtId="0" fontId="1" fillId="5" borderId="1" applyAlignment="1" pivotButton="0" quotePrefix="0" xfId="0">
      <alignment vertical="center" wrapText="1"/>
    </xf>
    <xf numFmtId="0" fontId="1" fillId="5" borderId="1" pivotButton="0" quotePrefix="0" xfId="0"/>
    <xf numFmtId="0" fontId="18" fillId="0" borderId="1" pivotButton="0" quotePrefix="0" xfId="0"/>
    <xf numFmtId="0" fontId="2" fillId="5" borderId="1" applyAlignment="1" pivotButton="0" quotePrefix="0" xfId="0">
      <alignment vertical="center"/>
    </xf>
    <xf numFmtId="0" fontId="2" fillId="0" borderId="5" applyAlignment="1" pivotButton="0" quotePrefix="0" xfId="0">
      <alignment horizontal="center" vertical="center"/>
    </xf>
    <xf numFmtId="0" fontId="1" fillId="5" borderId="5" applyAlignment="1" pivotButton="0" quotePrefix="0" xfId="0">
      <alignment horizontal="center" vertical="center"/>
    </xf>
    <xf numFmtId="0" fontId="19" fillId="0" borderId="1" applyAlignment="1" pivotButton="0" quotePrefix="0" xfId="0">
      <alignment horizontal="left" vertical="center"/>
    </xf>
    <xf numFmtId="0" fontId="19" fillId="0" borderId="1" applyAlignment="1" pivotButton="0" quotePrefix="0" xfId="0">
      <alignment horizontal="center" vertical="center"/>
    </xf>
    <xf numFmtId="0" fontId="2" fillId="5" borderId="1" pivotButton="0" quotePrefix="0" xfId="0"/>
    <xf numFmtId="0" fontId="20" fillId="5" borderId="1" pivotButton="0" quotePrefix="0" xfId="0"/>
    <xf numFmtId="164" fontId="2" fillId="5" borderId="1" applyAlignment="1" pivotButton="0" quotePrefix="0" xfId="0">
      <alignment horizontal="right" vertical="center" wrapText="1"/>
    </xf>
    <xf numFmtId="0" fontId="20" fillId="5" borderId="5" pivotButton="0" quotePrefix="0" xfId="0"/>
    <xf numFmtId="0" fontId="9" fillId="5" borderId="0" pivotButton="0" quotePrefix="0" xfId="0"/>
    <xf numFmtId="0" fontId="19" fillId="0" borderId="1" applyAlignment="1" pivotButton="0" quotePrefix="0" xfId="0">
      <alignment horizontal="left" vertical="center" wrapText="1"/>
    </xf>
    <xf numFmtId="0" fontId="19" fillId="0" borderId="1" applyAlignment="1" pivotButton="0" quotePrefix="0" xfId="0">
      <alignment vertical="center"/>
    </xf>
    <xf numFmtId="0" fontId="2" fillId="5" borderId="2" applyAlignment="1" pivotButton="0" quotePrefix="0" xfId="0">
      <alignment horizontal="left" vertical="center" wrapText="1"/>
    </xf>
    <xf numFmtId="0" fontId="2" fillId="5" borderId="1" applyAlignment="1" pivotButton="0" quotePrefix="0" xfId="0">
      <alignment horizontal="center"/>
    </xf>
    <xf numFmtId="0" fontId="2" fillId="5" borderId="6" applyAlignment="1" pivotButton="0" quotePrefix="0" xfId="0">
      <alignment horizontal="left" vertical="center" wrapText="1"/>
    </xf>
    <xf numFmtId="0" fontId="2" fillId="5" borderId="1" applyAlignment="1" pivotButton="0" quotePrefix="0" xfId="0">
      <alignment horizontal="center" vertical="center" wrapText="1"/>
    </xf>
    <xf numFmtId="166" fontId="2" fillId="5" borderId="1" applyAlignment="1" pivotButton="0" quotePrefix="0" xfId="0">
      <alignment horizontal="center" vertical="center"/>
    </xf>
    <xf numFmtId="0" fontId="2" fillId="5" borderId="2" applyAlignment="1" pivotButton="0" quotePrefix="1" xfId="0">
      <alignment horizontal="right" vertical="center"/>
    </xf>
    <xf numFmtId="164" fontId="2" fillId="5" borderId="5" applyAlignment="1" pivotButton="0" quotePrefix="0" xfId="0">
      <alignment horizontal="right" vertical="center" wrapText="1"/>
    </xf>
    <xf numFmtId="0" fontId="2" fillId="5" borderId="1" applyAlignment="1" pivotButton="0" quotePrefix="0" xfId="0">
      <alignment horizontal="left" vertical="center" wrapText="1"/>
    </xf>
    <xf numFmtId="0" fontId="12" fillId="5" borderId="1" applyAlignment="1" pivotButton="0" quotePrefix="0" xfId="0">
      <alignment horizontal="center" vertical="center" wrapText="1"/>
    </xf>
    <xf numFmtId="0" fontId="2" fillId="5" borderId="1" applyAlignment="1" pivotButton="0" quotePrefix="0" xfId="0">
      <alignment horizontal="center" vertical="center"/>
    </xf>
    <xf numFmtId="0" fontId="21" fillId="5" borderId="1" applyAlignment="1" pivotButton="0" quotePrefix="0" xfId="0">
      <alignment horizontal="center" vertical="center"/>
    </xf>
    <xf numFmtId="0" fontId="21" fillId="5" borderId="1" applyAlignment="1" pivotButton="0" quotePrefix="0" xfId="0">
      <alignment horizontal="center" vertical="center"/>
    </xf>
    <xf numFmtId="0" fontId="1" fillId="5" borderId="3" applyAlignment="1" pivotButton="0" quotePrefix="0" xfId="0">
      <alignment horizontal="center" vertical="center" wrapText="1"/>
    </xf>
    <xf numFmtId="0" fontId="1" fillId="5" borderId="5" applyAlignment="1" pivotButton="0" quotePrefix="0" xfId="0">
      <alignment horizontal="center" vertical="center" wrapText="1"/>
    </xf>
    <xf numFmtId="166" fontId="1" fillId="5" borderId="1" applyAlignment="1" pivotButton="0" quotePrefix="0" xfId="0">
      <alignment horizontal="center" vertical="center"/>
    </xf>
    <xf numFmtId="0" fontId="18" fillId="5" borderId="1" pivotButton="0" quotePrefix="0" xfId="0"/>
    <xf numFmtId="0" fontId="1" fillId="5" borderId="2" applyAlignment="1" pivotButton="0" quotePrefix="0" xfId="0">
      <alignment horizontal="right" vertical="center"/>
    </xf>
    <xf numFmtId="3" fontId="7" fillId="5" borderId="1" applyAlignment="1" pivotButton="0" quotePrefix="0" xfId="0">
      <alignment horizontal="right" vertical="center" wrapText="1"/>
    </xf>
    <xf numFmtId="0" fontId="2" fillId="5" borderId="1" applyAlignment="1" pivotButton="0" quotePrefix="0" xfId="0">
      <alignment horizontal="center" vertical="center"/>
    </xf>
    <xf numFmtId="0" fontId="7" fillId="5" borderId="1" applyAlignment="1" pivotButton="0" quotePrefix="0" xfId="0">
      <alignment vertical="center"/>
    </xf>
    <xf numFmtId="0" fontId="7" fillId="5" borderId="1" applyAlignment="1" pivotButton="0" quotePrefix="0" xfId="0">
      <alignment vertical="center"/>
    </xf>
    <xf numFmtId="0" fontId="22" fillId="5" borderId="1" applyAlignment="1" pivotButton="0" quotePrefix="0" xfId="0">
      <alignment horizontal="center" vertical="center"/>
    </xf>
    <xf numFmtId="0" fontId="22" fillId="5" borderId="7" applyAlignment="1" pivotButton="0" quotePrefix="0" xfId="0">
      <alignment vertical="center"/>
    </xf>
    <xf numFmtId="0" fontId="2" fillId="5" borderId="8" applyAlignment="1" pivotButton="0" quotePrefix="0" xfId="0">
      <alignment horizontal="left" vertical="center" wrapText="1"/>
    </xf>
    <xf numFmtId="0" fontId="4" fillId="0" borderId="6" pivotButton="0" quotePrefix="0" xfId="0"/>
    <xf numFmtId="0" fontId="20" fillId="5" borderId="1" applyAlignment="1" pivotButton="0" quotePrefix="0" xfId="0">
      <alignment horizontal="center" vertical="center"/>
    </xf>
    <xf numFmtId="164" fontId="2" fillId="5" borderId="1" applyAlignment="1" pivotButton="0" quotePrefix="0" xfId="0">
      <alignment horizontal="center" vertical="center" wrapText="1"/>
    </xf>
    <xf numFmtId="164" fontId="23" fillId="5" borderId="9" applyAlignment="1" pivotButton="0" quotePrefix="0" xfId="0">
      <alignment horizontal="center" vertical="center"/>
    </xf>
    <xf numFmtId="0" fontId="24" fillId="5" borderId="1" pivotButton="0" quotePrefix="0" xfId="0"/>
    <xf numFmtId="0" fontId="8" fillId="5" borderId="1" applyAlignment="1" pivotButton="0" quotePrefix="0" xfId="0">
      <alignment vertical="center" wrapText="1"/>
    </xf>
    <xf numFmtId="3" fontId="13" fillId="5" borderId="1" applyAlignment="1" pivotButton="0" quotePrefix="0" xfId="0">
      <alignment horizontal="right" vertical="center"/>
    </xf>
    <xf numFmtId="0" fontId="25" fillId="5" borderId="1" pivotButton="0" quotePrefix="0" xfId="0"/>
    <xf numFmtId="0" fontId="8" fillId="5" borderId="3" applyAlignment="1" pivotButton="0" quotePrefix="0" xfId="0">
      <alignment vertical="center" wrapText="1"/>
    </xf>
    <xf numFmtId="0" fontId="23" fillId="5" borderId="1" applyAlignment="1" pivotButton="0" quotePrefix="0" xfId="0">
      <alignment horizontal="center" vertical="center"/>
    </xf>
    <xf numFmtId="0" fontId="2" fillId="5" borderId="2" applyAlignment="1" pivotButton="0" quotePrefix="0" xfId="0">
      <alignment horizontal="left" vertical="center" wrapText="1"/>
    </xf>
    <xf numFmtId="0" fontId="23" fillId="5" borderId="1" applyAlignment="1" pivotButton="0" quotePrefix="0" xfId="0">
      <alignment horizontal="right" vertical="center"/>
    </xf>
    <xf numFmtId="0" fontId="26" fillId="5" borderId="5" applyAlignment="1" pivotButton="0" quotePrefix="0" xfId="0">
      <alignment horizontal="center" vertical="center"/>
    </xf>
    <xf numFmtId="0" fontId="26" fillId="5" borderId="1" applyAlignment="1" pivotButton="0" quotePrefix="0" xfId="0">
      <alignment horizontal="right" vertical="center"/>
    </xf>
    <xf numFmtId="3" fontId="26" fillId="5" borderId="1" applyAlignment="1" pivotButton="0" quotePrefix="0" xfId="0">
      <alignment horizontal="right" vertical="center"/>
    </xf>
    <xf numFmtId="0" fontId="2" fillId="5" borderId="8" applyAlignment="1" pivotButton="0" quotePrefix="0" xfId="0">
      <alignment horizontal="left" vertical="center" wrapText="1"/>
    </xf>
    <xf numFmtId="0" fontId="27" fillId="5" borderId="5" applyAlignment="1" pivotButton="0" quotePrefix="0" xfId="0">
      <alignment horizontal="center" vertical="center"/>
    </xf>
    <xf numFmtId="0" fontId="27" fillId="5" borderId="1" applyAlignment="1" pivotButton="0" quotePrefix="0" xfId="0">
      <alignment horizontal="left" vertical="center" wrapText="1"/>
    </xf>
    <xf numFmtId="0" fontId="1" fillId="5" borderId="1" applyAlignment="1" pivotButton="0" quotePrefix="0" xfId="0">
      <alignment horizontal="left" vertical="center" wrapText="1"/>
    </xf>
    <xf numFmtId="0" fontId="21" fillId="5" borderId="1" applyAlignment="1" pivotButton="0" quotePrefix="0" xfId="0">
      <alignment horizontal="center" vertical="center"/>
    </xf>
    <xf numFmtId="0" fontId="21" fillId="5" borderId="1" applyAlignment="1" pivotButton="0" quotePrefix="0" xfId="0">
      <alignment horizontal="right" vertical="center"/>
    </xf>
    <xf numFmtId="0" fontId="21" fillId="5" borderId="1" applyAlignment="1" pivotButton="0" quotePrefix="0" xfId="0">
      <alignment horizontal="left" vertical="center"/>
    </xf>
    <xf numFmtId="0" fontId="21" fillId="5" borderId="1" applyAlignment="1" pivotButton="0" quotePrefix="0" xfId="0">
      <alignment horizontal="center" vertical="center"/>
    </xf>
    <xf numFmtId="0" fontId="15" fillId="5" borderId="1" applyAlignment="1" pivotButton="0" quotePrefix="0" xfId="0">
      <alignment horizontal="center" vertical="center"/>
    </xf>
    <xf numFmtId="3" fontId="21" fillId="5" borderId="1" applyAlignment="1" pivotButton="0" quotePrefix="0" xfId="0">
      <alignment horizontal="right" vertical="center"/>
    </xf>
    <xf numFmtId="0" fontId="15" fillId="5" borderId="1" applyAlignment="1" pivotButton="0" quotePrefix="0" xfId="0">
      <alignment horizontal="center" vertical="center"/>
    </xf>
    <xf numFmtId="0" fontId="0" fillId="0" borderId="0" pivotButton="0" quotePrefix="0" xfId="0"/>
    <xf numFmtId="0" fontId="0" fillId="0" borderId="3" pivotButton="0" quotePrefix="0" xfId="0"/>
    <xf numFmtId="0" fontId="2" fillId="5" borderId="5" applyAlignment="1" pivotButton="0" quotePrefix="0" xfId="0">
      <alignment horizontal="left" vertical="center" wrapText="1"/>
    </xf>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oogle.com/search?ibp=oshop&amp;prds=pvt:hg,pvo:29,imageDocid:2676753917273501455,headlineOfferDocid:15351052522547559233,productDocid:15351052522547559233&amp;q=product&amp;sa=X&amp;ved=2ahUKEwjhpPSywqGWAxX_ka8BHSsbMRcQxa4PeggIAggBCBIQBA" TargetMode="External" Id="rId1"/></Relationships>
</file>

<file path=xl/worksheets/sheet1.xml><?xml version="1.0" encoding="utf-8"?>
<worksheet xmlns="http://schemas.openxmlformats.org/spreadsheetml/2006/main">
  <sheetPr>
    <outlinePr summaryBelow="1" summaryRight="1"/>
    <pageSetUpPr/>
  </sheetPr>
  <dimension ref="A1:Z39"/>
  <sheetViews>
    <sheetView workbookViewId="0">
      <selection activeCell="A1" sqref="A1"/>
    </sheetView>
  </sheetViews>
  <sheetFormatPr baseColWidth="8" defaultColWidth="14.43" defaultRowHeight="15" customHeight="1"/>
  <cols>
    <col width="6.57" customWidth="1" style="253" min="1" max="1"/>
    <col width="16" customWidth="1" style="253" min="2" max="2"/>
    <col width="40.14" customWidth="1" style="253" min="3" max="3"/>
    <col width="11.57" customWidth="1" style="253" min="4" max="4"/>
    <col width="18.86" customWidth="1" style="253" min="5" max="5"/>
    <col width="16.14" customWidth="1" style="253" min="6" max="6"/>
    <col width="15.14" customWidth="1" style="253" min="7" max="7"/>
    <col width="27.71" customWidth="1" style="253" min="8" max="8"/>
    <col width="23.29" customWidth="1" style="253" min="9" max="9"/>
    <col width="35.86" customWidth="1" style="253" min="10" max="10"/>
    <col width="21.14" customWidth="1" style="253" min="11" max="11"/>
    <col width="14.43" customWidth="1" style="253" min="12" max="12"/>
    <col width="17.71" customWidth="1" style="253" min="13" max="13"/>
    <col width="15.29" customWidth="1" style="253" min="14" max="14"/>
    <col width="13.86" customWidth="1" style="253" min="15" max="15"/>
    <col width="12" customWidth="1" style="253" min="16" max="16"/>
    <col width="26.43" customWidth="1" style="253" min="17" max="17"/>
    <col width="32.71" customWidth="1" style="253" min="18" max="18"/>
    <col width="8.710000000000001" customWidth="1" style="253" min="19" max="26"/>
  </cols>
  <sheetData>
    <row r="1" ht="56.25" customHeight="1" s="253">
      <c r="A1" s="1" t="inlineStr">
        <is>
          <t xml:space="preserve">TRUNG TÂM KIỂM SOÁT BỆNH TẬT THÀNH PHỐ ĐÀ NẴNG
KHOA DƯỢC -VTYT
</t>
        </is>
      </c>
    </row>
    <row r="2" ht="50.25" customHeight="1" s="253">
      <c r="A2" s="3" t="inlineStr">
        <is>
          <t xml:space="preserve">
BẢNG THEO DÕI THỜI GIAN SỬA CHỮA VÀ THAY THẾ LINH KIỆN, PHỤ KIỆN MÁY MÓC, TBYT  NĂM 2026 
(Tính đến 22/8/2026)</t>
        </is>
      </c>
    </row>
    <row r="4" ht="87" customHeight="1" s="253">
      <c r="A4" s="6" t="inlineStr">
        <is>
          <t>STT</t>
        </is>
      </c>
      <c r="B4" s="41" t="inlineStr">
        <is>
          <t>Mã quản 
lý TBYT</t>
        </is>
      </c>
      <c r="C4" s="41" t="inlineStr">
        <is>
          <t>Tên thiết bị/Dịch vụ</t>
        </is>
      </c>
      <c r="D4" s="41" t="inlineStr">
        <is>
          <t>Năm đưa vào sử dụng</t>
        </is>
      </c>
      <c r="E4" s="41" t="inlineStr">
        <is>
          <t>Bộ phận sử dụng</t>
        </is>
      </c>
      <c r="F4" s="41" t="inlineStr">
        <is>
          <t>Ngày báo hỏng</t>
        </is>
      </c>
      <c r="G4" s="41" t="inlineStr">
        <is>
          <t>Ngày trình phê duyệt phương án sửa chữa</t>
        </is>
      </c>
      <c r="H4" s="41" t="inlineStr">
        <is>
          <t>Mô tả hiện 
trạng hư hỏng</t>
        </is>
      </c>
      <c r="I4" s="41" t="inlineStr">
        <is>
          <t>Đơn vị sửa chữa 
(Nội bộ/Thuê ngoài)</t>
        </is>
      </c>
      <c r="J4" s="41" t="inlineStr">
        <is>
          <t>Nội dung/
Biện pháp khắc phục</t>
        </is>
      </c>
      <c r="K4" s="41" t="inlineStr">
        <is>
          <t>Linh kiện, phụ kiện thay thế 
(nếu có)</t>
        </is>
      </c>
      <c r="L4" s="41" t="inlineStr">
        <is>
          <t>Ngày hoàn
 thành</t>
        </is>
      </c>
      <c r="M4" s="41" t="inlineStr">
        <is>
          <t>Kinh phí
 sửa chữa 
(VNĐ)</t>
        </is>
      </c>
      <c r="N4" s="41" t="inlineStr">
        <is>
          <t>Tình trạng hoạt động thiết bị sau sửa chữa</t>
        </is>
      </c>
      <c r="O4" s="41" t="inlineStr">
        <is>
          <t>Người nghiệm thu</t>
        </is>
      </c>
      <c r="P4" s="6" t="inlineStr">
        <is>
          <t>Ghi chú</t>
        </is>
      </c>
      <c r="Q4" s="6" t="inlineStr">
        <is>
          <t>Quyết định</t>
        </is>
      </c>
    </row>
    <row r="5" ht="41.25" customHeight="1" s="253">
      <c r="A5" s="9" t="n"/>
      <c r="B5" s="13" t="inlineStr">
        <is>
          <t>Tổng cộng: I+II+III+IV</t>
        </is>
      </c>
      <c r="C5" s="254" t="n"/>
      <c r="D5" s="13" t="n"/>
      <c r="E5" s="13" t="n"/>
      <c r="F5" s="13" t="n"/>
      <c r="G5" s="13" t="n"/>
      <c r="H5" s="13" t="n"/>
      <c r="I5" s="13" t="n"/>
      <c r="J5" s="13" t="n"/>
      <c r="K5" s="13" t="n"/>
      <c r="L5" s="13" t="n"/>
      <c r="M5" s="15">
        <f>M6+M11+M35+M38</f>
        <v/>
      </c>
      <c r="N5" s="13" t="n"/>
      <c r="O5" s="13" t="n"/>
      <c r="P5" s="9" t="n"/>
      <c r="Q5" s="9" t="n"/>
    </row>
    <row r="6" ht="37.5" customHeight="1" s="253">
      <c r="A6" s="179" t="inlineStr">
        <is>
          <t>I</t>
        </is>
      </c>
      <c r="B6" s="18" t="inlineStr">
        <is>
          <t>Phòng khám Đa khoa</t>
        </is>
      </c>
      <c r="C6" s="254" t="n"/>
      <c r="D6" s="18" t="n"/>
      <c r="E6" s="19" t="n"/>
      <c r="F6" s="19" t="n"/>
      <c r="G6" s="19" t="n"/>
      <c r="H6" s="19" t="n"/>
      <c r="I6" s="19" t="n"/>
      <c r="J6" s="19" t="n"/>
      <c r="K6" s="19" t="n"/>
      <c r="L6" s="19" t="n"/>
      <c r="M6" s="20">
        <f>sum(M7:M10)</f>
        <v/>
      </c>
      <c r="N6" s="19" t="n"/>
      <c r="O6" s="19" t="n"/>
      <c r="P6" s="19" t="n"/>
      <c r="Q6" s="19" t="n"/>
    </row>
    <row r="7" ht="101.25" customHeight="1" s="253">
      <c r="A7" s="22" t="n">
        <v>1</v>
      </c>
      <c r="B7" s="157" t="inlineStr">
        <is>
          <t>TSPK368</t>
        </is>
      </c>
      <c r="C7" s="26" t="inlineStr">
        <is>
          <t>Máy đo chức năng hô hấp; Model: Datospir Touch Easy-T; Xuất sứ: Tây Ban Nha</t>
        </is>
      </c>
      <c r="D7" s="31" t="inlineStr">
        <is>
          <t>2024</t>
        </is>
      </c>
      <c r="E7" s="22" t="inlineStr">
        <is>
          <t>PKĐK - CS1</t>
        </is>
      </c>
      <c r="F7" s="33" t="inlineStr">
        <is>
          <t>05/01/2026</t>
        </is>
      </c>
      <c r="G7" s="33" t="inlineStr">
        <is>
          <t>17/3/2026</t>
        </is>
      </c>
      <c r="H7" s="35" t="inlineStr">
        <is>
          <t>Không hiện biểu đồ
 khi đo thổi</t>
        </is>
      </c>
      <c r="I7" s="188" t="inlineStr">
        <is>
          <t>Công ty CP Dược TBYT Tuấn Hà</t>
        </is>
      </c>
      <c r="J7" s="35" t="inlineStr">
        <is>
          <t>Sửa chữa và thay thế linh 
kiện Transducer</t>
        </is>
      </c>
      <c r="K7" s="27" t="inlineStr">
        <is>
          <t xml:space="preserve"> Transducer</t>
        </is>
      </c>
      <c r="L7" s="38" t="inlineStr">
        <is>
          <t>25/5/2026</t>
        </is>
      </c>
      <c r="M7" s="39" t="n">
        <v>30450000</v>
      </c>
      <c r="N7" s="58" t="inlineStr">
        <is>
          <t>Tốt</t>
        </is>
      </c>
      <c r="O7" s="61" t="inlineStr">
        <is>
          <t>Ds. Tính, 
Ds. Lộc, 
Bs. Nam, 
Cn. Thảo</t>
        </is>
      </c>
      <c r="P7" s="27" t="inlineStr">
        <is>
          <t>Thu sự
 nghiệp</t>
        </is>
      </c>
      <c r="Q7" s="37" t="inlineStr">
        <is>
          <t>Quyết định số 
213/QĐ-TTKSBT 
ngày 14/4/2026</t>
        </is>
      </c>
    </row>
    <row r="8" ht="101.25" customHeight="1" s="253">
      <c r="A8" s="22" t="n">
        <v>2</v>
      </c>
      <c r="B8" s="61" t="inlineStr">
        <is>
          <t>TSXN178 (XN chuyển qua Phòng Thanh trùng năm 2026)</t>
        </is>
      </c>
      <c r="C8" s="61" t="inlineStr">
        <is>
          <t>Tủ sấy JSON-153P(JSOF,
Hàn quốc) JSON-153P</t>
        </is>
      </c>
      <c r="D8" s="27" t="n">
        <v>2026</v>
      </c>
      <c r="E8" s="22" t="inlineStr">
        <is>
          <t>PKĐK - CS1</t>
        </is>
      </c>
      <c r="F8" s="33" t="inlineStr">
        <is>
          <t>20/5/2026</t>
        </is>
      </c>
      <c r="G8" s="33" t="inlineStr">
        <is>
          <t>02/6/2026</t>
        </is>
      </c>
      <c r="H8" s="35" t="inlineStr">
        <is>
          <t>Hỏng cánh quạt</t>
        </is>
      </c>
      <c r="I8" s="188" t="inlineStr">
        <is>
          <t>Cơ sở điện lạnh Tuấn Vĩnh (Hộ KD Phạm Sĩ Vĩnh)</t>
        </is>
      </c>
      <c r="J8" s="188" t="inlineStr">
        <is>
          <t>Hàn cánh quạt tủ sấy</t>
        </is>
      </c>
      <c r="K8" s="27" t="inlineStr">
        <is>
          <t>Không</t>
        </is>
      </c>
      <c r="L8" s="33" t="inlineStr">
        <is>
          <t>04/6/2026</t>
        </is>
      </c>
      <c r="M8" s="39" t="n">
        <v>648000</v>
      </c>
      <c r="N8" s="58" t="inlineStr">
        <is>
          <t>Tốt</t>
        </is>
      </c>
      <c r="O8" s="61" t="inlineStr">
        <is>
          <t>Ds. Tính, 
Ds. Lộc,  
Cn. Hồng</t>
        </is>
      </c>
      <c r="P8" s="27" t="inlineStr">
        <is>
          <t>Thu sự
 nghiệp</t>
        </is>
      </c>
      <c r="Q8" s="37" t="n"/>
    </row>
    <row r="9">
      <c r="A9" s="22" t="n">
        <v>3</v>
      </c>
      <c r="B9" s="98" t="inlineStr">
        <is>
          <t>TSPK019</t>
        </is>
      </c>
      <c r="C9" s="98" t="inlineStr">
        <is>
          <t>Máy siêu âm
(Model: SONOACE R7; 
Hãng sản xuất: Samsung; 
Nước sản xuất: Hàn Quốc)</t>
        </is>
      </c>
      <c r="D9" s="67" t="n">
        <v>2019</v>
      </c>
      <c r="E9" s="22" t="inlineStr">
        <is>
          <t>PKĐK - CS1</t>
        </is>
      </c>
      <c r="F9" s="51" t="inlineStr">
        <is>
          <t>04/5/2026</t>
        </is>
      </c>
      <c r="G9" s="132" t="inlineStr">
        <is>
          <t>27/5/2026</t>
        </is>
      </c>
      <c r="H9" s="98" t="inlineStr">
        <is>
          <t>Thường xuyên không
 khởi động được máy</t>
        </is>
      </c>
      <c r="I9" s="98" t="inlineStr">
        <is>
          <t>Công ty TNHH 
Văn Thanh</t>
        </is>
      </c>
      <c r="J9" s="56" t="inlineStr">
        <is>
          <t>Sửa chữa bo mạch CPU
Bảo hành: 03 tháng.</t>
        </is>
      </c>
      <c r="K9" s="132" t="inlineStr">
        <is>
          <t>Không</t>
        </is>
      </c>
      <c r="L9" s="59" t="n">
        <v>46202</v>
      </c>
      <c r="M9" s="60" t="n">
        <v>44500000</v>
      </c>
      <c r="N9" s="58" t="inlineStr">
        <is>
          <t>Tốt</t>
        </is>
      </c>
      <c r="O9" s="61" t="inlineStr">
        <is>
          <t>Ds. Tính, 
Ds. Lộc,  
Bs. Nam
Cn. Huệ</t>
        </is>
      </c>
      <c r="P9" s="187" t="inlineStr">
        <is>
          <t>Quỹ 
PTHĐSN</t>
        </is>
      </c>
      <c r="Q9" s="37" t="inlineStr">
        <is>
          <t>Quyết định số 
349/QĐ-TTKSBT 
ngày 10/6/2026</t>
        </is>
      </c>
    </row>
    <row r="10" ht="120.75" customHeight="1" s="253">
      <c r="A10" s="22" t="n">
        <v>4</v>
      </c>
      <c r="B10" s="109" t="inlineStr">
        <is>
          <t>TSPK369</t>
        </is>
      </c>
      <c r="C10" s="109" t="inlineStr">
        <is>
          <t>Máy đo thính lực 
(Máy đo hoàn chỉnh)
(Model: SIBELSOUND 400 AOM+);
HSX: Sibel, S.A.U-
Xuất sứ: Tây Ban Nha</t>
        </is>
      </c>
      <c r="D10" s="67" t="n">
        <v>2024</v>
      </c>
      <c r="E10" s="67" t="inlineStr">
        <is>
          <t>PKĐK - CS1</t>
        </is>
      </c>
      <c r="F10" s="67" t="inlineStr">
        <is>
          <t>25/5/2026</t>
        </is>
      </c>
      <c r="G10" s="69" t="n">
        <v>46202</v>
      </c>
      <c r="H10" s="72" t="inlineStr">
        <is>
          <t>Không phát được 
tín hiệu đo thính lực</t>
        </is>
      </c>
      <c r="I10" s="72" t="inlineStr">
        <is>
          <t>Công ty TNHH Thiết bị VTYT DHA</t>
        </is>
      </c>
      <c r="J10" s="72" t="inlineStr">
        <is>
          <t>Sửa chữa nút bẩm phản ứng bệnh nhân</t>
        </is>
      </c>
      <c r="K10" s="132" t="inlineStr">
        <is>
          <t>Không</t>
        </is>
      </c>
      <c r="L10" s="69" t="n">
        <v>46218</v>
      </c>
      <c r="M10" s="74" t="n">
        <v>5500000</v>
      </c>
      <c r="N10" s="74" t="inlineStr">
        <is>
          <t>Tốt</t>
        </is>
      </c>
      <c r="O10" s="75" t="inlineStr">
        <is>
          <t>Ds. Tính, 
Ds. Lộc,  
Bs. Nam
Cn. Huệ</t>
        </is>
      </c>
      <c r="P10" s="77" t="inlineStr">
        <is>
          <t>Thu sự
 nghiệp</t>
        </is>
      </c>
      <c r="Q10" s="79" t="n"/>
    </row>
    <row r="11" ht="34.5" customHeight="1" s="253">
      <c r="A11" s="179" t="inlineStr">
        <is>
          <t>II</t>
        </is>
      </c>
      <c r="B11" s="19" t="inlineStr">
        <is>
          <t>Khoa XN-CĐHA-TDCN</t>
        </is>
      </c>
      <c r="C11" s="254" t="n"/>
      <c r="D11" s="18" t="n"/>
      <c r="E11" s="19" t="n"/>
      <c r="F11" s="19" t="n"/>
      <c r="G11" s="19" t="n"/>
      <c r="H11" s="19" t="n"/>
      <c r="I11" s="19" t="n"/>
      <c r="J11" s="19" t="n"/>
      <c r="K11" s="19" t="n"/>
      <c r="L11" s="19" t="n"/>
      <c r="M11" s="20">
        <f>M12+M23</f>
        <v/>
      </c>
      <c r="N11" s="19" t="n"/>
      <c r="O11" s="19" t="n"/>
      <c r="P11" s="19" t="n"/>
      <c r="Q11" s="83" t="n"/>
    </row>
    <row r="12" ht="48" customHeight="1" s="253">
      <c r="A12" s="89" t="inlineStr">
        <is>
          <t>*</t>
        </is>
      </c>
      <c r="B12" s="88" t="inlineStr">
        <is>
          <t>CƠ SỞ 1</t>
        </is>
      </c>
      <c r="C12" s="88" t="n"/>
      <c r="D12" s="89" t="n"/>
      <c r="E12" s="89" t="n"/>
      <c r="F12" s="92" t="n"/>
      <c r="G12" s="92" t="n"/>
      <c r="H12" s="95" t="n"/>
      <c r="I12" s="97" t="n"/>
      <c r="J12" s="95" t="n"/>
      <c r="K12" s="99" t="n"/>
      <c r="L12" s="175" t="n"/>
      <c r="M12" s="105">
        <f>SUM(M13:M22)</f>
        <v/>
      </c>
      <c r="N12" s="105" t="n"/>
      <c r="O12" s="107" t="n"/>
      <c r="P12" s="62" t="n"/>
      <c r="Q12" s="79" t="n"/>
    </row>
    <row r="13" ht="84.75" customHeight="1" s="253">
      <c r="A13" s="22" t="n">
        <v>1</v>
      </c>
      <c r="B13" s="98" t="inlineStr">
        <is>
          <t>TSXN133</t>
        </is>
      </c>
      <c r="C13" s="98" t="inlineStr">
        <is>
          <t>Máy sắc ký lỏng khối phổ LC/MS-MS (model: 8040, hãng: Shimadzu - Nhật Bản)</t>
        </is>
      </c>
      <c r="D13" s="67" t="n">
        <v>2019</v>
      </c>
      <c r="E13" s="67" t="inlineStr">
        <is>
          <t>HL-XN (CS1)</t>
        </is>
      </c>
      <c r="F13" s="112" t="inlineStr">
        <is>
          <t>05/5/2025</t>
        </is>
      </c>
      <c r="G13" s="112" t="inlineStr">
        <is>
          <t>25/8/2025</t>
        </is>
      </c>
      <c r="H13" s="72" t="inlineStr">
        <is>
          <t>Chân không của máy 
không đạt, báo lỗi IG</t>
        </is>
      </c>
      <c r="I13" s="72" t="inlineStr">
        <is>
          <t>Công ty CP TB-VT 
KHKT và Du lịch Trung Sơn T.S.S.E</t>
        </is>
      </c>
      <c r="J13" s="72" t="inlineStr">
        <is>
          <t>Kiểm tra toàn bộ thiết bị; Thay thế đồng hồ đo IG</t>
        </is>
      </c>
      <c r="K13" s="187" t="inlineStr">
        <is>
          <t>Đồng hồ đo 
IG</t>
        </is>
      </c>
      <c r="L13" s="140" t="inlineStr">
        <is>
          <t>05/01/2026</t>
        </is>
      </c>
      <c r="M13" s="133" t="n">
        <v>13176000</v>
      </c>
      <c r="N13" s="133" t="inlineStr">
        <is>
          <t>Tốt</t>
        </is>
      </c>
      <c r="O13" s="109" t="inlineStr">
        <is>
          <t>Ds. Tính, 
Ds. Lộc, 
Cn. Hải, 
Cn. N.Châu</t>
        </is>
      </c>
      <c r="P13" s="187" t="inlineStr">
        <is>
          <t>Thu sự
 nghiệp</t>
        </is>
      </c>
      <c r="Q13" s="37" t="inlineStr">
        <is>
          <t>Quyết định số 
176/QĐ-TTKSBT 
ngày 24/9/2025</t>
        </is>
      </c>
    </row>
    <row r="14" ht="193.5" customHeight="1" s="253">
      <c r="A14" s="22" t="n">
        <v>2</v>
      </c>
      <c r="B14" s="98" t="inlineStr">
        <is>
          <t>TSXN073
TSXN050
TSXN 020</t>
        </is>
      </c>
      <c r="C14" s="98" t="inlineStr">
        <is>
          <t>Máy quang phổ U-2900; 
Bộ phá mẫu đạm (SMS);
Lò nung Nebertherm L3C6.</t>
        </is>
      </c>
      <c r="D14" s="187" t="inlineStr">
        <is>
          <t>2011
2010
1998</t>
        </is>
      </c>
      <c r="E14" s="67" t="inlineStr">
        <is>
          <t>HL-XN (CS1)</t>
        </is>
      </c>
      <c r="F14" s="112" t="inlineStr">
        <is>
          <t>05/11/2025</t>
        </is>
      </c>
      <c r="G14" s="112" t="inlineStr">
        <is>
          <t>25/11/2025</t>
        </is>
      </c>
      <c r="H14" s="117" t="inlineStr">
        <is>
          <t>- Độ hấp thụ tại các 
bước sóng không chính xác, ảnh hưởng đến kết quả XN;
- Thiết bị có chảy nước, hiệu suất thu hồi thấp;
- Công tấc nguồn chập chờn.</t>
        </is>
      </c>
      <c r="I14" s="119" t="inlineStr">
        <is>
          <t>Công ty TNHH
 KHCN VIETCALIB</t>
        </is>
      </c>
      <c r="J14" s="121" t="inlineStr">
        <is>
          <t>- Kiểm tra toàn bộ thiết bị; Thay thế bộ lọc Máy U-2900;
- Kiểm tra toàn bộ thiết bị; Thay thế bình 1 lít cho bộ hấp thu khí thải Bộ phá mẫu đạm (SMS);
- Sửa chữa lỗi và thay thế công tất nguồn của Lò nung Nebertherm L3C6.</t>
        </is>
      </c>
      <c r="K14" s="121" t="inlineStr">
        <is>
          <t>-  Thay thế bộ lọc Máy U-2900;
- Thay thế bình 1 lít cho bộ hấp thu khí thải Bộ phá mẫu đạm (SMS);
- Thay thế công tất nguồn của Lò nung Nebertherm L3C6.</t>
        </is>
      </c>
      <c r="L14" s="51" t="inlineStr">
        <is>
          <t>02/3/2026</t>
        </is>
      </c>
      <c r="M14" s="133" t="n">
        <v>21276000</v>
      </c>
      <c r="N14" s="133" t="inlineStr">
        <is>
          <t>Tốt</t>
        </is>
      </c>
      <c r="O14" s="109" t="inlineStr">
        <is>
          <t>Ds. Tính, 
Ds. Lộc, 
Cn. Hải</t>
        </is>
      </c>
      <c r="P14" s="187" t="inlineStr">
        <is>
          <t>Thu sự
 nghiệp</t>
        </is>
      </c>
      <c r="Q14" s="37" t="inlineStr">
        <is>
          <t>Quyết định số 
254/QĐ-TTKSBT 
ngày 24/12/2025</t>
        </is>
      </c>
    </row>
    <row r="15" ht="84" customHeight="1" s="253">
      <c r="A15" s="22" t="n">
        <v>3</v>
      </c>
      <c r="B15" s="98" t="inlineStr">
        <is>
          <t>TSXN412</t>
        </is>
      </c>
      <c r="C15" s="98" t="inlineStr">
        <is>
          <t>Hệ thống khối phổ Plasma ghép cặp cảm ứng 
(ICP-MS), Analytik jena-Đức</t>
        </is>
      </c>
      <c r="D15" s="187" t="n">
        <v>2021</v>
      </c>
      <c r="E15" s="67" t="inlineStr">
        <is>
          <t>HL-XN (CS1)</t>
        </is>
      </c>
      <c r="F15" s="187" t="inlineStr">
        <is>
          <t>17/12/2026</t>
        </is>
      </c>
      <c r="G15" s="112" t="inlineStr">
        <is>
          <t>04/2/2026</t>
        </is>
      </c>
      <c r="H15" s="131" t="inlineStr">
        <is>
          <t>Lỗi chân không</t>
        </is>
      </c>
      <c r="I15" s="98" t="inlineStr">
        <is>
          <t>Công ty TNHH 
Analytik Jena Việt Nam</t>
        </is>
      </c>
      <c r="J15" s="126" t="inlineStr">
        <is>
          <t>Kiểm tra sửa chữa hệ thống bị 
lỗi chân không</t>
        </is>
      </c>
      <c r="K15" s="132" t="inlineStr">
        <is>
          <t>Không</t>
        </is>
      </c>
      <c r="L15" s="51" t="inlineStr">
        <is>
          <t>22/4/2026</t>
        </is>
      </c>
      <c r="M15" s="133" t="n">
        <v>21600000</v>
      </c>
      <c r="N15" s="133" t="inlineStr">
        <is>
          <t>Tốt</t>
        </is>
      </c>
      <c r="O15" s="109" t="inlineStr">
        <is>
          <t>Ds. Tính,
Ds. Lộc, 
Cn. Hải, 
Cn. Bình</t>
        </is>
      </c>
      <c r="P15" s="187" t="inlineStr">
        <is>
          <t>Thu sự
 nghiệp</t>
        </is>
      </c>
      <c r="Q15" s="37" t="inlineStr">
        <is>
          <t>Quyết định số 
155/QĐ-TTKSBT 
ngày 12/3/2026</t>
        </is>
      </c>
    </row>
    <row r="16" ht="93" customHeight="1" s="253">
      <c r="A16" s="22" t="n">
        <v>4</v>
      </c>
      <c r="B16" s="131" t="inlineStr">
        <is>
          <t>TSXN-UPS-ICP</t>
        </is>
      </c>
      <c r="C16" s="98" t="inlineStr">
        <is>
          <t>Bộ lưu điện Santak C10K 
(HT ICP)</t>
        </is>
      </c>
      <c r="D16" s="187" t="n">
        <v>2021</v>
      </c>
      <c r="E16" s="67" t="inlineStr">
        <is>
          <t>HL-XN (CS1)</t>
        </is>
      </c>
      <c r="F16" s="127" t="n">
        <v>46331</v>
      </c>
      <c r="G16" s="112" t="inlineStr">
        <is>
          <t>18/5/2026</t>
        </is>
      </c>
      <c r="H16" s="98" t="inlineStr">
        <is>
          <t xml:space="preserve">Hỏng bình ắc quy Bộ
 lưu điện Santak C10K </t>
        </is>
      </c>
      <c r="I16" s="98" t="inlineStr">
        <is>
          <t>Công ty TNHH TM Nguyên Hà</t>
        </is>
      </c>
      <c r="J16" s="126" t="inlineStr">
        <is>
          <t xml:space="preserve">Kiểm tra và thay thế ắc quy
 Bộ lưu điện Santak C10K </t>
        </is>
      </c>
      <c r="K16" s="132" t="inlineStr">
        <is>
          <t xml:space="preserve">Ắc quy </t>
        </is>
      </c>
      <c r="L16" s="51" t="inlineStr">
        <is>
          <t>21/5/2026</t>
        </is>
      </c>
      <c r="M16" s="133" t="n">
        <v>9828000</v>
      </c>
      <c r="N16" s="133" t="inlineStr">
        <is>
          <t>Tốt</t>
        </is>
      </c>
      <c r="O16" s="109" t="inlineStr">
        <is>
          <t>Ds. Tính,
Ds. Lộc, 
Cn. Hải, 
Cn. Bình</t>
        </is>
      </c>
      <c r="P16" s="187" t="inlineStr">
        <is>
          <t>Thu sự
 nghiệp</t>
        </is>
      </c>
      <c r="Q16" s="79" t="n"/>
    </row>
    <row r="17" ht="81.75" customHeight="1" s="253">
      <c r="A17" s="22" t="n">
        <v>5</v>
      </c>
      <c r="B17" s="109" t="inlineStr">
        <is>
          <t>TSXN255</t>
        </is>
      </c>
      <c r="C17" s="98" t="inlineStr">
        <is>
          <t>Máy phân tích huyết học tự động 26 thông số 5 thành phần bạch cầu (Sysmex XS1000i)</t>
        </is>
      </c>
      <c r="D17" s="132" t="n">
        <v>2016</v>
      </c>
      <c r="E17" s="67" t="inlineStr">
        <is>
          <t>CLS-XN (CS1)</t>
        </is>
      </c>
      <c r="F17" s="129" t="inlineStr">
        <is>
          <t>09/5/2026</t>
        </is>
      </c>
      <c r="G17" s="129" t="inlineStr">
        <is>
          <t>05/6/2026</t>
        </is>
      </c>
      <c r="H17" s="98" t="inlineStr">
        <is>
          <t>Khởi động máy liên tục
báo lỗi, không thực hiện được xét nghiệm mẫu</t>
        </is>
      </c>
      <c r="I17" s="131" t="inlineStr">
        <is>
          <t>Công ty Hoàng Anh</t>
        </is>
      </c>
      <c r="J17" s="131" t="inlineStr">
        <is>
          <t>Kiểm tra sửa chữa và thay bơm</t>
        </is>
      </c>
      <c r="K17" s="132" t="inlineStr">
        <is>
          <t>Thay bơm</t>
        </is>
      </c>
      <c r="L17" s="69" t="n">
        <v>46252</v>
      </c>
      <c r="M17" s="133" t="n">
        <v>7560000</v>
      </c>
      <c r="N17" s="133" t="inlineStr">
        <is>
          <t>Tốt</t>
        </is>
      </c>
      <c r="O17" s="109" t="inlineStr">
        <is>
          <t>Ds. Tính,
Ds. Lộc, 
Cn. Duy, 
Cn. Nghĩa</t>
        </is>
      </c>
      <c r="P17" s="187" t="inlineStr">
        <is>
          <t>Thu sự
 nghiệp</t>
        </is>
      </c>
      <c r="Q17" s="79" t="n"/>
    </row>
    <row r="18" ht="105.75" customHeight="1" s="253">
      <c r="A18" s="22" t="n">
        <v>6</v>
      </c>
      <c r="B18" s="98" t="inlineStr">
        <is>
          <t xml:space="preserve">TSXN082
</t>
        </is>
      </c>
      <c r="C18" s="136" t="inlineStr">
        <is>
          <t>Sửa chữa Thiết bị phân tích thủy 
ngân (Model: FIMS100 + 
S10 AutoSampler; Hãng sản xuất:
 Perkin Elmer) phục vụ hoạt 
động chuyên môn</t>
        </is>
      </c>
      <c r="D18" s="138" t="n">
        <v>2018</v>
      </c>
      <c r="E18" s="67" t="inlineStr">
        <is>
          <t>HL-XN (CS1)</t>
        </is>
      </c>
      <c r="F18" s="129" t="inlineStr">
        <is>
          <t>01/6/2026</t>
        </is>
      </c>
      <c r="G18" s="129" t="inlineStr">
        <is>
          <t>01/6/2026</t>
        </is>
      </c>
      <c r="H18" s="98" t="inlineStr">
        <is>
          <t>Hệ số hấp thu và hiệu suất thu hồi thấp</t>
        </is>
      </c>
      <c r="I18" s="35" t="inlineStr">
        <is>
          <t>Công ty TNHH 
TM và DV TB Hân Hảo</t>
        </is>
      </c>
      <c r="J18" s="131" t="inlineStr">
        <is>
          <t xml:space="preserve">Kiểm tra sửa chữa </t>
        </is>
      </c>
      <c r="K18" s="132" t="inlineStr">
        <is>
          <t>Không</t>
        </is>
      </c>
      <c r="L18" s="140" t="inlineStr">
        <is>
          <t>12/6/2026</t>
        </is>
      </c>
      <c r="M18" s="133" t="n">
        <v>9828000</v>
      </c>
      <c r="N18" s="133" t="inlineStr">
        <is>
          <t>Tốt</t>
        </is>
      </c>
      <c r="O18" s="109" t="inlineStr">
        <is>
          <t>Ds. Tính,
Ds. Lộc, 
Cn. Hà</t>
        </is>
      </c>
      <c r="P18" s="187" t="inlineStr">
        <is>
          <t>Thu sự
 nghiệp</t>
        </is>
      </c>
      <c r="Q18" s="79" t="n"/>
    </row>
    <row r="19" ht="90" customHeight="1" s="253">
      <c r="A19" s="142" t="n">
        <v>7</v>
      </c>
      <c r="B19" s="144" t="inlineStr">
        <is>
          <t>TSXN032</t>
        </is>
      </c>
      <c r="C19" s="156" t="inlineStr">
        <is>
          <t xml:space="preserve">Sửa chữa Hệ thống phá mẫu vi sóng
Model : MW680
SN : 680-MD10612471
</t>
        </is>
      </c>
      <c r="D19" s="144" t="n">
        <v>2018</v>
      </c>
      <c r="E19" s="142" t="inlineStr">
        <is>
          <t>HL-XN (CS1)</t>
        </is>
      </c>
      <c r="F19" s="147" t="n">
        <v>46230</v>
      </c>
      <c r="G19" s="149" t="n"/>
      <c r="H19" s="150" t="n"/>
      <c r="I19" s="156" t="n"/>
      <c r="J19" s="54" t="n"/>
      <c r="K19" s="144" t="n"/>
      <c r="L19" s="144" t="n"/>
      <c r="M19" s="105" t="n"/>
      <c r="N19" s="181" t="n"/>
      <c r="O19" s="54" t="n"/>
      <c r="P19" s="182" t="n"/>
      <c r="Q19" s="79" t="n"/>
    </row>
    <row r="20" ht="90" customHeight="1" s="253">
      <c r="A20" s="142" t="n">
        <v>8</v>
      </c>
      <c r="B20" s="153" t="inlineStr">
        <is>
          <t>TSXN197</t>
        </is>
      </c>
      <c r="C20" s="154" t="inlineStr">
        <is>
          <t>Máy ly tâm lạnh ống eppendorf tách mẫu DNA để bàn Model: 5424R</t>
        </is>
      </c>
      <c r="D20" s="153" t="n">
        <v>2015</v>
      </c>
      <c r="E20" s="142" t="inlineStr">
        <is>
          <t>VR-XN (CS1)</t>
        </is>
      </c>
      <c r="F20" s="147" t="n">
        <v>46246</v>
      </c>
      <c r="G20" s="149" t="n">
        <v>46258</v>
      </c>
      <c r="H20" s="150" t="inlineStr">
        <is>
          <t>Chức năng làm lạnh không hoạt động</t>
        </is>
      </c>
      <c r="I20" s="156" t="inlineStr">
        <is>
          <t>Công ty TNHH Việt Kim Hùng</t>
        </is>
      </c>
      <c r="J20" s="54" t="inlineStr">
        <is>
          <t>Kiểm tra lốc lạnh, tụ khởi động.
Sửa chữa bộ phận xử lý nhiệt độ của máy.
Nạp gas.
Vận hành.</t>
        </is>
      </c>
      <c r="K20" s="144" t="inlineStr">
        <is>
          <t>Không</t>
        </is>
      </c>
      <c r="L20" s="144" t="n"/>
      <c r="M20" s="105" t="n"/>
      <c r="N20" s="181" t="n"/>
      <c r="O20" s="54" t="n"/>
      <c r="P20" s="182" t="n"/>
      <c r="Q20" s="79" t="n"/>
    </row>
    <row r="21" ht="56.25" customHeight="1" s="253">
      <c r="A21" s="142" t="n">
        <v>9</v>
      </c>
      <c r="B21" s="144" t="inlineStr">
        <is>
          <t>TSXN023</t>
        </is>
      </c>
      <c r="C21" s="155" t="inlineStr">
        <is>
          <t>Máy chưng cất nước 2 lần dạng tủ
 Model: WSC/4D
 SN: 3814A</t>
        </is>
      </c>
      <c r="D21" s="144" t="n">
        <v>2004</v>
      </c>
      <c r="E21" s="142" t="inlineStr">
        <is>
          <t>VS-XN (CS1)</t>
        </is>
      </c>
      <c r="F21" s="147" t="n"/>
      <c r="G21" s="144" t="n"/>
      <c r="H21" s="150" t="n"/>
      <c r="I21" s="156" t="n"/>
      <c r="J21" s="54" t="n"/>
      <c r="K21" s="144" t="n"/>
      <c r="L21" s="144" t="n"/>
      <c r="M21" s="105" t="n"/>
      <c r="N21" s="181" t="n"/>
      <c r="O21" s="54" t="n"/>
      <c r="P21" s="182" t="n"/>
      <c r="Q21" s="157" t="n"/>
    </row>
    <row r="22" ht="56.25" customHeight="1" s="253">
      <c r="A22" s="142" t="n">
        <v>10</v>
      </c>
      <c r="B22" s="144" t="inlineStr">
        <is>
          <t>TSXN019</t>
        </is>
      </c>
      <c r="C22" s="158" t="inlineStr">
        <is>
          <t>Hệ thống lọc nước siêu sạch
Barnstead</t>
        </is>
      </c>
      <c r="D22" s="144" t="n">
        <v>2004</v>
      </c>
      <c r="E22" s="142" t="inlineStr">
        <is>
          <t>HL-XN (CS1)</t>
        </is>
      </c>
      <c r="F22" s="147" t="n"/>
      <c r="G22" s="144" t="n"/>
      <c r="H22" s="150" t="n"/>
      <c r="I22" s="156" t="n"/>
      <c r="J22" s="54" t="n"/>
      <c r="K22" s="144" t="n"/>
      <c r="L22" s="144" t="n"/>
      <c r="M22" s="105" t="n"/>
      <c r="N22" s="181" t="n"/>
      <c r="O22" s="54" t="n"/>
      <c r="P22" s="182" t="n"/>
      <c r="Q22" s="157" t="n"/>
    </row>
    <row r="23" ht="56.25" customHeight="1" s="253">
      <c r="A23" s="89" t="inlineStr">
        <is>
          <t>*</t>
        </is>
      </c>
      <c r="B23" s="88" t="inlineStr">
        <is>
          <t>CƠ SỞ 2</t>
        </is>
      </c>
      <c r="C23" s="156" t="n"/>
      <c r="D23" s="182" t="n"/>
      <c r="E23" s="142" t="n"/>
      <c r="F23" s="182" t="n"/>
      <c r="G23" s="144" t="n"/>
      <c r="H23" s="54" t="n"/>
      <c r="I23" s="156" t="n"/>
      <c r="J23" s="54" t="n"/>
      <c r="K23" s="144" t="n"/>
      <c r="L23" s="144" t="n"/>
      <c r="M23" s="105">
        <f>SUM(M24:M34)</f>
        <v/>
      </c>
      <c r="N23" s="181" t="n"/>
      <c r="O23" s="54" t="n"/>
      <c r="P23" s="182" t="n"/>
      <c r="Q23" s="79" t="n"/>
    </row>
    <row r="24" ht="267.75" customHeight="1" s="253">
      <c r="A24" s="22" t="n">
        <v>7</v>
      </c>
      <c r="B24" s="35" t="inlineStr">
        <is>
          <t>TSXN222
TSXN00
TSXN00</t>
        </is>
      </c>
      <c r="C24" s="35" t="inlineStr">
        <is>
          <t xml:space="preserve">Máy nước cất 2 lần A4000D;
Máy đo quang U-2900; 
Máy cất đạm Buchi. </t>
        </is>
      </c>
      <c r="D24" s="27" t="inlineStr">
        <is>
          <t>2010
2011
2017</t>
        </is>
      </c>
      <c r="E24" s="22" t="inlineStr">
        <is>
          <t>HL-XN (CS2)</t>
        </is>
      </c>
      <c r="F24" s="160" t="n">
        <v>46008</v>
      </c>
      <c r="G24" s="162" t="inlineStr">
        <is>
          <t>29/01/2026</t>
        </is>
      </c>
      <c r="H24" s="163" t="inlineStr">
        <is>
          <t xml:space="preserve">- Kiểm tra nguyên nhân lỗi và sửa chữa.
</t>
        </is>
      </c>
      <c r="I24" s="164" t="inlineStr">
        <is>
          <t>Công ty TNHH
 KHCN VIETCALIB</t>
        </is>
      </c>
      <c r="J24" s="163" t="inlineStr">
        <is>
          <t>- Kiểm tra nguyên nhân lỗi.
- Kiểm tra nguyên nhân lỗi.
Sửa bo mạch chính (mainboard).
Chỉnh lại trục quay của cách tử.
Hiệu chỉnh lại đường nền, bước sóng. Kiểm tra lại thiết bị sau khi sửa chữa;
- Kiểm tra nguyên nhân lỗi. Chỉnh lại nút bịt đầu ống mẫu.
Chỉnh lại vị trí gá giữ ống mẫu.
Nối tạm phần ống thủy tinh bị vỡ bằng ống silicon để sử dụng.
Vận hành thử sau khi sửa chữa.</t>
        </is>
      </c>
      <c r="K24" s="37" t="inlineStr">
        <is>
          <t>Không</t>
        </is>
      </c>
      <c r="L24" s="37" t="inlineStr">
        <is>
          <t>25/02/2026</t>
        </is>
      </c>
      <c r="M24" s="58" t="n">
        <v>9720000</v>
      </c>
      <c r="N24" s="58" t="inlineStr">
        <is>
          <t>Tốt</t>
        </is>
      </c>
      <c r="O24" s="61" t="inlineStr">
        <is>
          <t>Ds. Tính, 
Ds. Lộc, 
Cn. Hải</t>
        </is>
      </c>
      <c r="P24" s="27" t="inlineStr">
        <is>
          <t>Thu sự
 nghiệp</t>
        </is>
      </c>
      <c r="Q24" s="79" t="n"/>
    </row>
    <row r="25" ht="81" customHeight="1" s="253">
      <c r="A25" s="22" t="n">
        <v>8</v>
      </c>
      <c r="B25" s="157" t="inlineStr">
        <is>
          <t>TS-XN-954</t>
        </is>
      </c>
      <c r="C25" s="35" t="inlineStr">
        <is>
          <t>Máy quang phổ U-2900 (lần 1)</t>
        </is>
      </c>
      <c r="D25" s="27" t="n">
        <v>2011</v>
      </c>
      <c r="E25" s="22" t="inlineStr">
        <is>
          <t>HL-XN (CS2)</t>
        </is>
      </c>
      <c r="F25" s="160" t="n">
        <v>46008</v>
      </c>
      <c r="G25" s="165" t="inlineStr">
        <is>
          <t>27/2/2026</t>
        </is>
      </c>
      <c r="H25" s="35" t="inlineStr">
        <is>
          <t>Máy bị nhiễu vùng bước sóng, hư kính lọc.</t>
        </is>
      </c>
      <c r="I25" s="164" t="inlineStr">
        <is>
          <t>Công ty TNHH
 KHCN VIETCALIB</t>
        </is>
      </c>
      <c r="J25" s="35" t="inlineStr">
        <is>
          <t>Kiểm tra, sửa chữa và thay thế bộ lọc Máy U-2900</t>
        </is>
      </c>
      <c r="K25" s="27" t="inlineStr">
        <is>
          <t>Thay thế bộ lọc Máy U-2900</t>
        </is>
      </c>
      <c r="L25" s="37" t="inlineStr">
        <is>
          <t>20/4/2026</t>
        </is>
      </c>
      <c r="M25" s="58" t="n">
        <v>18144000</v>
      </c>
      <c r="N25" s="58" t="inlineStr">
        <is>
          <t>Tốt</t>
        </is>
      </c>
      <c r="O25" s="61" t="inlineStr">
        <is>
          <t>Ds. Tính, 
Ds. Lộc, 
Cn. Hải</t>
        </is>
      </c>
      <c r="P25" s="27" t="inlineStr">
        <is>
          <t>Thu sự
 nghiệp</t>
        </is>
      </c>
      <c r="Q25" s="37" t="inlineStr">
        <is>
          <t>Quyết định số 
136/QĐ-TTKSBT 
ngày 11/3/2026</t>
        </is>
      </c>
    </row>
    <row r="26" ht="311.25" customHeight="1" s="253">
      <c r="A26" s="22" t="n">
        <v>9</v>
      </c>
      <c r="B26" s="157" t="inlineStr">
        <is>
          <t>TS-XN-972</t>
        </is>
      </c>
      <c r="C26" s="98" t="inlineStr">
        <is>
          <t xml:space="preserve">Máy quang phổ hấp thụ nguyên tử AAS </t>
        </is>
      </c>
      <c r="D26" s="27" t="n">
        <v>2018</v>
      </c>
      <c r="E26" s="22" t="inlineStr">
        <is>
          <t>HL-XN (CS2)</t>
        </is>
      </c>
      <c r="F26" s="160" t="n">
        <v>46373</v>
      </c>
      <c r="G26" s="165" t="inlineStr">
        <is>
          <t>04/02/2026</t>
        </is>
      </c>
      <c r="H26" s="35" t="inlineStr">
        <is>
          <t>Hệ thống bị sự cố, chạy không ổn định. Khi phân tích các kim loại trên hệ thống graphite lên nhiệt độ cao hệ thống không chạy được</t>
        </is>
      </c>
      <c r="I26" s="35" t="inlineStr">
        <is>
          <t>Công ty TNHH 
TM và DV TB Hân Hảo</t>
        </is>
      </c>
      <c r="J26" s="35" t="inlineStr">
        <is>
          <t>Dịch vụ sửa chữa, bảo trì, bảo dưỡng Máy quang phổ hấp thụ nguyên tử AAS
Model: PinAAcle900H
Hãng sản xuất: Perkin Elmer
Nội dung sửa chữa, bảo trì, bảo dưỡng:
Sửa chữa mạch điều khiển nguồn của KT Lò.
Sửa chữa mạch điều khiển gia nhiệt của KT Lò.
Kiểm tra tổng quát toàn bộ hệ thống.
Bảo trì và bảo dưỡng toàn bộ hệ thống.
Hướng dẫn sử dụng kỹ thuật hóa hơi nguội (FIAS).
Bảo hành: 06 tháng.</t>
        </is>
      </c>
      <c r="K26" s="37" t="inlineStr">
        <is>
          <t>Không</t>
        </is>
      </c>
      <c r="L26" s="37" t="inlineStr">
        <is>
          <t>23/5/2026</t>
        </is>
      </c>
      <c r="M26" s="58" t="n">
        <v>49140000</v>
      </c>
      <c r="N26" s="58" t="inlineStr">
        <is>
          <t>Tốt</t>
        </is>
      </c>
      <c r="O26" s="61" t="inlineStr">
        <is>
          <t>Ds. Tính, 
Ds. Lộc, 
Cn. Hải</t>
        </is>
      </c>
      <c r="P26" s="27" t="inlineStr">
        <is>
          <t>Thu sự
 nghiệp</t>
        </is>
      </c>
      <c r="Q26" s="37" t="inlineStr">
        <is>
          <t>Quyết định số 
137/QĐ-TTKSBT 
ngày 11/3/2026</t>
        </is>
      </c>
    </row>
    <row r="27" ht="145.5" customHeight="1" s="253">
      <c r="A27" s="22" t="n">
        <v>10</v>
      </c>
      <c r="B27" s="157" t="inlineStr">
        <is>
          <t>TSXN-BUCHI-CS2</t>
        </is>
      </c>
      <c r="C27" s="35" t="inlineStr">
        <is>
          <t>Máy chưng cất đạm Buchi</t>
        </is>
      </c>
      <c r="D27" s="27" t="n">
        <v>2017</v>
      </c>
      <c r="E27" s="22" t="inlineStr">
        <is>
          <t>HL-XN (CS2)</t>
        </is>
      </c>
      <c r="F27" s="160" t="n">
        <v>46008</v>
      </c>
      <c r="G27" s="165" t="inlineStr">
        <is>
          <t>18/3/2026</t>
        </is>
      </c>
      <c r="H27" s="167" t="inlineStr">
        <is>
          <t>Thiết bị có chảy nước,
 không cất mẫu được</t>
        </is>
      </c>
      <c r="I27" s="164" t="inlineStr">
        <is>
          <t>Công ty TNHH
 KHCN VIETCALIB</t>
        </is>
      </c>
      <c r="J27" s="163" t="inlineStr">
        <is>
          <t>- Dịch vụ hàn Bình bảo vệ mẫu
 (Splash protection vessel) bị nứt vỡ;
- Thay thế Vòng đệm (Seal with ring CSM)
Code: 11073674;
Hãng: Buchi.</t>
        </is>
      </c>
      <c r="K27" s="27" t="inlineStr">
        <is>
          <t xml:space="preserve"> Vòng đệm 
(Seal with ring CSM)</t>
        </is>
      </c>
      <c r="L27" s="33" t="inlineStr">
        <is>
          <t>09/6/2026</t>
        </is>
      </c>
      <c r="M27" s="58" t="n">
        <v>13500000</v>
      </c>
      <c r="N27" s="58" t="inlineStr">
        <is>
          <t>Tốt</t>
        </is>
      </c>
      <c r="O27" s="61" t="inlineStr">
        <is>
          <t>Ds. Tính, 
Ds. Lộc, 
Cn. Hải</t>
        </is>
      </c>
      <c r="P27" s="27" t="inlineStr">
        <is>
          <t>Thu sự
 nghiệp</t>
        </is>
      </c>
      <c r="Q27" s="37" t="inlineStr">
        <is>
          <t>Quyết định số 
214/QĐ-TTKSBT 
ngày 14/4/2026</t>
        </is>
      </c>
    </row>
    <row r="28" ht="15.75" customHeight="1" s="253">
      <c r="A28" s="142" t="n">
        <v>11</v>
      </c>
      <c r="B28" s="169" t="inlineStr">
        <is>
          <t>TS-XN-954-2</t>
        </is>
      </c>
      <c r="C28" s="156" t="inlineStr">
        <is>
          <t>Máy quang phổ U-2900 (lần 2)</t>
        </is>
      </c>
      <c r="D28" s="182" t="n">
        <v>2011</v>
      </c>
      <c r="E28" s="142" t="inlineStr">
        <is>
          <t>HL-XN (CS2)</t>
        </is>
      </c>
      <c r="F28" s="50" t="n"/>
      <c r="G28" s="170" t="n"/>
      <c r="H28" s="156" t="inlineStr">
        <is>
          <t>Hỏng bo mạch</t>
        </is>
      </c>
      <c r="I28" s="171" t="inlineStr">
        <is>
          <t>Công ty TNHH
TMDV KT VIETNGUYEN</t>
        </is>
      </c>
      <c r="J28" s="156" t="inlineStr">
        <is>
          <t>Kiểm tra, sửa chữa và thay thế bo mạch</t>
        </is>
      </c>
      <c r="K28" s="182" t="inlineStr">
        <is>
          <t>Thay thế bo mạch Máy U-2900</t>
        </is>
      </c>
      <c r="L28" s="182" t="inlineStr">
        <is>
          <t>Đang
 thực hiện</t>
        </is>
      </c>
      <c r="M28" s="181" t="n">
        <v>49680000</v>
      </c>
      <c r="N28" s="181" t="inlineStr">
        <is>
          <t>Tốt</t>
        </is>
      </c>
      <c r="O28" s="54" t="inlineStr">
        <is>
          <t>Ds. Tính, 
Ds. Tân, 
Cn. Hải</t>
        </is>
      </c>
      <c r="P28" s="182" t="inlineStr">
        <is>
          <t>Quỹ 
PTHĐSN</t>
        </is>
      </c>
      <c r="Q28" s="43" t="inlineStr">
        <is>
          <t>Quyết định số 
/QĐ-TTKSBT 
ngày 1..../3/2026</t>
        </is>
      </c>
      <c r="R28" s="174" t="n"/>
      <c r="S28" s="174" t="n"/>
      <c r="T28" s="174" t="n"/>
      <c r="U28" s="174" t="n"/>
      <c r="V28" s="174" t="n"/>
      <c r="W28" s="174" t="n"/>
      <c r="X28" s="174" t="n"/>
      <c r="Y28" s="174" t="n"/>
      <c r="Z28" s="174" t="n"/>
    </row>
    <row r="29" ht="74.25" customHeight="1" s="253">
      <c r="A29" s="142" t="n">
        <v>12</v>
      </c>
      <c r="B29" s="158" t="inlineStr">
        <is>
          <t>TS-XN-934</t>
        </is>
      </c>
      <c r="C29" s="169" t="inlineStr">
        <is>
          <t>Tủ ấm 37 độ
 Model: Memmert BE500
 Hãng sx: Memmert GmbH + Co</t>
        </is>
      </c>
      <c r="D29" s="144" t="n">
        <v>1997</v>
      </c>
      <c r="E29" s="142" t="inlineStr">
        <is>
          <t>HL-XN (CS2)</t>
        </is>
      </c>
      <c r="F29" s="177" t="n">
        <v>46226</v>
      </c>
      <c r="G29" s="62" t="n"/>
      <c r="H29" s="62" t="n"/>
      <c r="I29" s="62" t="n"/>
      <c r="J29" s="62" t="n"/>
      <c r="K29" s="62" t="n"/>
      <c r="L29" s="62" t="n"/>
      <c r="M29" s="68" t="n"/>
      <c r="N29" s="62" t="n"/>
      <c r="O29" s="62" t="n"/>
      <c r="P29" s="62" t="n"/>
      <c r="Q29" s="62" t="n"/>
    </row>
    <row r="30" ht="74.25" customHeight="1" s="253">
      <c r="A30" s="142" t="n">
        <v>13</v>
      </c>
      <c r="B30" s="158" t="inlineStr">
        <is>
          <t>TSXN-NRB-CS2</t>
        </is>
      </c>
      <c r="C30" s="156" t="inlineStr">
        <is>
          <t>Tủ ấm lạnh 130L
 Model: NRB-14A
 Hãng sản xuất: Nihon Freezer co.,ltd</t>
        </is>
      </c>
      <c r="D30" s="144" t="n">
        <v>2019</v>
      </c>
      <c r="E30" s="142" t="inlineStr">
        <is>
          <t>HL-XN (CS2)</t>
        </is>
      </c>
      <c r="F30" s="177" t="n">
        <v>46246</v>
      </c>
      <c r="G30" s="62" t="n"/>
      <c r="H30" s="62" t="n"/>
      <c r="I30" s="62" t="n"/>
      <c r="J30" s="62" t="n"/>
      <c r="K30" s="62" t="n"/>
      <c r="L30" s="62" t="n"/>
      <c r="M30" s="68" t="n"/>
      <c r="N30" s="62" t="n"/>
      <c r="O30" s="62" t="n"/>
      <c r="P30" s="62" t="n"/>
      <c r="Q30" s="62" t="n"/>
    </row>
    <row r="31" ht="27" customHeight="1" s="253">
      <c r="A31" s="142" t="n">
        <v>14</v>
      </c>
      <c r="B31" s="62" t="n"/>
      <c r="C31" s="62" t="n"/>
      <c r="D31" s="210" t="n"/>
      <c r="E31" s="62" t="n"/>
      <c r="F31" s="62" t="n"/>
      <c r="G31" s="62" t="n"/>
      <c r="H31" s="62" t="n"/>
      <c r="I31" s="62" t="n"/>
      <c r="J31" s="62" t="n"/>
      <c r="K31" s="62" t="n"/>
      <c r="L31" s="62" t="n"/>
      <c r="M31" s="68" t="n"/>
      <c r="N31" s="62" t="n"/>
      <c r="O31" s="62" t="n"/>
      <c r="P31" s="62" t="n"/>
      <c r="Q31" s="62" t="n"/>
    </row>
    <row r="32" ht="27" customHeight="1" s="253">
      <c r="A32" s="142" t="n">
        <v>15</v>
      </c>
      <c r="B32" s="62" t="n"/>
      <c r="C32" s="62" t="n"/>
      <c r="D32" s="210" t="n"/>
      <c r="E32" s="62" t="n"/>
      <c r="F32" s="62" t="n"/>
      <c r="G32" s="62" t="n"/>
      <c r="H32" s="62" t="n"/>
      <c r="I32" s="62" t="n"/>
      <c r="J32" s="62" t="n"/>
      <c r="K32" s="62" t="n"/>
      <c r="L32" s="62" t="n"/>
      <c r="M32" s="68" t="n"/>
      <c r="N32" s="62" t="n"/>
      <c r="O32" s="62" t="n"/>
      <c r="P32" s="62" t="n"/>
      <c r="Q32" s="62" t="n"/>
    </row>
    <row r="33" ht="27" customHeight="1" s="253">
      <c r="A33" s="142" t="n">
        <v>16</v>
      </c>
      <c r="B33" s="62" t="n"/>
      <c r="C33" s="62" t="n"/>
      <c r="D33" s="210" t="n"/>
      <c r="E33" s="62" t="n"/>
      <c r="F33" s="62" t="n"/>
      <c r="G33" s="62" t="n"/>
      <c r="H33" s="62" t="n"/>
      <c r="I33" s="62" t="n"/>
      <c r="J33" s="62" t="n"/>
      <c r="K33" s="62" t="n"/>
      <c r="L33" s="62" t="n"/>
      <c r="M33" s="68" t="n"/>
      <c r="N33" s="62" t="n"/>
      <c r="O33" s="62" t="n"/>
      <c r="P33" s="62" t="n"/>
      <c r="Q33" s="62" t="n"/>
    </row>
    <row r="34" ht="27" customHeight="1" s="253">
      <c r="A34" s="142" t="n">
        <v>17</v>
      </c>
      <c r="B34" s="62" t="n"/>
      <c r="C34" s="62" t="n"/>
      <c r="D34" s="210" t="n"/>
      <c r="E34" s="62" t="n"/>
      <c r="F34" s="62" t="n"/>
      <c r="G34" s="62" t="n"/>
      <c r="H34" s="62" t="n"/>
      <c r="I34" s="62" t="n"/>
      <c r="J34" s="62" t="n"/>
      <c r="K34" s="62" t="n"/>
      <c r="L34" s="62" t="n"/>
      <c r="M34" s="68" t="n"/>
      <c r="N34" s="62" t="n"/>
      <c r="O34" s="62" t="n"/>
      <c r="P34" s="62" t="n"/>
      <c r="Q34" s="62" t="n"/>
    </row>
    <row r="35" ht="27" customHeight="1" s="253">
      <c r="A35" s="179" t="inlineStr">
        <is>
          <t>III</t>
        </is>
      </c>
      <c r="B35" s="19" t="inlineStr">
        <is>
          <t>Khoa Dược - VTYT</t>
        </is>
      </c>
      <c r="C35" s="254" t="n"/>
      <c r="D35" s="18" t="n"/>
      <c r="E35" s="19" t="n"/>
      <c r="F35" s="19" t="n"/>
      <c r="G35" s="19" t="n"/>
      <c r="H35" s="19" t="n"/>
      <c r="I35" s="19" t="n"/>
      <c r="J35" s="19" t="n"/>
      <c r="K35" s="19" t="n"/>
      <c r="L35" s="19" t="n"/>
      <c r="M35" s="20">
        <f>sum(M36:M37)</f>
        <v/>
      </c>
      <c r="N35" s="19" t="n"/>
      <c r="O35" s="19" t="n"/>
      <c r="P35" s="19" t="n"/>
      <c r="Q35" s="19" t="n"/>
    </row>
    <row r="36" ht="89.25" customHeight="1" s="253">
      <c r="A36" s="22" t="n">
        <v>1</v>
      </c>
      <c r="B36" s="35" t="inlineStr">
        <is>
          <t>TSKD059</t>
        </is>
      </c>
      <c r="C36" s="35" t="inlineStr">
        <is>
          <t>Hệ thống lọc nước RO250l/h</t>
        </is>
      </c>
      <c r="D36" s="27" t="n">
        <v>2023</v>
      </c>
      <c r="E36" s="185" t="inlineStr">
        <is>
          <t>PKĐK
XN
(DVTYT 
quản lý)</t>
        </is>
      </c>
      <c r="F36" s="22" t="inlineStr">
        <is>
          <t>24/02/2026</t>
        </is>
      </c>
      <c r="G36" s="22" t="inlineStr">
        <is>
          <t>24/02/2026</t>
        </is>
      </c>
      <c r="H36" s="188" t="inlineStr">
        <is>
          <t>Nắp màng RO bị sự cố, nước tràn ra nền nhà</t>
        </is>
      </c>
      <c r="I36" s="188" t="inlineStr">
        <is>
          <t>Công ty TNHH XL nước Gia Hưng Phát</t>
        </is>
      </c>
      <c r="J36" s="188" t="inlineStr">
        <is>
          <t>Sửa chữa, thay thế linh kiện (bộ vỏ màng RO 4040)</t>
        </is>
      </c>
      <c r="K36" s="27" t="inlineStr">
        <is>
          <t>Bộ vỏ màng
 RO 4040</t>
        </is>
      </c>
      <c r="L36" s="38" t="inlineStr">
        <is>
          <t>12/3/2026</t>
        </is>
      </c>
      <c r="M36" s="58" t="n">
        <v>3847500</v>
      </c>
      <c r="N36" s="58" t="inlineStr">
        <is>
          <t>Tốt</t>
        </is>
      </c>
      <c r="O36" s="61" t="inlineStr">
        <is>
          <t>Ds. Tính, Ds. Lộc</t>
        </is>
      </c>
      <c r="P36" s="27" t="inlineStr">
        <is>
          <t>Thu sự
 nghiệp</t>
        </is>
      </c>
      <c r="Q36" s="79" t="n"/>
    </row>
    <row r="37" ht="15.75" customHeight="1" s="253">
      <c r="A37" s="182" t="n">
        <v>2</v>
      </c>
      <c r="B37" s="54" t="inlineStr">
        <is>
          <t>TSKD017</t>
        </is>
      </c>
      <c r="C37" s="54" t="inlineStr">
        <is>
          <t>Tủ lạnh Domectic TCW 4000 AC (Luxembourg)</t>
        </is>
      </c>
      <c r="D37" s="182" t="n">
        <v>2020</v>
      </c>
      <c r="E37" s="182" t="inlineStr">
        <is>
          <t>Kho Bảo quản Vắcxin</t>
        </is>
      </c>
      <c r="F37" s="147" t="n">
        <v>46234</v>
      </c>
      <c r="G37" s="147" t="n">
        <v>46251</v>
      </c>
      <c r="H37" s="182" t="inlineStr">
        <is>
          <t>Hỏng ko sử dụng được</t>
        </is>
      </c>
      <c r="I37" s="182" t="inlineStr">
        <is>
          <t>Cơ sở Điện lạnh Tuấn Vĩnh</t>
        </is>
      </c>
      <c r="J37" s="182" t="inlineStr">
        <is>
          <t>Thay thế linh kiện (tiếp nhận từ Viện Pasteur Nha Trang cấp)</t>
        </is>
      </c>
      <c r="K37" s="182" t="inlineStr">
        <is>
          <t>Bộ phụ tùng đầy đủ Tủ TCW4000AC</t>
        </is>
      </c>
      <c r="L37" s="147" t="n">
        <v>46258</v>
      </c>
      <c r="M37" s="181" t="n">
        <v>1944000</v>
      </c>
      <c r="N37" s="181" t="inlineStr">
        <is>
          <t>Tốt</t>
        </is>
      </c>
      <c r="O37" s="54" t="inlineStr">
        <is>
          <t>Ds. Tính, Ds. Lộc, Ds. Ngà</t>
        </is>
      </c>
      <c r="P37" s="182" t="inlineStr">
        <is>
          <t>Ngân sách NN</t>
        </is>
      </c>
      <c r="Q37" s="182" t="n"/>
    </row>
    <row r="38" ht="34.5" customHeight="1" s="253">
      <c r="A38" s="179" t="inlineStr">
        <is>
          <t>IV</t>
        </is>
      </c>
      <c r="B38" s="19" t="inlineStr">
        <is>
          <t>Khoa Phòng chống bệnh truyền nhiễm</t>
        </is>
      </c>
      <c r="C38" s="254" t="n"/>
      <c r="D38" s="18" t="n"/>
      <c r="E38" s="19" t="n"/>
      <c r="F38" s="19" t="n"/>
      <c r="G38" s="19" t="n"/>
      <c r="H38" s="19" t="n"/>
      <c r="I38" s="19" t="n"/>
      <c r="J38" s="19" t="n"/>
      <c r="K38" s="19" t="n"/>
      <c r="L38" s="19" t="n"/>
      <c r="M38" s="20">
        <f>sum(M39)</f>
        <v/>
      </c>
      <c r="N38" s="19" t="n"/>
      <c r="O38" s="19" t="n"/>
      <c r="P38" s="19" t="n"/>
      <c r="Q38" s="19" t="n"/>
    </row>
    <row r="39" ht="15.75" customHeight="1" s="253">
      <c r="A39" s="22" t="n">
        <v>1</v>
      </c>
      <c r="B39" s="138" t="inlineStr">
        <is>
          <t>TSPK011</t>
        </is>
      </c>
      <c r="C39" s="184" t="inlineStr">
        <is>
          <t>Tủ ALASKA SL-8C (tủ mát) VN</t>
        </is>
      </c>
      <c r="D39" s="138" t="n">
        <v>2019</v>
      </c>
      <c r="E39" s="185" t="inlineStr">
        <is>
          <t>BP Tiêm chủng dịch vụ</t>
        </is>
      </c>
      <c r="F39" s="186" t="n">
        <v>46950</v>
      </c>
      <c r="G39" s="186" t="n">
        <v>46230</v>
      </c>
      <c r="H39" s="187" t="inlineStr">
        <is>
          <t>Hỏng, nhiệt độ không 
ổn định</t>
        </is>
      </c>
      <c r="I39" s="187" t="inlineStr">
        <is>
          <t>Cơ sở Điện lạnh Tuấn Vĩnh</t>
        </is>
      </c>
      <c r="J39" s="188" t="inlineStr">
        <is>
          <t>Sửa chữa không chạy block, xử lý máng nước và hệ thống ga sưởi, thay thế bộ điều khiển nhiệt độ</t>
        </is>
      </c>
      <c r="K39" s="27" t="inlineStr">
        <is>
          <t>Bộ điều khiển nhiệt độ</t>
        </is>
      </c>
      <c r="L39" s="160" t="n">
        <v>46248</v>
      </c>
      <c r="M39" s="58" t="n">
        <v>8100000</v>
      </c>
      <c r="N39" s="58" t="inlineStr">
        <is>
          <t>Tốt</t>
        </is>
      </c>
      <c r="O39" s="61" t="inlineStr">
        <is>
          <t>Ds. Tính, Ds. Lộc, Ths. Ánh, Cn. Hà</t>
        </is>
      </c>
      <c r="P39" s="27" t="inlineStr">
        <is>
          <t>Thu sự
 nghiệp</t>
        </is>
      </c>
      <c r="Q39" s="79" t="n"/>
    </row>
    <row r="40" ht="15.75" customHeight="1" s="253"/>
    <row r="41" ht="15.75" customHeight="1" s="253"/>
    <row r="42" ht="15.75" customHeight="1" s="253"/>
    <row r="43" ht="15.75" customHeight="1" s="253"/>
    <row r="44" ht="15.75" customHeight="1" s="253"/>
    <row r="45" ht="15.75" customHeight="1" s="253"/>
    <row r="46" ht="15.75" customHeight="1" s="253"/>
    <row r="47" ht="15.75" customHeight="1" s="253"/>
    <row r="48" ht="15.75" customHeight="1" s="253"/>
    <row r="49" ht="15.75" customHeight="1" s="253"/>
    <row r="50" ht="15.75" customHeight="1" s="253"/>
    <row r="51" ht="15.75" customHeight="1" s="253"/>
    <row r="52" ht="15.75" customHeight="1" s="253"/>
    <row r="53" ht="15.75" customHeight="1" s="253"/>
    <row r="54" ht="15.75" customHeight="1" s="253"/>
    <row r="55" ht="15.75" customHeight="1" s="253"/>
    <row r="56" ht="15.75" customHeight="1" s="253"/>
    <row r="57" ht="15.75" customHeight="1" s="253"/>
    <row r="58" ht="15.75" customHeight="1" s="253"/>
    <row r="59" ht="15.75" customHeight="1" s="253"/>
    <row r="60" ht="15.75" customHeight="1" s="253"/>
    <row r="61" ht="15.75" customHeight="1" s="253"/>
    <row r="62" ht="15.75" customHeight="1" s="253"/>
    <row r="63" ht="15.75" customHeight="1" s="253"/>
    <row r="64" ht="15.75" customHeight="1" s="253"/>
    <row r="65" ht="15.75" customHeight="1" s="253"/>
    <row r="66" ht="15.75" customHeight="1" s="253"/>
    <row r="67" ht="15.75" customHeight="1" s="253"/>
    <row r="68" ht="15.75" customHeight="1" s="253"/>
    <row r="69" ht="15.75" customHeight="1" s="253"/>
    <row r="70" ht="15.75" customHeight="1" s="253"/>
    <row r="71" ht="15.75" customHeight="1" s="253"/>
    <row r="72" ht="15.75" customHeight="1" s="253"/>
    <row r="73" ht="15.75" customHeight="1" s="253"/>
    <row r="74" ht="15.75" customHeight="1" s="253"/>
    <row r="75" ht="15.75" customHeight="1" s="253"/>
    <row r="76" ht="15.75" customHeight="1" s="253"/>
    <row r="77" ht="15.75" customHeight="1" s="253"/>
    <row r="78" ht="15.75" customHeight="1" s="253"/>
    <row r="79" ht="15.75" customHeight="1" s="253"/>
    <row r="80" ht="15.75" customHeight="1" s="253"/>
    <row r="81" ht="15.75" customHeight="1" s="253"/>
    <row r="82" ht="15.75" customHeight="1" s="253"/>
    <row r="83" ht="15.75" customHeight="1" s="253"/>
    <row r="84" ht="15.75" customHeight="1" s="253"/>
    <row r="85" ht="15.75" customHeight="1" s="253"/>
    <row r="86" ht="15.75" customHeight="1" s="253"/>
    <row r="87" ht="15.75" customHeight="1" s="253"/>
    <row r="88" ht="15.75" customHeight="1" s="253"/>
    <row r="89" ht="15.75" customHeight="1" s="253"/>
    <row r="90" ht="15.75" customHeight="1" s="253"/>
    <row r="91" ht="15.75" customHeight="1" s="253"/>
    <row r="92" ht="15.75" customHeight="1" s="253"/>
    <row r="93" ht="15.75" customHeight="1" s="253"/>
    <row r="94" ht="15.75" customHeight="1" s="253"/>
    <row r="95" ht="15.75" customHeight="1" s="253"/>
    <row r="96" ht="15.75" customHeight="1" s="253"/>
    <row r="97" ht="15.75" customHeight="1" s="253"/>
    <row r="98" ht="15.75" customHeight="1" s="253"/>
    <row r="99" ht="15.75" customHeight="1" s="253"/>
    <row r="100" ht="15.75" customHeight="1" s="253"/>
    <row r="101" ht="15.75" customHeight="1" s="253"/>
    <row r="102" ht="15.75" customHeight="1" s="253"/>
    <row r="103" ht="15.75" customHeight="1" s="253"/>
    <row r="104" ht="15.75" customHeight="1" s="253"/>
    <row r="105" ht="15.75" customHeight="1" s="253"/>
    <row r="106" ht="15.75" customHeight="1" s="253"/>
    <row r="107" ht="15.75" customHeight="1" s="253"/>
    <row r="108" ht="15.75" customHeight="1" s="253"/>
    <row r="109" ht="15.75" customHeight="1" s="253"/>
    <row r="110" ht="15.75" customHeight="1" s="253"/>
    <row r="111" ht="15.75" customHeight="1" s="253"/>
    <row r="112" ht="15.75" customHeight="1" s="253"/>
    <row r="113" ht="15.75" customHeight="1" s="253"/>
    <row r="114" ht="15.75" customHeight="1" s="253"/>
    <row r="115" ht="15.75" customHeight="1" s="253"/>
    <row r="116" ht="15.75" customHeight="1" s="253"/>
    <row r="117" ht="15.75" customHeight="1" s="253"/>
    <row r="118" ht="15.75" customHeight="1" s="253"/>
    <row r="119" ht="15.75" customHeight="1" s="253"/>
    <row r="120" ht="15.75" customHeight="1" s="253"/>
    <row r="121" ht="15.75" customHeight="1" s="253"/>
    <row r="122" ht="15.75" customHeight="1" s="253"/>
    <row r="123" ht="15.75" customHeight="1" s="253"/>
    <row r="124" ht="15.75" customHeight="1" s="253"/>
    <row r="125" ht="15.75" customHeight="1" s="253"/>
    <row r="126" ht="15.75" customHeight="1" s="253"/>
    <row r="127" ht="15.75" customHeight="1" s="253"/>
    <row r="128" ht="15.75" customHeight="1" s="253"/>
    <row r="129" ht="15.75" customHeight="1" s="253"/>
    <row r="130" ht="15.75" customHeight="1" s="253"/>
    <row r="131" ht="15.75" customHeight="1" s="253"/>
    <row r="132" ht="15.75" customHeight="1" s="253"/>
    <row r="133" ht="15.75" customHeight="1" s="253"/>
    <row r="134" ht="15.75" customHeight="1" s="253"/>
    <row r="135" ht="15.75" customHeight="1" s="253"/>
    <row r="136" ht="15.75" customHeight="1" s="253"/>
    <row r="137" ht="15.75" customHeight="1" s="253"/>
    <row r="138" ht="15.75" customHeight="1" s="253"/>
    <row r="139" ht="15.75" customHeight="1" s="253"/>
    <row r="140" ht="15.75" customHeight="1" s="253"/>
    <row r="141" ht="15.75" customHeight="1" s="253"/>
    <row r="142" ht="15.75" customHeight="1" s="253"/>
    <row r="143" ht="15.75" customHeight="1" s="253"/>
    <row r="144" ht="15.75" customHeight="1" s="253"/>
    <row r="145" ht="15.75" customHeight="1" s="253"/>
    <row r="146" ht="15.75" customHeight="1" s="253"/>
    <row r="147" ht="15.75" customHeight="1" s="253"/>
    <row r="148" ht="15.75" customHeight="1" s="253"/>
    <row r="149" ht="15.75" customHeight="1" s="253"/>
    <row r="150" ht="15.75" customHeight="1" s="253"/>
    <row r="151" ht="15.75" customHeight="1" s="253"/>
    <row r="152" ht="15.75" customHeight="1" s="253"/>
    <row r="153" ht="15.75" customHeight="1" s="253"/>
    <row r="154" ht="15.75" customHeight="1" s="253"/>
    <row r="155" ht="15.75" customHeight="1" s="253"/>
    <row r="156" ht="15.75" customHeight="1" s="253"/>
    <row r="157" ht="15.75" customHeight="1" s="253"/>
    <row r="158" ht="15.75" customHeight="1" s="253"/>
    <row r="159" ht="15.75" customHeight="1" s="253"/>
    <row r="160" ht="15.75" customHeight="1" s="253"/>
    <row r="161" ht="15.75" customHeight="1" s="253"/>
    <row r="162" ht="15.75" customHeight="1" s="253"/>
    <row r="163" ht="15.75" customHeight="1" s="253"/>
    <row r="164" ht="15.75" customHeight="1" s="253"/>
    <row r="165" ht="15.75" customHeight="1" s="253"/>
    <row r="166" ht="15.75" customHeight="1" s="253"/>
    <row r="167" ht="15.75" customHeight="1" s="253"/>
    <row r="168" ht="15.75" customHeight="1" s="253"/>
    <row r="169" ht="15.75" customHeight="1" s="253"/>
    <row r="170" ht="15.75" customHeight="1" s="253"/>
    <row r="171" ht="15.75" customHeight="1" s="253"/>
    <row r="172" ht="15.75" customHeight="1" s="253"/>
    <row r="173" ht="15.75" customHeight="1" s="253"/>
    <row r="174" ht="15.75" customHeight="1" s="253"/>
    <row r="175" ht="15.75" customHeight="1" s="253"/>
    <row r="176" ht="15.75" customHeight="1" s="253"/>
    <row r="177" ht="15.75" customHeight="1" s="253"/>
    <row r="178" ht="15.75" customHeight="1" s="253"/>
    <row r="179" ht="15.75" customHeight="1" s="253"/>
    <row r="180" ht="15.75" customHeight="1" s="253"/>
    <row r="181" ht="15.75" customHeight="1" s="253"/>
    <row r="182" ht="15.75" customHeight="1" s="253"/>
    <row r="183" ht="15.75" customHeight="1" s="253"/>
    <row r="184" ht="15.75" customHeight="1" s="253"/>
    <row r="185" ht="15.75" customHeight="1" s="253"/>
    <row r="186" ht="15.75" customHeight="1" s="253"/>
    <row r="187" ht="15.75" customHeight="1" s="253"/>
    <row r="188" ht="15.75" customHeight="1" s="253"/>
    <row r="189" ht="15.75" customHeight="1" s="253"/>
    <row r="190" ht="15.75" customHeight="1" s="253"/>
    <row r="191" ht="15.75" customHeight="1" s="253"/>
    <row r="192" ht="15.75" customHeight="1" s="253"/>
    <row r="193" ht="15.75" customHeight="1" s="253"/>
    <row r="194" ht="15.75" customHeight="1" s="253"/>
    <row r="195" ht="15.75" customHeight="1" s="253"/>
    <row r="196" ht="15.75" customHeight="1" s="253"/>
    <row r="197" ht="15.75" customHeight="1" s="253"/>
    <row r="198" ht="15.75" customHeight="1" s="253"/>
    <row r="199" ht="15.75" customHeight="1" s="253"/>
    <row r="200" ht="15.75" customHeight="1" s="253"/>
    <row r="201" ht="15.75" customHeight="1" s="253"/>
    <row r="202" ht="15.75" customHeight="1" s="253"/>
    <row r="203" ht="15.75" customHeight="1" s="253"/>
    <row r="204" ht="15.75" customHeight="1" s="253"/>
    <row r="205" ht="15.75" customHeight="1" s="253"/>
    <row r="206" ht="15.75" customHeight="1" s="253"/>
    <row r="207" ht="15.75" customHeight="1" s="253"/>
    <row r="208" ht="15.75" customHeight="1" s="253"/>
    <row r="209" ht="15.75" customHeight="1" s="253"/>
    <row r="210" ht="15.75" customHeight="1" s="253"/>
    <row r="211" ht="15.75" customHeight="1" s="253"/>
    <row r="212" ht="15.75" customHeight="1" s="253"/>
    <row r="213" ht="15.75" customHeight="1" s="253"/>
    <row r="214" ht="15.75" customHeight="1" s="253"/>
    <row r="215" ht="15.75" customHeight="1" s="253"/>
    <row r="216" ht="15.75" customHeight="1" s="253"/>
    <row r="217" ht="15.75" customHeight="1" s="253"/>
    <row r="218" ht="15.75" customHeight="1" s="253"/>
    <row r="219" ht="15.75" customHeight="1" s="253"/>
    <row r="220" ht="15.75" customHeight="1" s="253"/>
    <row r="221" ht="15.75" customHeight="1" s="253"/>
    <row r="222" ht="15.75" customHeight="1" s="253"/>
    <row r="223" ht="15.75" customHeight="1" s="253"/>
    <row r="224" ht="15.75" customHeight="1" s="253"/>
    <row r="225" ht="15.75" customHeight="1" s="253"/>
    <row r="226" ht="15.75" customHeight="1" s="253"/>
    <row r="227" ht="15.75" customHeight="1" s="253"/>
    <row r="228" ht="15.75" customHeight="1" s="253"/>
    <row r="229" ht="15.75" customHeight="1" s="253"/>
    <row r="230" ht="15.75" customHeight="1" s="253"/>
    <row r="231" ht="15.75" customHeight="1" s="253"/>
    <row r="232" ht="15.75" customHeight="1" s="253"/>
    <row r="233" ht="15.75" customHeight="1" s="253"/>
    <row r="234" ht="15.75" customHeight="1" s="253"/>
    <row r="235" ht="15.75" customHeight="1" s="253"/>
    <row r="236" ht="15.75" customHeight="1" s="253"/>
    <row r="237" ht="15.75" customHeight="1" s="253"/>
    <row r="238" ht="15.75" customHeight="1" s="253"/>
    <row r="239" ht="15.75" customHeight="1" s="253"/>
    <row r="240" ht="15.75" customHeight="1" s="253"/>
    <row r="241" ht="15.75" customHeight="1" s="253"/>
    <row r="242" ht="15.75" customHeight="1" s="253"/>
    <row r="243" ht="15.75" customHeight="1" s="253"/>
    <row r="244" ht="15.75" customHeight="1" s="253"/>
    <row r="245" ht="15.75" customHeight="1" s="253"/>
    <row r="246" ht="15.75" customHeight="1" s="253"/>
    <row r="247" ht="15.75" customHeight="1" s="253"/>
    <row r="248" ht="15.75" customHeight="1" s="253"/>
    <row r="249" ht="15.75" customHeight="1" s="253"/>
    <row r="250" ht="15.75" customHeight="1" s="253"/>
    <row r="251" ht="15.75" customHeight="1" s="253"/>
    <row r="252" ht="15.75" customHeight="1" s="253"/>
    <row r="253" ht="15.75" customHeight="1" s="253"/>
    <row r="254" ht="15.75" customHeight="1" s="253"/>
    <row r="255" ht="15.75" customHeight="1" s="253"/>
    <row r="256" ht="15.75" customHeight="1" s="253"/>
    <row r="257" ht="15.75" customHeight="1" s="253"/>
    <row r="258" ht="15.75" customHeight="1" s="253"/>
    <row r="259" ht="15.75" customHeight="1" s="253"/>
    <row r="260" ht="15.75" customHeight="1" s="253"/>
    <row r="261" ht="15.75" customHeight="1" s="253"/>
    <row r="262" ht="15.75" customHeight="1" s="253"/>
    <row r="263" ht="15.75" customHeight="1" s="253"/>
    <row r="264" ht="15.75" customHeight="1" s="253"/>
    <row r="265" ht="15.75" customHeight="1" s="253"/>
    <row r="266" ht="15.75" customHeight="1" s="253"/>
    <row r="267" ht="15.75" customHeight="1" s="253"/>
    <row r="268" ht="15.75" customHeight="1" s="253"/>
    <row r="269" ht="15.75" customHeight="1" s="253"/>
    <row r="270" ht="15.75" customHeight="1" s="253"/>
    <row r="271" ht="15.75" customHeight="1" s="253"/>
    <row r="272" ht="15.75" customHeight="1" s="253"/>
    <row r="273" ht="15.75" customHeight="1" s="253"/>
    <row r="274" ht="15.75" customHeight="1" s="253"/>
    <row r="275" ht="15.75" customHeight="1" s="253"/>
    <row r="276" ht="15.75" customHeight="1" s="253"/>
    <row r="277" ht="15.75" customHeight="1" s="253"/>
    <row r="278" ht="15.75" customHeight="1" s="253"/>
    <row r="279" ht="15.75" customHeight="1" s="253"/>
    <row r="280" ht="15.75" customHeight="1" s="253"/>
    <row r="281" ht="15.75" customHeight="1" s="253"/>
    <row r="282" ht="15.75" customHeight="1" s="253"/>
    <row r="283" ht="15.75" customHeight="1" s="253"/>
    <row r="284" ht="15.75" customHeight="1" s="253"/>
    <row r="285" ht="15.75" customHeight="1" s="253"/>
    <row r="286" ht="15.75" customHeight="1" s="253"/>
    <row r="287" ht="15.75" customHeight="1" s="253"/>
    <row r="288" ht="15.75" customHeight="1" s="253"/>
    <row r="289" ht="15.75" customHeight="1" s="253"/>
    <row r="290" ht="15.75" customHeight="1" s="253"/>
    <row r="291" ht="15.75" customHeight="1" s="253"/>
    <row r="292" ht="15.75" customHeight="1" s="253"/>
    <row r="293" ht="15.75" customHeight="1" s="253"/>
    <row r="294" ht="15.75" customHeight="1" s="253"/>
    <row r="295" ht="15.75" customHeight="1" s="253"/>
    <row r="296" ht="15.75" customHeight="1" s="253"/>
    <row r="297" ht="15.75" customHeight="1" s="253"/>
    <row r="298" ht="15.75" customHeight="1" s="253"/>
    <row r="299" ht="15.75" customHeight="1" s="253"/>
    <row r="300" ht="15.75" customHeight="1" s="253"/>
    <row r="301" ht="15.75" customHeight="1" s="253"/>
    <row r="302" ht="15.75" customHeight="1" s="253"/>
    <row r="303" ht="15.75" customHeight="1" s="253"/>
    <row r="304" ht="15.75" customHeight="1" s="253"/>
    <row r="305" ht="15.75" customHeight="1" s="253"/>
    <row r="306" ht="15.75" customHeight="1" s="253"/>
    <row r="307" ht="15.75" customHeight="1" s="253"/>
    <row r="308" ht="15.75" customHeight="1" s="253"/>
    <row r="309" ht="15.75" customHeight="1" s="253"/>
    <row r="310" ht="15.75" customHeight="1" s="253"/>
    <row r="311" ht="15.75" customHeight="1" s="253"/>
    <row r="312" ht="15.75" customHeight="1" s="253"/>
    <row r="313" ht="15.75" customHeight="1" s="253"/>
    <row r="314" ht="15.75" customHeight="1" s="253"/>
    <row r="315" ht="15.75" customHeight="1" s="253"/>
    <row r="316" ht="15.75" customHeight="1" s="253"/>
    <row r="317" ht="15.75" customHeight="1" s="253"/>
    <row r="318" ht="15.75" customHeight="1" s="253"/>
    <row r="319" ht="15.75" customHeight="1" s="253"/>
    <row r="320" ht="15.75" customHeight="1" s="253"/>
    <row r="321" ht="15.75" customHeight="1" s="253"/>
    <row r="322" ht="15.75" customHeight="1" s="253"/>
    <row r="323" ht="15.75" customHeight="1" s="253"/>
    <row r="324" ht="15.75" customHeight="1" s="253"/>
    <row r="325" ht="15.75" customHeight="1" s="253"/>
    <row r="326" ht="15.75" customHeight="1" s="253"/>
    <row r="327" ht="15.75" customHeight="1" s="253"/>
    <row r="328" ht="15.75" customHeight="1" s="253"/>
    <row r="329" ht="15.75" customHeight="1" s="253"/>
    <row r="330" ht="15.75" customHeight="1" s="253"/>
    <row r="331" ht="15.75" customHeight="1" s="253"/>
    <row r="332" ht="15.75" customHeight="1" s="253"/>
    <row r="333" ht="15.75" customHeight="1" s="253"/>
    <row r="334" ht="15.75" customHeight="1" s="253"/>
    <row r="335" ht="15.75" customHeight="1" s="253"/>
    <row r="336" ht="15.75" customHeight="1" s="253"/>
    <row r="337" ht="15.75" customHeight="1" s="253"/>
    <row r="338" ht="15.75" customHeight="1" s="253"/>
    <row r="339" ht="15.75" customHeight="1" s="253"/>
    <row r="340" ht="15.75" customHeight="1" s="253"/>
    <row r="341" ht="15.75" customHeight="1" s="253"/>
    <row r="342" ht="15.75" customHeight="1" s="253"/>
    <row r="343" ht="15.75" customHeight="1" s="253"/>
    <row r="344" ht="15.75" customHeight="1" s="253"/>
    <row r="345" ht="15.75" customHeight="1" s="253"/>
    <row r="346" ht="15.75" customHeight="1" s="253"/>
    <row r="347" ht="15.75" customHeight="1" s="253"/>
    <row r="348" ht="15.75" customHeight="1" s="253"/>
    <row r="349" ht="15.75" customHeight="1" s="253"/>
    <row r="350" ht="15.75" customHeight="1" s="253"/>
    <row r="351" ht="15.75" customHeight="1" s="253"/>
    <row r="352" ht="15.75" customHeight="1" s="253"/>
    <row r="353" ht="15.75" customHeight="1" s="253"/>
    <row r="354" ht="15.75" customHeight="1" s="253"/>
    <row r="355" ht="15.75" customHeight="1" s="253"/>
    <row r="356" ht="15.75" customHeight="1" s="253"/>
    <row r="357" ht="15.75" customHeight="1" s="253"/>
    <row r="358" ht="15.75" customHeight="1" s="253"/>
    <row r="359" ht="15.75" customHeight="1" s="253"/>
    <row r="360" ht="15.75" customHeight="1" s="253"/>
    <row r="361" ht="15.75" customHeight="1" s="253"/>
    <row r="362" ht="15.75" customHeight="1" s="253"/>
    <row r="363" ht="15.75" customHeight="1" s="253"/>
    <row r="364" ht="15.75" customHeight="1" s="253"/>
    <row r="365" ht="15.75" customHeight="1" s="253"/>
    <row r="366" ht="15.75" customHeight="1" s="253"/>
    <row r="367" ht="15.75" customHeight="1" s="253"/>
    <row r="368" ht="15.75" customHeight="1" s="253"/>
    <row r="369" ht="15.75" customHeight="1" s="253"/>
    <row r="370" ht="15.75" customHeight="1" s="253"/>
    <row r="371" ht="15.75" customHeight="1" s="253"/>
    <row r="372" ht="15.75" customHeight="1" s="253"/>
    <row r="373" ht="15.75" customHeight="1" s="253"/>
    <row r="374" ht="15.75" customHeight="1" s="253"/>
    <row r="375" ht="15.75" customHeight="1" s="253"/>
    <row r="376" ht="15.75" customHeight="1" s="253"/>
    <row r="377" ht="15.75" customHeight="1" s="253"/>
    <row r="378" ht="15.75" customHeight="1" s="253"/>
    <row r="379" ht="15.75" customHeight="1" s="253"/>
    <row r="380" ht="15.75" customHeight="1" s="253"/>
    <row r="381" ht="15.75" customHeight="1" s="253"/>
    <row r="382" ht="15.75" customHeight="1" s="253"/>
    <row r="383" ht="15.75" customHeight="1" s="253"/>
    <row r="384" ht="15.75" customHeight="1" s="253"/>
    <row r="385" ht="15.75" customHeight="1" s="253"/>
    <row r="386" ht="15.75" customHeight="1" s="253"/>
    <row r="387" ht="15.75" customHeight="1" s="253"/>
    <row r="388" ht="15.75" customHeight="1" s="253"/>
    <row r="389" ht="15.75" customHeight="1" s="253"/>
    <row r="390" ht="15.75" customHeight="1" s="253"/>
    <row r="391" ht="15.75" customHeight="1" s="253"/>
    <row r="392" ht="15.75" customHeight="1" s="253"/>
    <row r="393" ht="15.75" customHeight="1" s="253"/>
    <row r="394" ht="15.75" customHeight="1" s="253"/>
    <row r="395" ht="15.75" customHeight="1" s="253"/>
    <row r="396" ht="15.75" customHeight="1" s="253"/>
    <row r="397" ht="15.75" customHeight="1" s="253"/>
    <row r="398" ht="15.75" customHeight="1" s="253"/>
    <row r="399" ht="15.75" customHeight="1" s="253"/>
    <row r="400" ht="15.75" customHeight="1" s="253"/>
    <row r="401" ht="15.75" customHeight="1" s="253"/>
    <row r="402" ht="15.75" customHeight="1" s="253"/>
    <row r="403" ht="15.75" customHeight="1" s="253"/>
    <row r="404" ht="15.75" customHeight="1" s="253"/>
    <row r="405" ht="15.75" customHeight="1" s="253"/>
    <row r="406" ht="15.75" customHeight="1" s="253"/>
    <row r="407" ht="15.75" customHeight="1" s="253"/>
    <row r="408" ht="15.75" customHeight="1" s="253"/>
    <row r="409" ht="15.75" customHeight="1" s="253"/>
    <row r="410" ht="15.75" customHeight="1" s="253"/>
    <row r="411" ht="15.75" customHeight="1" s="253"/>
    <row r="412" ht="15.75" customHeight="1" s="253"/>
    <row r="413" ht="15.75" customHeight="1" s="253"/>
    <row r="414" ht="15.75" customHeight="1" s="253"/>
    <row r="415" ht="15.75" customHeight="1" s="253"/>
    <row r="416" ht="15.75" customHeight="1" s="253"/>
    <row r="417" ht="15.75" customHeight="1" s="253"/>
    <row r="418" ht="15.75" customHeight="1" s="253"/>
    <row r="419" ht="15.75" customHeight="1" s="253"/>
    <row r="420" ht="15.75" customHeight="1" s="253"/>
    <row r="421" ht="15.75" customHeight="1" s="253"/>
    <row r="422" ht="15.75" customHeight="1" s="253"/>
    <row r="423" ht="15.75" customHeight="1" s="253"/>
    <row r="424" ht="15.75" customHeight="1" s="253"/>
    <row r="425" ht="15.75" customHeight="1" s="253"/>
    <row r="426" ht="15.75" customHeight="1" s="253"/>
    <row r="427" ht="15.75" customHeight="1" s="253"/>
    <row r="428" ht="15.75" customHeight="1" s="253"/>
    <row r="429" ht="15.75" customHeight="1" s="253"/>
    <row r="430" ht="15.75" customHeight="1" s="253"/>
    <row r="431" ht="15.75" customHeight="1" s="253"/>
    <row r="432" ht="15.75" customHeight="1" s="253"/>
    <row r="433" ht="15.75" customHeight="1" s="253"/>
    <row r="434" ht="15.75" customHeight="1" s="253"/>
    <row r="435" ht="15.75" customHeight="1" s="253"/>
    <row r="436" ht="15.75" customHeight="1" s="253"/>
    <row r="437" ht="15.75" customHeight="1" s="253"/>
    <row r="438" ht="15.75" customHeight="1" s="253"/>
    <row r="439" ht="15.75" customHeight="1" s="253"/>
    <row r="440" ht="15.75" customHeight="1" s="253"/>
    <row r="441" ht="15.75" customHeight="1" s="253"/>
    <row r="442" ht="15.75" customHeight="1" s="253"/>
    <row r="443" ht="15.75" customHeight="1" s="253"/>
    <row r="444" ht="15.75" customHeight="1" s="253"/>
    <row r="445" ht="15.75" customHeight="1" s="253"/>
    <row r="446" ht="15.75" customHeight="1" s="253"/>
    <row r="447" ht="15.75" customHeight="1" s="253"/>
    <row r="448" ht="15.75" customHeight="1" s="253"/>
    <row r="449" ht="15.75" customHeight="1" s="253"/>
    <row r="450" ht="15.75" customHeight="1" s="253"/>
    <row r="451" ht="15.75" customHeight="1" s="253"/>
    <row r="452" ht="15.75" customHeight="1" s="253"/>
    <row r="453" ht="15.75" customHeight="1" s="253"/>
    <row r="454" ht="15.75" customHeight="1" s="253"/>
    <row r="455" ht="15.75" customHeight="1" s="253"/>
    <row r="456" ht="15.75" customHeight="1" s="253"/>
    <row r="457" ht="15.75" customHeight="1" s="253"/>
    <row r="458" ht="15.75" customHeight="1" s="253"/>
    <row r="459" ht="15.75" customHeight="1" s="253"/>
    <row r="460" ht="15.75" customHeight="1" s="253"/>
    <row r="461" ht="15.75" customHeight="1" s="253"/>
    <row r="462" ht="15.75" customHeight="1" s="253"/>
    <row r="463" ht="15.75" customHeight="1" s="253"/>
    <row r="464" ht="15.75" customHeight="1" s="253"/>
    <row r="465" ht="15.75" customHeight="1" s="253"/>
    <row r="466" ht="15.75" customHeight="1" s="253"/>
    <row r="467" ht="15.75" customHeight="1" s="253"/>
    <row r="468" ht="15.75" customHeight="1" s="253"/>
    <row r="469" ht="15.75" customHeight="1" s="253"/>
    <row r="470" ht="15.75" customHeight="1" s="253"/>
    <row r="471" ht="15.75" customHeight="1" s="253"/>
    <row r="472" ht="15.75" customHeight="1" s="253"/>
    <row r="473" ht="15.75" customHeight="1" s="253"/>
    <row r="474" ht="15.75" customHeight="1" s="253"/>
    <row r="475" ht="15.75" customHeight="1" s="253"/>
    <row r="476" ht="15.75" customHeight="1" s="253"/>
    <row r="477" ht="15.75" customHeight="1" s="253"/>
    <row r="478" ht="15.75" customHeight="1" s="253"/>
    <row r="479" ht="15.75" customHeight="1" s="253"/>
    <row r="480" ht="15.75" customHeight="1" s="253"/>
    <row r="481" ht="15.75" customHeight="1" s="253"/>
    <row r="482" ht="15.75" customHeight="1" s="253"/>
    <row r="483" ht="15.75" customHeight="1" s="253"/>
    <row r="484" ht="15.75" customHeight="1" s="253"/>
    <row r="485" ht="15.75" customHeight="1" s="253"/>
    <row r="486" ht="15.75" customHeight="1" s="253"/>
    <row r="487" ht="15.75" customHeight="1" s="253"/>
    <row r="488" ht="15.75" customHeight="1" s="253"/>
    <row r="489" ht="15.75" customHeight="1" s="253"/>
    <row r="490" ht="15.75" customHeight="1" s="253"/>
    <row r="491" ht="15.75" customHeight="1" s="253"/>
    <row r="492" ht="15.75" customHeight="1" s="253"/>
    <row r="493" ht="15.75" customHeight="1" s="253"/>
    <row r="494" ht="15.75" customHeight="1" s="253"/>
    <row r="495" ht="15.75" customHeight="1" s="253"/>
    <row r="496" ht="15.75" customHeight="1" s="253"/>
    <row r="497" ht="15.75" customHeight="1" s="253"/>
    <row r="498" ht="15.75" customHeight="1" s="253"/>
    <row r="499" ht="15.75" customHeight="1" s="253"/>
    <row r="500" ht="15.75" customHeight="1" s="253"/>
    <row r="501" ht="15.75" customHeight="1" s="253"/>
    <row r="502" ht="15.75" customHeight="1" s="253"/>
    <row r="503" ht="15.75" customHeight="1" s="253"/>
    <row r="504" ht="15.75" customHeight="1" s="253"/>
    <row r="505" ht="15.75" customHeight="1" s="253"/>
    <row r="506" ht="15.75" customHeight="1" s="253"/>
    <row r="507" ht="15.75" customHeight="1" s="253"/>
    <row r="508" ht="15.75" customHeight="1" s="253"/>
    <row r="509" ht="15.75" customHeight="1" s="253"/>
    <row r="510" ht="15.75" customHeight="1" s="253"/>
    <row r="511" ht="15.75" customHeight="1" s="253"/>
    <row r="512" ht="15.75" customHeight="1" s="253"/>
    <row r="513" ht="15.75" customHeight="1" s="253"/>
    <row r="514" ht="15.75" customHeight="1" s="253"/>
    <row r="515" ht="15.75" customHeight="1" s="253"/>
    <row r="516" ht="15.75" customHeight="1" s="253"/>
    <row r="517" ht="15.75" customHeight="1" s="253"/>
    <row r="518" ht="15.75" customHeight="1" s="253"/>
    <row r="519" ht="15.75" customHeight="1" s="253"/>
    <row r="520" ht="15.75" customHeight="1" s="253"/>
    <row r="521" ht="15.75" customHeight="1" s="253"/>
    <row r="522" ht="15.75" customHeight="1" s="253"/>
    <row r="523" ht="15.75" customHeight="1" s="253"/>
    <row r="524" ht="15.75" customHeight="1" s="253"/>
    <row r="525" ht="15.75" customHeight="1" s="253"/>
    <row r="526" ht="15.75" customHeight="1" s="253"/>
    <row r="527" ht="15.75" customHeight="1" s="253"/>
    <row r="528" ht="15.75" customHeight="1" s="253"/>
    <row r="529" ht="15.75" customHeight="1" s="253"/>
    <row r="530" ht="15.75" customHeight="1" s="253"/>
    <row r="531" ht="15.75" customHeight="1" s="253"/>
    <row r="532" ht="15.75" customHeight="1" s="253"/>
    <row r="533" ht="15.75" customHeight="1" s="253"/>
    <row r="534" ht="15.75" customHeight="1" s="253"/>
    <row r="535" ht="15.75" customHeight="1" s="253"/>
    <row r="536" ht="15.75" customHeight="1" s="253"/>
    <row r="537" ht="15.75" customHeight="1" s="253"/>
    <row r="538" ht="15.75" customHeight="1" s="253"/>
    <row r="539" ht="15.75" customHeight="1" s="253"/>
    <row r="540" ht="15.75" customHeight="1" s="253"/>
    <row r="541" ht="15.75" customHeight="1" s="253"/>
    <row r="542" ht="15.75" customHeight="1" s="253"/>
    <row r="543" ht="15.75" customHeight="1" s="253"/>
    <row r="544" ht="15.75" customHeight="1" s="253"/>
    <row r="545" ht="15.75" customHeight="1" s="253"/>
    <row r="546" ht="15.75" customHeight="1" s="253"/>
    <row r="547" ht="15.75" customHeight="1" s="253"/>
    <row r="548" ht="15.75" customHeight="1" s="253"/>
    <row r="549" ht="15.75" customHeight="1" s="253"/>
    <row r="550" ht="15.75" customHeight="1" s="253"/>
    <row r="551" ht="15.75" customHeight="1" s="253"/>
    <row r="552" ht="15.75" customHeight="1" s="253"/>
    <row r="553" ht="15.75" customHeight="1" s="253"/>
    <row r="554" ht="15.75" customHeight="1" s="253"/>
    <row r="555" ht="15.75" customHeight="1" s="253"/>
    <row r="556" ht="15.75" customHeight="1" s="253"/>
    <row r="557" ht="15.75" customHeight="1" s="253"/>
    <row r="558" ht="15.75" customHeight="1" s="253"/>
    <row r="559" ht="15.75" customHeight="1" s="253"/>
    <row r="560" ht="15.75" customHeight="1" s="253"/>
    <row r="561" ht="15.75" customHeight="1" s="253"/>
    <row r="562" ht="15.75" customHeight="1" s="253"/>
    <row r="563" ht="15.75" customHeight="1" s="253"/>
    <row r="564" ht="15.75" customHeight="1" s="253"/>
    <row r="565" ht="15.75" customHeight="1" s="253"/>
    <row r="566" ht="15.75" customHeight="1" s="253"/>
    <row r="567" ht="15.75" customHeight="1" s="253"/>
    <row r="568" ht="15.75" customHeight="1" s="253"/>
    <row r="569" ht="15.75" customHeight="1" s="253"/>
    <row r="570" ht="15.75" customHeight="1" s="253"/>
    <row r="571" ht="15.75" customHeight="1" s="253"/>
    <row r="572" ht="15.75" customHeight="1" s="253"/>
    <row r="573" ht="15.75" customHeight="1" s="253"/>
    <row r="574" ht="15.75" customHeight="1" s="253"/>
    <row r="575" ht="15.75" customHeight="1" s="253"/>
    <row r="576" ht="15.75" customHeight="1" s="253"/>
    <row r="577" ht="15.75" customHeight="1" s="253"/>
    <row r="578" ht="15.75" customHeight="1" s="253"/>
    <row r="579" ht="15.75" customHeight="1" s="253"/>
    <row r="580" ht="15.75" customHeight="1" s="253"/>
    <row r="581" ht="15.75" customHeight="1" s="253"/>
    <row r="582" ht="15.75" customHeight="1" s="253"/>
    <row r="583" ht="15.75" customHeight="1" s="253"/>
    <row r="584" ht="15.75" customHeight="1" s="253"/>
    <row r="585" ht="15.75" customHeight="1" s="253"/>
    <row r="586" ht="15.75" customHeight="1" s="253"/>
    <row r="587" ht="15.75" customHeight="1" s="253"/>
    <row r="588" ht="15.75" customHeight="1" s="253"/>
    <row r="589" ht="15.75" customHeight="1" s="253"/>
    <row r="590" ht="15.75" customHeight="1" s="253"/>
    <row r="591" ht="15.75" customHeight="1" s="253"/>
    <row r="592" ht="15.75" customHeight="1" s="253"/>
    <row r="593" ht="15.75" customHeight="1" s="253"/>
    <row r="594" ht="15.75" customHeight="1" s="253"/>
    <row r="595" ht="15.75" customHeight="1" s="253"/>
    <row r="596" ht="15.75" customHeight="1" s="253"/>
    <row r="597" ht="15.75" customHeight="1" s="253"/>
    <row r="598" ht="15.75" customHeight="1" s="253"/>
    <row r="599" ht="15.75" customHeight="1" s="253"/>
    <row r="600" ht="15.75" customHeight="1" s="253"/>
    <row r="601" ht="15.75" customHeight="1" s="253"/>
    <row r="602" ht="15.75" customHeight="1" s="253"/>
    <row r="603" ht="15.75" customHeight="1" s="253"/>
    <row r="604" ht="15.75" customHeight="1" s="253"/>
    <row r="605" ht="15.75" customHeight="1" s="253"/>
    <row r="606" ht="15.75" customHeight="1" s="253"/>
    <row r="607" ht="15.75" customHeight="1" s="253"/>
    <row r="608" ht="15.75" customHeight="1" s="253"/>
    <row r="609" ht="15.75" customHeight="1" s="253"/>
    <row r="610" ht="15.75" customHeight="1" s="253"/>
    <row r="611" ht="15.75" customHeight="1" s="253"/>
    <row r="612" ht="15.75" customHeight="1" s="253"/>
    <row r="613" ht="15.75" customHeight="1" s="253"/>
    <row r="614" ht="15.75" customHeight="1" s="253"/>
    <row r="615" ht="15.75" customHeight="1" s="253"/>
    <row r="616" ht="15.75" customHeight="1" s="253"/>
    <row r="617" ht="15.75" customHeight="1" s="253"/>
    <row r="618" ht="15.75" customHeight="1" s="253"/>
    <row r="619" ht="15.75" customHeight="1" s="253"/>
    <row r="620" ht="15.75" customHeight="1" s="253"/>
    <row r="621" ht="15.75" customHeight="1" s="253"/>
    <row r="622" ht="15.75" customHeight="1" s="253"/>
    <row r="623" ht="15.75" customHeight="1" s="253"/>
    <row r="624" ht="15.75" customHeight="1" s="253"/>
    <row r="625" ht="15.75" customHeight="1" s="253"/>
    <row r="626" ht="15.75" customHeight="1" s="253"/>
    <row r="627" ht="15.75" customHeight="1" s="253"/>
    <row r="628" ht="15.75" customHeight="1" s="253"/>
    <row r="629" ht="15.75" customHeight="1" s="253"/>
    <row r="630" ht="15.75" customHeight="1" s="253"/>
    <row r="631" ht="15.75" customHeight="1" s="253"/>
    <row r="632" ht="15.75" customHeight="1" s="253"/>
    <row r="633" ht="15.75" customHeight="1" s="253"/>
    <row r="634" ht="15.75" customHeight="1" s="253"/>
    <row r="635" ht="15.75" customHeight="1" s="253"/>
    <row r="636" ht="15.75" customHeight="1" s="253"/>
    <row r="637" ht="15.75" customHeight="1" s="253"/>
    <row r="638" ht="15.75" customHeight="1" s="253"/>
    <row r="639" ht="15.75" customHeight="1" s="253"/>
    <row r="640" ht="15.75" customHeight="1" s="253"/>
    <row r="641" ht="15.75" customHeight="1" s="253"/>
    <row r="642" ht="15.75" customHeight="1" s="253"/>
    <row r="643" ht="15.75" customHeight="1" s="253"/>
    <row r="644" ht="15.75" customHeight="1" s="253"/>
    <row r="645" ht="15.75" customHeight="1" s="253"/>
    <row r="646" ht="15.75" customHeight="1" s="253"/>
    <row r="647" ht="15.75" customHeight="1" s="253"/>
    <row r="648" ht="15.75" customHeight="1" s="253"/>
    <row r="649" ht="15.75" customHeight="1" s="253"/>
    <row r="650" ht="15.75" customHeight="1" s="253"/>
    <row r="651" ht="15.75" customHeight="1" s="253"/>
    <row r="652" ht="15.75" customHeight="1" s="253"/>
    <row r="653" ht="15.75" customHeight="1" s="253"/>
    <row r="654" ht="15.75" customHeight="1" s="253"/>
    <row r="655" ht="15.75" customHeight="1" s="253"/>
    <row r="656" ht="15.75" customHeight="1" s="253"/>
    <row r="657" ht="15.75" customHeight="1" s="253"/>
    <row r="658" ht="15.75" customHeight="1" s="253"/>
    <row r="659" ht="15.75" customHeight="1" s="253"/>
    <row r="660" ht="15.75" customHeight="1" s="253"/>
    <row r="661" ht="15.75" customHeight="1" s="253"/>
    <row r="662" ht="15.75" customHeight="1" s="253"/>
    <row r="663" ht="15.75" customHeight="1" s="253"/>
    <row r="664" ht="15.75" customHeight="1" s="253"/>
    <row r="665" ht="15.75" customHeight="1" s="253"/>
    <row r="666" ht="15.75" customHeight="1" s="253"/>
    <row r="667" ht="15.75" customHeight="1" s="253"/>
    <row r="668" ht="15.75" customHeight="1" s="253"/>
    <row r="669" ht="15.75" customHeight="1" s="253"/>
    <row r="670" ht="15.75" customHeight="1" s="253"/>
    <row r="671" ht="15.75" customHeight="1" s="253"/>
    <row r="672" ht="15.75" customHeight="1" s="253"/>
    <row r="673" ht="15.75" customHeight="1" s="253"/>
    <row r="674" ht="15.75" customHeight="1" s="253"/>
    <row r="675" ht="15.75" customHeight="1" s="253"/>
    <row r="676" ht="15.75" customHeight="1" s="253"/>
    <row r="677" ht="15.75" customHeight="1" s="253"/>
    <row r="678" ht="15.75" customHeight="1" s="253"/>
    <row r="679" ht="15.75" customHeight="1" s="253"/>
    <row r="680" ht="15.75" customHeight="1" s="253"/>
    <row r="681" ht="15.75" customHeight="1" s="253"/>
    <row r="682" ht="15.75" customHeight="1" s="253"/>
    <row r="683" ht="15.75" customHeight="1" s="253"/>
    <row r="684" ht="15.75" customHeight="1" s="253"/>
    <row r="685" ht="15.75" customHeight="1" s="253"/>
    <row r="686" ht="15.75" customHeight="1" s="253"/>
    <row r="687" ht="15.75" customHeight="1" s="253"/>
    <row r="688" ht="15.75" customHeight="1" s="253"/>
    <row r="689" ht="15.75" customHeight="1" s="253"/>
    <row r="690" ht="15.75" customHeight="1" s="253"/>
    <row r="691" ht="15.75" customHeight="1" s="253"/>
    <row r="692" ht="15.75" customHeight="1" s="253"/>
    <row r="693" ht="15.75" customHeight="1" s="253"/>
    <row r="694" ht="15.75" customHeight="1" s="253"/>
    <row r="695" ht="15.75" customHeight="1" s="253"/>
    <row r="696" ht="15.75" customHeight="1" s="253"/>
    <row r="697" ht="15.75" customHeight="1" s="253"/>
    <row r="698" ht="15.75" customHeight="1" s="253"/>
    <row r="699" ht="15.75" customHeight="1" s="253"/>
    <row r="700" ht="15.75" customHeight="1" s="253"/>
    <row r="701" ht="15.75" customHeight="1" s="253"/>
    <row r="702" ht="15.75" customHeight="1" s="253"/>
    <row r="703" ht="15.75" customHeight="1" s="253"/>
    <row r="704" ht="15.75" customHeight="1" s="253"/>
    <row r="705" ht="15.75" customHeight="1" s="253"/>
    <row r="706" ht="15.75" customHeight="1" s="253"/>
    <row r="707" ht="15.75" customHeight="1" s="253"/>
    <row r="708" ht="15.75" customHeight="1" s="253"/>
    <row r="709" ht="15.75" customHeight="1" s="253"/>
    <row r="710" ht="15.75" customHeight="1" s="253"/>
    <row r="711" ht="15.75" customHeight="1" s="253"/>
    <row r="712" ht="15.75" customHeight="1" s="253"/>
    <row r="713" ht="15.75" customHeight="1" s="253"/>
    <row r="714" ht="15.75" customHeight="1" s="253"/>
    <row r="715" ht="15.75" customHeight="1" s="253"/>
    <row r="716" ht="15.75" customHeight="1" s="253"/>
    <row r="717" ht="15.75" customHeight="1" s="253"/>
    <row r="718" ht="15.75" customHeight="1" s="253"/>
    <row r="719" ht="15.75" customHeight="1" s="253"/>
    <row r="720" ht="15.75" customHeight="1" s="253"/>
    <row r="721" ht="15.75" customHeight="1" s="253"/>
    <row r="722" ht="15.75" customHeight="1" s="253"/>
    <row r="723" ht="15.75" customHeight="1" s="253"/>
    <row r="724" ht="15.75" customHeight="1" s="253"/>
    <row r="725" ht="15.75" customHeight="1" s="253"/>
    <row r="726" ht="15.75" customHeight="1" s="253"/>
    <row r="727" ht="15.75" customHeight="1" s="253"/>
    <row r="728" ht="15.75" customHeight="1" s="253"/>
    <row r="729" ht="15.75" customHeight="1" s="253"/>
    <row r="730" ht="15.75" customHeight="1" s="253"/>
    <row r="731" ht="15.75" customHeight="1" s="253"/>
    <row r="732" ht="15.75" customHeight="1" s="253"/>
    <row r="733" ht="15.75" customHeight="1" s="253"/>
    <row r="734" ht="15.75" customHeight="1" s="253"/>
    <row r="735" ht="15.75" customHeight="1" s="253"/>
    <row r="736" ht="15.75" customHeight="1" s="253"/>
    <row r="737" ht="15.75" customHeight="1" s="253"/>
    <row r="738" ht="15.75" customHeight="1" s="253"/>
    <row r="739" ht="15.75" customHeight="1" s="253"/>
    <row r="740" ht="15.75" customHeight="1" s="253"/>
    <row r="741" ht="15.75" customHeight="1" s="253"/>
    <row r="742" ht="15.75" customHeight="1" s="253"/>
    <row r="743" ht="15.75" customHeight="1" s="253"/>
    <row r="744" ht="15.75" customHeight="1" s="253"/>
    <row r="745" ht="15.75" customHeight="1" s="253"/>
    <row r="746" ht="15.75" customHeight="1" s="253"/>
    <row r="747" ht="15.75" customHeight="1" s="253"/>
    <row r="748" ht="15.75" customHeight="1" s="253"/>
    <row r="749" ht="15.75" customHeight="1" s="253"/>
    <row r="750" ht="15.75" customHeight="1" s="253"/>
    <row r="751" ht="15.75" customHeight="1" s="253"/>
    <row r="752" ht="15.75" customHeight="1" s="253"/>
    <row r="753" ht="15.75" customHeight="1" s="253"/>
    <row r="754" ht="15.75" customHeight="1" s="253"/>
    <row r="755" ht="15.75" customHeight="1" s="253"/>
    <row r="756" ht="15.75" customHeight="1" s="253"/>
    <row r="757" ht="15.75" customHeight="1" s="253"/>
    <row r="758" ht="15.75" customHeight="1" s="253"/>
    <row r="759" ht="15.75" customHeight="1" s="253"/>
    <row r="760" ht="15.75" customHeight="1" s="253"/>
    <row r="761" ht="15.75" customHeight="1" s="253"/>
    <row r="762" ht="15.75" customHeight="1" s="253"/>
    <row r="763" ht="15.75" customHeight="1" s="253"/>
    <row r="764" ht="15.75" customHeight="1" s="253"/>
    <row r="765" ht="15.75" customHeight="1" s="253"/>
    <row r="766" ht="15.75" customHeight="1" s="253"/>
    <row r="767" ht="15.75" customHeight="1" s="253"/>
    <row r="768" ht="15.75" customHeight="1" s="253"/>
    <row r="769" ht="15.75" customHeight="1" s="253"/>
    <row r="770" ht="15.75" customHeight="1" s="253"/>
    <row r="771" ht="15.75" customHeight="1" s="253"/>
    <row r="772" ht="15.75" customHeight="1" s="253"/>
    <row r="773" ht="15.75" customHeight="1" s="253"/>
    <row r="774" ht="15.75" customHeight="1" s="253"/>
    <row r="775" ht="15.75" customHeight="1" s="253"/>
    <row r="776" ht="15.75" customHeight="1" s="253"/>
    <row r="777" ht="15.75" customHeight="1" s="253"/>
    <row r="778" ht="15.75" customHeight="1" s="253"/>
    <row r="779" ht="15.75" customHeight="1" s="253"/>
    <row r="780" ht="15.75" customHeight="1" s="253"/>
    <row r="781" ht="15.75" customHeight="1" s="253"/>
    <row r="782" ht="15.75" customHeight="1" s="253"/>
    <row r="783" ht="15.75" customHeight="1" s="253"/>
    <row r="784" ht="15.75" customHeight="1" s="253"/>
    <row r="785" ht="15.75" customHeight="1" s="253"/>
    <row r="786" ht="15.75" customHeight="1" s="253"/>
    <row r="787" ht="15.75" customHeight="1" s="253"/>
    <row r="788" ht="15.75" customHeight="1" s="253"/>
    <row r="789" ht="15.75" customHeight="1" s="253"/>
    <row r="790" ht="15.75" customHeight="1" s="253"/>
    <row r="791" ht="15.75" customHeight="1" s="253"/>
    <row r="792" ht="15.75" customHeight="1" s="253"/>
    <row r="793" ht="15.75" customHeight="1" s="253"/>
    <row r="794" ht="15.75" customHeight="1" s="253"/>
    <row r="795" ht="15.75" customHeight="1" s="253"/>
    <row r="796" ht="15.75" customHeight="1" s="253"/>
    <row r="797" ht="15.75" customHeight="1" s="253"/>
    <row r="798" ht="15.75" customHeight="1" s="253"/>
    <row r="799" ht="15.75" customHeight="1" s="253"/>
    <row r="800" ht="15.75" customHeight="1" s="253"/>
    <row r="801" ht="15.75" customHeight="1" s="253"/>
    <row r="802" ht="15.75" customHeight="1" s="253"/>
    <row r="803" ht="15.75" customHeight="1" s="253"/>
    <row r="804" ht="15.75" customHeight="1" s="253"/>
    <row r="805" ht="15.75" customHeight="1" s="253"/>
    <row r="806" ht="15.75" customHeight="1" s="253"/>
    <row r="807" ht="15.75" customHeight="1" s="253"/>
    <row r="808" ht="15.75" customHeight="1" s="253"/>
    <row r="809" ht="15.75" customHeight="1" s="253"/>
    <row r="810" ht="15.75" customHeight="1" s="253"/>
    <row r="811" ht="15.75" customHeight="1" s="253"/>
    <row r="812" ht="15.75" customHeight="1" s="253"/>
    <row r="813" ht="15.75" customHeight="1" s="253"/>
    <row r="814" ht="15.75" customHeight="1" s="253"/>
    <row r="815" ht="15.75" customHeight="1" s="253"/>
    <row r="816" ht="15.75" customHeight="1" s="253"/>
    <row r="817" ht="15.75" customHeight="1" s="253"/>
    <row r="818" ht="15.75" customHeight="1" s="253"/>
    <row r="819" ht="15.75" customHeight="1" s="253"/>
    <row r="820" ht="15.75" customHeight="1" s="253"/>
    <row r="821" ht="15.75" customHeight="1" s="253"/>
    <row r="822" ht="15.75" customHeight="1" s="253"/>
    <row r="823" ht="15.75" customHeight="1" s="253"/>
    <row r="824" ht="15.75" customHeight="1" s="253"/>
    <row r="825" ht="15.75" customHeight="1" s="253"/>
    <row r="826" ht="15.75" customHeight="1" s="253"/>
    <row r="827" ht="15.75" customHeight="1" s="253"/>
    <row r="828" ht="15.75" customHeight="1" s="253"/>
    <row r="829" ht="15.75" customHeight="1" s="253"/>
    <row r="830" ht="15.75" customHeight="1" s="253"/>
    <row r="831" ht="15.75" customHeight="1" s="253"/>
    <row r="832" ht="15.75" customHeight="1" s="253"/>
    <row r="833" ht="15.75" customHeight="1" s="253"/>
    <row r="834" ht="15.75" customHeight="1" s="253"/>
    <row r="835" ht="15.75" customHeight="1" s="253"/>
    <row r="836" ht="15.75" customHeight="1" s="253"/>
    <row r="837" ht="15.75" customHeight="1" s="253"/>
    <row r="838" ht="15.75" customHeight="1" s="253"/>
    <row r="839" ht="15.75" customHeight="1" s="253"/>
    <row r="840" ht="15.75" customHeight="1" s="253"/>
    <row r="841" ht="15.75" customHeight="1" s="253"/>
    <row r="842" ht="15.75" customHeight="1" s="253"/>
    <row r="843" ht="15.75" customHeight="1" s="253"/>
    <row r="844" ht="15.75" customHeight="1" s="253"/>
    <row r="845" ht="15.75" customHeight="1" s="253"/>
    <row r="846" ht="15.75" customHeight="1" s="253"/>
    <row r="847" ht="15.75" customHeight="1" s="253"/>
    <row r="848" ht="15.75" customHeight="1" s="253"/>
    <row r="849" ht="15.75" customHeight="1" s="253"/>
    <row r="850" ht="15.75" customHeight="1" s="253"/>
    <row r="851" ht="15.75" customHeight="1" s="253"/>
    <row r="852" ht="15.75" customHeight="1" s="253"/>
    <row r="853" ht="15.75" customHeight="1" s="253"/>
    <row r="854" ht="15.75" customHeight="1" s="253"/>
    <row r="855" ht="15.75" customHeight="1" s="253"/>
    <row r="856" ht="15.75" customHeight="1" s="253"/>
    <row r="857" ht="15.75" customHeight="1" s="253"/>
    <row r="858" ht="15.75" customHeight="1" s="253"/>
    <row r="859" ht="15.75" customHeight="1" s="253"/>
    <row r="860" ht="15.75" customHeight="1" s="253"/>
    <row r="861" ht="15.75" customHeight="1" s="253"/>
    <row r="862" ht="15.75" customHeight="1" s="253"/>
    <row r="863" ht="15.75" customHeight="1" s="253"/>
    <row r="864" ht="15.75" customHeight="1" s="253"/>
    <row r="865" ht="15.75" customHeight="1" s="253"/>
    <row r="866" ht="15.75" customHeight="1" s="253"/>
    <row r="867" ht="15.75" customHeight="1" s="253"/>
    <row r="868" ht="15.75" customHeight="1" s="253"/>
    <row r="869" ht="15.75" customHeight="1" s="253"/>
    <row r="870" ht="15.75" customHeight="1" s="253"/>
    <row r="871" ht="15.75" customHeight="1" s="253"/>
    <row r="872" ht="15.75" customHeight="1" s="253"/>
    <row r="873" ht="15.75" customHeight="1" s="253"/>
    <row r="874" ht="15.75" customHeight="1" s="253"/>
    <row r="875" ht="15.75" customHeight="1" s="253"/>
    <row r="876" ht="15.75" customHeight="1" s="253"/>
    <row r="877" ht="15.75" customHeight="1" s="253"/>
    <row r="878" ht="15.75" customHeight="1" s="253"/>
    <row r="879" ht="15.75" customHeight="1" s="253"/>
    <row r="880" ht="15.75" customHeight="1" s="253"/>
    <row r="881" ht="15.75" customHeight="1" s="253"/>
    <row r="882" ht="15.75" customHeight="1" s="253"/>
    <row r="883" ht="15.75" customHeight="1" s="253"/>
    <row r="884" ht="15.75" customHeight="1" s="253"/>
    <row r="885" ht="15.75" customHeight="1" s="253"/>
    <row r="886" ht="15.75" customHeight="1" s="253"/>
    <row r="887" ht="15.75" customHeight="1" s="253"/>
    <row r="888" ht="15.75" customHeight="1" s="253"/>
    <row r="889" ht="15.75" customHeight="1" s="253"/>
    <row r="890" ht="15.75" customHeight="1" s="253"/>
    <row r="891" ht="15.75" customHeight="1" s="253"/>
    <row r="892" ht="15.75" customHeight="1" s="253"/>
    <row r="893" ht="15.75" customHeight="1" s="253"/>
    <row r="894" ht="15.75" customHeight="1" s="253"/>
    <row r="895" ht="15.75" customHeight="1" s="253"/>
    <row r="896" ht="15.75" customHeight="1" s="253"/>
    <row r="897" ht="15.75" customHeight="1" s="253"/>
    <row r="898" ht="15.75" customHeight="1" s="253"/>
    <row r="899" ht="15.75" customHeight="1" s="253"/>
    <row r="900" ht="15.75" customHeight="1" s="253"/>
    <row r="901" ht="15.75" customHeight="1" s="253"/>
    <row r="902" ht="15.75" customHeight="1" s="253"/>
    <row r="903" ht="15.75" customHeight="1" s="253"/>
    <row r="904" ht="15.75" customHeight="1" s="253"/>
    <row r="905" ht="15.75" customHeight="1" s="253"/>
    <row r="906" ht="15.75" customHeight="1" s="253"/>
    <row r="907" ht="15.75" customHeight="1" s="253"/>
    <row r="908" ht="15.75" customHeight="1" s="253"/>
    <row r="909" ht="15.75" customHeight="1" s="253"/>
    <row r="910" ht="15.75" customHeight="1" s="253"/>
    <row r="911" ht="15.75" customHeight="1" s="253"/>
    <row r="912" ht="15.75" customHeight="1" s="253"/>
    <row r="913" ht="15.75" customHeight="1" s="253"/>
    <row r="914" ht="15.75" customHeight="1" s="253"/>
    <row r="915" ht="15.75" customHeight="1" s="253"/>
    <row r="916" ht="15.75" customHeight="1" s="253"/>
    <row r="917" ht="15.75" customHeight="1" s="253"/>
    <row r="918" ht="15.75" customHeight="1" s="253"/>
    <row r="919" ht="15.75" customHeight="1" s="253"/>
    <row r="920" ht="15.75" customHeight="1" s="253"/>
    <row r="921" ht="15.75" customHeight="1" s="253"/>
    <row r="922" ht="15.75" customHeight="1" s="253"/>
    <row r="923" ht="15.75" customHeight="1" s="253"/>
    <row r="924" ht="15.75" customHeight="1" s="253"/>
    <row r="925" ht="15.75" customHeight="1" s="253"/>
    <row r="926" ht="15.75" customHeight="1" s="253"/>
    <row r="927" ht="15.75" customHeight="1" s="253"/>
    <row r="928" ht="15.75" customHeight="1" s="253"/>
    <row r="929" ht="15.75" customHeight="1" s="253"/>
    <row r="930" ht="15.75" customHeight="1" s="253"/>
    <row r="931" ht="15.75" customHeight="1" s="253"/>
    <row r="932" ht="15.75" customHeight="1" s="253"/>
    <row r="933" ht="15.75" customHeight="1" s="253"/>
    <row r="934" ht="15.75" customHeight="1" s="253"/>
    <row r="935" ht="15.75" customHeight="1" s="253"/>
    <row r="936" ht="15.75" customHeight="1" s="253"/>
    <row r="937" ht="15.75" customHeight="1" s="253"/>
    <row r="938" ht="15.75" customHeight="1" s="253"/>
    <row r="939" ht="15.75" customHeight="1" s="253"/>
    <row r="940" ht="15.75" customHeight="1" s="253"/>
    <row r="941" ht="15.75" customHeight="1" s="253"/>
    <row r="942" ht="15.75" customHeight="1" s="253"/>
    <row r="943" ht="15.75" customHeight="1" s="253"/>
    <row r="944" ht="15.75" customHeight="1" s="253"/>
    <row r="945" ht="15.75" customHeight="1" s="253"/>
    <row r="946" ht="15.75" customHeight="1" s="253"/>
    <row r="947" ht="15.75" customHeight="1" s="253"/>
    <row r="948" ht="15.75" customHeight="1" s="253"/>
    <row r="949" ht="15.75" customHeight="1" s="253"/>
    <row r="950" ht="15.75" customHeight="1" s="253"/>
    <row r="951" ht="15.75" customHeight="1" s="253"/>
    <row r="952" ht="15.75" customHeight="1" s="253"/>
    <row r="953" ht="15.75" customHeight="1" s="253"/>
    <row r="954" ht="15.75" customHeight="1" s="253"/>
    <row r="955" ht="15.75" customHeight="1" s="253"/>
    <row r="956" ht="15.75" customHeight="1" s="253"/>
    <row r="957" ht="15.75" customHeight="1" s="253"/>
    <row r="958" ht="15.75" customHeight="1" s="253"/>
    <row r="959" ht="15.75" customHeight="1" s="253"/>
    <row r="960" ht="15.75" customHeight="1" s="253"/>
    <row r="961" ht="15.75" customHeight="1" s="253"/>
    <row r="962" ht="15.75" customHeight="1" s="253"/>
    <row r="963" ht="15.75" customHeight="1" s="253"/>
    <row r="964" ht="15.75" customHeight="1" s="253"/>
    <row r="965" ht="15.75" customHeight="1" s="253"/>
    <row r="966" ht="15.75" customHeight="1" s="253"/>
    <row r="967" ht="15.75" customHeight="1" s="253"/>
    <row r="968" ht="15.75" customHeight="1" s="253"/>
    <row r="969" ht="15.75" customHeight="1" s="253"/>
    <row r="970" ht="15.75" customHeight="1" s="253"/>
    <row r="971" ht="15.75" customHeight="1" s="253"/>
    <row r="972" ht="15.75" customHeight="1" s="253"/>
    <row r="973" ht="15.75" customHeight="1" s="253"/>
    <row r="974" ht="15.75" customHeight="1" s="253"/>
    <row r="975" ht="15.75" customHeight="1" s="253"/>
    <row r="976" ht="15.75" customHeight="1" s="253"/>
    <row r="977" ht="15.75" customHeight="1" s="253"/>
    <row r="978" ht="15.75" customHeight="1" s="253"/>
    <row r="979" ht="15.75" customHeight="1" s="253"/>
    <row r="980" ht="15.75" customHeight="1" s="253"/>
    <row r="981" ht="15.75" customHeight="1" s="253"/>
    <row r="982" ht="15.75" customHeight="1" s="253"/>
    <row r="983" ht="15.75" customHeight="1" s="253"/>
    <row r="984" ht="15.75" customHeight="1" s="253"/>
    <row r="985" ht="15.75" customHeight="1" s="253"/>
    <row r="986" ht="15.75" customHeight="1" s="253"/>
    <row r="987" ht="15.75" customHeight="1" s="253"/>
    <row r="988" ht="15.75" customHeight="1" s="253"/>
    <row r="989" ht="15.75" customHeight="1" s="253"/>
    <row r="990" ht="15.75" customHeight="1" s="253"/>
    <row r="991" ht="15.75" customHeight="1" s="253"/>
    <row r="992" ht="15.75" customHeight="1" s="253"/>
    <row r="993" ht="15.75" customHeight="1" s="253"/>
    <row r="994" ht="15.75" customHeight="1" s="253"/>
    <row r="995" ht="15.75" customHeight="1" s="253"/>
    <row r="996" ht="15.75" customHeight="1" s="253"/>
    <row r="997" ht="15.75" customHeight="1" s="253"/>
    <row r="998" ht="15.75" customHeight="1" s="253"/>
    <row r="999" ht="15.75" customHeight="1" s="253"/>
    <row r="1000" ht="15.75" customHeight="1" s="253"/>
    <row r="1001" ht="15.75" customHeight="1" s="253"/>
    <row r="1002" ht="15.75" customHeight="1" s="253"/>
    <row r="1003" ht="15.75" customHeight="1" s="253"/>
    <row r="1004" ht="15.75" customHeight="1" s="253"/>
    <row r="1005" ht="15.75" customHeight="1" s="253"/>
    <row r="1006" ht="15.75" customHeight="1" s="253"/>
  </sheetData>
  <mergeCells count="7">
    <mergeCell ref="B6:C6"/>
    <mergeCell ref="B38:C38"/>
    <mergeCell ref="B11:C11"/>
    <mergeCell ref="B5:C5"/>
    <mergeCell ref="A1:E1"/>
    <mergeCell ref="B35:C35"/>
    <mergeCell ref="A2:P2"/>
  </mergeCells>
  <hyperlinks>
    <hyperlink xmlns:r="http://schemas.openxmlformats.org/officeDocument/2006/relationships" ref="C21" r:id="rId1"/>
  </hyperlinks>
  <pageMargins left="0.7" right="0.7" top="0.75" bottom="0.75" header="0" footer="0"/>
  <pageSetup orientation="landscape" scale="40"/>
</worksheet>
</file>

<file path=xl/worksheets/sheet2.xml><?xml version="1.0" encoding="utf-8"?>
<worksheet xmlns="http://schemas.openxmlformats.org/spreadsheetml/2006/main">
  <sheetPr>
    <outlinePr summaryBelow="1" summaryRight="1"/>
    <pageSetUpPr/>
  </sheetPr>
  <dimension ref="A2:Z18"/>
  <sheetViews>
    <sheetView workbookViewId="0">
      <selection activeCell="A1" sqref="A1"/>
    </sheetView>
  </sheetViews>
  <sheetFormatPr baseColWidth="8" defaultColWidth="14.43" defaultRowHeight="15" customHeight="1"/>
  <cols>
    <col width="6.57" customWidth="1" style="253" min="1" max="1"/>
    <col width="15" customWidth="1" style="253" min="2" max="2"/>
    <col width="32.71" customWidth="1" style="253" min="3" max="3"/>
    <col width="11.14" customWidth="1" style="253" min="4" max="4"/>
    <col width="16" customWidth="1" style="253" min="5" max="5"/>
    <col width="17" customWidth="1" style="253" min="6" max="6"/>
    <col width="16.71" customWidth="1" style="253" min="7" max="7"/>
    <col width="24.86" customWidth="1" style="253" min="8" max="8"/>
    <col width="29.71" customWidth="1" style="253" min="9" max="9"/>
    <col width="25.57" customWidth="1" style="253" min="10" max="10"/>
    <col width="16.43" customWidth="1" style="253" min="11" max="11"/>
    <col width="14.86" customWidth="1" style="253" min="12" max="12"/>
    <col width="19.86" customWidth="1" style="253" min="13" max="13"/>
    <col width="14.86" customWidth="1" style="253" min="14" max="14"/>
    <col width="23.14" customWidth="1" style="253" min="15" max="15"/>
    <col width="19.57" customWidth="1" style="253" min="16" max="16"/>
    <col width="22.86" customWidth="1" style="253" min="17" max="17"/>
    <col width="8.710000000000001" customWidth="1" style="253" min="18" max="26"/>
  </cols>
  <sheetData>
    <row r="2" ht="72.75" customHeight="1" s="253">
      <c r="B2" s="1" t="inlineStr">
        <is>
          <t xml:space="preserve">TRUNG TÂM KIỂM SOÁT BỆNH TẬT THÀNH PHỐ ĐÀ NẴNG
KHOA DƯỢC -VTYT
</t>
        </is>
      </c>
    </row>
    <row r="3" ht="57.75" customHeight="1" s="253">
      <c r="A3" s="2" t="inlineStr">
        <is>
          <t xml:space="preserve">
BẢNG THEO DÕI THỜI GIAN BẢO TRÌ, BẢO DƯỠNG MÁY MÓC, TBYT NĂM 2026
 (Tính đến 22/8/2026)</t>
        </is>
      </c>
    </row>
    <row r="5" ht="99.75" customHeight="1" s="253">
      <c r="A5" s="6" t="inlineStr">
        <is>
          <t>STT</t>
        </is>
      </c>
      <c r="B5" s="41" t="inlineStr">
        <is>
          <t>Mã quản 
lý TBYT</t>
        </is>
      </c>
      <c r="C5" s="41" t="inlineStr">
        <is>
          <t>Tên thiết bị</t>
        </is>
      </c>
      <c r="D5" s="41" t="inlineStr">
        <is>
          <t>Năm đưa vào sử dụng</t>
        </is>
      </c>
      <c r="E5" s="41" t="inlineStr">
        <is>
          <t>Bộ phận sử dụng</t>
        </is>
      </c>
      <c r="F5" s="41" t="inlineStr">
        <is>
          <t>Ngày đề xuất</t>
        </is>
      </c>
      <c r="G5" s="41" t="inlineStr">
        <is>
          <t>Ngày trình phê duyệt phương án thực hiện bảo trì</t>
        </is>
      </c>
      <c r="H5" s="41" t="inlineStr">
        <is>
          <t>Nội dung đề xuất</t>
        </is>
      </c>
      <c r="I5" s="41" t="inlineStr">
        <is>
          <t>Đơn vị thực hiện 
(Nội bộ/Thuê ngoài)</t>
        </is>
      </c>
      <c r="J5" s="41" t="inlineStr">
        <is>
          <t>Nội dung thực hiện</t>
        </is>
      </c>
      <c r="K5" s="41" t="inlineStr">
        <is>
          <t>Linh kiện, phụ kiện thay thế 
(nếu có)</t>
        </is>
      </c>
      <c r="L5" s="41" t="inlineStr">
        <is>
          <t>Ngày
 hoàn thành</t>
        </is>
      </c>
      <c r="M5" s="41" t="inlineStr">
        <is>
          <t>Kinh phí 
(VNĐ)</t>
        </is>
      </c>
      <c r="N5" s="41" t="inlineStr">
        <is>
          <t>Tình trạng hoạt động thiết bị sau bảo trì</t>
        </is>
      </c>
      <c r="O5" s="41" t="inlineStr">
        <is>
          <t>Người nghiệm thu</t>
        </is>
      </c>
      <c r="P5" s="6" t="inlineStr">
        <is>
          <t>Ghi chú</t>
        </is>
      </c>
      <c r="Q5" s="6" t="inlineStr">
        <is>
          <t>Quyết định</t>
        </is>
      </c>
    </row>
    <row r="6" ht="33.75" customHeight="1" s="253">
      <c r="A6" s="7" t="n"/>
      <c r="B6" s="11" t="inlineStr">
        <is>
          <t>Tổng cộng: I+II</t>
        </is>
      </c>
      <c r="C6" s="254" t="n"/>
      <c r="D6" s="11" t="n"/>
      <c r="E6" s="11" t="n"/>
      <c r="F6" s="11" t="n"/>
      <c r="G6" s="11" t="n"/>
      <c r="H6" s="11" t="n"/>
      <c r="I6" s="11" t="n"/>
      <c r="J6" s="11" t="n"/>
      <c r="K6" s="11" t="n"/>
      <c r="L6" s="7" t="n"/>
      <c r="M6" s="14">
        <f>M7+M16</f>
        <v/>
      </c>
      <c r="N6" s="11" t="n"/>
      <c r="O6" s="11" t="n"/>
      <c r="P6" s="7" t="n"/>
      <c r="Q6" s="7" t="n"/>
    </row>
    <row r="7" ht="32.25" customHeight="1" s="253">
      <c r="A7" s="179" t="inlineStr">
        <is>
          <t>I</t>
        </is>
      </c>
      <c r="B7" s="18" t="inlineStr">
        <is>
          <t>Khoa XN-CĐHA-TDCN</t>
        </is>
      </c>
      <c r="C7" s="254" t="n"/>
      <c r="D7" s="19" t="n"/>
      <c r="E7" s="19" t="n"/>
      <c r="F7" s="19" t="n"/>
      <c r="G7" s="19" t="n"/>
      <c r="H7" s="19" t="n"/>
      <c r="I7" s="19" t="n"/>
      <c r="J7" s="19" t="n"/>
      <c r="K7" s="19" t="n"/>
      <c r="L7" s="19" t="n"/>
      <c r="M7" s="20">
        <f>SUM(M8:M11)</f>
        <v/>
      </c>
      <c r="N7" s="19" t="n"/>
      <c r="O7" s="19" t="n"/>
      <c r="P7" s="19" t="n"/>
      <c r="Q7" s="19" t="n"/>
    </row>
    <row r="8" ht="89.25" customHeight="1" s="253">
      <c r="A8" s="22" t="n">
        <v>1</v>
      </c>
      <c r="B8" s="27" t="inlineStr">
        <is>
          <t>TSXN267</t>
        </is>
      </c>
      <c r="C8" s="61" t="inlineStr">
        <is>
          <t xml:space="preserve"> Hệ thống Real - Time PCR nguyên khối (5 màu) Model: ARIAMX, Hãng SX: AGILENT Mỹ</t>
        </is>
      </c>
      <c r="D8" s="27" t="n">
        <v>2017</v>
      </c>
      <c r="E8" s="27" t="inlineStr">
        <is>
          <t>Virus-CS1</t>
        </is>
      </c>
      <c r="F8" s="27" t="inlineStr">
        <is>
          <t>17/12/2026</t>
        </is>
      </c>
      <c r="G8" s="27" t="inlineStr">
        <is>
          <t>13/01/2026</t>
        </is>
      </c>
      <c r="H8" s="22" t="inlineStr">
        <is>
          <t xml:space="preserve"> Bảo trì bảo dưỡng</t>
        </is>
      </c>
      <c r="I8" s="245" t="inlineStr">
        <is>
          <t>Công ty CP KHCN 
Đồng Tâm</t>
        </is>
      </c>
      <c r="J8" s="185" t="inlineStr">
        <is>
          <t>Bảo trì bảo dưỡng 
toàn bộ hệ thống</t>
        </is>
      </c>
      <c r="K8" s="37" t="inlineStr">
        <is>
          <t>Không</t>
        </is>
      </c>
      <c r="L8" s="33" t="inlineStr">
        <is>
          <t>09/3/2026</t>
        </is>
      </c>
      <c r="M8" s="58" t="n">
        <v>11340000</v>
      </c>
      <c r="N8" s="37" t="inlineStr">
        <is>
          <t>Tốt</t>
        </is>
      </c>
      <c r="O8" s="61" t="inlineStr">
        <is>
          <t>Ds. Tính, Ds. Lộc, 
Cn. Duy, Cn. Phong</t>
        </is>
      </c>
      <c r="P8" s="37" t="inlineStr">
        <is>
          <t>Thu sự nghiệp</t>
        </is>
      </c>
      <c r="Q8" s="37" t="inlineStr">
        <is>
          <t>Quyết định số 
57/QĐ-TTKSBT 
ngày 04/02/2026</t>
        </is>
      </c>
    </row>
    <row r="9" ht="75" customHeight="1" s="253">
      <c r="A9" s="22" t="n">
        <v>2</v>
      </c>
      <c r="B9" s="27" t="inlineStr">
        <is>
          <t>TSXN324</t>
        </is>
      </c>
      <c r="C9" s="35" t="inlineStr">
        <is>
          <t xml:space="preserve"> Máy đếm Tế bào T-CD4
(CyFlow Counter/ PARTEC)</t>
        </is>
      </c>
      <c r="D9" s="27" t="n">
        <v>2015</v>
      </c>
      <c r="E9" s="27" t="inlineStr">
        <is>
          <t>HIV-CS1</t>
        </is>
      </c>
      <c r="F9" s="27" t="inlineStr">
        <is>
          <t>17/12/2026</t>
        </is>
      </c>
      <c r="G9" s="27" t="inlineStr">
        <is>
          <t>13/01/2026</t>
        </is>
      </c>
      <c r="H9" s="22" t="inlineStr">
        <is>
          <t xml:space="preserve"> Bảo trì bảo dưỡng</t>
        </is>
      </c>
      <c r="I9" s="40" t="inlineStr">
        <is>
          <t>Công ty TNHH UNT VN</t>
        </is>
      </c>
      <c r="J9" s="185" t="inlineStr">
        <is>
          <t>Bảo trì bảo dưỡng 
toàn bộ hệ thống</t>
        </is>
      </c>
      <c r="K9" s="37" t="inlineStr">
        <is>
          <t>Không</t>
        </is>
      </c>
      <c r="L9" s="33" t="inlineStr">
        <is>
          <t>24/3/2026</t>
        </is>
      </c>
      <c r="M9" s="58" t="n">
        <v>39000000</v>
      </c>
      <c r="N9" s="37" t="inlineStr">
        <is>
          <t>Tốt</t>
        </is>
      </c>
      <c r="O9" s="61" t="inlineStr">
        <is>
          <t>Ds. Tính, Ds. Lộc, 
Cn. Duy, Cn. Phúc</t>
        </is>
      </c>
      <c r="P9" s="37" t="inlineStr">
        <is>
          <t>Thu sự nghiệp</t>
        </is>
      </c>
      <c r="Q9" s="37" t="inlineStr">
        <is>
          <t>Quyết định số 
56/QĐ-TTKSBT 
ngày 04/02/2026</t>
        </is>
      </c>
    </row>
    <row r="10" ht="126" customHeight="1" s="253">
      <c r="A10" s="22" t="n">
        <v>3</v>
      </c>
      <c r="B10" s="27" t="inlineStr">
        <is>
          <t>TSXN004</t>
        </is>
      </c>
      <c r="C10" s="61" t="inlineStr">
        <is>
          <t>Hệ thống máy sắc ký khí
 khối phổ GC/MS (Model: Trace GC, Hãng: Thermo)</t>
        </is>
      </c>
      <c r="D10" s="27" t="n">
        <v>2006</v>
      </c>
      <c r="E10" s="37" t="inlineStr">
        <is>
          <t>Hóa lý -CS1</t>
        </is>
      </c>
      <c r="F10" s="27" t="inlineStr">
        <is>
          <t>17/12/2026</t>
        </is>
      </c>
      <c r="G10" s="27" t="inlineStr">
        <is>
          <t>13/01/2026</t>
        </is>
      </c>
      <c r="H10" s="27" t="inlineStr">
        <is>
          <t xml:space="preserve">Dịch vụ bảo trì, bảo dưỡng và nâng cấp phần mềm 
</t>
        </is>
      </c>
      <c r="I10" s="61" t="inlineStr">
        <is>
          <t>Công ty TNHH Hóa chất 
và Vật tư Khoa học kỹ thuật Cường Thịnh</t>
        </is>
      </c>
      <c r="J10" s="27" t="inlineStr">
        <is>
          <t>Dịch vụ bảo trì, bảo dưỡng và nâng cấp phần mềm</t>
        </is>
      </c>
      <c r="K10" s="37" t="inlineStr">
        <is>
          <t>Không</t>
        </is>
      </c>
      <c r="L10" s="37" t="n"/>
      <c r="M10" s="58" t="n">
        <v>0</v>
      </c>
      <c r="N10" s="27" t="inlineStr">
        <is>
          <t>Không hoạt
 động</t>
        </is>
      </c>
      <c r="O10" s="54" t="inlineStr">
        <is>
          <t>Công ty Đã đến thực hiện DV
(tuy nhiên TB SD 2006, ko có linh kiện thay thế nên ko thanh toán)</t>
        </is>
      </c>
      <c r="P10" s="37" t="inlineStr">
        <is>
          <t>Thu sự nghiệp</t>
        </is>
      </c>
      <c r="Q10" s="43" t="inlineStr">
        <is>
          <t>Ko thanh toán</t>
        </is>
      </c>
    </row>
    <row r="11" ht="75" customHeight="1" s="253">
      <c r="A11" s="142" t="n">
        <v>4</v>
      </c>
      <c r="B11" s="182" t="inlineStr">
        <is>
          <t>TSXN411</t>
        </is>
      </c>
      <c r="C11" s="54" t="inlineStr">
        <is>
          <t>Hệ thống ký sắc lỏng hiệu năng cao HPLC/UV-VIS 2489 Waters (Alliance e2695 XE)</t>
        </is>
      </c>
      <c r="D11" s="182" t="n">
        <v>2017</v>
      </c>
      <c r="E11" s="144" t="inlineStr">
        <is>
          <t>Hóa lý -CS1</t>
        </is>
      </c>
      <c r="F11" s="48" t="inlineStr">
        <is>
          <t>03/6/2026</t>
        </is>
      </c>
      <c r="G11" s="50" t="n"/>
      <c r="H11" s="182" t="inlineStr">
        <is>
          <t>Dịch vụ Bảo trì toàn bộ hệ thống</t>
        </is>
      </c>
      <c r="I11" s="54" t="inlineStr">
        <is>
          <t>Công ty TNHH dịch vụ
 Khoa học và Công nghệ 
TIC.</t>
        </is>
      </c>
      <c r="J11" s="182" t="inlineStr">
        <is>
          <t>Dịch vụ Bảo trì toàn bộ hệ thống</t>
        </is>
      </c>
      <c r="K11" s="144" t="inlineStr">
        <is>
          <t>Không</t>
        </is>
      </c>
      <c r="L11" s="57" t="n"/>
      <c r="M11" s="58" t="n">
        <v>27000000</v>
      </c>
      <c r="N11" s="37" t="inlineStr">
        <is>
          <t>Tốt</t>
        </is>
      </c>
      <c r="O11" s="54" t="inlineStr">
        <is>
          <t>Ds. Tính, Ds.Thành, 
Cn. Hải, Cn. Thu</t>
        </is>
      </c>
      <c r="P11" s="144" t="inlineStr">
        <is>
          <t>Thu sự nghiệp</t>
        </is>
      </c>
      <c r="Q11" s="37" t="inlineStr">
        <is>
          <t>Quyết định số
 394/QĐ-TTKSBT
 ngày 01/7/2026</t>
        </is>
      </c>
    </row>
    <row r="12" ht="97.5" customHeight="1" s="253">
      <c r="A12" s="22" t="n">
        <v>5</v>
      </c>
      <c r="B12" s="62" t="n"/>
      <c r="C12" s="62" t="n"/>
      <c r="D12" s="191" t="n"/>
      <c r="E12" s="191" t="n"/>
      <c r="F12" s="191" t="n"/>
      <c r="G12" s="191" t="n"/>
      <c r="H12" s="191" t="n"/>
      <c r="I12" s="191" t="n"/>
      <c r="J12" s="221" t="n"/>
      <c r="K12" s="191" t="n"/>
      <c r="L12" s="191" t="n"/>
      <c r="M12" s="68" t="n"/>
      <c r="N12" s="191" t="n"/>
      <c r="O12" s="191" t="n"/>
      <c r="P12" s="185" t="inlineStr">
        <is>
          <t>Quỹ 
PTHĐSN</t>
        </is>
      </c>
      <c r="Q12" s="221" t="n"/>
    </row>
    <row r="13" ht="97.5" customHeight="1" s="253">
      <c r="A13" s="142" t="n">
        <v>6</v>
      </c>
      <c r="B13" s="62" t="n"/>
      <c r="C13" s="62" t="n"/>
      <c r="D13" s="191" t="n"/>
      <c r="E13" s="191" t="n"/>
      <c r="F13" s="191" t="n"/>
      <c r="G13" s="191" t="n"/>
      <c r="H13" s="191" t="n"/>
      <c r="I13" s="191" t="n"/>
      <c r="J13" s="221" t="n"/>
      <c r="K13" s="191" t="n"/>
      <c r="L13" s="191" t="n"/>
      <c r="M13" s="68" t="n"/>
      <c r="N13" s="191" t="n"/>
      <c r="O13" s="191" t="n"/>
      <c r="P13" s="185" t="inlineStr">
        <is>
          <t>Quỹ 
PTHĐSN</t>
        </is>
      </c>
      <c r="Q13" s="221" t="n"/>
    </row>
    <row r="14" ht="97.5" customHeight="1" s="253">
      <c r="A14" s="22" t="n">
        <v>7</v>
      </c>
      <c r="B14" s="62" t="n"/>
      <c r="C14" s="62" t="n"/>
      <c r="D14" s="191" t="n"/>
      <c r="E14" s="191" t="n"/>
      <c r="F14" s="191" t="n"/>
      <c r="G14" s="191" t="n"/>
      <c r="H14" s="191" t="n"/>
      <c r="I14" s="191" t="n"/>
      <c r="J14" s="221" t="n"/>
      <c r="K14" s="191" t="n"/>
      <c r="L14" s="191" t="n"/>
      <c r="M14" s="68" t="n"/>
      <c r="N14" s="191" t="n"/>
      <c r="O14" s="191" t="n"/>
      <c r="P14" s="185" t="inlineStr">
        <is>
          <t>Quỹ 
PTHĐSN</t>
        </is>
      </c>
      <c r="Q14" s="221" t="n"/>
    </row>
    <row r="15" ht="97.5" customHeight="1" s="253">
      <c r="A15" s="142" t="n">
        <v>8</v>
      </c>
      <c r="B15" s="62" t="n"/>
      <c r="C15" s="62" t="n"/>
      <c r="D15" s="191" t="n"/>
      <c r="E15" s="191" t="n"/>
      <c r="F15" s="191" t="n"/>
      <c r="G15" s="191" t="n"/>
      <c r="H15" s="191" t="n"/>
      <c r="I15" s="191" t="n"/>
      <c r="J15" s="221" t="n"/>
      <c r="K15" s="191" t="n"/>
      <c r="L15" s="191" t="n"/>
      <c r="M15" s="68" t="n"/>
      <c r="N15" s="191" t="n"/>
      <c r="O15" s="191" t="n"/>
      <c r="P15" s="185" t="inlineStr">
        <is>
          <t>Quỹ 
PTHĐSN</t>
        </is>
      </c>
      <c r="Q15" s="221" t="n"/>
    </row>
    <row r="16" ht="33.75" customHeight="1" s="253">
      <c r="A16" s="80" t="inlineStr">
        <is>
          <t>II</t>
        </is>
      </c>
      <c r="B16" s="19" t="inlineStr">
        <is>
          <t>Khoa Dược - VTYT</t>
        </is>
      </c>
      <c r="C16" s="254" t="n"/>
      <c r="D16" s="80" t="n"/>
      <c r="E16" s="80" t="n"/>
      <c r="F16" s="80" t="n"/>
      <c r="G16" s="80" t="n"/>
      <c r="H16" s="80" t="n"/>
      <c r="I16" s="80" t="n"/>
      <c r="J16" s="179" t="n"/>
      <c r="K16" s="80" t="n"/>
      <c r="L16" s="80" t="n"/>
      <c r="M16" s="20">
        <f>sum(M17:M18)</f>
        <v/>
      </c>
      <c r="N16" s="80" t="n"/>
      <c r="O16" s="80" t="n"/>
      <c r="P16" s="80" t="n"/>
      <c r="Q16" s="179" t="n"/>
    </row>
    <row r="17" ht="129.75" customHeight="1" s="253">
      <c r="A17" s="22" t="n">
        <v>1</v>
      </c>
      <c r="B17" s="27" t="inlineStr">
        <is>
          <t>TSKD058</t>
        </is>
      </c>
      <c r="C17" s="61" t="inlineStr">
        <is>
          <t>Hệ thống khí y tế trung tâm</t>
        </is>
      </c>
      <c r="D17" s="37" t="n">
        <v>2022</v>
      </c>
      <c r="E17" s="185" t="inlineStr">
        <is>
          <t>PKĐK
XN
(DVTYT 
quản lý)</t>
        </is>
      </c>
      <c r="F17" s="38" t="inlineStr">
        <is>
          <t>12/5/2026</t>
        </is>
      </c>
      <c r="G17" s="37" t="inlineStr">
        <is>
          <t>14/5/2026</t>
        </is>
      </c>
      <c r="H17" s="35" t="inlineStr">
        <is>
          <t>Dịch vụ bảo trì, 
bảo dưỡng, thay thế linh kiện</t>
        </is>
      </c>
      <c r="I17" s="84" t="inlineStr">
        <is>
          <t>Công ty A.S.T MEDI</t>
        </is>
      </c>
      <c r="J17" s="35" t="inlineStr">
        <is>
          <t>Dịch vụ bảo trì, 
bảo dưỡng, thay thế linh kiện</t>
        </is>
      </c>
      <c r="K17" s="35" t="inlineStr">
        <is>
          <t>Nhớt, bạc đạn, đầu dẫn van lọc ngõ ra khí.</t>
        </is>
      </c>
      <c r="L17" s="182" t="inlineStr">
        <is>
          <t>Đang thực hiện 
03 đợt/năm 
(Hạn HĐ đến 31/12/2026)</t>
        </is>
      </c>
      <c r="M17" s="58" t="n">
        <v>49500000</v>
      </c>
      <c r="N17" s="37" t="inlineStr">
        <is>
          <t>Tốt</t>
        </is>
      </c>
      <c r="O17" s="54" t="inlineStr">
        <is>
          <t>Ds. Tính, 
Ds. Thành,
Cn. Huệ,
Cn. Bình</t>
        </is>
      </c>
      <c r="P17" s="27" t="inlineStr">
        <is>
          <t>Quỹ 
PTHĐSN</t>
        </is>
      </c>
      <c r="Q17" s="37" t="inlineStr">
        <is>
          <t>Quyết định số 
327/QĐ-TTKSBT
 ngày 29/5/2026</t>
        </is>
      </c>
    </row>
    <row r="18" ht="169.5" customHeight="1" s="253">
      <c r="A18" s="67" t="n">
        <v>2</v>
      </c>
      <c r="B18" s="187" t="inlineStr">
        <is>
          <t>TSKD059</t>
        </is>
      </c>
      <c r="C18" s="109" t="inlineStr">
        <is>
          <t>Hệ thống lọc nước RO 250L/h</t>
        </is>
      </c>
      <c r="D18" s="132" t="n">
        <v>2023</v>
      </c>
      <c r="E18" s="77" t="inlineStr">
        <is>
          <t>PKĐK
XN
(DVTYT 
quản lý)</t>
        </is>
      </c>
      <c r="F18" s="94" t="n">
        <v>46203</v>
      </c>
      <c r="G18" s="96" t="n">
        <v>46205</v>
      </c>
      <c r="H18" s="98" t="inlineStr">
        <is>
          <t>Dịch vụ bảo trì, 
bảo dưỡng, thay thế linh kiện, VT</t>
        </is>
      </c>
      <c r="I18" s="98" t="inlineStr">
        <is>
          <t>Công ty XL nước Gia Hưng Phát DTH</t>
        </is>
      </c>
      <c r="J18" s="98" t="inlineStr">
        <is>
          <t>Dịch vụ bảo trì, 
bảo dưỡng, thay thế linh kiện</t>
        </is>
      </c>
      <c r="K18" s="102" t="inlineStr">
        <is>
          <t>Thay bộ do hiển thị TDS; Thay bóng đèn UV S150RL-HO; Thay lõi lọc tinh 5 micron; Thay lõi lọc sát khuẩn 0,2 micron</t>
        </is>
      </c>
      <c r="L18" s="104" t="n">
        <v>46251</v>
      </c>
      <c r="M18" s="106" t="n">
        <v>20304000</v>
      </c>
      <c r="N18" s="132" t="inlineStr">
        <is>
          <t>Tốt</t>
        </is>
      </c>
      <c r="O18" s="109" t="inlineStr">
        <is>
          <t>Ds. Tính, 
Ds. Lộc,
Cn. Duy,
Cn. Nghĩa</t>
        </is>
      </c>
      <c r="P18" s="187" t="inlineStr">
        <is>
          <t>Quỹ 
PTHĐSN</t>
        </is>
      </c>
      <c r="Q18" s="37" t="inlineStr">
        <is>
          <t>Quyết định số 
429/QĐ-TTKSBT
 ngày 21/7/2026</t>
        </is>
      </c>
      <c r="R18" s="111" t="n"/>
      <c r="S18" s="111" t="n"/>
      <c r="T18" s="111" t="n"/>
      <c r="U18" s="111" t="n"/>
      <c r="V18" s="111" t="n"/>
      <c r="W18" s="111" t="n"/>
      <c r="X18" s="111" t="n"/>
      <c r="Y18" s="111" t="n"/>
      <c r="Z18" s="111" t="n"/>
    </row>
    <row r="20" ht="15.75" customHeight="1" s="253"/>
    <row r="21" ht="15.75" customHeight="1" s="253"/>
    <row r="22" ht="15.75" customHeight="1" s="253"/>
    <row r="23" ht="15.75" customHeight="1" s="253"/>
    <row r="24" ht="15.75" customHeight="1" s="253"/>
    <row r="25" ht="15.75" customHeight="1" s="253"/>
    <row r="26" ht="15.75" customHeight="1" s="253"/>
    <row r="27" ht="15.75" customHeight="1" s="253"/>
    <row r="28" ht="15.75" customHeight="1" s="253"/>
    <row r="29" ht="15.75" customHeight="1" s="253"/>
    <row r="30" ht="15.75" customHeight="1" s="253"/>
    <row r="31" ht="15.75" customHeight="1" s="253"/>
    <row r="32" ht="15.75" customHeight="1" s="253"/>
    <row r="33" ht="15.75" customHeight="1" s="253"/>
    <row r="34" ht="15.75" customHeight="1" s="253"/>
    <row r="35" ht="15.75" customHeight="1" s="253"/>
    <row r="36" ht="15.75" customHeight="1" s="253"/>
    <row r="37" ht="15.75" customHeight="1" s="253"/>
    <row r="38" ht="15.75" customHeight="1" s="253"/>
    <row r="39" ht="15.75" customHeight="1" s="253"/>
    <row r="40" ht="15.75" customHeight="1" s="253"/>
    <row r="41" ht="15.75" customHeight="1" s="253"/>
    <row r="42" ht="15.75" customHeight="1" s="253"/>
    <row r="43" ht="15.75" customHeight="1" s="253"/>
    <row r="44" ht="15.75" customHeight="1" s="253"/>
    <row r="45" ht="15.75" customHeight="1" s="253"/>
    <row r="46" ht="15.75" customHeight="1" s="253"/>
    <row r="47" ht="15.75" customHeight="1" s="253"/>
    <row r="48" ht="15.75" customHeight="1" s="253"/>
    <row r="49" ht="15.75" customHeight="1" s="253"/>
    <row r="50" ht="15.75" customHeight="1" s="253"/>
    <row r="51" ht="15.75" customHeight="1" s="253"/>
    <row r="52" ht="15.75" customHeight="1" s="253"/>
    <row r="53" ht="15.75" customHeight="1" s="253"/>
    <row r="54" ht="15.75" customHeight="1" s="253"/>
    <row r="55" ht="15.75" customHeight="1" s="253"/>
    <row r="56" ht="15.75" customHeight="1" s="253"/>
    <row r="57" ht="15.75" customHeight="1" s="253"/>
    <row r="58" ht="15.75" customHeight="1" s="253"/>
    <row r="59" ht="15.75" customHeight="1" s="253"/>
    <row r="60" ht="15.75" customHeight="1" s="253"/>
    <row r="61" ht="15.75" customHeight="1" s="253"/>
    <row r="62" ht="15.75" customHeight="1" s="253"/>
    <row r="63" ht="15.75" customHeight="1" s="253"/>
    <row r="64" ht="15.75" customHeight="1" s="253"/>
    <row r="65" ht="15.75" customHeight="1" s="253"/>
    <row r="66" ht="15.75" customHeight="1" s="253"/>
    <row r="67" ht="15.75" customHeight="1" s="253"/>
    <row r="68" ht="15.75" customHeight="1" s="253"/>
    <row r="69" ht="15.75" customHeight="1" s="253"/>
    <row r="70" ht="15.75" customHeight="1" s="253"/>
    <row r="71" ht="15.75" customHeight="1" s="253"/>
    <row r="72" ht="15.75" customHeight="1" s="253"/>
    <row r="73" ht="15.75" customHeight="1" s="253"/>
    <row r="74" ht="15.75" customHeight="1" s="253"/>
    <row r="75" ht="15.75" customHeight="1" s="253"/>
    <row r="76" ht="15.75" customHeight="1" s="253"/>
    <row r="77" ht="15.75" customHeight="1" s="253"/>
    <row r="78" ht="15.75" customHeight="1" s="253"/>
    <row r="79" ht="15.75" customHeight="1" s="253"/>
    <row r="80" ht="15.75" customHeight="1" s="253"/>
    <row r="81" ht="15.75" customHeight="1" s="253"/>
    <row r="82" ht="15.75" customHeight="1" s="253"/>
    <row r="83" ht="15.75" customHeight="1" s="253"/>
    <row r="84" ht="15.75" customHeight="1" s="253"/>
    <row r="85" ht="15.75" customHeight="1" s="253"/>
    <row r="86" ht="15.75" customHeight="1" s="253"/>
    <row r="87" ht="15.75" customHeight="1" s="253"/>
    <row r="88" ht="15.75" customHeight="1" s="253"/>
    <row r="89" ht="15.75" customHeight="1" s="253"/>
    <row r="90" ht="15.75" customHeight="1" s="253"/>
    <row r="91" ht="15.75" customHeight="1" s="253"/>
    <row r="92" ht="15.75" customHeight="1" s="253"/>
    <row r="93" ht="15.75" customHeight="1" s="253"/>
    <row r="94" ht="15.75" customHeight="1" s="253"/>
    <row r="95" ht="15.75" customHeight="1" s="253"/>
    <row r="96" ht="15.75" customHeight="1" s="253"/>
    <row r="97" ht="15.75" customHeight="1" s="253"/>
    <row r="98" ht="15.75" customHeight="1" s="253"/>
    <row r="99" ht="15.75" customHeight="1" s="253"/>
    <row r="100" ht="15.75" customHeight="1" s="253"/>
    <row r="101" ht="15.75" customHeight="1" s="253"/>
    <row r="102" ht="15.75" customHeight="1" s="253"/>
    <row r="103" ht="15.75" customHeight="1" s="253"/>
    <row r="104" ht="15.75" customHeight="1" s="253"/>
    <row r="105" ht="15.75" customHeight="1" s="253"/>
    <row r="106" ht="15.75" customHeight="1" s="253"/>
    <row r="107" ht="15.75" customHeight="1" s="253"/>
    <row r="108" ht="15.75" customHeight="1" s="253"/>
    <row r="109" ht="15.75" customHeight="1" s="253"/>
    <row r="110" ht="15.75" customHeight="1" s="253"/>
    <row r="111" ht="15.75" customHeight="1" s="253"/>
    <row r="112" ht="15.75" customHeight="1" s="253"/>
    <row r="113" ht="15.75" customHeight="1" s="253"/>
    <row r="114" ht="15.75" customHeight="1" s="253"/>
    <row r="115" ht="15.75" customHeight="1" s="253"/>
    <row r="116" ht="15.75" customHeight="1" s="253"/>
    <row r="117" ht="15.75" customHeight="1" s="253"/>
    <row r="118" ht="15.75" customHeight="1" s="253"/>
    <row r="119" ht="15.75" customHeight="1" s="253"/>
    <row r="120" ht="15.75" customHeight="1" s="253"/>
    <row r="121" ht="15.75" customHeight="1" s="253"/>
    <row r="122" ht="15.75" customHeight="1" s="253"/>
    <row r="123" ht="15.75" customHeight="1" s="253"/>
    <row r="124" ht="15.75" customHeight="1" s="253"/>
    <row r="125" ht="15.75" customHeight="1" s="253"/>
    <row r="126" ht="15.75" customHeight="1" s="253"/>
    <row r="127" ht="15.75" customHeight="1" s="253"/>
    <row r="128" ht="15.75" customHeight="1" s="253"/>
    <row r="129" ht="15.75" customHeight="1" s="253"/>
    <row r="130" ht="15.75" customHeight="1" s="253"/>
    <row r="131" ht="15.75" customHeight="1" s="253"/>
    <row r="132" ht="15.75" customHeight="1" s="253"/>
    <row r="133" ht="15.75" customHeight="1" s="253"/>
    <row r="134" ht="15.75" customHeight="1" s="253"/>
    <row r="135" ht="15.75" customHeight="1" s="253"/>
    <row r="136" ht="15.75" customHeight="1" s="253"/>
    <row r="137" ht="15.75" customHeight="1" s="253"/>
    <row r="138" ht="15.75" customHeight="1" s="253"/>
    <row r="139" ht="15.75" customHeight="1" s="253"/>
    <row r="140" ht="15.75" customHeight="1" s="253"/>
    <row r="141" ht="15.75" customHeight="1" s="253"/>
    <row r="142" ht="15.75" customHeight="1" s="253"/>
    <row r="143" ht="15.75" customHeight="1" s="253"/>
    <row r="144" ht="15.75" customHeight="1" s="253"/>
    <row r="145" ht="15.75" customHeight="1" s="253"/>
    <row r="146" ht="15.75" customHeight="1" s="253"/>
    <row r="147" ht="15.75" customHeight="1" s="253"/>
    <row r="148" ht="15.75" customHeight="1" s="253"/>
    <row r="149" ht="15.75" customHeight="1" s="253"/>
    <row r="150" ht="15.75" customHeight="1" s="253"/>
    <row r="151" ht="15.75" customHeight="1" s="253"/>
    <row r="152" ht="15.75" customHeight="1" s="253"/>
    <row r="153" ht="15.75" customHeight="1" s="253"/>
    <row r="154" ht="15.75" customHeight="1" s="253"/>
    <row r="155" ht="15.75" customHeight="1" s="253"/>
    <row r="156" ht="15.75" customHeight="1" s="253"/>
    <row r="157" ht="15.75" customHeight="1" s="253"/>
    <row r="158" ht="15.75" customHeight="1" s="253"/>
    <row r="159" ht="15.75" customHeight="1" s="253"/>
    <row r="160" ht="15.75" customHeight="1" s="253"/>
    <row r="161" ht="15.75" customHeight="1" s="253"/>
    <row r="162" ht="15.75" customHeight="1" s="253"/>
    <row r="163" ht="15.75" customHeight="1" s="253"/>
    <row r="164" ht="15.75" customHeight="1" s="253"/>
    <row r="165" ht="15.75" customHeight="1" s="253"/>
    <row r="166" ht="15.75" customHeight="1" s="253"/>
    <row r="167" ht="15.75" customHeight="1" s="253"/>
    <row r="168" ht="15.75" customHeight="1" s="253"/>
    <row r="169" ht="15.75" customHeight="1" s="253"/>
    <row r="170" ht="15.75" customHeight="1" s="253"/>
    <row r="171" ht="15.75" customHeight="1" s="253"/>
    <row r="172" ht="15.75" customHeight="1" s="253"/>
    <row r="173" ht="15.75" customHeight="1" s="253"/>
    <row r="174" ht="15.75" customHeight="1" s="253"/>
    <row r="175" ht="15.75" customHeight="1" s="253"/>
    <row r="176" ht="15.75" customHeight="1" s="253"/>
    <row r="177" ht="15.75" customHeight="1" s="253"/>
    <row r="178" ht="15.75" customHeight="1" s="253"/>
    <row r="179" ht="15.75" customHeight="1" s="253"/>
    <row r="180" ht="15.75" customHeight="1" s="253"/>
    <row r="181" ht="15.75" customHeight="1" s="253"/>
    <row r="182" ht="15.75" customHeight="1" s="253"/>
    <row r="183" ht="15.75" customHeight="1" s="253"/>
    <row r="184" ht="15.75" customHeight="1" s="253"/>
    <row r="185" ht="15.75" customHeight="1" s="253"/>
    <row r="186" ht="15.75" customHeight="1" s="253"/>
    <row r="187" ht="15.75" customHeight="1" s="253"/>
    <row r="188" ht="15.75" customHeight="1" s="253"/>
    <row r="189" ht="15.75" customHeight="1" s="253"/>
    <row r="190" ht="15.75" customHeight="1" s="253"/>
    <row r="191" ht="15.75" customHeight="1" s="253"/>
    <row r="192" ht="15.75" customHeight="1" s="253"/>
    <row r="193" ht="15.75" customHeight="1" s="253"/>
    <row r="194" ht="15.75" customHeight="1" s="253"/>
    <row r="195" ht="15.75" customHeight="1" s="253"/>
    <row r="196" ht="15.75" customHeight="1" s="253"/>
    <row r="197" ht="15.75" customHeight="1" s="253"/>
    <row r="198" ht="15.75" customHeight="1" s="253"/>
    <row r="199" ht="15.75" customHeight="1" s="253"/>
    <row r="200" ht="15.75" customHeight="1" s="253"/>
    <row r="201" ht="15.75" customHeight="1" s="253"/>
    <row r="202" ht="15.75" customHeight="1" s="253"/>
    <row r="203" ht="15.75" customHeight="1" s="253"/>
    <row r="204" ht="15.75" customHeight="1" s="253"/>
    <row r="205" ht="15.75" customHeight="1" s="253"/>
    <row r="206" ht="15.75" customHeight="1" s="253"/>
    <row r="207" ht="15.75" customHeight="1" s="253"/>
    <row r="208" ht="15.75" customHeight="1" s="253"/>
    <row r="209" ht="15.75" customHeight="1" s="253"/>
    <row r="210" ht="15.75" customHeight="1" s="253"/>
    <row r="211" ht="15.75" customHeight="1" s="253"/>
    <row r="212" ht="15.75" customHeight="1" s="253"/>
    <row r="213" ht="15.75" customHeight="1" s="253"/>
    <row r="214" ht="15.75" customHeight="1" s="253"/>
    <row r="215" ht="15.75" customHeight="1" s="253"/>
    <row r="216" ht="15.75" customHeight="1" s="253"/>
    <row r="217" ht="15.75" customHeight="1" s="253"/>
    <row r="218" ht="15.75" customHeight="1" s="253"/>
    <row r="219" ht="15.75" customHeight="1" s="253"/>
    <row r="220" ht="15.75" customHeight="1" s="253"/>
    <row r="221" ht="15.75" customHeight="1" s="253"/>
    <row r="222" ht="15.75" customHeight="1" s="253"/>
    <row r="223" ht="15.75" customHeight="1" s="253"/>
    <row r="224" ht="15.75" customHeight="1" s="253"/>
    <row r="225" ht="15.75" customHeight="1" s="253"/>
    <row r="226" ht="15.75" customHeight="1" s="253"/>
    <row r="227" ht="15.75" customHeight="1" s="253"/>
    <row r="228" ht="15.75" customHeight="1" s="253"/>
    <row r="229" ht="15.75" customHeight="1" s="253"/>
    <row r="230" ht="15.75" customHeight="1" s="253"/>
    <row r="231" ht="15.75" customHeight="1" s="253"/>
    <row r="232" ht="15.75" customHeight="1" s="253"/>
    <row r="233" ht="15.75" customHeight="1" s="253"/>
    <row r="234" ht="15.75" customHeight="1" s="253"/>
    <row r="235" ht="15.75" customHeight="1" s="253"/>
    <row r="236" ht="15.75" customHeight="1" s="253"/>
    <row r="237" ht="15.75" customHeight="1" s="253"/>
    <row r="238" ht="15.75" customHeight="1" s="253"/>
    <row r="239" ht="15.75" customHeight="1" s="253"/>
    <row r="240" ht="15.75" customHeight="1" s="253"/>
    <row r="241" ht="15.75" customHeight="1" s="253"/>
    <row r="242" ht="15.75" customHeight="1" s="253"/>
    <row r="243" ht="15.75" customHeight="1" s="253"/>
    <row r="244" ht="15.75" customHeight="1" s="253"/>
    <row r="245" ht="15.75" customHeight="1" s="253"/>
    <row r="246" ht="15.75" customHeight="1" s="253"/>
    <row r="247" ht="15.75" customHeight="1" s="253"/>
    <row r="248" ht="15.75" customHeight="1" s="253"/>
    <row r="249" ht="15.75" customHeight="1" s="253"/>
    <row r="250" ht="15.75" customHeight="1" s="253"/>
    <row r="251" ht="15.75" customHeight="1" s="253"/>
    <row r="252" ht="15.75" customHeight="1" s="253"/>
    <row r="253" ht="15.75" customHeight="1" s="253"/>
    <row r="254" ht="15.75" customHeight="1" s="253"/>
    <row r="255" ht="15.75" customHeight="1" s="253"/>
    <row r="256" ht="15.75" customHeight="1" s="253"/>
    <row r="257" ht="15.75" customHeight="1" s="253"/>
    <row r="258" ht="15.75" customHeight="1" s="253"/>
    <row r="259" ht="15.75" customHeight="1" s="253"/>
    <row r="260" ht="15.75" customHeight="1" s="253"/>
    <row r="261" ht="15.75" customHeight="1" s="253"/>
    <row r="262" ht="15.75" customHeight="1" s="253"/>
    <row r="263" ht="15.75" customHeight="1" s="253"/>
    <row r="264" ht="15.75" customHeight="1" s="253"/>
    <row r="265" ht="15.75" customHeight="1" s="253"/>
    <row r="266" ht="15.75" customHeight="1" s="253"/>
    <row r="267" ht="15.75" customHeight="1" s="253"/>
    <row r="268" ht="15.75" customHeight="1" s="253"/>
    <row r="269" ht="15.75" customHeight="1" s="253"/>
    <row r="270" ht="15.75" customHeight="1" s="253"/>
    <row r="271" ht="15.75" customHeight="1" s="253"/>
    <row r="272" ht="15.75" customHeight="1" s="253"/>
    <row r="273" ht="15.75" customHeight="1" s="253"/>
    <row r="274" ht="15.75" customHeight="1" s="253"/>
    <row r="275" ht="15.75" customHeight="1" s="253"/>
    <row r="276" ht="15.75" customHeight="1" s="253"/>
    <row r="277" ht="15.75" customHeight="1" s="253"/>
    <row r="278" ht="15.75" customHeight="1" s="253"/>
    <row r="279" ht="15.75" customHeight="1" s="253"/>
    <row r="280" ht="15.75" customHeight="1" s="253"/>
    <row r="281" ht="15.75" customHeight="1" s="253"/>
    <row r="282" ht="15.75" customHeight="1" s="253"/>
    <row r="283" ht="15.75" customHeight="1" s="253"/>
    <row r="284" ht="15.75" customHeight="1" s="253"/>
    <row r="285" ht="15.75" customHeight="1" s="253"/>
    <row r="286" ht="15.75" customHeight="1" s="253"/>
    <row r="287" ht="15.75" customHeight="1" s="253"/>
    <row r="288" ht="15.75" customHeight="1" s="253"/>
    <row r="289" ht="15.75" customHeight="1" s="253"/>
    <row r="290" ht="15.75" customHeight="1" s="253"/>
    <row r="291" ht="15.75" customHeight="1" s="253"/>
    <row r="292" ht="15.75" customHeight="1" s="253"/>
    <row r="293" ht="15.75" customHeight="1" s="253"/>
    <row r="294" ht="15.75" customHeight="1" s="253"/>
    <row r="295" ht="15.75" customHeight="1" s="253"/>
    <row r="296" ht="15.75" customHeight="1" s="253"/>
    <row r="297" ht="15.75" customHeight="1" s="253"/>
    <row r="298" ht="15.75" customHeight="1" s="253"/>
    <row r="299" ht="15.75" customHeight="1" s="253"/>
    <row r="300" ht="15.75" customHeight="1" s="253"/>
    <row r="301" ht="15.75" customHeight="1" s="253"/>
    <row r="302" ht="15.75" customHeight="1" s="253"/>
    <row r="303" ht="15.75" customHeight="1" s="253"/>
    <row r="304" ht="15.75" customHeight="1" s="253"/>
    <row r="305" ht="15.75" customHeight="1" s="253"/>
    <row r="306" ht="15.75" customHeight="1" s="253"/>
    <row r="307" ht="15.75" customHeight="1" s="253"/>
    <row r="308" ht="15.75" customHeight="1" s="253"/>
    <row r="309" ht="15.75" customHeight="1" s="253"/>
    <row r="310" ht="15.75" customHeight="1" s="253"/>
    <row r="311" ht="15.75" customHeight="1" s="253"/>
    <row r="312" ht="15.75" customHeight="1" s="253"/>
    <row r="313" ht="15.75" customHeight="1" s="253"/>
    <row r="314" ht="15.75" customHeight="1" s="253"/>
    <row r="315" ht="15.75" customHeight="1" s="253"/>
    <row r="316" ht="15.75" customHeight="1" s="253"/>
    <row r="317" ht="15.75" customHeight="1" s="253"/>
    <row r="318" ht="15.75" customHeight="1" s="253"/>
    <row r="319" ht="15.75" customHeight="1" s="253"/>
    <row r="320" ht="15.75" customHeight="1" s="253"/>
    <row r="321" ht="15.75" customHeight="1" s="253"/>
    <row r="322" ht="15.75" customHeight="1" s="253"/>
    <row r="323" ht="15.75" customHeight="1" s="253"/>
    <row r="324" ht="15.75" customHeight="1" s="253"/>
    <row r="325" ht="15.75" customHeight="1" s="253"/>
    <row r="326" ht="15.75" customHeight="1" s="253"/>
    <row r="327" ht="15.75" customHeight="1" s="253"/>
    <row r="328" ht="15.75" customHeight="1" s="253"/>
    <row r="329" ht="15.75" customHeight="1" s="253"/>
    <row r="330" ht="15.75" customHeight="1" s="253"/>
    <row r="331" ht="15.75" customHeight="1" s="253"/>
    <row r="332" ht="15.75" customHeight="1" s="253"/>
    <row r="333" ht="15.75" customHeight="1" s="253"/>
    <row r="334" ht="15.75" customHeight="1" s="253"/>
    <row r="335" ht="15.75" customHeight="1" s="253"/>
    <row r="336" ht="15.75" customHeight="1" s="253"/>
    <row r="337" ht="15.75" customHeight="1" s="253"/>
    <row r="338" ht="15.75" customHeight="1" s="253"/>
    <row r="339" ht="15.75" customHeight="1" s="253"/>
    <row r="340" ht="15.75" customHeight="1" s="253"/>
    <row r="341" ht="15.75" customHeight="1" s="253"/>
    <row r="342" ht="15.75" customHeight="1" s="253"/>
    <row r="343" ht="15.75" customHeight="1" s="253"/>
    <row r="344" ht="15.75" customHeight="1" s="253"/>
    <row r="345" ht="15.75" customHeight="1" s="253"/>
    <row r="346" ht="15.75" customHeight="1" s="253"/>
    <row r="347" ht="15.75" customHeight="1" s="253"/>
    <row r="348" ht="15.75" customHeight="1" s="253"/>
    <row r="349" ht="15.75" customHeight="1" s="253"/>
    <row r="350" ht="15.75" customHeight="1" s="253"/>
    <row r="351" ht="15.75" customHeight="1" s="253"/>
    <row r="352" ht="15.75" customHeight="1" s="253"/>
    <row r="353" ht="15.75" customHeight="1" s="253"/>
    <row r="354" ht="15.75" customHeight="1" s="253"/>
    <row r="355" ht="15.75" customHeight="1" s="253"/>
    <row r="356" ht="15.75" customHeight="1" s="253"/>
    <row r="357" ht="15.75" customHeight="1" s="253"/>
    <row r="358" ht="15.75" customHeight="1" s="253"/>
    <row r="359" ht="15.75" customHeight="1" s="253"/>
    <row r="360" ht="15.75" customHeight="1" s="253"/>
    <row r="361" ht="15.75" customHeight="1" s="253"/>
    <row r="362" ht="15.75" customHeight="1" s="253"/>
    <row r="363" ht="15.75" customHeight="1" s="253"/>
    <row r="364" ht="15.75" customHeight="1" s="253"/>
    <row r="365" ht="15.75" customHeight="1" s="253"/>
    <row r="366" ht="15.75" customHeight="1" s="253"/>
    <row r="367" ht="15.75" customHeight="1" s="253"/>
    <row r="368" ht="15.75" customHeight="1" s="253"/>
    <row r="369" ht="15.75" customHeight="1" s="253"/>
    <row r="370" ht="15.75" customHeight="1" s="253"/>
    <row r="371" ht="15.75" customHeight="1" s="253"/>
    <row r="372" ht="15.75" customHeight="1" s="253"/>
    <row r="373" ht="15.75" customHeight="1" s="253"/>
    <row r="374" ht="15.75" customHeight="1" s="253"/>
    <row r="375" ht="15.75" customHeight="1" s="253"/>
    <row r="376" ht="15.75" customHeight="1" s="253"/>
    <row r="377" ht="15.75" customHeight="1" s="253"/>
    <row r="378" ht="15.75" customHeight="1" s="253"/>
    <row r="379" ht="15.75" customHeight="1" s="253"/>
    <row r="380" ht="15.75" customHeight="1" s="253"/>
    <row r="381" ht="15.75" customHeight="1" s="253"/>
    <row r="382" ht="15.75" customHeight="1" s="253"/>
    <row r="383" ht="15.75" customHeight="1" s="253"/>
    <row r="384" ht="15.75" customHeight="1" s="253"/>
    <row r="385" ht="15.75" customHeight="1" s="253"/>
    <row r="386" ht="15.75" customHeight="1" s="253"/>
    <row r="387" ht="15.75" customHeight="1" s="253"/>
    <row r="388" ht="15.75" customHeight="1" s="253"/>
    <row r="389" ht="15.75" customHeight="1" s="253"/>
    <row r="390" ht="15.75" customHeight="1" s="253"/>
    <row r="391" ht="15.75" customHeight="1" s="253"/>
    <row r="392" ht="15.75" customHeight="1" s="253"/>
    <row r="393" ht="15.75" customHeight="1" s="253"/>
    <row r="394" ht="15.75" customHeight="1" s="253"/>
    <row r="395" ht="15.75" customHeight="1" s="253"/>
    <row r="396" ht="15.75" customHeight="1" s="253"/>
    <row r="397" ht="15.75" customHeight="1" s="253"/>
    <row r="398" ht="15.75" customHeight="1" s="253"/>
    <row r="399" ht="15.75" customHeight="1" s="253"/>
    <row r="400" ht="15.75" customHeight="1" s="253"/>
    <row r="401" ht="15.75" customHeight="1" s="253"/>
    <row r="402" ht="15.75" customHeight="1" s="253"/>
    <row r="403" ht="15.75" customHeight="1" s="253"/>
    <row r="404" ht="15.75" customHeight="1" s="253"/>
    <row r="405" ht="15.75" customHeight="1" s="253"/>
    <row r="406" ht="15.75" customHeight="1" s="253"/>
    <row r="407" ht="15.75" customHeight="1" s="253"/>
    <row r="408" ht="15.75" customHeight="1" s="253"/>
    <row r="409" ht="15.75" customHeight="1" s="253"/>
    <row r="410" ht="15.75" customHeight="1" s="253"/>
    <row r="411" ht="15.75" customHeight="1" s="253"/>
    <row r="412" ht="15.75" customHeight="1" s="253"/>
    <row r="413" ht="15.75" customHeight="1" s="253"/>
    <row r="414" ht="15.75" customHeight="1" s="253"/>
    <row r="415" ht="15.75" customHeight="1" s="253"/>
    <row r="416" ht="15.75" customHeight="1" s="253"/>
    <row r="417" ht="15.75" customHeight="1" s="253"/>
    <row r="418" ht="15.75" customHeight="1" s="253"/>
    <row r="419" ht="15.75" customHeight="1" s="253"/>
    <row r="420" ht="15.75" customHeight="1" s="253"/>
    <row r="421" ht="15.75" customHeight="1" s="253"/>
    <row r="422" ht="15.75" customHeight="1" s="253"/>
    <row r="423" ht="15.75" customHeight="1" s="253"/>
    <row r="424" ht="15.75" customHeight="1" s="253"/>
    <row r="425" ht="15.75" customHeight="1" s="253"/>
    <row r="426" ht="15.75" customHeight="1" s="253"/>
    <row r="427" ht="15.75" customHeight="1" s="253"/>
    <row r="428" ht="15.75" customHeight="1" s="253"/>
    <row r="429" ht="15.75" customHeight="1" s="253"/>
    <row r="430" ht="15.75" customHeight="1" s="253"/>
    <row r="431" ht="15.75" customHeight="1" s="253"/>
    <row r="432" ht="15.75" customHeight="1" s="253"/>
    <row r="433" ht="15.75" customHeight="1" s="253"/>
    <row r="434" ht="15.75" customHeight="1" s="253"/>
    <row r="435" ht="15.75" customHeight="1" s="253"/>
    <row r="436" ht="15.75" customHeight="1" s="253"/>
    <row r="437" ht="15.75" customHeight="1" s="253"/>
    <row r="438" ht="15.75" customHeight="1" s="253"/>
    <row r="439" ht="15.75" customHeight="1" s="253"/>
    <row r="440" ht="15.75" customHeight="1" s="253"/>
    <row r="441" ht="15.75" customHeight="1" s="253"/>
    <row r="442" ht="15.75" customHeight="1" s="253"/>
    <row r="443" ht="15.75" customHeight="1" s="253"/>
    <row r="444" ht="15.75" customHeight="1" s="253"/>
    <row r="445" ht="15.75" customHeight="1" s="253"/>
    <row r="446" ht="15.75" customHeight="1" s="253"/>
    <row r="447" ht="15.75" customHeight="1" s="253"/>
    <row r="448" ht="15.75" customHeight="1" s="253"/>
    <row r="449" ht="15.75" customHeight="1" s="253"/>
    <row r="450" ht="15.75" customHeight="1" s="253"/>
    <row r="451" ht="15.75" customHeight="1" s="253"/>
    <row r="452" ht="15.75" customHeight="1" s="253"/>
    <row r="453" ht="15.75" customHeight="1" s="253"/>
    <row r="454" ht="15.75" customHeight="1" s="253"/>
    <row r="455" ht="15.75" customHeight="1" s="253"/>
    <row r="456" ht="15.75" customHeight="1" s="253"/>
    <row r="457" ht="15.75" customHeight="1" s="253"/>
    <row r="458" ht="15.75" customHeight="1" s="253"/>
    <row r="459" ht="15.75" customHeight="1" s="253"/>
    <row r="460" ht="15.75" customHeight="1" s="253"/>
    <row r="461" ht="15.75" customHeight="1" s="253"/>
    <row r="462" ht="15.75" customHeight="1" s="253"/>
    <row r="463" ht="15.75" customHeight="1" s="253"/>
    <row r="464" ht="15.75" customHeight="1" s="253"/>
    <row r="465" ht="15.75" customHeight="1" s="253"/>
    <row r="466" ht="15.75" customHeight="1" s="253"/>
    <row r="467" ht="15.75" customHeight="1" s="253"/>
    <row r="468" ht="15.75" customHeight="1" s="253"/>
    <row r="469" ht="15.75" customHeight="1" s="253"/>
    <row r="470" ht="15.75" customHeight="1" s="253"/>
    <row r="471" ht="15.75" customHeight="1" s="253"/>
    <row r="472" ht="15.75" customHeight="1" s="253"/>
    <row r="473" ht="15.75" customHeight="1" s="253"/>
    <row r="474" ht="15.75" customHeight="1" s="253"/>
    <row r="475" ht="15.75" customHeight="1" s="253"/>
    <row r="476" ht="15.75" customHeight="1" s="253"/>
    <row r="477" ht="15.75" customHeight="1" s="253"/>
    <row r="478" ht="15.75" customHeight="1" s="253"/>
    <row r="479" ht="15.75" customHeight="1" s="253"/>
    <row r="480" ht="15.75" customHeight="1" s="253"/>
    <row r="481" ht="15.75" customHeight="1" s="253"/>
    <row r="482" ht="15.75" customHeight="1" s="253"/>
    <row r="483" ht="15.75" customHeight="1" s="253"/>
    <row r="484" ht="15.75" customHeight="1" s="253"/>
    <row r="485" ht="15.75" customHeight="1" s="253"/>
    <row r="486" ht="15.75" customHeight="1" s="253"/>
    <row r="487" ht="15.75" customHeight="1" s="253"/>
    <row r="488" ht="15.75" customHeight="1" s="253"/>
    <row r="489" ht="15.75" customHeight="1" s="253"/>
    <row r="490" ht="15.75" customHeight="1" s="253"/>
    <row r="491" ht="15.75" customHeight="1" s="253"/>
    <row r="492" ht="15.75" customHeight="1" s="253"/>
    <row r="493" ht="15.75" customHeight="1" s="253"/>
    <row r="494" ht="15.75" customHeight="1" s="253"/>
    <row r="495" ht="15.75" customHeight="1" s="253"/>
    <row r="496" ht="15.75" customHeight="1" s="253"/>
    <row r="497" ht="15.75" customHeight="1" s="253"/>
    <row r="498" ht="15.75" customHeight="1" s="253"/>
    <row r="499" ht="15.75" customHeight="1" s="253"/>
    <row r="500" ht="15.75" customHeight="1" s="253"/>
    <row r="501" ht="15.75" customHeight="1" s="253"/>
    <row r="502" ht="15.75" customHeight="1" s="253"/>
    <row r="503" ht="15.75" customHeight="1" s="253"/>
    <row r="504" ht="15.75" customHeight="1" s="253"/>
    <row r="505" ht="15.75" customHeight="1" s="253"/>
    <row r="506" ht="15.75" customHeight="1" s="253"/>
    <row r="507" ht="15.75" customHeight="1" s="253"/>
    <row r="508" ht="15.75" customHeight="1" s="253"/>
    <row r="509" ht="15.75" customHeight="1" s="253"/>
    <row r="510" ht="15.75" customHeight="1" s="253"/>
    <row r="511" ht="15.75" customHeight="1" s="253"/>
    <row r="512" ht="15.75" customHeight="1" s="253"/>
    <row r="513" ht="15.75" customHeight="1" s="253"/>
    <row r="514" ht="15.75" customHeight="1" s="253"/>
    <row r="515" ht="15.75" customHeight="1" s="253"/>
    <row r="516" ht="15.75" customHeight="1" s="253"/>
    <row r="517" ht="15.75" customHeight="1" s="253"/>
    <row r="518" ht="15.75" customHeight="1" s="253"/>
    <row r="519" ht="15.75" customHeight="1" s="253"/>
    <row r="520" ht="15.75" customHeight="1" s="253"/>
    <row r="521" ht="15.75" customHeight="1" s="253"/>
    <row r="522" ht="15.75" customHeight="1" s="253"/>
    <row r="523" ht="15.75" customHeight="1" s="253"/>
    <row r="524" ht="15.75" customHeight="1" s="253"/>
    <row r="525" ht="15.75" customHeight="1" s="253"/>
    <row r="526" ht="15.75" customHeight="1" s="253"/>
    <row r="527" ht="15.75" customHeight="1" s="253"/>
    <row r="528" ht="15.75" customHeight="1" s="253"/>
    <row r="529" ht="15.75" customHeight="1" s="253"/>
    <row r="530" ht="15.75" customHeight="1" s="253"/>
    <row r="531" ht="15.75" customHeight="1" s="253"/>
    <row r="532" ht="15.75" customHeight="1" s="253"/>
    <row r="533" ht="15.75" customHeight="1" s="253"/>
    <row r="534" ht="15.75" customHeight="1" s="253"/>
    <row r="535" ht="15.75" customHeight="1" s="253"/>
    <row r="536" ht="15.75" customHeight="1" s="253"/>
    <row r="537" ht="15.75" customHeight="1" s="253"/>
    <row r="538" ht="15.75" customHeight="1" s="253"/>
    <row r="539" ht="15.75" customHeight="1" s="253"/>
    <row r="540" ht="15.75" customHeight="1" s="253"/>
    <row r="541" ht="15.75" customHeight="1" s="253"/>
    <row r="542" ht="15.75" customHeight="1" s="253"/>
    <row r="543" ht="15.75" customHeight="1" s="253"/>
    <row r="544" ht="15.75" customHeight="1" s="253"/>
    <row r="545" ht="15.75" customHeight="1" s="253"/>
    <row r="546" ht="15.75" customHeight="1" s="253"/>
    <row r="547" ht="15.75" customHeight="1" s="253"/>
    <row r="548" ht="15.75" customHeight="1" s="253"/>
    <row r="549" ht="15.75" customHeight="1" s="253"/>
    <row r="550" ht="15.75" customHeight="1" s="253"/>
    <row r="551" ht="15.75" customHeight="1" s="253"/>
    <row r="552" ht="15.75" customHeight="1" s="253"/>
    <row r="553" ht="15.75" customHeight="1" s="253"/>
    <row r="554" ht="15.75" customHeight="1" s="253"/>
    <row r="555" ht="15.75" customHeight="1" s="253"/>
    <row r="556" ht="15.75" customHeight="1" s="253"/>
    <row r="557" ht="15.75" customHeight="1" s="253"/>
    <row r="558" ht="15.75" customHeight="1" s="253"/>
    <row r="559" ht="15.75" customHeight="1" s="253"/>
    <row r="560" ht="15.75" customHeight="1" s="253"/>
    <row r="561" ht="15.75" customHeight="1" s="253"/>
    <row r="562" ht="15.75" customHeight="1" s="253"/>
    <row r="563" ht="15.75" customHeight="1" s="253"/>
    <row r="564" ht="15.75" customHeight="1" s="253"/>
    <row r="565" ht="15.75" customHeight="1" s="253"/>
    <row r="566" ht="15.75" customHeight="1" s="253"/>
    <row r="567" ht="15.75" customHeight="1" s="253"/>
    <row r="568" ht="15.75" customHeight="1" s="253"/>
    <row r="569" ht="15.75" customHeight="1" s="253"/>
    <row r="570" ht="15.75" customHeight="1" s="253"/>
    <row r="571" ht="15.75" customHeight="1" s="253"/>
    <row r="572" ht="15.75" customHeight="1" s="253"/>
    <row r="573" ht="15.75" customHeight="1" s="253"/>
    <row r="574" ht="15.75" customHeight="1" s="253"/>
    <row r="575" ht="15.75" customHeight="1" s="253"/>
    <row r="576" ht="15.75" customHeight="1" s="253"/>
    <row r="577" ht="15.75" customHeight="1" s="253"/>
    <row r="578" ht="15.75" customHeight="1" s="253"/>
    <row r="579" ht="15.75" customHeight="1" s="253"/>
    <row r="580" ht="15.75" customHeight="1" s="253"/>
    <row r="581" ht="15.75" customHeight="1" s="253"/>
    <row r="582" ht="15.75" customHeight="1" s="253"/>
    <row r="583" ht="15.75" customHeight="1" s="253"/>
    <row r="584" ht="15.75" customHeight="1" s="253"/>
    <row r="585" ht="15.75" customHeight="1" s="253"/>
    <row r="586" ht="15.75" customHeight="1" s="253"/>
    <row r="587" ht="15.75" customHeight="1" s="253"/>
    <row r="588" ht="15.75" customHeight="1" s="253"/>
    <row r="589" ht="15.75" customHeight="1" s="253"/>
    <row r="590" ht="15.75" customHeight="1" s="253"/>
    <row r="591" ht="15.75" customHeight="1" s="253"/>
    <row r="592" ht="15.75" customHeight="1" s="253"/>
    <row r="593" ht="15.75" customHeight="1" s="253"/>
    <row r="594" ht="15.75" customHeight="1" s="253"/>
    <row r="595" ht="15.75" customHeight="1" s="253"/>
    <row r="596" ht="15.75" customHeight="1" s="253"/>
    <row r="597" ht="15.75" customHeight="1" s="253"/>
    <row r="598" ht="15.75" customHeight="1" s="253"/>
    <row r="599" ht="15.75" customHeight="1" s="253"/>
    <row r="600" ht="15.75" customHeight="1" s="253"/>
    <row r="601" ht="15.75" customHeight="1" s="253"/>
    <row r="602" ht="15.75" customHeight="1" s="253"/>
    <row r="603" ht="15.75" customHeight="1" s="253"/>
    <row r="604" ht="15.75" customHeight="1" s="253"/>
    <row r="605" ht="15.75" customHeight="1" s="253"/>
    <row r="606" ht="15.75" customHeight="1" s="253"/>
    <row r="607" ht="15.75" customHeight="1" s="253"/>
    <row r="608" ht="15.75" customHeight="1" s="253"/>
    <row r="609" ht="15.75" customHeight="1" s="253"/>
    <row r="610" ht="15.75" customHeight="1" s="253"/>
    <row r="611" ht="15.75" customHeight="1" s="253"/>
    <row r="612" ht="15.75" customHeight="1" s="253"/>
    <row r="613" ht="15.75" customHeight="1" s="253"/>
    <row r="614" ht="15.75" customHeight="1" s="253"/>
    <row r="615" ht="15.75" customHeight="1" s="253"/>
    <row r="616" ht="15.75" customHeight="1" s="253"/>
    <row r="617" ht="15.75" customHeight="1" s="253"/>
    <row r="618" ht="15.75" customHeight="1" s="253"/>
    <row r="619" ht="15.75" customHeight="1" s="253"/>
    <row r="620" ht="15.75" customHeight="1" s="253"/>
    <row r="621" ht="15.75" customHeight="1" s="253"/>
    <row r="622" ht="15.75" customHeight="1" s="253"/>
    <row r="623" ht="15.75" customHeight="1" s="253"/>
    <row r="624" ht="15.75" customHeight="1" s="253"/>
    <row r="625" ht="15.75" customHeight="1" s="253"/>
    <row r="626" ht="15.75" customHeight="1" s="253"/>
    <row r="627" ht="15.75" customHeight="1" s="253"/>
    <row r="628" ht="15.75" customHeight="1" s="253"/>
    <row r="629" ht="15.75" customHeight="1" s="253"/>
    <row r="630" ht="15.75" customHeight="1" s="253"/>
    <row r="631" ht="15.75" customHeight="1" s="253"/>
    <row r="632" ht="15.75" customHeight="1" s="253"/>
    <row r="633" ht="15.75" customHeight="1" s="253"/>
    <row r="634" ht="15.75" customHeight="1" s="253"/>
    <row r="635" ht="15.75" customHeight="1" s="253"/>
    <row r="636" ht="15.75" customHeight="1" s="253"/>
    <row r="637" ht="15.75" customHeight="1" s="253"/>
    <row r="638" ht="15.75" customHeight="1" s="253"/>
    <row r="639" ht="15.75" customHeight="1" s="253"/>
    <row r="640" ht="15.75" customHeight="1" s="253"/>
    <row r="641" ht="15.75" customHeight="1" s="253"/>
    <row r="642" ht="15.75" customHeight="1" s="253"/>
    <row r="643" ht="15.75" customHeight="1" s="253"/>
    <row r="644" ht="15.75" customHeight="1" s="253"/>
    <row r="645" ht="15.75" customHeight="1" s="253"/>
    <row r="646" ht="15.75" customHeight="1" s="253"/>
    <row r="647" ht="15.75" customHeight="1" s="253"/>
    <row r="648" ht="15.75" customHeight="1" s="253"/>
    <row r="649" ht="15.75" customHeight="1" s="253"/>
    <row r="650" ht="15.75" customHeight="1" s="253"/>
    <row r="651" ht="15.75" customHeight="1" s="253"/>
    <row r="652" ht="15.75" customHeight="1" s="253"/>
    <row r="653" ht="15.75" customHeight="1" s="253"/>
    <row r="654" ht="15.75" customHeight="1" s="253"/>
    <row r="655" ht="15.75" customHeight="1" s="253"/>
    <row r="656" ht="15.75" customHeight="1" s="253"/>
    <row r="657" ht="15.75" customHeight="1" s="253"/>
    <row r="658" ht="15.75" customHeight="1" s="253"/>
    <row r="659" ht="15.75" customHeight="1" s="253"/>
    <row r="660" ht="15.75" customHeight="1" s="253"/>
    <row r="661" ht="15.75" customHeight="1" s="253"/>
    <row r="662" ht="15.75" customHeight="1" s="253"/>
    <row r="663" ht="15.75" customHeight="1" s="253"/>
    <row r="664" ht="15.75" customHeight="1" s="253"/>
    <row r="665" ht="15.75" customHeight="1" s="253"/>
    <row r="666" ht="15.75" customHeight="1" s="253"/>
    <row r="667" ht="15.75" customHeight="1" s="253"/>
    <row r="668" ht="15.75" customHeight="1" s="253"/>
    <row r="669" ht="15.75" customHeight="1" s="253"/>
    <row r="670" ht="15.75" customHeight="1" s="253"/>
    <row r="671" ht="15.75" customHeight="1" s="253"/>
    <row r="672" ht="15.75" customHeight="1" s="253"/>
    <row r="673" ht="15.75" customHeight="1" s="253"/>
    <row r="674" ht="15.75" customHeight="1" s="253"/>
    <row r="675" ht="15.75" customHeight="1" s="253"/>
    <row r="676" ht="15.75" customHeight="1" s="253"/>
    <row r="677" ht="15.75" customHeight="1" s="253"/>
    <row r="678" ht="15.75" customHeight="1" s="253"/>
    <row r="679" ht="15.75" customHeight="1" s="253"/>
    <row r="680" ht="15.75" customHeight="1" s="253"/>
    <row r="681" ht="15.75" customHeight="1" s="253"/>
    <row r="682" ht="15.75" customHeight="1" s="253"/>
    <row r="683" ht="15.75" customHeight="1" s="253"/>
    <row r="684" ht="15.75" customHeight="1" s="253"/>
    <row r="685" ht="15.75" customHeight="1" s="253"/>
    <row r="686" ht="15.75" customHeight="1" s="253"/>
    <row r="687" ht="15.75" customHeight="1" s="253"/>
    <row r="688" ht="15.75" customHeight="1" s="253"/>
    <row r="689" ht="15.75" customHeight="1" s="253"/>
    <row r="690" ht="15.75" customHeight="1" s="253"/>
    <row r="691" ht="15.75" customHeight="1" s="253"/>
    <row r="692" ht="15.75" customHeight="1" s="253"/>
    <row r="693" ht="15.75" customHeight="1" s="253"/>
    <row r="694" ht="15.75" customHeight="1" s="253"/>
    <row r="695" ht="15.75" customHeight="1" s="253"/>
    <row r="696" ht="15.75" customHeight="1" s="253"/>
    <row r="697" ht="15.75" customHeight="1" s="253"/>
    <row r="698" ht="15.75" customHeight="1" s="253"/>
    <row r="699" ht="15.75" customHeight="1" s="253"/>
    <row r="700" ht="15.75" customHeight="1" s="253"/>
    <row r="701" ht="15.75" customHeight="1" s="253"/>
    <row r="702" ht="15.75" customHeight="1" s="253"/>
    <row r="703" ht="15.75" customHeight="1" s="253"/>
    <row r="704" ht="15.75" customHeight="1" s="253"/>
    <row r="705" ht="15.75" customHeight="1" s="253"/>
    <row r="706" ht="15.75" customHeight="1" s="253"/>
    <row r="707" ht="15.75" customHeight="1" s="253"/>
    <row r="708" ht="15.75" customHeight="1" s="253"/>
    <row r="709" ht="15.75" customHeight="1" s="253"/>
    <row r="710" ht="15.75" customHeight="1" s="253"/>
    <row r="711" ht="15.75" customHeight="1" s="253"/>
    <row r="712" ht="15.75" customHeight="1" s="253"/>
    <row r="713" ht="15.75" customHeight="1" s="253"/>
    <row r="714" ht="15.75" customHeight="1" s="253"/>
    <row r="715" ht="15.75" customHeight="1" s="253"/>
    <row r="716" ht="15.75" customHeight="1" s="253"/>
    <row r="717" ht="15.75" customHeight="1" s="253"/>
    <row r="718" ht="15.75" customHeight="1" s="253"/>
    <row r="719" ht="15.75" customHeight="1" s="253"/>
    <row r="720" ht="15.75" customHeight="1" s="253"/>
    <row r="721" ht="15.75" customHeight="1" s="253"/>
    <row r="722" ht="15.75" customHeight="1" s="253"/>
    <row r="723" ht="15.75" customHeight="1" s="253"/>
    <row r="724" ht="15.75" customHeight="1" s="253"/>
    <row r="725" ht="15.75" customHeight="1" s="253"/>
    <row r="726" ht="15.75" customHeight="1" s="253"/>
    <row r="727" ht="15.75" customHeight="1" s="253"/>
    <row r="728" ht="15.75" customHeight="1" s="253"/>
    <row r="729" ht="15.75" customHeight="1" s="253"/>
    <row r="730" ht="15.75" customHeight="1" s="253"/>
    <row r="731" ht="15.75" customHeight="1" s="253"/>
    <row r="732" ht="15.75" customHeight="1" s="253"/>
    <row r="733" ht="15.75" customHeight="1" s="253"/>
    <row r="734" ht="15.75" customHeight="1" s="253"/>
    <row r="735" ht="15.75" customHeight="1" s="253"/>
    <row r="736" ht="15.75" customHeight="1" s="253"/>
    <row r="737" ht="15.75" customHeight="1" s="253"/>
    <row r="738" ht="15.75" customHeight="1" s="253"/>
    <row r="739" ht="15.75" customHeight="1" s="253"/>
    <row r="740" ht="15.75" customHeight="1" s="253"/>
    <row r="741" ht="15.75" customHeight="1" s="253"/>
    <row r="742" ht="15.75" customHeight="1" s="253"/>
    <row r="743" ht="15.75" customHeight="1" s="253"/>
    <row r="744" ht="15.75" customHeight="1" s="253"/>
    <row r="745" ht="15.75" customHeight="1" s="253"/>
    <row r="746" ht="15.75" customHeight="1" s="253"/>
    <row r="747" ht="15.75" customHeight="1" s="253"/>
    <row r="748" ht="15.75" customHeight="1" s="253"/>
    <row r="749" ht="15.75" customHeight="1" s="253"/>
    <row r="750" ht="15.75" customHeight="1" s="253"/>
    <row r="751" ht="15.75" customHeight="1" s="253"/>
    <row r="752" ht="15.75" customHeight="1" s="253"/>
    <row r="753" ht="15.75" customHeight="1" s="253"/>
    <row r="754" ht="15.75" customHeight="1" s="253"/>
    <row r="755" ht="15.75" customHeight="1" s="253"/>
    <row r="756" ht="15.75" customHeight="1" s="253"/>
    <row r="757" ht="15.75" customHeight="1" s="253"/>
    <row r="758" ht="15.75" customHeight="1" s="253"/>
    <row r="759" ht="15.75" customHeight="1" s="253"/>
    <row r="760" ht="15.75" customHeight="1" s="253"/>
    <row r="761" ht="15.75" customHeight="1" s="253"/>
    <row r="762" ht="15.75" customHeight="1" s="253"/>
    <row r="763" ht="15.75" customHeight="1" s="253"/>
    <row r="764" ht="15.75" customHeight="1" s="253"/>
    <row r="765" ht="15.75" customHeight="1" s="253"/>
    <row r="766" ht="15.75" customHeight="1" s="253"/>
    <row r="767" ht="15.75" customHeight="1" s="253"/>
    <row r="768" ht="15.75" customHeight="1" s="253"/>
    <row r="769" ht="15.75" customHeight="1" s="253"/>
    <row r="770" ht="15.75" customHeight="1" s="253"/>
    <row r="771" ht="15.75" customHeight="1" s="253"/>
    <row r="772" ht="15.75" customHeight="1" s="253"/>
    <row r="773" ht="15.75" customHeight="1" s="253"/>
    <row r="774" ht="15.75" customHeight="1" s="253"/>
    <row r="775" ht="15.75" customHeight="1" s="253"/>
    <row r="776" ht="15.75" customHeight="1" s="253"/>
    <row r="777" ht="15.75" customHeight="1" s="253"/>
    <row r="778" ht="15.75" customHeight="1" s="253"/>
    <row r="779" ht="15.75" customHeight="1" s="253"/>
    <row r="780" ht="15.75" customHeight="1" s="253"/>
    <row r="781" ht="15.75" customHeight="1" s="253"/>
    <row r="782" ht="15.75" customHeight="1" s="253"/>
    <row r="783" ht="15.75" customHeight="1" s="253"/>
    <row r="784" ht="15.75" customHeight="1" s="253"/>
    <row r="785" ht="15.75" customHeight="1" s="253"/>
    <row r="786" ht="15.75" customHeight="1" s="253"/>
    <row r="787" ht="15.75" customHeight="1" s="253"/>
    <row r="788" ht="15.75" customHeight="1" s="253"/>
    <row r="789" ht="15.75" customHeight="1" s="253"/>
    <row r="790" ht="15.75" customHeight="1" s="253"/>
    <row r="791" ht="15.75" customHeight="1" s="253"/>
    <row r="792" ht="15.75" customHeight="1" s="253"/>
    <row r="793" ht="15.75" customHeight="1" s="253"/>
    <row r="794" ht="15.75" customHeight="1" s="253"/>
    <row r="795" ht="15.75" customHeight="1" s="253"/>
    <row r="796" ht="15.75" customHeight="1" s="253"/>
    <row r="797" ht="15.75" customHeight="1" s="253"/>
    <row r="798" ht="15.75" customHeight="1" s="253"/>
    <row r="799" ht="15.75" customHeight="1" s="253"/>
    <row r="800" ht="15.75" customHeight="1" s="253"/>
    <row r="801" ht="15.75" customHeight="1" s="253"/>
    <row r="802" ht="15.75" customHeight="1" s="253"/>
    <row r="803" ht="15.75" customHeight="1" s="253"/>
    <row r="804" ht="15.75" customHeight="1" s="253"/>
    <row r="805" ht="15.75" customHeight="1" s="253"/>
    <row r="806" ht="15.75" customHeight="1" s="253"/>
    <row r="807" ht="15.75" customHeight="1" s="253"/>
    <row r="808" ht="15.75" customHeight="1" s="253"/>
    <row r="809" ht="15.75" customHeight="1" s="253"/>
    <row r="810" ht="15.75" customHeight="1" s="253"/>
    <row r="811" ht="15.75" customHeight="1" s="253"/>
    <row r="812" ht="15.75" customHeight="1" s="253"/>
    <row r="813" ht="15.75" customHeight="1" s="253"/>
    <row r="814" ht="15.75" customHeight="1" s="253"/>
    <row r="815" ht="15.75" customHeight="1" s="253"/>
    <row r="816" ht="15.75" customHeight="1" s="253"/>
    <row r="817" ht="15.75" customHeight="1" s="253"/>
    <row r="818" ht="15.75" customHeight="1" s="253"/>
    <row r="819" ht="15.75" customHeight="1" s="253"/>
    <row r="820" ht="15.75" customHeight="1" s="253"/>
    <row r="821" ht="15.75" customHeight="1" s="253"/>
    <row r="822" ht="15.75" customHeight="1" s="253"/>
    <row r="823" ht="15.75" customHeight="1" s="253"/>
    <row r="824" ht="15.75" customHeight="1" s="253"/>
    <row r="825" ht="15.75" customHeight="1" s="253"/>
    <row r="826" ht="15.75" customHeight="1" s="253"/>
    <row r="827" ht="15.75" customHeight="1" s="253"/>
    <row r="828" ht="15.75" customHeight="1" s="253"/>
    <row r="829" ht="15.75" customHeight="1" s="253"/>
    <row r="830" ht="15.75" customHeight="1" s="253"/>
    <row r="831" ht="15.75" customHeight="1" s="253"/>
    <row r="832" ht="15.75" customHeight="1" s="253"/>
    <row r="833" ht="15.75" customHeight="1" s="253"/>
    <row r="834" ht="15.75" customHeight="1" s="253"/>
    <row r="835" ht="15.75" customHeight="1" s="253"/>
    <row r="836" ht="15.75" customHeight="1" s="253"/>
    <row r="837" ht="15.75" customHeight="1" s="253"/>
    <row r="838" ht="15.75" customHeight="1" s="253"/>
    <row r="839" ht="15.75" customHeight="1" s="253"/>
    <row r="840" ht="15.75" customHeight="1" s="253"/>
    <row r="841" ht="15.75" customHeight="1" s="253"/>
    <row r="842" ht="15.75" customHeight="1" s="253"/>
    <row r="843" ht="15.75" customHeight="1" s="253"/>
    <row r="844" ht="15.75" customHeight="1" s="253"/>
    <row r="845" ht="15.75" customHeight="1" s="253"/>
    <row r="846" ht="15.75" customHeight="1" s="253"/>
    <row r="847" ht="15.75" customHeight="1" s="253"/>
    <row r="848" ht="15.75" customHeight="1" s="253"/>
    <row r="849" ht="15.75" customHeight="1" s="253"/>
    <row r="850" ht="15.75" customHeight="1" s="253"/>
    <row r="851" ht="15.75" customHeight="1" s="253"/>
    <row r="852" ht="15.75" customHeight="1" s="253"/>
    <row r="853" ht="15.75" customHeight="1" s="253"/>
    <row r="854" ht="15.75" customHeight="1" s="253"/>
    <row r="855" ht="15.75" customHeight="1" s="253"/>
    <row r="856" ht="15.75" customHeight="1" s="253"/>
    <row r="857" ht="15.75" customHeight="1" s="253"/>
    <row r="858" ht="15.75" customHeight="1" s="253"/>
    <row r="859" ht="15.75" customHeight="1" s="253"/>
    <row r="860" ht="15.75" customHeight="1" s="253"/>
    <row r="861" ht="15.75" customHeight="1" s="253"/>
    <row r="862" ht="15.75" customHeight="1" s="253"/>
    <row r="863" ht="15.75" customHeight="1" s="253"/>
    <row r="864" ht="15.75" customHeight="1" s="253"/>
    <row r="865" ht="15.75" customHeight="1" s="253"/>
    <row r="866" ht="15.75" customHeight="1" s="253"/>
    <row r="867" ht="15.75" customHeight="1" s="253"/>
    <row r="868" ht="15.75" customHeight="1" s="253"/>
    <row r="869" ht="15.75" customHeight="1" s="253"/>
    <row r="870" ht="15.75" customHeight="1" s="253"/>
    <row r="871" ht="15.75" customHeight="1" s="253"/>
    <row r="872" ht="15.75" customHeight="1" s="253"/>
    <row r="873" ht="15.75" customHeight="1" s="253"/>
    <row r="874" ht="15.75" customHeight="1" s="253"/>
    <row r="875" ht="15.75" customHeight="1" s="253"/>
    <row r="876" ht="15.75" customHeight="1" s="253"/>
    <row r="877" ht="15.75" customHeight="1" s="253"/>
    <row r="878" ht="15.75" customHeight="1" s="253"/>
    <row r="879" ht="15.75" customHeight="1" s="253"/>
    <row r="880" ht="15.75" customHeight="1" s="253"/>
    <row r="881" ht="15.75" customHeight="1" s="253"/>
    <row r="882" ht="15.75" customHeight="1" s="253"/>
    <row r="883" ht="15.75" customHeight="1" s="253"/>
    <row r="884" ht="15.75" customHeight="1" s="253"/>
    <row r="885" ht="15.75" customHeight="1" s="253"/>
    <row r="886" ht="15.75" customHeight="1" s="253"/>
    <row r="887" ht="15.75" customHeight="1" s="253"/>
    <row r="888" ht="15.75" customHeight="1" s="253"/>
    <row r="889" ht="15.75" customHeight="1" s="253"/>
    <row r="890" ht="15.75" customHeight="1" s="253"/>
    <row r="891" ht="15.75" customHeight="1" s="253"/>
    <row r="892" ht="15.75" customHeight="1" s="253"/>
    <row r="893" ht="15.75" customHeight="1" s="253"/>
    <row r="894" ht="15.75" customHeight="1" s="253"/>
    <row r="895" ht="15.75" customHeight="1" s="253"/>
    <row r="896" ht="15.75" customHeight="1" s="253"/>
    <row r="897" ht="15.75" customHeight="1" s="253"/>
    <row r="898" ht="15.75" customHeight="1" s="253"/>
    <row r="899" ht="15.75" customHeight="1" s="253"/>
    <row r="900" ht="15.75" customHeight="1" s="253"/>
    <row r="901" ht="15.75" customHeight="1" s="253"/>
    <row r="902" ht="15.75" customHeight="1" s="253"/>
    <row r="903" ht="15.75" customHeight="1" s="253"/>
    <row r="904" ht="15.75" customHeight="1" s="253"/>
    <row r="905" ht="15.75" customHeight="1" s="253"/>
    <row r="906" ht="15.75" customHeight="1" s="253"/>
    <row r="907" ht="15.75" customHeight="1" s="253"/>
    <row r="908" ht="15.75" customHeight="1" s="253"/>
    <row r="909" ht="15.75" customHeight="1" s="253"/>
    <row r="910" ht="15.75" customHeight="1" s="253"/>
    <row r="911" ht="15.75" customHeight="1" s="253"/>
    <row r="912" ht="15.75" customHeight="1" s="253"/>
    <row r="913" ht="15.75" customHeight="1" s="253"/>
    <row r="914" ht="15.75" customHeight="1" s="253"/>
    <row r="915" ht="15.75" customHeight="1" s="253"/>
    <row r="916" ht="15.75" customHeight="1" s="253"/>
    <row r="917" ht="15.75" customHeight="1" s="253"/>
    <row r="918" ht="15.75" customHeight="1" s="253"/>
    <row r="919" ht="15.75" customHeight="1" s="253"/>
    <row r="920" ht="15.75" customHeight="1" s="253"/>
    <row r="921" ht="15.75" customHeight="1" s="253"/>
    <row r="922" ht="15.75" customHeight="1" s="253"/>
    <row r="923" ht="15.75" customHeight="1" s="253"/>
    <row r="924" ht="15.75" customHeight="1" s="253"/>
    <row r="925" ht="15.75" customHeight="1" s="253"/>
    <row r="926" ht="15.75" customHeight="1" s="253"/>
    <row r="927" ht="15.75" customHeight="1" s="253"/>
    <row r="928" ht="15.75" customHeight="1" s="253"/>
    <row r="929" ht="15.75" customHeight="1" s="253"/>
    <row r="930" ht="15.75" customHeight="1" s="253"/>
    <row r="931" ht="15.75" customHeight="1" s="253"/>
    <row r="932" ht="15.75" customHeight="1" s="253"/>
    <row r="933" ht="15.75" customHeight="1" s="253"/>
    <row r="934" ht="15.75" customHeight="1" s="253"/>
    <row r="935" ht="15.75" customHeight="1" s="253"/>
    <row r="936" ht="15.75" customHeight="1" s="253"/>
    <row r="937" ht="15.75" customHeight="1" s="253"/>
    <row r="938" ht="15.75" customHeight="1" s="253"/>
    <row r="939" ht="15.75" customHeight="1" s="253"/>
    <row r="940" ht="15.75" customHeight="1" s="253"/>
    <row r="941" ht="15.75" customHeight="1" s="253"/>
    <row r="942" ht="15.75" customHeight="1" s="253"/>
    <row r="943" ht="15.75" customHeight="1" s="253"/>
    <row r="944" ht="15.75" customHeight="1" s="253"/>
    <row r="945" ht="15.75" customHeight="1" s="253"/>
    <row r="946" ht="15.75" customHeight="1" s="253"/>
    <row r="947" ht="15.75" customHeight="1" s="253"/>
    <row r="948" ht="15.75" customHeight="1" s="253"/>
    <row r="949" ht="15.75" customHeight="1" s="253"/>
    <row r="950" ht="15.75" customHeight="1" s="253"/>
    <row r="951" ht="15.75" customHeight="1" s="253"/>
    <row r="952" ht="15.75" customHeight="1" s="253"/>
    <row r="953" ht="15.75" customHeight="1" s="253"/>
    <row r="954" ht="15.75" customHeight="1" s="253"/>
    <row r="955" ht="15.75" customHeight="1" s="253"/>
    <row r="956" ht="15.75" customHeight="1" s="253"/>
    <row r="957" ht="15.75" customHeight="1" s="253"/>
    <row r="958" ht="15.75" customHeight="1" s="253"/>
    <row r="959" ht="15.75" customHeight="1" s="253"/>
    <row r="960" ht="15.75" customHeight="1" s="253"/>
    <row r="961" ht="15.75" customHeight="1" s="253"/>
    <row r="962" ht="15.75" customHeight="1" s="253"/>
    <row r="963" ht="15.75" customHeight="1" s="253"/>
    <row r="964" ht="15.75" customHeight="1" s="253"/>
    <row r="965" ht="15.75" customHeight="1" s="253"/>
    <row r="966" ht="15.75" customHeight="1" s="253"/>
    <row r="967" ht="15.75" customHeight="1" s="253"/>
    <row r="968" ht="15.75" customHeight="1" s="253"/>
    <row r="969" ht="15.75" customHeight="1" s="253"/>
    <row r="970" ht="15.75" customHeight="1" s="253"/>
    <row r="971" ht="15.75" customHeight="1" s="253"/>
    <row r="972" ht="15.75" customHeight="1" s="253"/>
    <row r="973" ht="15.75" customHeight="1" s="253"/>
    <row r="974" ht="15.75" customHeight="1" s="253"/>
    <row r="975" ht="15.75" customHeight="1" s="253"/>
    <row r="976" ht="15.75" customHeight="1" s="253"/>
    <row r="977" ht="15.75" customHeight="1" s="253"/>
    <row r="978" ht="15.75" customHeight="1" s="253"/>
    <row r="979" ht="15.75" customHeight="1" s="253"/>
    <row r="980" ht="15.75" customHeight="1" s="253"/>
    <row r="981" ht="15.75" customHeight="1" s="253"/>
    <row r="982" ht="15.75" customHeight="1" s="253"/>
    <row r="983" ht="15.75" customHeight="1" s="253"/>
    <row r="984" ht="15.75" customHeight="1" s="253"/>
    <row r="985" ht="15.75" customHeight="1" s="253"/>
    <row r="986" ht="15.75" customHeight="1" s="253"/>
    <row r="987" ht="15.75" customHeight="1" s="253"/>
    <row r="988" ht="15.75" customHeight="1" s="253"/>
    <row r="989" ht="15.75" customHeight="1" s="253"/>
    <row r="990" ht="15.75" customHeight="1" s="253"/>
    <row r="991" ht="15.75" customHeight="1" s="253"/>
    <row r="992" ht="15.75" customHeight="1" s="253"/>
    <row r="993" ht="15.75" customHeight="1" s="253"/>
    <row r="994" ht="15.75" customHeight="1" s="253"/>
    <row r="995" ht="15.75" customHeight="1" s="253"/>
    <row r="996" ht="15.75" customHeight="1" s="253"/>
    <row r="997" ht="15.75" customHeight="1" s="253"/>
    <row r="998" ht="15.75" customHeight="1" s="253"/>
    <row r="999" ht="15.75" customHeight="1" s="253"/>
  </sheetData>
  <mergeCells count="5">
    <mergeCell ref="B6:C6"/>
    <mergeCell ref="B16:C16"/>
    <mergeCell ref="B7:C7"/>
    <mergeCell ref="B2:F2"/>
    <mergeCell ref="A3:P3"/>
  </mergeCells>
  <pageMargins left="0.7" right="0.7" top="0.75" bottom="0.75" header="0" footer="0"/>
  <pageSetup orientation="landscape" scale="40"/>
</worksheet>
</file>

<file path=xl/worksheets/sheet3.xml><?xml version="1.0" encoding="utf-8"?>
<worksheet xmlns="http://schemas.openxmlformats.org/spreadsheetml/2006/main">
  <sheetPr>
    <outlinePr summaryBelow="1" summaryRight="1"/>
    <pageSetUpPr/>
  </sheetPr>
  <dimension ref="A1:AA152"/>
  <sheetViews>
    <sheetView workbookViewId="0">
      <selection activeCell="A1" sqref="A1"/>
    </sheetView>
  </sheetViews>
  <sheetFormatPr baseColWidth="8" defaultColWidth="14.43" defaultRowHeight="15" customHeight="1"/>
  <cols>
    <col width="6.57" customWidth="1" style="253" min="1" max="1"/>
    <col width="13.71" customWidth="1" style="253" min="2" max="2"/>
    <col width="58.29" customWidth="1" style="253" min="3" max="3"/>
    <col width="16" customWidth="1" style="253" min="4" max="6"/>
    <col width="13.57" customWidth="1" style="253" min="7" max="7"/>
    <col width="19.57" customWidth="1" style="253" min="8" max="8"/>
    <col width="29" customWidth="1" style="253" min="9" max="9"/>
    <col width="27.57" customWidth="1" style="253" min="10" max="10"/>
    <col width="17" customWidth="1" style="253" min="11" max="11"/>
    <col width="22.86" customWidth="1" style="253" min="12" max="12"/>
    <col width="19.57" customWidth="1" style="253" min="13" max="13"/>
    <col width="22.86" customWidth="1" style="253" min="14" max="14"/>
    <col width="24.14" customWidth="1" style="253" min="15" max="15"/>
    <col width="21.86" customWidth="1" style="253" min="16" max="16"/>
    <col width="8.710000000000001" customWidth="1" style="253" min="17" max="27"/>
  </cols>
  <sheetData>
    <row r="1" ht="36.75" customHeight="1" s="253">
      <c r="A1" s="1" t="inlineStr">
        <is>
          <t xml:space="preserve">TRUNG TÂM KIỂM SOÁT BỆNH TẬT THÀNH PHỐ ĐÀ NẴNG
KHOA DƯỢC -VTYT
</t>
        </is>
      </c>
      <c r="H1" s="1" t="n"/>
    </row>
    <row r="2" ht="30" customHeight="1" s="253">
      <c r="H2" s="1" t="n"/>
      <c r="M2" s="28">
        <f>'Sửa chữa'!M5+'Bảo trì'!M6+L6</f>
        <v/>
      </c>
    </row>
    <row r="3" ht="57.75" customHeight="1" s="253">
      <c r="A3" s="3" t="inlineStr">
        <is>
          <t xml:space="preserve">
BẢNG THEO DÕI THỜI GIAN HIỆU CHUẨN, THỬ NGHIỆM, KIỂM ĐỊNH, KIỂM XẠ MÁY MÓC, TBYT NĂM 2026 
 (Tính đến 22/8/2026)</t>
        </is>
      </c>
    </row>
    <row r="5" ht="111" customHeight="1" s="253">
      <c r="A5" s="6" t="inlineStr">
        <is>
          <t>STT</t>
        </is>
      </c>
      <c r="B5" s="41" t="inlineStr">
        <is>
          <t>Mã quản 
lý TBYT</t>
        </is>
      </c>
      <c r="C5" s="41" t="inlineStr">
        <is>
          <t>Tên thiết bị</t>
        </is>
      </c>
      <c r="D5" s="41" t="inlineStr">
        <is>
          <t>Năm đưa vào sử dụng</t>
        </is>
      </c>
      <c r="E5" s="41" t="inlineStr">
        <is>
          <t>Bộ phận sử dụng</t>
        </is>
      </c>
      <c r="F5" s="41" t="inlineStr">
        <is>
          <t>Ngày đề xuất</t>
        </is>
      </c>
      <c r="G5" s="41" t="inlineStr">
        <is>
          <t>Số lượng
 đề xuất</t>
        </is>
      </c>
      <c r="H5" s="41" t="inlineStr">
        <is>
          <t xml:space="preserve">Ngày trình phê duyệt phương án thực hiện hiệu chuẩn </t>
        </is>
      </c>
      <c r="I5" s="41" t="inlineStr">
        <is>
          <t>Đơn vị thực hiện
(Nội bộ/Thuê ngoài)</t>
        </is>
      </c>
      <c r="J5" s="41" t="inlineStr">
        <is>
          <t>Nội dung 
thực hiện/TSKT</t>
        </is>
      </c>
      <c r="K5" s="41" t="inlineStr">
        <is>
          <t>Ngày hoàn
 thành</t>
        </is>
      </c>
      <c r="L5" s="41" t="inlineStr">
        <is>
          <t>Kinh phí
 thực hiện 
(VNĐ)</t>
        </is>
      </c>
      <c r="M5" s="41" t="inlineStr">
        <is>
          <t>Tình trạng hoạt động thiết bị sau HC, KĐ</t>
        </is>
      </c>
      <c r="N5" s="41" t="inlineStr">
        <is>
          <t>Người nghiệm thu</t>
        </is>
      </c>
      <c r="O5" s="41" t="inlineStr">
        <is>
          <t xml:space="preserve">Ghi chú
</t>
        </is>
      </c>
      <c r="P5" s="41" t="inlineStr">
        <is>
          <t xml:space="preserve">Quyết định </t>
        </is>
      </c>
    </row>
    <row r="6" ht="33" customHeight="1" s="253">
      <c r="A6" s="9" t="n"/>
      <c r="B6" s="13" t="inlineStr">
        <is>
          <t>Tổng cộng: A+B+C</t>
        </is>
      </c>
      <c r="C6" s="254" t="n"/>
      <c r="D6" s="52" t="n"/>
      <c r="E6" s="55" t="n"/>
      <c r="F6" s="13" t="n"/>
      <c r="G6" s="13">
        <f>G7+G92+G118</f>
        <v/>
      </c>
      <c r="H6" s="13" t="n"/>
      <c r="I6" s="13" t="n"/>
      <c r="J6" s="13" t="n"/>
      <c r="K6" s="13" t="n"/>
      <c r="L6" s="70">
        <f>L7+L92+L125</f>
        <v/>
      </c>
      <c r="M6" s="13" t="n"/>
      <c r="N6" s="13" t="n"/>
      <c r="O6" s="13" t="n"/>
      <c r="P6" s="13" t="n"/>
    </row>
    <row r="7" ht="25.5" customHeight="1" s="253">
      <c r="A7" s="179" t="inlineStr">
        <is>
          <t>A</t>
        </is>
      </c>
      <c r="B7" s="18" t="inlineStr">
        <is>
          <t>Khoa XN-CĐHA-TDCN</t>
        </is>
      </c>
      <c r="C7" s="254" t="n"/>
      <c r="D7" s="76" t="n"/>
      <c r="E7" s="78" t="n"/>
      <c r="F7" s="19" t="n"/>
      <c r="G7" s="82">
        <f>G8+G56</f>
        <v/>
      </c>
      <c r="H7" s="19" t="n"/>
      <c r="I7" s="19" t="n"/>
      <c r="J7" s="19" t="n"/>
      <c r="K7" s="19" t="n"/>
      <c r="L7" s="86">
        <f>L8</f>
        <v/>
      </c>
      <c r="M7" s="19" t="n"/>
      <c r="N7" s="19" t="n"/>
      <c r="O7" s="19" t="n"/>
      <c r="P7" s="19" t="n"/>
    </row>
    <row r="8" ht="68.25" customHeight="1" s="253">
      <c r="A8" s="192" t="inlineStr">
        <is>
          <t>I</t>
        </is>
      </c>
      <c r="B8" s="93" t="inlineStr">
        <is>
          <t>Gói dịch vụ: Hiệu chuẩn, kiểm định thiết bị phục vụ đánh giá lại ISO17025 và các thiết bị phục vụ hoạt động chuyên môn</t>
        </is>
      </c>
      <c r="C8" s="254" t="n"/>
      <c r="D8" s="93" t="n"/>
      <c r="E8" s="120" t="inlineStr">
        <is>
          <t>XN</t>
        </is>
      </c>
      <c r="F8" s="103" t="n">
        <v>46008</v>
      </c>
      <c r="G8" s="108">
        <f>G9+G22</f>
        <v/>
      </c>
      <c r="H8" s="110" t="n">
        <v>46035</v>
      </c>
      <c r="I8" s="130" t="inlineStr">
        <is>
          <t>TT Kiểm định Hiệu chuẩn Đo lường Miền Nam (SMETES)</t>
        </is>
      </c>
      <c r="J8" s="130" t="n"/>
      <c r="K8" s="110" t="n">
        <v>46084</v>
      </c>
      <c r="L8" s="116">
        <f>L9+L22</f>
        <v/>
      </c>
      <c r="M8" s="130" t="n"/>
      <c r="N8" s="118" t="inlineStr">
        <is>
          <t>Ds. Tính, 
Ds. Lộc, 
Cn. Hải, 
Cn. Sơn</t>
        </is>
      </c>
      <c r="O8" s="120" t="inlineStr">
        <is>
          <t>Thu sự
 nghiệp</t>
        </is>
      </c>
      <c r="P8" s="137" t="inlineStr">
        <is>
          <t>Quyết định số
 34/QĐ-TTKSBT
 ngày 27/01/2026</t>
        </is>
      </c>
    </row>
    <row r="9" ht="25.5" customHeight="1" s="253">
      <c r="A9" s="141" t="inlineStr">
        <is>
          <t>*</t>
        </is>
      </c>
      <c r="B9" s="93" t="inlineStr">
        <is>
          <t>CƠ SỞ 1</t>
        </is>
      </c>
      <c r="C9" s="254" t="n"/>
      <c r="D9" s="93" t="n"/>
      <c r="E9" s="27" t="n"/>
      <c r="F9" s="79" t="n"/>
      <c r="G9" s="108">
        <f>SUM(G10:G21)</f>
        <v/>
      </c>
      <c r="H9" s="128" t="n"/>
      <c r="I9" s="130" t="n"/>
      <c r="J9" s="130" t="n"/>
      <c r="K9" s="130" t="n"/>
      <c r="L9" s="134">
        <f>SUM(L10:L21)</f>
        <v/>
      </c>
      <c r="M9" s="135" t="n"/>
      <c r="N9" s="130" t="n"/>
      <c r="O9" s="130" t="n"/>
      <c r="P9" s="137" t="n"/>
      <c r="Q9" s="139" t="n"/>
      <c r="R9" s="139" t="n"/>
      <c r="S9" s="139" t="n"/>
      <c r="T9" s="139" t="n"/>
      <c r="U9" s="139" t="n"/>
      <c r="V9" s="139" t="n"/>
      <c r="W9" s="139" t="n"/>
      <c r="X9" s="139" t="n"/>
      <c r="Y9" s="139" t="n"/>
      <c r="Z9" s="139" t="n"/>
      <c r="AA9" s="139" t="n"/>
    </row>
    <row r="10" ht="25.5" customHeight="1" s="253">
      <c r="A10" s="141" t="n">
        <v>1</v>
      </c>
      <c r="B10" s="93" t="n"/>
      <c r="C10" s="157" t="inlineStr">
        <is>
          <t>Buồng sinh học Telstar Tây Ban Nha</t>
        </is>
      </c>
      <c r="D10" s="93" t="n"/>
      <c r="E10" s="27" t="inlineStr">
        <is>
          <t>HIV-CS1</t>
        </is>
      </c>
      <c r="F10" s="79" t="n"/>
      <c r="G10" s="135" t="n">
        <v>1</v>
      </c>
      <c r="H10" s="128" t="n"/>
      <c r="I10" s="130" t="n"/>
      <c r="J10" s="130" t="inlineStr">
        <is>
          <t>Thử nghiệm</t>
        </is>
      </c>
      <c r="K10" s="146" t="n">
        <v>46084</v>
      </c>
      <c r="L10" s="148" t="n">
        <v>3000000</v>
      </c>
      <c r="M10" s="135" t="inlineStr">
        <is>
          <t>Tốt</t>
        </is>
      </c>
      <c r="N10" s="130" t="n"/>
      <c r="O10" s="130" t="n"/>
      <c r="P10" s="137" t="n"/>
      <c r="Q10" s="139" t="n"/>
      <c r="R10" s="139" t="n"/>
      <c r="S10" s="139" t="n"/>
      <c r="T10" s="139" t="n"/>
      <c r="U10" s="139" t="n"/>
      <c r="V10" s="139" t="n"/>
      <c r="W10" s="139" t="n"/>
      <c r="X10" s="139" t="n"/>
      <c r="Y10" s="139" t="n"/>
      <c r="Z10" s="139" t="n"/>
      <c r="AA10" s="139" t="n"/>
    </row>
    <row r="11" ht="34.5" customHeight="1" s="253">
      <c r="A11" s="141" t="n">
        <v>2</v>
      </c>
      <c r="B11" s="93" t="n"/>
      <c r="C11" s="157" t="inlineStr">
        <is>
          <t>Tủ an toàn sinh học cấp 2
 ESCO - CLASS II BSC</t>
        </is>
      </c>
      <c r="D11" s="93" t="n"/>
      <c r="E11" s="27" t="inlineStr">
        <is>
          <t>Virus-CS1</t>
        </is>
      </c>
      <c r="F11" s="93" t="n"/>
      <c r="G11" s="135" t="n">
        <v>1</v>
      </c>
      <c r="H11" s="130" t="n"/>
      <c r="I11" s="130" t="n"/>
      <c r="J11" s="152" t="inlineStr">
        <is>
          <t>Thử nghiệm</t>
        </is>
      </c>
      <c r="K11" s="146" t="n">
        <v>46084</v>
      </c>
      <c r="L11" s="148" t="n">
        <v>3000000</v>
      </c>
      <c r="M11" s="135" t="inlineStr">
        <is>
          <t>Tốt</t>
        </is>
      </c>
      <c r="N11" s="130" t="n"/>
      <c r="O11" s="130" t="n"/>
      <c r="P11" s="137" t="n"/>
      <c r="Q11" s="139" t="n"/>
      <c r="R11" s="139" t="n"/>
      <c r="S11" s="139" t="n"/>
      <c r="T11" s="139" t="n"/>
      <c r="U11" s="139" t="n"/>
      <c r="V11" s="139" t="n"/>
      <c r="W11" s="139" t="n"/>
      <c r="X11" s="139" t="n"/>
      <c r="Y11" s="139" t="n"/>
      <c r="Z11" s="139" t="n"/>
      <c r="AA11" s="139" t="n"/>
    </row>
    <row r="12" ht="23.25" customHeight="1" s="253">
      <c r="A12" s="141" t="n">
        <v>3</v>
      </c>
      <c r="B12" s="93" t="n"/>
      <c r="C12" s="131" t="inlineStr">
        <is>
          <t>Máy ly tâm</t>
        </is>
      </c>
      <c r="D12" s="93" t="n"/>
      <c r="E12" s="27" t="inlineStr">
        <is>
          <t>HIV-CS1</t>
        </is>
      </c>
      <c r="F12" s="93" t="n"/>
      <c r="G12" s="135" t="n">
        <v>1</v>
      </c>
      <c r="H12" s="130" t="n"/>
      <c r="I12" s="130" t="n"/>
      <c r="J12" s="130" t="inlineStr">
        <is>
          <t>Hiệu chuẩn</t>
        </is>
      </c>
      <c r="K12" s="146" t="n">
        <v>46084</v>
      </c>
      <c r="L12" s="148" t="n">
        <v>600000</v>
      </c>
      <c r="M12" s="135" t="inlineStr">
        <is>
          <t>Tốt</t>
        </is>
      </c>
      <c r="N12" s="130" t="n"/>
      <c r="O12" s="130" t="n"/>
      <c r="P12" s="137" t="n"/>
      <c r="Q12" s="139" t="n"/>
      <c r="R12" s="139" t="n"/>
      <c r="S12" s="139" t="n"/>
      <c r="T12" s="139" t="n"/>
      <c r="U12" s="139" t="n"/>
      <c r="V12" s="139" t="n"/>
      <c r="W12" s="139" t="n"/>
      <c r="X12" s="139" t="n"/>
      <c r="Y12" s="139" t="n"/>
      <c r="Z12" s="139" t="n"/>
      <c r="AA12" s="139" t="n"/>
    </row>
    <row r="13" ht="23.25" customHeight="1" s="253">
      <c r="A13" s="141" t="n">
        <v>4</v>
      </c>
      <c r="B13" s="93" t="n"/>
      <c r="C13" s="131" t="inlineStr">
        <is>
          <t>Pipet dung tích 2 - 20 ul</t>
        </is>
      </c>
      <c r="D13" s="93" t="n"/>
      <c r="E13" s="27" t="inlineStr">
        <is>
          <t>HIV-CS1</t>
        </is>
      </c>
      <c r="F13" s="93" t="n"/>
      <c r="G13" s="135" t="n">
        <v>2</v>
      </c>
      <c r="H13" s="130" t="n"/>
      <c r="I13" s="130" t="n"/>
      <c r="J13" s="152" t="inlineStr">
        <is>
          <t>Hiệu chuẩn</t>
        </is>
      </c>
      <c r="K13" s="146" t="n">
        <v>46084</v>
      </c>
      <c r="L13" s="148" t="n">
        <v>400000</v>
      </c>
      <c r="M13" s="135" t="inlineStr">
        <is>
          <t>Tốt</t>
        </is>
      </c>
      <c r="N13" s="130" t="n"/>
      <c r="O13" s="130" t="n"/>
      <c r="P13" s="137" t="n"/>
      <c r="Q13" s="139" t="n"/>
      <c r="R13" s="139" t="n"/>
      <c r="S13" s="139" t="n"/>
      <c r="T13" s="139" t="n"/>
      <c r="U13" s="139" t="n"/>
      <c r="V13" s="139" t="n"/>
      <c r="W13" s="139" t="n"/>
      <c r="X13" s="139" t="n"/>
      <c r="Y13" s="139" t="n"/>
      <c r="Z13" s="139" t="n"/>
      <c r="AA13" s="139" t="n"/>
    </row>
    <row r="14" ht="23.25" customHeight="1" s="253">
      <c r="A14" s="141" t="n">
        <v>5</v>
      </c>
      <c r="B14" s="93" t="n"/>
      <c r="C14" s="131" t="inlineStr">
        <is>
          <t>Pipet dung tích 50 ul</t>
        </is>
      </c>
      <c r="D14" s="93" t="n"/>
      <c r="E14" s="27" t="inlineStr">
        <is>
          <t>HIV-CS1</t>
        </is>
      </c>
      <c r="F14" s="93" t="n"/>
      <c r="G14" s="135" t="n">
        <v>1</v>
      </c>
      <c r="H14" s="130" t="n"/>
      <c r="I14" s="130" t="n"/>
      <c r="J14" s="152" t="inlineStr">
        <is>
          <t>Hiệu chuẩn</t>
        </is>
      </c>
      <c r="K14" s="146" t="n">
        <v>46084</v>
      </c>
      <c r="L14" s="148" t="n">
        <v>200000</v>
      </c>
      <c r="M14" s="135" t="inlineStr">
        <is>
          <t>Tốt</t>
        </is>
      </c>
      <c r="N14" s="130" t="n"/>
      <c r="O14" s="130" t="n"/>
      <c r="P14" s="137" t="n"/>
      <c r="Q14" s="139" t="n"/>
      <c r="R14" s="139" t="n"/>
      <c r="S14" s="139" t="n"/>
      <c r="T14" s="139" t="n"/>
      <c r="U14" s="139" t="n"/>
      <c r="V14" s="139" t="n"/>
      <c r="W14" s="139" t="n"/>
      <c r="X14" s="139" t="n"/>
      <c r="Y14" s="139" t="n"/>
      <c r="Z14" s="139" t="n"/>
      <c r="AA14" s="139" t="n"/>
    </row>
    <row r="15" ht="23.25" customHeight="1" s="253">
      <c r="A15" s="141" t="n">
        <v>6</v>
      </c>
      <c r="B15" s="93" t="n"/>
      <c r="C15" s="131" t="inlineStr">
        <is>
          <t>Pipet dung tích 100-1000 ul</t>
        </is>
      </c>
      <c r="D15" s="93" t="n"/>
      <c r="E15" s="27" t="inlineStr">
        <is>
          <t>HIV-CS1</t>
        </is>
      </c>
      <c r="F15" s="93" t="n"/>
      <c r="G15" s="135" t="n">
        <v>1</v>
      </c>
      <c r="H15" s="130" t="n"/>
      <c r="I15" s="130" t="n"/>
      <c r="J15" s="152" t="inlineStr">
        <is>
          <t>Hiệu chuẩn</t>
        </is>
      </c>
      <c r="K15" s="146" t="n">
        <v>46084</v>
      </c>
      <c r="L15" s="148" t="n">
        <v>200000</v>
      </c>
      <c r="M15" s="135" t="inlineStr">
        <is>
          <t>Tốt</t>
        </is>
      </c>
      <c r="N15" s="130" t="n"/>
      <c r="O15" s="130" t="n"/>
      <c r="P15" s="137" t="n"/>
      <c r="Q15" s="139" t="n"/>
      <c r="R15" s="139" t="n"/>
      <c r="S15" s="139" t="n"/>
      <c r="T15" s="139" t="n"/>
      <c r="U15" s="139" t="n"/>
      <c r="V15" s="139" t="n"/>
      <c r="W15" s="139" t="n"/>
      <c r="X15" s="139" t="n"/>
      <c r="Y15" s="139" t="n"/>
      <c r="Z15" s="139" t="n"/>
      <c r="AA15" s="139" t="n"/>
    </row>
    <row r="16" ht="23.25" customHeight="1" s="253">
      <c r="A16" s="141" t="n">
        <v>7</v>
      </c>
      <c r="B16" s="93" t="n"/>
      <c r="C16" s="131" t="inlineStr">
        <is>
          <t>Tủ ấm: ISGI-30T/JSR</t>
        </is>
      </c>
      <c r="D16" s="93" t="n"/>
      <c r="E16" s="27" t="inlineStr">
        <is>
          <t>CLS-CS1</t>
        </is>
      </c>
      <c r="F16" s="93" t="n"/>
      <c r="G16" s="135" t="n">
        <v>1</v>
      </c>
      <c r="H16" s="130" t="n"/>
      <c r="I16" s="130" t="n"/>
      <c r="J16" s="152" t="inlineStr">
        <is>
          <t>Hiệu chuẩn</t>
        </is>
      </c>
      <c r="K16" s="146" t="n">
        <v>46084</v>
      </c>
      <c r="L16" s="148" t="n">
        <v>600000</v>
      </c>
      <c r="M16" s="135" t="inlineStr">
        <is>
          <t>Tốt</t>
        </is>
      </c>
      <c r="N16" s="130" t="n"/>
      <c r="O16" s="130" t="n"/>
      <c r="P16" s="137" t="n"/>
      <c r="Q16" s="139" t="n"/>
      <c r="R16" s="139" t="n"/>
      <c r="S16" s="139" t="n"/>
      <c r="T16" s="139" t="n"/>
      <c r="U16" s="139" t="n"/>
      <c r="V16" s="139" t="n"/>
      <c r="W16" s="139" t="n"/>
      <c r="X16" s="139" t="n"/>
      <c r="Y16" s="139" t="n"/>
      <c r="Z16" s="139" t="n"/>
      <c r="AA16" s="139" t="n"/>
    </row>
    <row r="17" ht="23.25" customHeight="1" s="253">
      <c r="A17" s="141" t="n">
        <v>8</v>
      </c>
      <c r="B17" s="93" t="n"/>
      <c r="C17" s="131" t="inlineStr">
        <is>
          <t>Máy li tâm EPPENDORF 5702</t>
        </is>
      </c>
      <c r="D17" s="93" t="n"/>
      <c r="E17" s="27" t="inlineStr">
        <is>
          <t>CLS-CS1</t>
        </is>
      </c>
      <c r="F17" s="93" t="n"/>
      <c r="G17" s="135" t="n">
        <v>1</v>
      </c>
      <c r="H17" s="130" t="n"/>
      <c r="I17" s="130" t="n"/>
      <c r="J17" s="152" t="inlineStr">
        <is>
          <t>Hiệu chuẩn</t>
        </is>
      </c>
      <c r="K17" s="146" t="n">
        <v>46084</v>
      </c>
      <c r="L17" s="148" t="n">
        <v>600000</v>
      </c>
      <c r="M17" s="135" t="inlineStr">
        <is>
          <t>Tốt</t>
        </is>
      </c>
      <c r="N17" s="130" t="n"/>
      <c r="O17" s="130" t="n"/>
      <c r="P17" s="137" t="n"/>
      <c r="Q17" s="139" t="n"/>
      <c r="R17" s="139" t="n"/>
      <c r="S17" s="139" t="n"/>
      <c r="T17" s="139" t="n"/>
      <c r="U17" s="139" t="n"/>
      <c r="V17" s="139" t="n"/>
      <c r="W17" s="139" t="n"/>
      <c r="X17" s="139" t="n"/>
      <c r="Y17" s="139" t="n"/>
      <c r="Z17" s="139" t="n"/>
      <c r="AA17" s="139" t="n"/>
    </row>
    <row r="18" ht="23.25" customHeight="1" s="253">
      <c r="A18" s="141" t="n">
        <v>9</v>
      </c>
      <c r="B18" s="93" t="n"/>
      <c r="C18" s="131" t="inlineStr">
        <is>
          <t>Micopipete (2 - 20 ul; 10 - 100 ul; 100-1000 ul)</t>
        </is>
      </c>
      <c r="D18" s="93" t="n"/>
      <c r="E18" s="27" t="inlineStr">
        <is>
          <t>CLS-CS1</t>
        </is>
      </c>
      <c r="F18" s="93" t="n"/>
      <c r="G18" s="135" t="n">
        <v>3</v>
      </c>
      <c r="H18" s="130" t="n"/>
      <c r="I18" s="130" t="n"/>
      <c r="J18" s="152" t="inlineStr">
        <is>
          <t>Hiệu chuẩn</t>
        </is>
      </c>
      <c r="K18" s="146" t="n">
        <v>46084</v>
      </c>
      <c r="L18" s="148" t="n">
        <v>600000</v>
      </c>
      <c r="M18" s="135" t="inlineStr">
        <is>
          <t>Tốt</t>
        </is>
      </c>
      <c r="N18" s="130" t="n"/>
      <c r="O18" s="130" t="n"/>
      <c r="P18" s="137" t="n"/>
      <c r="Q18" s="139" t="n"/>
      <c r="R18" s="139" t="n"/>
      <c r="S18" s="139" t="n"/>
      <c r="T18" s="139" t="n"/>
      <c r="U18" s="139" t="n"/>
      <c r="V18" s="139" t="n"/>
      <c r="W18" s="139" t="n"/>
      <c r="X18" s="139" t="n"/>
      <c r="Y18" s="139" t="n"/>
      <c r="Z18" s="139" t="n"/>
      <c r="AA18" s="139" t="n"/>
    </row>
    <row r="19" ht="34.5" customHeight="1" s="253">
      <c r="A19" s="141" t="n">
        <v>10</v>
      </c>
      <c r="B19" s="93" t="n"/>
      <c r="C19" s="131" t="inlineStr">
        <is>
          <t>Micropipet đơn kênh (0,5µ -10µ) 
Model: P3960-10A, Hãng SX: LABNET-Mỹ</t>
        </is>
      </c>
      <c r="D19" s="93" t="n"/>
      <c r="E19" s="27" t="inlineStr">
        <is>
          <t>Virus-CS1</t>
        </is>
      </c>
      <c r="F19" s="93" t="n"/>
      <c r="G19" s="135" t="n">
        <v>1</v>
      </c>
      <c r="H19" s="130" t="n"/>
      <c r="I19" s="130" t="n"/>
      <c r="J19" s="152" t="inlineStr">
        <is>
          <t>Hiệu chuẩn</t>
        </is>
      </c>
      <c r="K19" s="146" t="n">
        <v>46084</v>
      </c>
      <c r="L19" s="148" t="n">
        <v>200000</v>
      </c>
      <c r="M19" s="135" t="inlineStr">
        <is>
          <t>Tốt</t>
        </is>
      </c>
      <c r="N19" s="130" t="n"/>
      <c r="O19" s="130" t="n"/>
      <c r="P19" s="137" t="n"/>
      <c r="Q19" s="139" t="n"/>
      <c r="R19" s="139" t="n"/>
      <c r="S19" s="139" t="n"/>
      <c r="T19" s="139" t="n"/>
      <c r="U19" s="139" t="n"/>
      <c r="V19" s="139" t="n"/>
      <c r="W19" s="139" t="n"/>
      <c r="X19" s="139" t="n"/>
      <c r="Y19" s="139" t="n"/>
      <c r="Z19" s="139" t="n"/>
      <c r="AA19" s="139" t="n"/>
    </row>
    <row r="20" ht="34.5" customHeight="1" s="253">
      <c r="A20" s="141" t="n">
        <v>11</v>
      </c>
      <c r="B20" s="93" t="n"/>
      <c r="C20" s="131" t="inlineStr">
        <is>
          <t>Micropipet đơn kênh (10µ -100µ)
Model: P3960-1000A, Hãng SX: LABNET-Mỹ</t>
        </is>
      </c>
      <c r="D20" s="93" t="n"/>
      <c r="E20" s="27" t="inlineStr">
        <is>
          <t>Virus-CS1</t>
        </is>
      </c>
      <c r="F20" s="93" t="n"/>
      <c r="G20" s="135" t="n">
        <v>1</v>
      </c>
      <c r="H20" s="130" t="n"/>
      <c r="I20" s="130" t="n"/>
      <c r="J20" s="152" t="inlineStr">
        <is>
          <t>Hiệu chuẩn</t>
        </is>
      </c>
      <c r="K20" s="146" t="n">
        <v>46084</v>
      </c>
      <c r="L20" s="148" t="n">
        <v>200000</v>
      </c>
      <c r="M20" s="135" t="inlineStr">
        <is>
          <t>Tốt</t>
        </is>
      </c>
      <c r="N20" s="130" t="n"/>
      <c r="O20" s="130" t="n"/>
      <c r="P20" s="137" t="n"/>
      <c r="Q20" s="139" t="n"/>
      <c r="R20" s="139" t="n"/>
      <c r="S20" s="139" t="n"/>
      <c r="T20" s="139" t="n"/>
      <c r="U20" s="139" t="n"/>
      <c r="V20" s="139" t="n"/>
      <c r="W20" s="139" t="n"/>
      <c r="X20" s="139" t="n"/>
      <c r="Y20" s="139" t="n"/>
      <c r="Z20" s="139" t="n"/>
      <c r="AA20" s="139" t="n"/>
    </row>
    <row r="21" ht="34.5" customHeight="1" s="253">
      <c r="A21" s="141" t="n">
        <v>12</v>
      </c>
      <c r="B21" s="93" t="n"/>
      <c r="C21" s="159" t="inlineStr">
        <is>
          <t>Micropipet đơn kênh (100µ -1000µ);
Model: P3960-1000A, Hãng SX: LABNET-Mỹ</t>
        </is>
      </c>
      <c r="D21" s="93" t="n"/>
      <c r="E21" s="27" t="inlineStr">
        <is>
          <t>Virus-CS1</t>
        </is>
      </c>
      <c r="F21" s="93" t="n"/>
      <c r="G21" s="135" t="n">
        <v>1</v>
      </c>
      <c r="H21" s="130" t="n"/>
      <c r="I21" s="130" t="n"/>
      <c r="J21" s="152" t="inlineStr">
        <is>
          <t>Hiệu chuẩn</t>
        </is>
      </c>
      <c r="K21" s="146" t="n">
        <v>46084</v>
      </c>
      <c r="L21" s="148" t="n">
        <v>200000</v>
      </c>
      <c r="M21" s="135" t="inlineStr">
        <is>
          <t>Tốt</t>
        </is>
      </c>
      <c r="N21" s="130" t="n"/>
      <c r="O21" s="130" t="n"/>
      <c r="P21" s="137" t="n"/>
      <c r="Q21" s="139" t="n"/>
      <c r="R21" s="139" t="n"/>
      <c r="S21" s="139" t="n"/>
      <c r="T21" s="139" t="n"/>
      <c r="U21" s="139" t="n"/>
      <c r="V21" s="139" t="n"/>
      <c r="W21" s="139" t="n"/>
      <c r="X21" s="139" t="n"/>
      <c r="Y21" s="139" t="n"/>
      <c r="Z21" s="139" t="n"/>
      <c r="AA21" s="139" t="n"/>
    </row>
    <row r="22" ht="18.75" customHeight="1" s="253">
      <c r="A22" s="141" t="inlineStr">
        <is>
          <t>*</t>
        </is>
      </c>
      <c r="B22" s="93" t="inlineStr">
        <is>
          <t>CƠ SỞ 2</t>
        </is>
      </c>
      <c r="C22" s="254" t="n"/>
      <c r="D22" s="93" t="n"/>
      <c r="E22" s="27" t="n"/>
      <c r="F22" s="93" t="n"/>
      <c r="G22" s="108">
        <f>sum(G23:G55)</f>
        <v/>
      </c>
      <c r="H22" s="130" t="n"/>
      <c r="I22" s="130" t="n"/>
      <c r="J22" s="152" t="n"/>
      <c r="K22" s="130" t="n"/>
      <c r="L22" s="161">
        <f>SUM(L23:L55)</f>
        <v/>
      </c>
      <c r="M22" s="135" t="n"/>
      <c r="N22" s="130" t="n"/>
      <c r="O22" s="130" t="n"/>
      <c r="P22" s="137" t="n"/>
      <c r="Q22" s="139" t="n"/>
      <c r="R22" s="139" t="n"/>
      <c r="S22" s="139" t="n"/>
      <c r="T22" s="139" t="n"/>
      <c r="U22" s="139" t="n"/>
      <c r="V22" s="139" t="n"/>
      <c r="W22" s="139" t="n"/>
      <c r="X22" s="139" t="n"/>
      <c r="Y22" s="139" t="n"/>
      <c r="Z22" s="139" t="n"/>
      <c r="AA22" s="139" t="n"/>
    </row>
    <row r="23" ht="18.75" customHeight="1" s="253">
      <c r="A23" s="141" t="n">
        <v>13</v>
      </c>
      <c r="B23" s="93" t="n"/>
      <c r="C23" s="157" t="inlineStr">
        <is>
          <t>Tủ ATSH Cấp 2 Jouan SA</t>
        </is>
      </c>
      <c r="D23" s="93" t="n"/>
      <c r="E23" s="27" t="inlineStr">
        <is>
          <t>HL-CS2</t>
        </is>
      </c>
      <c r="F23" s="93" t="n"/>
      <c r="G23" s="135" t="n">
        <v>1</v>
      </c>
      <c r="H23" s="130" t="n"/>
      <c r="I23" s="130" t="n"/>
      <c r="J23" s="152" t="inlineStr">
        <is>
          <t>Thử nghiệm</t>
        </is>
      </c>
      <c r="K23" s="146" t="n">
        <v>46084</v>
      </c>
      <c r="L23" s="148" t="n">
        <v>3000000</v>
      </c>
      <c r="M23" s="135" t="inlineStr">
        <is>
          <t>Tốt</t>
        </is>
      </c>
      <c r="N23" s="130" t="n"/>
      <c r="O23" s="130" t="n"/>
      <c r="P23" s="137" t="n"/>
      <c r="Q23" s="139" t="n"/>
      <c r="R23" s="139" t="n"/>
      <c r="S23" s="139" t="n"/>
      <c r="T23" s="139" t="n"/>
      <c r="U23" s="139" t="n"/>
      <c r="V23" s="139" t="n"/>
      <c r="W23" s="139" t="n"/>
      <c r="X23" s="139" t="n"/>
      <c r="Y23" s="139" t="n"/>
      <c r="Z23" s="139" t="n"/>
      <c r="AA23" s="139" t="n"/>
    </row>
    <row r="24" ht="18.75" customHeight="1" s="253">
      <c r="A24" s="141" t="n">
        <v>14</v>
      </c>
      <c r="B24" s="93" t="n"/>
      <c r="C24" s="157" t="inlineStr">
        <is>
          <t>Tủ an toàn cấp II ,2 chỗ ngồi</t>
        </is>
      </c>
      <c r="D24" s="93" t="n"/>
      <c r="E24" s="27" t="inlineStr">
        <is>
          <t>HL-CS2</t>
        </is>
      </c>
      <c r="F24" s="93" t="n"/>
      <c r="G24" s="135" t="n">
        <v>1</v>
      </c>
      <c r="H24" s="130" t="n"/>
      <c r="I24" s="130" t="n"/>
      <c r="J24" s="152" t="inlineStr">
        <is>
          <t>Thử nghiệm</t>
        </is>
      </c>
      <c r="K24" s="146" t="n">
        <v>46084</v>
      </c>
      <c r="L24" s="148" t="n">
        <v>3000000</v>
      </c>
      <c r="M24" s="135" t="inlineStr">
        <is>
          <t>Tốt</t>
        </is>
      </c>
      <c r="N24" s="130" t="n"/>
      <c r="O24" s="130" t="n"/>
      <c r="P24" s="137" t="n"/>
      <c r="Q24" s="139" t="n"/>
      <c r="R24" s="139" t="n"/>
      <c r="S24" s="139" t="n"/>
      <c r="T24" s="139" t="n"/>
      <c r="U24" s="139" t="n"/>
      <c r="V24" s="139" t="n"/>
      <c r="W24" s="139" t="n"/>
      <c r="X24" s="139" t="n"/>
      <c r="Y24" s="139" t="n"/>
      <c r="Z24" s="139" t="n"/>
      <c r="AA24" s="139" t="n"/>
    </row>
    <row r="25" ht="18.75" customHeight="1" s="253">
      <c r="A25" s="141" t="n">
        <v>15</v>
      </c>
      <c r="B25" s="93" t="n"/>
      <c r="C25" s="131" t="inlineStr">
        <is>
          <t>Cân kỹ thuật Ohaus</t>
        </is>
      </c>
      <c r="D25" s="93" t="n"/>
      <c r="E25" s="27" t="inlineStr">
        <is>
          <t>HL-CS2</t>
        </is>
      </c>
      <c r="F25" s="93" t="n"/>
      <c r="G25" s="135" t="n">
        <v>1</v>
      </c>
      <c r="H25" s="130" t="n"/>
      <c r="I25" s="130" t="n"/>
      <c r="J25" s="152" t="inlineStr">
        <is>
          <t>Hiệu chuẩn</t>
        </is>
      </c>
      <c r="K25" s="146" t="n">
        <v>46084</v>
      </c>
      <c r="L25" s="148" t="n">
        <v>300000</v>
      </c>
      <c r="M25" s="135" t="inlineStr">
        <is>
          <t>Tốt</t>
        </is>
      </c>
      <c r="N25" s="130" t="n"/>
      <c r="O25" s="130" t="n"/>
      <c r="P25" s="137" t="n"/>
      <c r="Q25" s="139" t="n"/>
      <c r="R25" s="139" t="n"/>
      <c r="S25" s="139" t="n"/>
      <c r="T25" s="139" t="n"/>
      <c r="U25" s="139" t="n"/>
      <c r="V25" s="139" t="n"/>
      <c r="W25" s="139" t="n"/>
      <c r="X25" s="139" t="n"/>
      <c r="Y25" s="139" t="n"/>
      <c r="Z25" s="139" t="n"/>
      <c r="AA25" s="139" t="n"/>
    </row>
    <row r="26" ht="18.75" customHeight="1" s="253">
      <c r="A26" s="141" t="n">
        <v>16</v>
      </c>
      <c r="B26" s="93" t="n"/>
      <c r="C26" s="131" t="inlineStr">
        <is>
          <t>Cân phân tích Acculad</t>
        </is>
      </c>
      <c r="D26" s="93" t="n"/>
      <c r="E26" s="27" t="inlineStr">
        <is>
          <t>HL-CS2</t>
        </is>
      </c>
      <c r="F26" s="93" t="n"/>
      <c r="G26" s="135" t="n">
        <v>1</v>
      </c>
      <c r="H26" s="130" t="n"/>
      <c r="I26" s="130" t="n"/>
      <c r="J26" s="152" t="inlineStr">
        <is>
          <t>Hiệu chuẩn</t>
        </is>
      </c>
      <c r="K26" s="146" t="n">
        <v>46084</v>
      </c>
      <c r="L26" s="148" t="n">
        <v>500000</v>
      </c>
      <c r="M26" s="135" t="inlineStr">
        <is>
          <t>Tốt</t>
        </is>
      </c>
      <c r="N26" s="130" t="n"/>
      <c r="O26" s="130" t="n"/>
      <c r="P26" s="137" t="n"/>
      <c r="Q26" s="139" t="n"/>
      <c r="R26" s="139" t="n"/>
      <c r="S26" s="139" t="n"/>
      <c r="T26" s="139" t="n"/>
      <c r="U26" s="139" t="n"/>
      <c r="V26" s="139" t="n"/>
      <c r="W26" s="139" t="n"/>
      <c r="X26" s="139" t="n"/>
      <c r="Y26" s="139" t="n"/>
      <c r="Z26" s="139" t="n"/>
      <c r="AA26" s="139" t="n"/>
    </row>
    <row r="27" ht="18.75" customHeight="1" s="253">
      <c r="A27" s="141" t="n">
        <v>17</v>
      </c>
      <c r="B27" s="93" t="n"/>
      <c r="C27" s="131" t="inlineStr">
        <is>
          <t>Tủ sấy nuve</t>
        </is>
      </c>
      <c r="D27" s="93" t="n"/>
      <c r="E27" s="27" t="inlineStr">
        <is>
          <t>HL-CS2</t>
        </is>
      </c>
      <c r="F27" s="93" t="n"/>
      <c r="G27" s="135" t="n">
        <v>1</v>
      </c>
      <c r="H27" s="166" t="n"/>
      <c r="I27" s="166" t="n"/>
      <c r="J27" s="152" t="inlineStr">
        <is>
          <t>Hiệu chuẩn</t>
        </is>
      </c>
      <c r="K27" s="146" t="n">
        <v>46084</v>
      </c>
      <c r="L27" s="148" t="n">
        <v>600000</v>
      </c>
      <c r="M27" s="135" t="inlineStr">
        <is>
          <t>Tốt</t>
        </is>
      </c>
      <c r="N27" s="166" t="n"/>
      <c r="O27" s="166" t="n"/>
      <c r="P27" s="137" t="n"/>
      <c r="Q27" s="139" t="n"/>
      <c r="R27" s="139" t="n"/>
      <c r="S27" s="139" t="n"/>
      <c r="T27" s="139" t="n"/>
      <c r="U27" s="139" t="n"/>
      <c r="V27" s="139" t="n"/>
      <c r="W27" s="139" t="n"/>
      <c r="X27" s="139" t="n"/>
      <c r="Y27" s="139" t="n"/>
      <c r="Z27" s="139" t="n"/>
      <c r="AA27" s="139" t="n"/>
    </row>
    <row r="28" ht="18.75" customHeight="1" s="253">
      <c r="A28" s="141" t="n">
        <v>18</v>
      </c>
      <c r="B28" s="93" t="n"/>
      <c r="C28" s="131" t="inlineStr">
        <is>
          <t>Nồi hấp tiệt trùng</t>
        </is>
      </c>
      <c r="D28" s="93" t="n"/>
      <c r="E28" s="27" t="inlineStr">
        <is>
          <t>HL-CS2</t>
        </is>
      </c>
      <c r="F28" s="93" t="n"/>
      <c r="G28" s="135" t="n">
        <v>1</v>
      </c>
      <c r="H28" s="166" t="n"/>
      <c r="I28" s="166" t="n"/>
      <c r="J28" s="152" t="inlineStr">
        <is>
          <t>Hiệu chuẩn</t>
        </is>
      </c>
      <c r="K28" s="146" t="n">
        <v>46084</v>
      </c>
      <c r="L28" s="148" t="n">
        <v>800000</v>
      </c>
      <c r="M28" s="135" t="inlineStr">
        <is>
          <t>Tốt</t>
        </is>
      </c>
      <c r="N28" s="166" t="n"/>
      <c r="O28" s="166" t="n"/>
      <c r="P28" s="137" t="n"/>
      <c r="Q28" s="139" t="n"/>
      <c r="R28" s="139" t="n"/>
      <c r="S28" s="139" t="n"/>
      <c r="T28" s="139" t="n"/>
      <c r="U28" s="139" t="n"/>
      <c r="V28" s="139" t="n"/>
      <c r="W28" s="139" t="n"/>
      <c r="X28" s="139" t="n"/>
      <c r="Y28" s="139" t="n"/>
      <c r="Z28" s="139" t="n"/>
      <c r="AA28" s="139" t="n"/>
    </row>
    <row r="29" ht="18.75" customHeight="1" s="253">
      <c r="A29" s="141" t="n">
        <v>19</v>
      </c>
      <c r="B29" s="93" t="n"/>
      <c r="C29" s="131" t="inlineStr">
        <is>
          <t>Nồi hấp sấy ướt Sturdy</t>
        </is>
      </c>
      <c r="D29" s="93" t="n"/>
      <c r="E29" s="27" t="inlineStr">
        <is>
          <t>HL-CS2</t>
        </is>
      </c>
      <c r="F29" s="93" t="n"/>
      <c r="G29" s="135" t="n">
        <v>1</v>
      </c>
      <c r="H29" s="166" t="n"/>
      <c r="I29" s="166" t="n"/>
      <c r="J29" s="152" t="inlineStr">
        <is>
          <t>Hiệu chuẩn</t>
        </is>
      </c>
      <c r="K29" s="146" t="n">
        <v>46084</v>
      </c>
      <c r="L29" s="148" t="n">
        <v>700000</v>
      </c>
      <c r="M29" s="135" t="inlineStr">
        <is>
          <t>Tốt</t>
        </is>
      </c>
      <c r="N29" s="166" t="n"/>
      <c r="O29" s="166" t="n"/>
      <c r="P29" s="137" t="n"/>
      <c r="Q29" s="139" t="n"/>
      <c r="R29" s="139" t="n"/>
      <c r="S29" s="139" t="n"/>
      <c r="T29" s="139" t="n"/>
      <c r="U29" s="139" t="n"/>
      <c r="V29" s="139" t="n"/>
      <c r="W29" s="139" t="n"/>
      <c r="X29" s="139" t="n"/>
      <c r="Y29" s="139" t="n"/>
      <c r="Z29" s="139" t="n"/>
      <c r="AA29" s="139" t="n"/>
    </row>
    <row r="30" ht="18.75" customHeight="1" s="253">
      <c r="A30" s="141" t="n">
        <v>20</v>
      </c>
      <c r="B30" s="107" t="n"/>
      <c r="C30" s="169" t="inlineStr">
        <is>
          <t>Bể điều nhiệt PolyScience</t>
        </is>
      </c>
      <c r="D30" s="107" t="n"/>
      <c r="E30" s="27" t="inlineStr">
        <is>
          <t>HL-CS2</t>
        </is>
      </c>
      <c r="F30" s="107" t="n"/>
      <c r="G30" s="135" t="n">
        <v>1</v>
      </c>
      <c r="H30" s="88" t="n"/>
      <c r="I30" s="88" t="n"/>
      <c r="J30" s="172" t="inlineStr">
        <is>
          <t>Hiệu chuẩn</t>
        </is>
      </c>
      <c r="K30" s="146" t="n">
        <v>46084</v>
      </c>
      <c r="L30" s="173" t="n">
        <v>0</v>
      </c>
      <c r="M30" s="156" t="inlineStr">
        <is>
          <t>Không hoạt động</t>
        </is>
      </c>
      <c r="N30" s="88" t="n"/>
      <c r="O30" s="88" t="n"/>
      <c r="P30" s="175" t="n"/>
      <c r="Q30" s="176" t="n"/>
      <c r="R30" s="176" t="n"/>
      <c r="S30" s="176" t="n"/>
      <c r="T30" s="176" t="n"/>
      <c r="U30" s="176" t="n"/>
      <c r="V30" s="176" t="n"/>
      <c r="W30" s="176" t="n"/>
      <c r="X30" s="176" t="n"/>
      <c r="Y30" s="176" t="n"/>
      <c r="Z30" s="176" t="n"/>
      <c r="AA30" s="176" t="n"/>
    </row>
    <row r="31" ht="18.75" customHeight="1" s="253">
      <c r="A31" s="141" t="n">
        <v>21</v>
      </c>
      <c r="B31" s="107" t="n"/>
      <c r="C31" s="169" t="inlineStr">
        <is>
          <t>Tủ ấm Memmert 37OC</t>
        </is>
      </c>
      <c r="D31" s="107" t="n"/>
      <c r="E31" s="27" t="inlineStr">
        <is>
          <t>HL-CS2</t>
        </is>
      </c>
      <c r="F31" s="107" t="n"/>
      <c r="G31" s="135" t="n">
        <v>1</v>
      </c>
      <c r="H31" s="88" t="n"/>
      <c r="I31" s="88" t="n"/>
      <c r="J31" s="172" t="inlineStr">
        <is>
          <t>Hiệu chuẩn</t>
        </is>
      </c>
      <c r="K31" s="146" t="n">
        <v>46084</v>
      </c>
      <c r="L31" s="173" t="n">
        <v>0</v>
      </c>
      <c r="M31" s="156" t="inlineStr">
        <is>
          <t>Không hoạt động</t>
        </is>
      </c>
      <c r="N31" s="88" t="n"/>
      <c r="O31" s="88" t="n"/>
      <c r="P31" s="175" t="n"/>
      <c r="Q31" s="176" t="n"/>
      <c r="R31" s="176" t="n"/>
      <c r="S31" s="176" t="n"/>
      <c r="T31" s="176" t="n"/>
      <c r="U31" s="176" t="n"/>
      <c r="V31" s="176" t="n"/>
      <c r="W31" s="176" t="n"/>
      <c r="X31" s="176" t="n"/>
      <c r="Y31" s="176" t="n"/>
      <c r="Z31" s="176" t="n"/>
      <c r="AA31" s="176" t="n"/>
    </row>
    <row r="32" ht="19.5" customHeight="1" s="253">
      <c r="A32" s="141" t="n">
        <v>22</v>
      </c>
      <c r="B32" s="93" t="n"/>
      <c r="C32" s="131" t="inlineStr">
        <is>
          <t>Tủ ấm Memmert</t>
        </is>
      </c>
      <c r="D32" s="93" t="n"/>
      <c r="E32" s="27" t="inlineStr">
        <is>
          <t>HL-CS2</t>
        </is>
      </c>
      <c r="F32" s="93" t="n"/>
      <c r="G32" s="135" t="n">
        <v>1</v>
      </c>
      <c r="H32" s="166" t="n"/>
      <c r="I32" s="166" t="n"/>
      <c r="J32" s="152" t="inlineStr">
        <is>
          <t>Hiệu chuẩn</t>
        </is>
      </c>
      <c r="K32" s="146" t="n">
        <v>46084</v>
      </c>
      <c r="L32" s="148" t="n">
        <v>700000</v>
      </c>
      <c r="M32" s="135" t="inlineStr">
        <is>
          <t>Tốt</t>
        </is>
      </c>
      <c r="N32" s="166" t="n"/>
      <c r="O32" s="166" t="n"/>
      <c r="P32" s="137" t="n"/>
    </row>
    <row r="33" ht="19.5" customHeight="1" s="253">
      <c r="A33" s="141" t="n">
        <v>23</v>
      </c>
      <c r="B33" s="93" t="n"/>
      <c r="C33" s="131" t="inlineStr">
        <is>
          <t>Tủ ấm Yamato</t>
        </is>
      </c>
      <c r="D33" s="93" t="n"/>
      <c r="E33" s="27" t="inlineStr">
        <is>
          <t>HL-CS2</t>
        </is>
      </c>
      <c r="F33" s="93" t="n"/>
      <c r="G33" s="135" t="n">
        <v>1</v>
      </c>
      <c r="H33" s="166" t="n"/>
      <c r="I33" s="166" t="n"/>
      <c r="J33" s="152" t="inlineStr">
        <is>
          <t>Hiệu chuẩn</t>
        </is>
      </c>
      <c r="K33" s="146" t="n">
        <v>46084</v>
      </c>
      <c r="L33" s="148" t="n">
        <v>600000</v>
      </c>
      <c r="M33" s="135" t="inlineStr">
        <is>
          <t>Tốt</t>
        </is>
      </c>
      <c r="N33" s="166" t="n"/>
      <c r="O33" s="166" t="n"/>
      <c r="P33" s="137" t="n"/>
    </row>
    <row r="34" ht="19.5" customHeight="1" s="253">
      <c r="A34" s="141" t="n">
        <v>24</v>
      </c>
      <c r="B34" s="93" t="n"/>
      <c r="C34" s="131" t="inlineStr">
        <is>
          <t>Tủ ấm Yamato 44OC</t>
        </is>
      </c>
      <c r="D34" s="93" t="n"/>
      <c r="E34" s="27" t="inlineStr">
        <is>
          <t>HL-CS2</t>
        </is>
      </c>
      <c r="F34" s="93" t="n"/>
      <c r="G34" s="135" t="n">
        <v>1</v>
      </c>
      <c r="H34" s="166" t="n"/>
      <c r="I34" s="166" t="n"/>
      <c r="J34" s="152" t="inlineStr">
        <is>
          <t>Hiệu chuẩn</t>
        </is>
      </c>
      <c r="K34" s="146" t="n">
        <v>46084</v>
      </c>
      <c r="L34" s="148" t="n">
        <v>600000</v>
      </c>
      <c r="M34" s="135" t="inlineStr">
        <is>
          <t>Tốt</t>
        </is>
      </c>
      <c r="N34" s="166" t="n"/>
      <c r="O34" s="166" t="n"/>
      <c r="P34" s="137" t="n"/>
    </row>
    <row r="35" ht="19.5" customHeight="1" s="253">
      <c r="A35" s="141" t="n">
        <v>25</v>
      </c>
      <c r="B35" s="93" t="n"/>
      <c r="C35" s="131" t="inlineStr">
        <is>
          <t>Tủ ấm CO2 SANYO</t>
        </is>
      </c>
      <c r="D35" s="93" t="n"/>
      <c r="E35" s="27" t="inlineStr">
        <is>
          <t>HL-CS2</t>
        </is>
      </c>
      <c r="F35" s="93" t="n"/>
      <c r="G35" s="135" t="n">
        <v>1</v>
      </c>
      <c r="H35" s="166" t="n"/>
      <c r="I35" s="166" t="n"/>
      <c r="J35" s="152" t="inlineStr">
        <is>
          <t>Hiệu chuẩn</t>
        </is>
      </c>
      <c r="K35" s="146" t="n">
        <v>46084</v>
      </c>
      <c r="L35" s="148" t="n">
        <v>800000</v>
      </c>
      <c r="M35" s="135" t="inlineStr">
        <is>
          <t>Tốt</t>
        </is>
      </c>
      <c r="N35" s="166" t="n"/>
      <c r="O35" s="166" t="n"/>
      <c r="P35" s="137" t="n"/>
    </row>
    <row r="36" ht="19.5" customHeight="1" s="253">
      <c r="A36" s="141" t="n">
        <v>26</v>
      </c>
      <c r="B36" s="107" t="n"/>
      <c r="C36" s="169" t="inlineStr">
        <is>
          <t>Tủ ấm lạnh 130 lít</t>
        </is>
      </c>
      <c r="D36" s="107" t="n"/>
      <c r="E36" s="27" t="inlineStr">
        <is>
          <t>HL-CS2</t>
        </is>
      </c>
      <c r="F36" s="107" t="n"/>
      <c r="G36" s="135" t="n">
        <v>1</v>
      </c>
      <c r="H36" s="88" t="n"/>
      <c r="I36" s="88" t="n"/>
      <c r="J36" s="172" t="inlineStr">
        <is>
          <t>Hiệu chuẩn</t>
        </is>
      </c>
      <c r="K36" s="146" t="n">
        <v>46084</v>
      </c>
      <c r="L36" s="173" t="n">
        <v>0</v>
      </c>
      <c r="M36" s="156" t="inlineStr">
        <is>
          <t>Không hoạt động</t>
        </is>
      </c>
      <c r="N36" s="88" t="n"/>
      <c r="O36" s="88" t="n"/>
      <c r="P36" s="175" t="n"/>
      <c r="Q36" s="111" t="n"/>
      <c r="R36" s="111" t="n"/>
      <c r="S36" s="111" t="n"/>
      <c r="T36" s="111" t="n"/>
      <c r="U36" s="111" t="n"/>
      <c r="V36" s="111" t="n"/>
      <c r="W36" s="111" t="n"/>
      <c r="X36" s="111" t="n"/>
      <c r="Y36" s="111" t="n"/>
      <c r="Z36" s="111" t="n"/>
      <c r="AA36" s="111" t="n"/>
    </row>
    <row r="37" ht="19.5" customHeight="1" s="253">
      <c r="A37" s="141" t="n">
        <v>27</v>
      </c>
      <c r="B37" s="93" t="n"/>
      <c r="C37" s="131" t="inlineStr">
        <is>
          <t>Máy đo pH</t>
        </is>
      </c>
      <c r="D37" s="93" t="n"/>
      <c r="E37" s="27" t="inlineStr">
        <is>
          <t>HL-CS2</t>
        </is>
      </c>
      <c r="F37" s="93" t="n"/>
      <c r="G37" s="135" t="n">
        <v>1</v>
      </c>
      <c r="H37" s="166" t="n"/>
      <c r="I37" s="166" t="n"/>
      <c r="J37" s="152" t="inlineStr">
        <is>
          <t>Hiệu chuẩn</t>
        </is>
      </c>
      <c r="K37" s="146" t="n">
        <v>46084</v>
      </c>
      <c r="L37" s="148" t="n">
        <v>600000</v>
      </c>
      <c r="M37" s="135" t="inlineStr">
        <is>
          <t>Tốt</t>
        </is>
      </c>
      <c r="N37" s="166" t="n"/>
      <c r="O37" s="166" t="n"/>
      <c r="P37" s="137" t="n"/>
    </row>
    <row r="38" ht="19.5" customHeight="1" s="253">
      <c r="A38" s="141" t="n">
        <v>28</v>
      </c>
      <c r="B38" s="93" t="n"/>
      <c r="C38" s="131" t="inlineStr">
        <is>
          <t>Tủ ấm 108 lít</t>
        </is>
      </c>
      <c r="D38" s="93" t="n"/>
      <c r="E38" s="27" t="inlineStr">
        <is>
          <t>HL-CS2</t>
        </is>
      </c>
      <c r="F38" s="93" t="n"/>
      <c r="G38" s="135" t="n">
        <v>1</v>
      </c>
      <c r="H38" s="166" t="n"/>
      <c r="I38" s="166" t="n"/>
      <c r="J38" s="152" t="inlineStr">
        <is>
          <t>Hiệu chuẩn</t>
        </is>
      </c>
      <c r="K38" s="146" t="n">
        <v>46084</v>
      </c>
      <c r="L38" s="148" t="n">
        <v>600000</v>
      </c>
      <c r="M38" s="135" t="inlineStr">
        <is>
          <t>Tốt</t>
        </is>
      </c>
      <c r="N38" s="166" t="n"/>
      <c r="O38" s="166" t="n"/>
      <c r="P38" s="137" t="n"/>
    </row>
    <row r="39" ht="19.5" customHeight="1" s="253">
      <c r="A39" s="141" t="n">
        <v>29</v>
      </c>
      <c r="B39" s="54" t="n"/>
      <c r="C39" s="169" t="inlineStr">
        <is>
          <t>Máy đo quang (Quang phổ tử ngoại khả kiến U-2900)</t>
        </is>
      </c>
      <c r="D39" s="54" t="n"/>
      <c r="E39" s="27" t="inlineStr">
        <is>
          <t>HL-CS2</t>
        </is>
      </c>
      <c r="F39" s="54" t="n"/>
      <c r="G39" s="135" t="n">
        <v>1</v>
      </c>
      <c r="H39" s="88" t="n"/>
      <c r="I39" s="88" t="n"/>
      <c r="J39" s="172" t="inlineStr">
        <is>
          <t>Hiệu chuẩn</t>
        </is>
      </c>
      <c r="K39" s="146" t="n">
        <v>46084</v>
      </c>
      <c r="L39" s="173" t="n">
        <v>0</v>
      </c>
      <c r="M39" s="156" t="inlineStr">
        <is>
          <t>Không hoạt động</t>
        </is>
      </c>
      <c r="N39" s="88" t="n"/>
      <c r="O39" s="88" t="n"/>
      <c r="P39" s="175" t="n"/>
      <c r="Q39" s="111" t="n"/>
      <c r="R39" s="111" t="n"/>
      <c r="S39" s="111" t="n"/>
      <c r="T39" s="111" t="n"/>
      <c r="U39" s="111" t="n"/>
      <c r="V39" s="111" t="n"/>
      <c r="W39" s="111" t="n"/>
      <c r="X39" s="111" t="n"/>
      <c r="Y39" s="111" t="n"/>
      <c r="Z39" s="111" t="n"/>
      <c r="AA39" s="111" t="n"/>
    </row>
    <row r="40" ht="19.5" customHeight="1" s="253">
      <c r="A40" s="141" t="n">
        <v>30</v>
      </c>
      <c r="B40" s="61" t="n"/>
      <c r="C40" s="131" t="inlineStr">
        <is>
          <t>Máy đo pH/m để bàn</t>
        </is>
      </c>
      <c r="D40" s="61" t="n"/>
      <c r="E40" s="27" t="inlineStr">
        <is>
          <t>HL-CS2</t>
        </is>
      </c>
      <c r="F40" s="61" t="n"/>
      <c r="G40" s="135" t="n">
        <v>1</v>
      </c>
      <c r="H40" s="166" t="n"/>
      <c r="I40" s="166" t="n"/>
      <c r="J40" s="152" t="inlineStr">
        <is>
          <t>Hiệu chuẩn</t>
        </is>
      </c>
      <c r="K40" s="146" t="n">
        <v>46084</v>
      </c>
      <c r="L40" s="148" t="n">
        <v>600000</v>
      </c>
      <c r="M40" s="135" t="inlineStr">
        <is>
          <t>Tốt</t>
        </is>
      </c>
      <c r="N40" s="166" t="n"/>
      <c r="O40" s="166" t="n"/>
      <c r="P40" s="137" t="n"/>
    </row>
    <row r="41" ht="19.5" customHeight="1" s="253">
      <c r="A41" s="141" t="n">
        <v>31</v>
      </c>
      <c r="B41" s="61" t="n"/>
      <c r="C41" s="131" t="inlineStr">
        <is>
          <t>Thiết bị tổng chất rắn hoà tan</t>
        </is>
      </c>
      <c r="D41" s="61" t="n"/>
      <c r="E41" s="27" t="inlineStr">
        <is>
          <t>HL-CS2</t>
        </is>
      </c>
      <c r="F41" s="61" t="n"/>
      <c r="G41" s="135" t="n">
        <v>1</v>
      </c>
      <c r="H41" s="166" t="n"/>
      <c r="I41" s="166" t="n"/>
      <c r="J41" s="152" t="inlineStr">
        <is>
          <t>Hiệu chuẩn</t>
        </is>
      </c>
      <c r="K41" s="146" t="n">
        <v>46084</v>
      </c>
      <c r="L41" s="148" t="n">
        <v>1200000</v>
      </c>
      <c r="M41" s="135" t="inlineStr">
        <is>
          <t>Tốt</t>
        </is>
      </c>
      <c r="N41" s="166" t="n"/>
      <c r="O41" s="166" t="n"/>
      <c r="P41" s="137" t="n"/>
    </row>
    <row r="42" ht="19.5" customHeight="1" s="253">
      <c r="A42" s="141" t="n">
        <v>32</v>
      </c>
      <c r="B42" s="61" t="n"/>
      <c r="C42" s="131" t="inlineStr">
        <is>
          <t>Cân phân tích TE214S</t>
        </is>
      </c>
      <c r="D42" s="61" t="n"/>
      <c r="E42" s="27" t="inlineStr">
        <is>
          <t>HL-CS2</t>
        </is>
      </c>
      <c r="F42" s="61" t="n"/>
      <c r="G42" s="135" t="n">
        <v>1</v>
      </c>
      <c r="H42" s="166" t="n"/>
      <c r="I42" s="166" t="n"/>
      <c r="J42" s="152" t="inlineStr">
        <is>
          <t>Hiệu chuẩn</t>
        </is>
      </c>
      <c r="K42" s="146" t="n">
        <v>46084</v>
      </c>
      <c r="L42" s="148" t="n">
        <v>500000</v>
      </c>
      <c r="M42" s="135" t="inlineStr">
        <is>
          <t>Tốt</t>
        </is>
      </c>
      <c r="N42" s="166" t="n"/>
      <c r="O42" s="166" t="n"/>
      <c r="P42" s="137" t="n"/>
    </row>
    <row r="43" ht="19.5" customHeight="1" s="253">
      <c r="A43" s="141" t="n">
        <v>33</v>
      </c>
      <c r="B43" s="61" t="n"/>
      <c r="C43" s="131" t="inlineStr">
        <is>
          <t>Tủ sấy</t>
        </is>
      </c>
      <c r="D43" s="61" t="n"/>
      <c r="E43" s="27" t="inlineStr">
        <is>
          <t>HL-CS2</t>
        </is>
      </c>
      <c r="F43" s="61" t="n"/>
      <c r="G43" s="135" t="n">
        <v>1</v>
      </c>
      <c r="H43" s="166" t="n"/>
      <c r="I43" s="166" t="n"/>
      <c r="J43" s="152" t="inlineStr">
        <is>
          <t>Hiệu chuẩn</t>
        </is>
      </c>
      <c r="K43" s="146" t="n">
        <v>46084</v>
      </c>
      <c r="L43" s="148" t="n">
        <v>800000</v>
      </c>
      <c r="M43" s="135" t="inlineStr">
        <is>
          <t>Tốt</t>
        </is>
      </c>
      <c r="N43" s="166" t="n"/>
      <c r="O43" s="166" t="n"/>
      <c r="P43" s="137" t="n"/>
    </row>
    <row r="44" ht="19.5" customHeight="1" s="253">
      <c r="A44" s="141" t="n">
        <v>34</v>
      </c>
      <c r="B44" s="61" t="n"/>
      <c r="C44" s="131" t="inlineStr">
        <is>
          <t>Máy phân tích nước</t>
        </is>
      </c>
      <c r="D44" s="61" t="n"/>
      <c r="E44" s="27" t="inlineStr">
        <is>
          <t>HL-CS2</t>
        </is>
      </c>
      <c r="F44" s="61" t="n"/>
      <c r="G44" s="135" t="n">
        <v>1</v>
      </c>
      <c r="H44" s="166" t="n"/>
      <c r="I44" s="166" t="n"/>
      <c r="J44" s="152" t="inlineStr">
        <is>
          <t>Hiệu chuẩn</t>
        </is>
      </c>
      <c r="K44" s="146" t="n">
        <v>46084</v>
      </c>
      <c r="L44" s="148" t="n">
        <v>1500000</v>
      </c>
      <c r="M44" s="135" t="inlineStr">
        <is>
          <t>Tốt</t>
        </is>
      </c>
      <c r="N44" s="166" t="n"/>
      <c r="O44" s="166" t="n"/>
      <c r="P44" s="137" t="n"/>
    </row>
    <row r="45" ht="19.5" customHeight="1" s="253">
      <c r="A45" s="141" t="n">
        <v>35</v>
      </c>
      <c r="B45" s="61" t="n"/>
      <c r="C45" s="131" t="inlineStr">
        <is>
          <t>Nhiệt ẩm kế</t>
        </is>
      </c>
      <c r="D45" s="61" t="n"/>
      <c r="E45" s="27" t="inlineStr">
        <is>
          <t>HL-CS2</t>
        </is>
      </c>
      <c r="F45" s="61" t="n"/>
      <c r="G45" s="135" t="n">
        <v>1</v>
      </c>
      <c r="H45" s="166" t="n"/>
      <c r="I45" s="166" t="n"/>
      <c r="J45" s="152" t="inlineStr">
        <is>
          <t>Hiệu chuẩn</t>
        </is>
      </c>
      <c r="K45" s="146" t="n">
        <v>46084</v>
      </c>
      <c r="L45" s="148" t="n">
        <v>200000</v>
      </c>
      <c r="M45" s="135" t="inlineStr">
        <is>
          <t>Tốt</t>
        </is>
      </c>
      <c r="N45" s="166" t="n"/>
      <c r="O45" s="166" t="n"/>
      <c r="P45" s="137" t="n"/>
    </row>
    <row r="46" ht="19.5" customHeight="1" s="253">
      <c r="A46" s="141" t="n">
        <v>36</v>
      </c>
      <c r="B46" s="61" t="n"/>
      <c r="C46" s="131" t="inlineStr">
        <is>
          <t>Nhiệt ẩm kế</t>
        </is>
      </c>
      <c r="D46" s="61" t="n"/>
      <c r="E46" s="27" t="inlineStr">
        <is>
          <t>HL-CS2</t>
        </is>
      </c>
      <c r="F46" s="61" t="n"/>
      <c r="G46" s="135" t="n">
        <v>1</v>
      </c>
      <c r="H46" s="166" t="n"/>
      <c r="I46" s="166" t="n"/>
      <c r="J46" s="152" t="inlineStr">
        <is>
          <t>Hiệu chuẩn</t>
        </is>
      </c>
      <c r="K46" s="146" t="n">
        <v>46084</v>
      </c>
      <c r="L46" s="148" t="n">
        <v>200000</v>
      </c>
      <c r="M46" s="135" t="inlineStr">
        <is>
          <t>Tốt</t>
        </is>
      </c>
      <c r="N46" s="166" t="n"/>
      <c r="O46" s="166" t="n"/>
      <c r="P46" s="137" t="n"/>
    </row>
    <row r="47" ht="19.5" customHeight="1" s="253">
      <c r="A47" s="141" t="n">
        <v>37</v>
      </c>
      <c r="B47" s="61" t="n"/>
      <c r="C47" s="131" t="inlineStr">
        <is>
          <t>Nhiệt ẩm kế</t>
        </is>
      </c>
      <c r="D47" s="61" t="n"/>
      <c r="E47" s="27" t="inlineStr">
        <is>
          <t>HL-CS2</t>
        </is>
      </c>
      <c r="F47" s="61" t="n"/>
      <c r="G47" s="135" t="n">
        <v>1</v>
      </c>
      <c r="H47" s="166" t="n"/>
      <c r="I47" s="166" t="n"/>
      <c r="J47" s="152" t="inlineStr">
        <is>
          <t>Hiệu chuẩn</t>
        </is>
      </c>
      <c r="K47" s="146" t="n">
        <v>46084</v>
      </c>
      <c r="L47" s="148" t="n">
        <v>200000</v>
      </c>
      <c r="M47" s="135" t="inlineStr">
        <is>
          <t>Tốt</t>
        </is>
      </c>
      <c r="N47" s="166" t="n"/>
      <c r="O47" s="166" t="n"/>
      <c r="P47" s="137" t="n"/>
    </row>
    <row r="48" ht="19.5" customHeight="1" s="253">
      <c r="A48" s="141" t="n">
        <v>38</v>
      </c>
      <c r="B48" s="61" t="n"/>
      <c r="C48" s="131" t="inlineStr">
        <is>
          <t>Nhiệt ẩm kế</t>
        </is>
      </c>
      <c r="D48" s="61" t="n"/>
      <c r="E48" s="27" t="inlineStr">
        <is>
          <t>HL-CS2</t>
        </is>
      </c>
      <c r="F48" s="61" t="n"/>
      <c r="G48" s="135" t="n">
        <v>1</v>
      </c>
      <c r="H48" s="166" t="n"/>
      <c r="I48" s="166" t="n"/>
      <c r="J48" s="152" t="inlineStr">
        <is>
          <t>Hiệu chuẩn</t>
        </is>
      </c>
      <c r="K48" s="146" t="n">
        <v>46084</v>
      </c>
      <c r="L48" s="148" t="n">
        <v>200000</v>
      </c>
      <c r="M48" s="135" t="inlineStr">
        <is>
          <t>Tốt</t>
        </is>
      </c>
      <c r="N48" s="166" t="n"/>
      <c r="O48" s="166" t="n"/>
      <c r="P48" s="137" t="n"/>
    </row>
    <row r="49" ht="19.5" customHeight="1" s="253">
      <c r="A49" s="141" t="n">
        <v>39</v>
      </c>
      <c r="B49" s="61" t="n"/>
      <c r="C49" s="131" t="inlineStr">
        <is>
          <t>Nhiệt kế đầu dò Testo</t>
        </is>
      </c>
      <c r="D49" s="61" t="n"/>
      <c r="E49" s="27" t="inlineStr">
        <is>
          <t>HL-CS2</t>
        </is>
      </c>
      <c r="F49" s="61" t="n"/>
      <c r="G49" s="135" t="n">
        <v>1</v>
      </c>
      <c r="H49" s="166" t="n"/>
      <c r="I49" s="166" t="n"/>
      <c r="J49" s="152" t="inlineStr">
        <is>
          <t>Hiệu chuẩn</t>
        </is>
      </c>
      <c r="K49" s="146" t="n">
        <v>46084</v>
      </c>
      <c r="L49" s="148" t="n">
        <v>500000</v>
      </c>
      <c r="M49" s="135" t="inlineStr">
        <is>
          <t>Tốt</t>
        </is>
      </c>
      <c r="N49" s="166" t="n"/>
      <c r="O49" s="166" t="n"/>
      <c r="P49" s="137" t="n"/>
    </row>
    <row r="50" ht="19.5" customHeight="1" s="253">
      <c r="A50" s="141" t="n">
        <v>40</v>
      </c>
      <c r="B50" s="61" t="n"/>
      <c r="C50" s="131" t="inlineStr">
        <is>
          <t>Nhiệt kế đầu dò Testo</t>
        </is>
      </c>
      <c r="D50" s="61" t="n"/>
      <c r="E50" s="27" t="inlineStr">
        <is>
          <t>HL-CS2</t>
        </is>
      </c>
      <c r="F50" s="61" t="n"/>
      <c r="G50" s="135" t="n">
        <v>1</v>
      </c>
      <c r="H50" s="166" t="n"/>
      <c r="I50" s="166" t="n"/>
      <c r="J50" s="152" t="inlineStr">
        <is>
          <t>Hiệu chuẩn</t>
        </is>
      </c>
      <c r="K50" s="146" t="n">
        <v>46084</v>
      </c>
      <c r="L50" s="148" t="n">
        <v>300000</v>
      </c>
      <c r="M50" s="135" t="inlineStr">
        <is>
          <t>Tốt</t>
        </is>
      </c>
      <c r="N50" s="166" t="n"/>
      <c r="O50" s="166" t="n"/>
      <c r="P50" s="137" t="n"/>
    </row>
    <row r="51" ht="19.5" customHeight="1" s="253">
      <c r="A51" s="141" t="n">
        <v>41</v>
      </c>
      <c r="B51" s="61" t="n"/>
      <c r="C51" s="131" t="inlineStr">
        <is>
          <t>Nhiệt ẩm kế</t>
        </is>
      </c>
      <c r="D51" s="61" t="n"/>
      <c r="E51" s="27" t="inlineStr">
        <is>
          <t>HL-CS2</t>
        </is>
      </c>
      <c r="F51" s="61" t="n"/>
      <c r="G51" s="135" t="n">
        <v>1</v>
      </c>
      <c r="H51" s="166" t="n"/>
      <c r="I51" s="166" t="n"/>
      <c r="J51" s="152" t="inlineStr">
        <is>
          <t>Hiệu chuẩn</t>
        </is>
      </c>
      <c r="K51" s="146" t="n">
        <v>46084</v>
      </c>
      <c r="L51" s="148" t="n">
        <v>200000</v>
      </c>
      <c r="M51" s="135" t="inlineStr">
        <is>
          <t>Tốt</t>
        </is>
      </c>
      <c r="N51" s="166" t="n"/>
      <c r="O51" s="166" t="n"/>
      <c r="P51" s="137" t="n"/>
    </row>
    <row r="52" ht="22.5" customHeight="1" s="253">
      <c r="A52" s="141" t="n">
        <v>42</v>
      </c>
      <c r="B52" s="210" t="n"/>
      <c r="C52" s="131" t="inlineStr">
        <is>
          <t>Nhiệt ẩm kế</t>
        </is>
      </c>
      <c r="D52" s="35" t="n"/>
      <c r="E52" s="27" t="inlineStr">
        <is>
          <t>HL-CS2</t>
        </is>
      </c>
      <c r="F52" s="189" t="n"/>
      <c r="G52" s="135" t="n">
        <v>1</v>
      </c>
      <c r="H52" s="189" t="n"/>
      <c r="I52" s="189" t="n"/>
      <c r="J52" s="152" t="inlineStr">
        <is>
          <t>Hiệu chuẩn</t>
        </is>
      </c>
      <c r="K52" s="146" t="n">
        <v>46084</v>
      </c>
      <c r="L52" s="148" t="n">
        <v>200000</v>
      </c>
      <c r="M52" s="135" t="inlineStr">
        <is>
          <t>Tốt</t>
        </is>
      </c>
      <c r="N52" s="190" t="n"/>
      <c r="O52" s="190" t="n"/>
      <c r="P52" s="137" t="n"/>
    </row>
    <row r="53" ht="22.5" customHeight="1" s="253">
      <c r="A53" s="141" t="n">
        <v>43</v>
      </c>
      <c r="B53" s="210" t="n"/>
      <c r="C53" s="131" t="inlineStr">
        <is>
          <t>Micropipet 100- 1000 µl</t>
        </is>
      </c>
      <c r="D53" s="35" t="n"/>
      <c r="E53" s="27" t="inlineStr">
        <is>
          <t>HL-CS2</t>
        </is>
      </c>
      <c r="F53" s="189" t="n"/>
      <c r="G53" s="135" t="n">
        <v>1</v>
      </c>
      <c r="H53" s="189" t="n"/>
      <c r="I53" s="189" t="n"/>
      <c r="J53" s="152" t="inlineStr">
        <is>
          <t>Hiệu chuẩn</t>
        </is>
      </c>
      <c r="K53" s="146" t="n">
        <v>46084</v>
      </c>
      <c r="L53" s="148" t="n">
        <v>200000</v>
      </c>
      <c r="M53" s="135" t="inlineStr">
        <is>
          <t>Tốt</t>
        </is>
      </c>
      <c r="N53" s="190" t="n"/>
      <c r="O53" s="190" t="n"/>
      <c r="P53" s="137" t="n"/>
    </row>
    <row r="54" ht="22.5" customHeight="1" s="253">
      <c r="A54" s="141" t="n">
        <v>44</v>
      </c>
      <c r="B54" s="210" t="n"/>
      <c r="C54" s="131" t="inlineStr">
        <is>
          <t>Micropipet 10- 100 µl</t>
        </is>
      </c>
      <c r="D54" s="35" t="n"/>
      <c r="E54" s="27" t="inlineStr">
        <is>
          <t>HL-CS2</t>
        </is>
      </c>
      <c r="F54" s="189" t="n"/>
      <c r="G54" s="135" t="n">
        <v>1</v>
      </c>
      <c r="H54" s="189" t="n"/>
      <c r="I54" s="189" t="n"/>
      <c r="J54" s="152" t="inlineStr">
        <is>
          <t>Hiệu chuẩn</t>
        </is>
      </c>
      <c r="K54" s="146" t="n">
        <v>46084</v>
      </c>
      <c r="L54" s="148" t="n">
        <v>200000</v>
      </c>
      <c r="M54" s="135" t="inlineStr">
        <is>
          <t>Tốt</t>
        </is>
      </c>
      <c r="N54" s="190" t="n"/>
      <c r="O54" s="190" t="n"/>
      <c r="P54" s="137" t="n"/>
    </row>
    <row r="55" ht="22.5" customHeight="1" s="253">
      <c r="A55" s="141" t="n">
        <v>45</v>
      </c>
      <c r="B55" s="210" t="n"/>
      <c r="C55" s="131" t="inlineStr">
        <is>
          <t>Nồi hấp sấy ướt Sturdy</t>
        </is>
      </c>
      <c r="D55" s="35" t="n"/>
      <c r="E55" s="27" t="inlineStr">
        <is>
          <t>HL-CS2</t>
        </is>
      </c>
      <c r="F55" s="189" t="n"/>
      <c r="G55" s="135" t="n">
        <v>1</v>
      </c>
      <c r="H55" s="189" t="n"/>
      <c r="I55" s="189" t="n"/>
      <c r="J55" s="191" t="inlineStr">
        <is>
          <t>Kiểm định</t>
        </is>
      </c>
      <c r="K55" s="146" t="n">
        <v>46084</v>
      </c>
      <c r="L55" s="148" t="n">
        <v>1000000</v>
      </c>
      <c r="M55" s="135" t="inlineStr">
        <is>
          <t>Tốt</t>
        </is>
      </c>
      <c r="N55" s="190" t="n"/>
      <c r="O55" s="190" t="n"/>
      <c r="P55" s="137" t="n"/>
    </row>
    <row r="56" ht="72" customHeight="1" s="253">
      <c r="A56" s="192" t="inlineStr">
        <is>
          <t>II</t>
        </is>
      </c>
      <c r="B56" s="93" t="inlineStr">
        <is>
          <t>Gói Dịch vụ hiệu chuẩn, thử nghiệm, kiểm định máy móc, thiết bị phục vụ hoạt động kiểm nghiệm, phân tích mẫu tại Trung tâm Kiểm soát bệnh tật thành phố Đà Nẵng năm 2026</t>
        </is>
      </c>
      <c r="C56" s="254" t="n"/>
      <c r="D56" s="93" t="n"/>
      <c r="E56" s="120" t="inlineStr">
        <is>
          <t>XN</t>
        </is>
      </c>
      <c r="F56" s="103" t="n"/>
      <c r="G56" s="120">
        <f>sum(G57:G91)</f>
        <v/>
      </c>
      <c r="H56" s="110" t="n"/>
      <c r="I56" s="130" t="inlineStr">
        <is>
          <t>TT Kiểm định Hiệu chuẩn Đo lường Miền Nam (SMETES)</t>
        </is>
      </c>
      <c r="J56" s="130" t="n"/>
      <c r="K56" s="110" t="n"/>
      <c r="L56" s="116">
        <f>sum(L57:L91)</f>
        <v/>
      </c>
      <c r="M56" s="130" t="n"/>
      <c r="N56" s="118" t="inlineStr">
        <is>
          <t>Ds. Tính, 
Ds. Lộc, 
Cn. Hải, 
Cn. Sơn</t>
        </is>
      </c>
      <c r="O56" s="120" t="inlineStr">
        <is>
          <t>Thu sự
 nghiệp</t>
        </is>
      </c>
      <c r="P56" s="137" t="inlineStr">
        <is>
          <t>Quyết định số
 34/QĐ-TTKSBT
 ngày 27/01/2026</t>
        </is>
      </c>
    </row>
    <row r="57" ht="26.25" customHeight="1" s="253">
      <c r="A57" s="193" t="n">
        <v>1</v>
      </c>
      <c r="B57" s="210" t="n"/>
      <c r="C57" s="194" t="inlineStr">
        <is>
          <t>Tủ an toàn sinh học cấp II Safemate 1.2</t>
        </is>
      </c>
      <c r="D57" s="210" t="n"/>
      <c r="E57" s="195" t="inlineStr">
        <is>
          <t>VS-CS1</t>
        </is>
      </c>
      <c r="F57" s="191" t="n"/>
      <c r="G57" s="195" t="n">
        <v>1</v>
      </c>
      <c r="H57" s="196" t="n"/>
      <c r="I57" s="196" t="n"/>
      <c r="J57" s="130" t="inlineStr">
        <is>
          <t>Thử nghiệm</t>
        </is>
      </c>
      <c r="K57" s="197" t="n"/>
      <c r="L57" s="198" t="n"/>
      <c r="M57" s="199" t="n"/>
      <c r="N57" s="197" t="n"/>
      <c r="O57" s="197" t="n"/>
      <c r="P57" s="221" t="n"/>
      <c r="Q57" s="200" t="n"/>
    </row>
    <row r="58" ht="26.25" customHeight="1" s="253">
      <c r="A58" s="193" t="n">
        <v>2</v>
      </c>
      <c r="B58" s="210" t="n"/>
      <c r="C58" s="194" t="inlineStr">
        <is>
          <t>Tủ an toàn sinh học cấp II CLASS II BSC</t>
        </is>
      </c>
      <c r="D58" s="210" t="n"/>
      <c r="E58" s="195" t="inlineStr">
        <is>
          <t>VS-CS1</t>
        </is>
      </c>
      <c r="F58" s="191" t="n"/>
      <c r="G58" s="195" t="n">
        <v>1</v>
      </c>
      <c r="H58" s="196" t="n"/>
      <c r="I58" s="196" t="n"/>
      <c r="J58" s="152" t="inlineStr">
        <is>
          <t>Thử nghiệm</t>
        </is>
      </c>
      <c r="K58" s="197" t="n"/>
      <c r="L58" s="198" t="n"/>
      <c r="M58" s="199" t="n"/>
      <c r="N58" s="197" t="n"/>
      <c r="O58" s="197" t="n"/>
      <c r="P58" s="221" t="n"/>
      <c r="Q58" s="200" t="n"/>
    </row>
    <row r="59" ht="44.25" customHeight="1" s="253">
      <c r="A59" s="193" t="n">
        <v>3</v>
      </c>
      <c r="B59" s="210" t="n"/>
      <c r="C59" s="194" t="inlineStr">
        <is>
          <t>Bể điều nhiệt (Nồi đun cách thủy)</t>
        </is>
      </c>
      <c r="D59" s="210" t="n"/>
      <c r="E59" s="195" t="inlineStr">
        <is>
          <t>VS-CS1
 VS-CS2</t>
        </is>
      </c>
      <c r="F59" s="191" t="n"/>
      <c r="G59" s="195" t="n">
        <v>2</v>
      </c>
      <c r="H59" s="196" t="n"/>
      <c r="I59" s="196" t="n"/>
      <c r="J59" s="130" t="inlineStr">
        <is>
          <t>Hiệu chuẩn</t>
        </is>
      </c>
      <c r="K59" s="197" t="n"/>
      <c r="L59" s="198" t="n"/>
      <c r="M59" s="199" t="n"/>
      <c r="N59" s="197" t="n"/>
      <c r="O59" s="197" t="n"/>
      <c r="P59" s="221" t="n"/>
      <c r="Q59" s="200" t="n"/>
    </row>
    <row r="60" ht="26.25" customHeight="1" s="253">
      <c r="A60" s="193" t="n">
        <v>4</v>
      </c>
      <c r="B60" s="210" t="n"/>
      <c r="C60" s="194" t="inlineStr">
        <is>
          <t>Bộ quả cân chuẩn F1(6 quả)</t>
        </is>
      </c>
      <c r="D60" s="210" t="n"/>
      <c r="E60" s="195" t="inlineStr">
        <is>
          <t>HL-CS1</t>
        </is>
      </c>
      <c r="F60" s="191" t="n"/>
      <c r="G60" s="195" t="n">
        <v>1</v>
      </c>
      <c r="H60" s="196" t="n"/>
      <c r="I60" s="196" t="n"/>
      <c r="J60" s="152" t="inlineStr">
        <is>
          <t>Hiệu chuẩn</t>
        </is>
      </c>
      <c r="K60" s="197" t="n"/>
      <c r="L60" s="198" t="n"/>
      <c r="M60" s="199" t="n"/>
      <c r="N60" s="197" t="n"/>
      <c r="O60" s="197" t="n"/>
      <c r="P60" s="221" t="n"/>
      <c r="Q60" s="200" t="n"/>
    </row>
    <row r="61" ht="26.25" customHeight="1" s="253">
      <c r="A61" s="193" t="n">
        <v>5</v>
      </c>
      <c r="B61" s="210" t="n"/>
      <c r="C61" s="194" t="inlineStr">
        <is>
          <t>Cân điện tử ACB 150g</t>
        </is>
      </c>
      <c r="D61" s="210" t="n"/>
      <c r="E61" s="195" t="inlineStr">
        <is>
          <t>VS-CS1</t>
        </is>
      </c>
      <c r="F61" s="191" t="n"/>
      <c r="G61" s="195" t="n">
        <v>1</v>
      </c>
      <c r="H61" s="196" t="n"/>
      <c r="I61" s="196" t="n"/>
      <c r="J61" s="152" t="inlineStr">
        <is>
          <t>Hiệu chuẩn</t>
        </is>
      </c>
      <c r="K61" s="197" t="n"/>
      <c r="L61" s="198" t="n"/>
      <c r="M61" s="199" t="n"/>
      <c r="N61" s="197" t="n"/>
      <c r="O61" s="197" t="n"/>
      <c r="P61" s="221" t="n"/>
      <c r="Q61" s="200" t="n"/>
    </row>
    <row r="62" ht="26.25" customHeight="1" s="253">
      <c r="A62" s="193" t="n">
        <v>6</v>
      </c>
      <c r="B62" s="210" t="n"/>
      <c r="C62" s="194" t="inlineStr">
        <is>
          <t>Cân kỹ thuật Mdel: CPA4202S</t>
        </is>
      </c>
      <c r="D62" s="210" t="n"/>
      <c r="E62" s="195" t="inlineStr">
        <is>
          <t>HL-CS1</t>
        </is>
      </c>
      <c r="F62" s="191" t="n"/>
      <c r="G62" s="195" t="n">
        <v>1</v>
      </c>
      <c r="H62" s="196" t="n"/>
      <c r="I62" s="196" t="n"/>
      <c r="J62" s="152" t="inlineStr">
        <is>
          <t>Hiệu chuẩn</t>
        </is>
      </c>
      <c r="K62" s="197" t="n"/>
      <c r="L62" s="198" t="n"/>
      <c r="M62" s="199" t="n"/>
      <c r="N62" s="197" t="n"/>
      <c r="O62" s="197" t="n"/>
      <c r="P62" s="221" t="n"/>
      <c r="Q62" s="200" t="n"/>
    </row>
    <row r="63" ht="26.25" customHeight="1" s="253">
      <c r="A63" s="193" t="n">
        <v>7</v>
      </c>
      <c r="B63" s="210" t="n"/>
      <c r="C63" s="194" t="inlineStr">
        <is>
          <t>Cân kỹ thuật PRECISA</t>
        </is>
      </c>
      <c r="D63" s="210" t="n"/>
      <c r="E63" s="195" t="inlineStr">
        <is>
          <t>VS-CS1</t>
        </is>
      </c>
      <c r="F63" s="191" t="n"/>
      <c r="G63" s="195" t="n">
        <v>1</v>
      </c>
      <c r="H63" s="196" t="n"/>
      <c r="I63" s="196" t="n"/>
      <c r="J63" s="152" t="inlineStr">
        <is>
          <t>Hiệu chuẩn</t>
        </is>
      </c>
      <c r="K63" s="197" t="n"/>
      <c r="L63" s="198" t="n"/>
      <c r="M63" s="199" t="n"/>
      <c r="N63" s="197" t="n"/>
      <c r="O63" s="197" t="n"/>
      <c r="P63" s="221" t="n"/>
      <c r="Q63" s="200" t="n"/>
    </row>
    <row r="64" ht="26.25" customHeight="1" s="253">
      <c r="A64" s="193" t="n">
        <v>8</v>
      </c>
      <c r="B64" s="210" t="n"/>
      <c r="C64" s="194" t="inlineStr">
        <is>
          <t>Cân phân tích Model: CPA224S</t>
        </is>
      </c>
      <c r="D64" s="210" t="n"/>
      <c r="E64" s="195" t="inlineStr">
        <is>
          <t>HL-CS1</t>
        </is>
      </c>
      <c r="F64" s="191" t="n"/>
      <c r="G64" s="195" t="n">
        <v>1</v>
      </c>
      <c r="H64" s="196" t="n"/>
      <c r="I64" s="196" t="n"/>
      <c r="J64" s="152" t="inlineStr">
        <is>
          <t>Hiệu chuẩn</t>
        </is>
      </c>
      <c r="K64" s="197" t="n"/>
      <c r="L64" s="198" t="n"/>
      <c r="M64" s="199" t="n"/>
      <c r="N64" s="197" t="n"/>
      <c r="O64" s="197" t="n"/>
      <c r="P64" s="221" t="n"/>
      <c r="Q64" s="200" t="n"/>
    </row>
    <row r="65" ht="26.25" customHeight="1" s="253">
      <c r="A65" s="193" t="n">
        <v>9</v>
      </c>
      <c r="B65" s="210" t="n"/>
      <c r="C65" s="194" t="inlineStr">
        <is>
          <t>Cốc lọc của Hệ thống lọc 3 kênh (Merck Millipore) Mỹ)</t>
        </is>
      </c>
      <c r="D65" s="210" t="n"/>
      <c r="E65" s="195" t="inlineStr">
        <is>
          <t>VS-CS1</t>
        </is>
      </c>
      <c r="F65" s="191" t="n"/>
      <c r="G65" s="195" t="n">
        <v>1</v>
      </c>
      <c r="H65" s="196" t="n"/>
      <c r="I65" s="196" t="n"/>
      <c r="J65" s="152" t="inlineStr">
        <is>
          <t>Hiệu chuẩn</t>
        </is>
      </c>
      <c r="K65" s="197" t="n"/>
      <c r="L65" s="198" t="n"/>
      <c r="M65" s="199" t="n"/>
      <c r="N65" s="197" t="n"/>
      <c r="O65" s="197" t="n"/>
      <c r="P65" s="221" t="n"/>
      <c r="Q65" s="200" t="n"/>
    </row>
    <row r="66" ht="26.25" customHeight="1" s="253">
      <c r="A66" s="193" t="n">
        <v>10</v>
      </c>
      <c r="B66" s="210" t="n"/>
      <c r="C66" s="194" t="inlineStr">
        <is>
          <t>Lò nung Nabertherm</t>
        </is>
      </c>
      <c r="D66" s="210" t="n"/>
      <c r="E66" s="195" t="inlineStr">
        <is>
          <t>HL-CS1</t>
        </is>
      </c>
      <c r="F66" s="191" t="n"/>
      <c r="G66" s="195" t="n">
        <v>1</v>
      </c>
      <c r="H66" s="196" t="n"/>
      <c r="I66" s="196" t="n"/>
      <c r="J66" s="152" t="inlineStr">
        <is>
          <t>Hiệu chuẩn</t>
        </is>
      </c>
      <c r="K66" s="197" t="n"/>
      <c r="L66" s="198" t="n"/>
      <c r="M66" s="199" t="n"/>
      <c r="N66" s="197" t="n"/>
      <c r="O66" s="197" t="n"/>
      <c r="P66" s="221" t="n"/>
      <c r="Q66" s="200" t="n"/>
    </row>
    <row r="67" ht="26.25" customHeight="1" s="253">
      <c r="A67" s="193" t="n">
        <v>11</v>
      </c>
      <c r="B67" s="210" t="n"/>
      <c r="C67" s="194" t="inlineStr">
        <is>
          <t>Máy đo độ cồn (Cồn kế) Model: Alcoholmeter GE ClassIII</t>
        </is>
      </c>
      <c r="D67" s="210" t="n"/>
      <c r="E67" s="195" t="inlineStr">
        <is>
          <t>HL-CS1</t>
        </is>
      </c>
      <c r="F67" s="191" t="n"/>
      <c r="G67" s="195" t="n">
        <v>1</v>
      </c>
      <c r="H67" s="196" t="n"/>
      <c r="I67" s="196" t="n"/>
      <c r="J67" s="152" t="inlineStr">
        <is>
          <t>Hiệu chuẩn</t>
        </is>
      </c>
      <c r="K67" s="197" t="n"/>
      <c r="L67" s="198" t="n"/>
      <c r="M67" s="199" t="n"/>
      <c r="N67" s="197" t="n"/>
      <c r="O67" s="197" t="n"/>
      <c r="P67" s="221" t="n"/>
      <c r="Q67" s="200" t="n"/>
    </row>
    <row r="68" ht="26.25" customHeight="1" s="253">
      <c r="A68" s="193" t="n">
        <v>12</v>
      </c>
      <c r="B68" s="210" t="n"/>
      <c r="C68" s="194" t="inlineStr">
        <is>
          <t>Máy đo độ đục cầm tay (H193414, Romania)</t>
        </is>
      </c>
      <c r="D68" s="210" t="n"/>
      <c r="E68" s="195" t="inlineStr">
        <is>
          <t>HL-CS1</t>
        </is>
      </c>
      <c r="F68" s="191" t="n"/>
      <c r="G68" s="195" t="n">
        <v>1</v>
      </c>
      <c r="H68" s="196" t="n"/>
      <c r="I68" s="196" t="n"/>
      <c r="J68" s="152" t="inlineStr">
        <is>
          <t>Hiệu chuẩn</t>
        </is>
      </c>
      <c r="K68" s="197" t="n"/>
      <c r="L68" s="198" t="n"/>
      <c r="M68" s="199" t="n"/>
      <c r="N68" s="197" t="n"/>
      <c r="O68" s="197" t="n"/>
      <c r="P68" s="221" t="n"/>
      <c r="Q68" s="200" t="n"/>
    </row>
    <row r="69" ht="42" customHeight="1" s="253">
      <c r="A69" s="193" t="n">
        <v>13</v>
      </c>
      <c r="B69" s="210" t="n"/>
      <c r="C69" s="201" t="inlineStr">
        <is>
          <t>Máy đo PH (Model: HI 98190; Hãng Hanna; Xuất xứ: Romania)</t>
        </is>
      </c>
      <c r="D69" s="210" t="n"/>
      <c r="E69" s="195" t="inlineStr">
        <is>
          <t>VS-CS1</t>
        </is>
      </c>
      <c r="F69" s="191" t="n"/>
      <c r="G69" s="195" t="n">
        <v>1</v>
      </c>
      <c r="H69" s="196" t="n"/>
      <c r="I69" s="196" t="n"/>
      <c r="J69" s="152" t="inlineStr">
        <is>
          <t>Hiệu chuẩn</t>
        </is>
      </c>
      <c r="K69" s="197" t="n"/>
      <c r="L69" s="198" t="n"/>
      <c r="M69" s="199" t="n"/>
      <c r="N69" s="197" t="n"/>
      <c r="O69" s="197" t="n"/>
      <c r="P69" s="221" t="n"/>
      <c r="Q69" s="200" t="n"/>
    </row>
    <row r="70" ht="26.25" customHeight="1" s="253">
      <c r="A70" s="193" t="n">
        <v>14</v>
      </c>
      <c r="B70" s="210" t="n"/>
      <c r="C70" s="194" t="inlineStr">
        <is>
          <t>Máy đo PH để bàn</t>
        </is>
      </c>
      <c r="D70" s="210" t="n"/>
      <c r="E70" s="195" t="inlineStr">
        <is>
          <t>HL-CS1</t>
        </is>
      </c>
      <c r="F70" s="191" t="n"/>
      <c r="G70" s="195" t="n">
        <v>1</v>
      </c>
      <c r="H70" s="196" t="n"/>
      <c r="I70" s="196" t="n"/>
      <c r="J70" s="152" t="inlineStr">
        <is>
          <t>Hiệu chuẩn</t>
        </is>
      </c>
      <c r="K70" s="197" t="n"/>
      <c r="L70" s="198" t="n"/>
      <c r="M70" s="199" t="n"/>
      <c r="N70" s="197" t="n"/>
      <c r="O70" s="197" t="n"/>
      <c r="P70" s="221" t="n"/>
      <c r="Q70" s="200" t="n"/>
    </row>
    <row r="71" ht="26.25" customHeight="1" s="253">
      <c r="A71" s="193" t="n">
        <v>15</v>
      </c>
      <c r="B71" s="210" t="n"/>
      <c r="C71" s="194" t="inlineStr">
        <is>
          <t>Máy đo quang (Quang phổ tử ngoại khả kiến U-2900)</t>
        </is>
      </c>
      <c r="D71" s="210" t="n"/>
      <c r="E71" s="195" t="inlineStr">
        <is>
          <t>HL-CS2</t>
        </is>
      </c>
      <c r="F71" s="191" t="n"/>
      <c r="G71" s="195" t="n">
        <v>1</v>
      </c>
      <c r="H71" s="196" t="n"/>
      <c r="I71" s="196" t="n"/>
      <c r="J71" s="152" t="inlineStr">
        <is>
          <t>Hiệu chuẩn</t>
        </is>
      </c>
      <c r="K71" s="197" t="n"/>
      <c r="L71" s="198" t="n"/>
      <c r="M71" s="199" t="n"/>
      <c r="N71" s="197" t="n"/>
      <c r="O71" s="197" t="n"/>
      <c r="P71" s="221" t="n"/>
      <c r="Q71" s="200" t="n"/>
    </row>
    <row r="72" ht="26.25" customHeight="1" s="253">
      <c r="A72" s="193" t="n">
        <v>16</v>
      </c>
      <c r="B72" s="210" t="n"/>
      <c r="C72" s="194" t="inlineStr">
        <is>
          <t>Micropipet đơn kênh (100μ -1000μ)</t>
        </is>
      </c>
      <c r="D72" s="210" t="n"/>
      <c r="E72" s="195" t="inlineStr">
        <is>
          <t>VS-CS1</t>
        </is>
      </c>
      <c r="F72" s="191" t="n"/>
      <c r="G72" s="195" t="n">
        <v>1</v>
      </c>
      <c r="H72" s="196" t="n"/>
      <c r="I72" s="196" t="n"/>
      <c r="J72" s="152" t="inlineStr">
        <is>
          <t>Hiệu chuẩn</t>
        </is>
      </c>
      <c r="K72" s="197" t="n"/>
      <c r="L72" s="198" t="n"/>
      <c r="M72" s="199" t="n"/>
      <c r="N72" s="197" t="n"/>
      <c r="O72" s="197" t="n"/>
      <c r="P72" s="221" t="n"/>
      <c r="Q72" s="200" t="n"/>
    </row>
    <row r="73" ht="26.25" customHeight="1" s="253">
      <c r="A73" s="193" t="n">
        <v>17</v>
      </c>
      <c r="B73" s="210" t="n"/>
      <c r="C73" s="194" t="inlineStr">
        <is>
          <t>Micropipette 100-1000ul</t>
        </is>
      </c>
      <c r="D73" s="210" t="n"/>
      <c r="E73" s="195" t="inlineStr">
        <is>
          <t>VS-CS2</t>
        </is>
      </c>
      <c r="F73" s="191" t="n"/>
      <c r="G73" s="195" t="n">
        <v>1</v>
      </c>
      <c r="H73" s="196" t="n"/>
      <c r="I73" s="196" t="n"/>
      <c r="J73" s="152" t="inlineStr">
        <is>
          <t>Hiệu chuẩn</t>
        </is>
      </c>
      <c r="K73" s="197" t="n"/>
      <c r="L73" s="198" t="n"/>
      <c r="M73" s="199" t="n"/>
      <c r="N73" s="197" t="n"/>
      <c r="O73" s="197" t="n"/>
      <c r="P73" s="221" t="n"/>
      <c r="Q73" s="200" t="n"/>
    </row>
    <row r="74" ht="60.75" customHeight="1" s="253">
      <c r="A74" s="193" t="n">
        <v>18</v>
      </c>
      <c r="B74" s="210" t="n"/>
      <c r="C74" s="194" t="inlineStr">
        <is>
          <t>Micropippet 100 uL
Micropippet 200 uL
Micropippet 1000uL</t>
        </is>
      </c>
      <c r="D74" s="210" t="n"/>
      <c r="E74" s="195" t="inlineStr">
        <is>
          <t>HLCS1</t>
        </is>
      </c>
      <c r="F74" s="191" t="n"/>
      <c r="G74" s="195" t="n">
        <v>3</v>
      </c>
      <c r="H74" s="196" t="n"/>
      <c r="I74" s="196" t="n"/>
      <c r="J74" s="152" t="inlineStr">
        <is>
          <t>Hiệu chuẩn</t>
        </is>
      </c>
      <c r="K74" s="197" t="n"/>
      <c r="L74" s="198" t="n"/>
      <c r="M74" s="199" t="n"/>
      <c r="N74" s="197" t="n"/>
      <c r="O74" s="197" t="n"/>
      <c r="P74" s="221" t="n"/>
      <c r="Q74" s="200" t="n"/>
    </row>
    <row r="75" ht="26.25" customHeight="1" s="253">
      <c r="A75" s="193" t="n">
        <v>19</v>
      </c>
      <c r="B75" s="210" t="n"/>
      <c r="C75" s="194" t="inlineStr">
        <is>
          <t>Micropippet 200 uL</t>
        </is>
      </c>
      <c r="D75" s="210" t="n"/>
      <c r="E75" s="195" t="inlineStr">
        <is>
          <t>VS-CS1</t>
        </is>
      </c>
      <c r="F75" s="191" t="n"/>
      <c r="G75" s="195" t="n">
        <v>1</v>
      </c>
      <c r="H75" s="196" t="n"/>
      <c r="I75" s="196" t="n"/>
      <c r="J75" s="152" t="inlineStr">
        <is>
          <t>Hiệu chuẩn</t>
        </is>
      </c>
      <c r="K75" s="197" t="n"/>
      <c r="L75" s="198" t="n"/>
      <c r="M75" s="199" t="n"/>
      <c r="N75" s="197" t="n"/>
      <c r="O75" s="197" t="n"/>
      <c r="P75" s="221" t="n"/>
      <c r="Q75" s="200" t="n"/>
    </row>
    <row r="76" ht="26.25" customHeight="1" s="253">
      <c r="A76" s="193" t="n">
        <v>20</v>
      </c>
      <c r="B76" s="210" t="n"/>
      <c r="C76" s="194" t="inlineStr">
        <is>
          <t>Nhiệt ẩm kế</t>
        </is>
      </c>
      <c r="D76" s="210" t="n"/>
      <c r="E76" s="195" t="inlineStr">
        <is>
          <t>HL-CS1</t>
        </is>
      </c>
      <c r="F76" s="191" t="n"/>
      <c r="G76" s="195" t="n">
        <v>1</v>
      </c>
      <c r="H76" s="196" t="n"/>
      <c r="I76" s="196" t="n"/>
      <c r="J76" s="152" t="inlineStr">
        <is>
          <t>Hiệu chuẩn</t>
        </is>
      </c>
      <c r="K76" s="197" t="n"/>
      <c r="L76" s="198" t="n"/>
      <c r="M76" s="199" t="n"/>
      <c r="N76" s="197" t="n"/>
      <c r="O76" s="197" t="n"/>
      <c r="P76" s="221" t="n"/>
      <c r="Q76" s="200" t="n"/>
    </row>
    <row r="77" ht="26.25" customHeight="1" s="253">
      <c r="A77" s="193" t="n">
        <v>21</v>
      </c>
      <c r="B77" s="210" t="n"/>
      <c r="C77" s="194" t="inlineStr">
        <is>
          <t>Nhiệt kế ẩm Tanita</t>
        </is>
      </c>
      <c r="D77" s="210" t="n"/>
      <c r="E77" s="195" t="inlineStr">
        <is>
          <t>VS-CS1</t>
        </is>
      </c>
      <c r="F77" s="191" t="n"/>
      <c r="G77" s="195" t="n">
        <v>2</v>
      </c>
      <c r="H77" s="196" t="n"/>
      <c r="I77" s="196" t="n"/>
      <c r="J77" s="152" t="inlineStr">
        <is>
          <t>Hiệu chuẩn</t>
        </is>
      </c>
      <c r="K77" s="197" t="n"/>
      <c r="L77" s="198" t="n"/>
      <c r="M77" s="199" t="n"/>
      <c r="N77" s="197" t="n"/>
      <c r="O77" s="197" t="n"/>
      <c r="P77" s="221" t="n"/>
      <c r="Q77" s="200" t="n"/>
    </row>
    <row r="78" ht="26.25" customHeight="1" s="253">
      <c r="A78" s="193" t="n">
        <v>22</v>
      </c>
      <c r="B78" s="210" t="n"/>
      <c r="C78" s="194" t="inlineStr">
        <is>
          <t>Nhiệt kế điện tử; Testo 925</t>
        </is>
      </c>
      <c r="D78" s="210" t="n"/>
      <c r="E78" s="195" t="inlineStr">
        <is>
          <t>HL-CS1</t>
        </is>
      </c>
      <c r="F78" s="191" t="n"/>
      <c r="G78" s="195" t="n">
        <v>1</v>
      </c>
      <c r="H78" s="196" t="n"/>
      <c r="I78" s="196" t="n"/>
      <c r="J78" s="152" t="inlineStr">
        <is>
          <t>Hiệu chuẩn</t>
        </is>
      </c>
      <c r="K78" s="197" t="n"/>
      <c r="L78" s="198" t="n"/>
      <c r="M78" s="199" t="n"/>
      <c r="N78" s="197" t="n"/>
      <c r="O78" s="197" t="n"/>
      <c r="P78" s="221" t="n"/>
      <c r="Q78" s="200" t="n"/>
    </row>
    <row r="79" ht="26.25" customHeight="1" s="253">
      <c r="A79" s="193" t="n">
        <v>23</v>
      </c>
      <c r="B79" s="210" t="n"/>
      <c r="C79" s="194" t="inlineStr">
        <is>
          <t>Nhiệt kế Max</t>
        </is>
      </c>
      <c r="D79" s="210" t="n"/>
      <c r="E79" s="195" t="inlineStr">
        <is>
          <t>VS-CS2</t>
        </is>
      </c>
      <c r="F79" s="191" t="n"/>
      <c r="G79" s="195" t="n">
        <v>1</v>
      </c>
      <c r="H79" s="196" t="n"/>
      <c r="I79" s="196" t="n"/>
      <c r="J79" s="152" t="inlineStr">
        <is>
          <t>Hiệu chuẩn</t>
        </is>
      </c>
      <c r="K79" s="197" t="n"/>
      <c r="L79" s="198" t="n"/>
      <c r="M79" s="199" t="n"/>
      <c r="N79" s="197" t="n"/>
      <c r="O79" s="197" t="n"/>
      <c r="P79" s="221" t="n"/>
      <c r="Q79" s="200" t="n"/>
    </row>
    <row r="80" ht="26.25" customHeight="1" s="253">
      <c r="A80" s="193" t="n">
        <v>24</v>
      </c>
      <c r="B80" s="210" t="n"/>
      <c r="C80" s="194" t="inlineStr">
        <is>
          <t>Nhiệt kế thủy tinh</t>
        </is>
      </c>
      <c r="D80" s="210" t="n"/>
      <c r="E80" s="195" t="inlineStr">
        <is>
          <t>VS-CS1</t>
        </is>
      </c>
      <c r="F80" s="191" t="n"/>
      <c r="G80" s="195" t="n">
        <v>1</v>
      </c>
      <c r="H80" s="196" t="n"/>
      <c r="I80" s="196" t="n"/>
      <c r="J80" s="152" t="inlineStr">
        <is>
          <t>Hiệu chuẩn</t>
        </is>
      </c>
      <c r="K80" s="197" t="n"/>
      <c r="L80" s="198" t="n"/>
      <c r="M80" s="199" t="n"/>
      <c r="N80" s="197" t="n"/>
      <c r="O80" s="197" t="n"/>
      <c r="P80" s="221" t="n"/>
      <c r="Q80" s="200" t="n"/>
    </row>
    <row r="81" ht="26.25" customHeight="1" s="253">
      <c r="A81" s="193" t="n">
        <v>25</v>
      </c>
      <c r="B81" s="210" t="n"/>
      <c r="C81" s="194" t="inlineStr">
        <is>
          <t>Nồi hấp Model: ES315</t>
        </is>
      </c>
      <c r="D81" s="210" t="n"/>
      <c r="E81" s="195" t="inlineStr">
        <is>
          <t>VS-CS1</t>
        </is>
      </c>
      <c r="F81" s="191" t="n"/>
      <c r="G81" s="195" t="n">
        <v>1</v>
      </c>
      <c r="H81" s="196" t="n"/>
      <c r="I81" s="196" t="n"/>
      <c r="J81" s="152" t="inlineStr">
        <is>
          <t>Hiệu chuẩn</t>
        </is>
      </c>
      <c r="K81" s="197" t="n"/>
      <c r="L81" s="198" t="n"/>
      <c r="M81" s="199" t="n"/>
      <c r="N81" s="197" t="n"/>
      <c r="O81" s="197" t="n"/>
      <c r="P81" s="221" t="n"/>
      <c r="Q81" s="200" t="n"/>
    </row>
    <row r="82" ht="26.25" customHeight="1" s="253">
      <c r="A82" s="193" t="n">
        <v>26</v>
      </c>
      <c r="B82" s="210" t="n"/>
      <c r="C82" s="194" t="inlineStr">
        <is>
          <t>Ống đong (100 và 500ml)</t>
        </is>
      </c>
      <c r="D82" s="210" t="n"/>
      <c r="E82" s="195" t="inlineStr">
        <is>
          <t>VS-CS1</t>
        </is>
      </c>
      <c r="F82" s="191" t="n"/>
      <c r="G82" s="195" t="n">
        <v>2</v>
      </c>
      <c r="H82" s="196" t="n"/>
      <c r="I82" s="196" t="n"/>
      <c r="J82" s="152" t="inlineStr">
        <is>
          <t>Hiệu chuẩn</t>
        </is>
      </c>
      <c r="K82" s="197" t="n"/>
      <c r="L82" s="198" t="n"/>
      <c r="M82" s="199" t="n"/>
      <c r="N82" s="197" t="n"/>
      <c r="O82" s="197" t="n"/>
      <c r="P82" s="221" t="n"/>
      <c r="Q82" s="200" t="n"/>
    </row>
    <row r="83" ht="26.25" customHeight="1" s="253">
      <c r="A83" s="193" t="n">
        <v>27</v>
      </c>
      <c r="B83" s="210" t="n"/>
      <c r="C83" s="194" t="inlineStr">
        <is>
          <t>Quang phổ kế tử ngoại khả kiến (UV/VIS)</t>
        </is>
      </c>
      <c r="D83" s="210" t="n"/>
      <c r="E83" s="195" t="inlineStr">
        <is>
          <t>HL-CS1</t>
        </is>
      </c>
      <c r="F83" s="191" t="n"/>
      <c r="G83" s="195" t="n">
        <v>1</v>
      </c>
      <c r="H83" s="196" t="n"/>
      <c r="I83" s="196" t="n"/>
      <c r="J83" s="152" t="inlineStr">
        <is>
          <t>Hiệu chuẩn</t>
        </is>
      </c>
      <c r="K83" s="197" t="n"/>
      <c r="L83" s="198" t="n"/>
      <c r="M83" s="199" t="n"/>
      <c r="N83" s="197" t="n"/>
      <c r="O83" s="197" t="n"/>
      <c r="P83" s="221" t="n"/>
      <c r="Q83" s="200" t="n"/>
    </row>
    <row r="84" ht="26.25" customHeight="1" s="253">
      <c r="A84" s="193" t="n">
        <v>28</v>
      </c>
      <c r="B84" s="210" t="n"/>
      <c r="C84" s="194" t="inlineStr">
        <is>
          <t>Tủ ẩm Binder BD 53 - Đức</t>
        </is>
      </c>
      <c r="D84" s="210" t="n"/>
      <c r="E84" s="195" t="inlineStr">
        <is>
          <t>VS-CS1</t>
        </is>
      </c>
      <c r="F84" s="191" t="n"/>
      <c r="G84" s="195" t="n">
        <v>1</v>
      </c>
      <c r="H84" s="196" t="n"/>
      <c r="I84" s="196" t="n"/>
      <c r="J84" s="152" t="inlineStr">
        <is>
          <t>Hiệu chuẩn</t>
        </is>
      </c>
      <c r="K84" s="197" t="n"/>
      <c r="L84" s="198" t="n"/>
      <c r="M84" s="199" t="n"/>
      <c r="N84" s="197" t="n"/>
      <c r="O84" s="197" t="n"/>
      <c r="P84" s="221" t="n"/>
      <c r="Q84" s="200" t="n"/>
    </row>
    <row r="85" ht="26.25" customHeight="1" s="253">
      <c r="A85" s="193" t="n">
        <v>29</v>
      </c>
      <c r="B85" s="210" t="n"/>
      <c r="C85" s="194" t="inlineStr">
        <is>
          <t>Tủ ẩm điện tử hiện số Class E Model INE 550-Memmert</t>
        </is>
      </c>
      <c r="D85" s="210" t="n"/>
      <c r="E85" s="195" t="inlineStr">
        <is>
          <t>VS-CS1</t>
        </is>
      </c>
      <c r="F85" s="191" t="n"/>
      <c r="G85" s="195" t="n">
        <v>3</v>
      </c>
      <c r="H85" s="196" t="n"/>
      <c r="I85" s="196" t="n"/>
      <c r="J85" s="152" t="inlineStr">
        <is>
          <t>Hiệu chuẩn</t>
        </is>
      </c>
      <c r="K85" s="197" t="n"/>
      <c r="L85" s="198" t="n"/>
      <c r="M85" s="199" t="n"/>
      <c r="N85" s="197" t="n"/>
      <c r="O85" s="197" t="n"/>
      <c r="P85" s="221" t="n"/>
      <c r="Q85" s="200" t="n"/>
    </row>
    <row r="86" ht="26.25" customHeight="1" s="253">
      <c r="A86" s="193" t="n">
        <v>30</v>
      </c>
      <c r="B86" s="210" t="n"/>
      <c r="C86" s="194" t="inlineStr">
        <is>
          <t>Tủ ẩm ISGI-30T/JSR</t>
        </is>
      </c>
      <c r="D86" s="210" t="n"/>
      <c r="E86" s="195" t="inlineStr">
        <is>
          <t>VS-CS1</t>
        </is>
      </c>
      <c r="F86" s="191" t="n"/>
      <c r="G86" s="195" t="n">
        <v>1</v>
      </c>
      <c r="H86" s="196" t="n"/>
      <c r="I86" s="196" t="n"/>
      <c r="J86" s="152" t="inlineStr">
        <is>
          <t>Hiệu chuẩn</t>
        </is>
      </c>
      <c r="K86" s="197" t="n"/>
      <c r="L86" s="198" t="n"/>
      <c r="M86" s="199" t="n"/>
      <c r="N86" s="197" t="n"/>
      <c r="O86" s="197" t="n"/>
      <c r="P86" s="221" t="n"/>
      <c r="Q86" s="200" t="n"/>
    </row>
    <row r="87" ht="26.25" customHeight="1" s="253">
      <c r="A87" s="193" t="n">
        <v>31</v>
      </c>
      <c r="B87" s="210" t="n"/>
      <c r="C87" s="194" t="inlineStr">
        <is>
          <t>Tủ lạnh âm sâu MDF-U333</t>
        </is>
      </c>
      <c r="D87" s="210" t="n"/>
      <c r="E87" s="195" t="inlineStr">
        <is>
          <t>VS-CS1</t>
        </is>
      </c>
      <c r="F87" s="191" t="n"/>
      <c r="G87" s="195" t="n">
        <v>1</v>
      </c>
      <c r="H87" s="196" t="n"/>
      <c r="I87" s="196" t="n"/>
      <c r="J87" s="152" t="inlineStr">
        <is>
          <t>Hiệu chuẩn</t>
        </is>
      </c>
      <c r="K87" s="197" t="n"/>
      <c r="L87" s="198" t="n"/>
      <c r="M87" s="199" t="n"/>
      <c r="N87" s="197" t="n"/>
      <c r="O87" s="197" t="n"/>
      <c r="P87" s="221" t="n"/>
      <c r="Q87" s="200" t="n"/>
    </row>
    <row r="88" ht="26.25" customHeight="1" s="253">
      <c r="A88" s="193" t="n">
        <v>32</v>
      </c>
      <c r="B88" s="210" t="n"/>
      <c r="C88" s="194" t="inlineStr">
        <is>
          <t>Tủ lạnh âm sâu PHCbI</t>
        </is>
      </c>
      <c r="D88" s="210" t="n"/>
      <c r="E88" s="195" t="inlineStr">
        <is>
          <t>VS-CS1</t>
        </is>
      </c>
      <c r="F88" s="191" t="n"/>
      <c r="G88" s="195" t="n">
        <v>1</v>
      </c>
      <c r="H88" s="196" t="n"/>
      <c r="I88" s="196" t="n"/>
      <c r="J88" s="152" t="inlineStr">
        <is>
          <t>Hiệu chuẩn</t>
        </is>
      </c>
      <c r="K88" s="197" t="n"/>
      <c r="L88" s="198" t="n"/>
      <c r="M88" s="199" t="n"/>
      <c r="N88" s="197" t="n"/>
      <c r="O88" s="197" t="n"/>
      <c r="P88" s="221" t="n"/>
      <c r="Q88" s="200" t="n"/>
    </row>
    <row r="89" ht="26.25" customHeight="1" s="253">
      <c r="A89" s="193" t="n">
        <v>33</v>
      </c>
      <c r="B89" s="210" t="n"/>
      <c r="C89" s="194" t="inlineStr">
        <is>
          <t>Tủ sấy lớn 250 độ C 120 lít (Model: LDO-150F)</t>
        </is>
      </c>
      <c r="D89" s="210" t="n"/>
      <c r="E89" s="195" t="inlineStr">
        <is>
          <t>VS-CS1</t>
        </is>
      </c>
      <c r="F89" s="191" t="n"/>
      <c r="G89" s="195" t="n">
        <v>1</v>
      </c>
      <c r="H89" s="196" t="n"/>
      <c r="I89" s="196" t="n"/>
      <c r="J89" s="152" t="inlineStr">
        <is>
          <t>Hiệu chuẩn</t>
        </is>
      </c>
      <c r="K89" s="197" t="n"/>
      <c r="L89" s="198" t="n"/>
      <c r="M89" s="199" t="n"/>
      <c r="N89" s="197" t="n"/>
      <c r="O89" s="197" t="n"/>
      <c r="P89" s="221" t="n"/>
      <c r="Q89" s="200" t="n"/>
    </row>
    <row r="90" ht="26.25" customHeight="1" s="253">
      <c r="A90" s="193" t="n">
        <v>34</v>
      </c>
      <c r="B90" s="210" t="n"/>
      <c r="C90" s="194" t="inlineStr">
        <is>
          <t>Tủ sấy Memmert</t>
        </is>
      </c>
      <c r="D90" s="210" t="n"/>
      <c r="E90" s="195" t="inlineStr">
        <is>
          <t>HL-CS1</t>
        </is>
      </c>
      <c r="F90" s="191" t="n"/>
      <c r="G90" s="195" t="n">
        <v>1</v>
      </c>
      <c r="H90" s="196" t="n"/>
      <c r="I90" s="196" t="n"/>
      <c r="J90" s="152" t="inlineStr">
        <is>
          <t>Hiệu chuẩn</t>
        </is>
      </c>
      <c r="K90" s="197" t="n"/>
      <c r="L90" s="198" t="n"/>
      <c r="M90" s="199" t="n"/>
      <c r="N90" s="197" t="n"/>
      <c r="O90" s="197" t="n"/>
      <c r="P90" s="221" t="n"/>
      <c r="Q90" s="200" t="n"/>
    </row>
    <row r="91" ht="26.25" customHeight="1" s="253">
      <c r="A91" s="193" t="n">
        <v>35</v>
      </c>
      <c r="B91" s="210" t="n"/>
      <c r="C91" s="202" t="inlineStr">
        <is>
          <t>Nồi hấp (ALP)</t>
        </is>
      </c>
      <c r="D91" s="210" t="n"/>
      <c r="E91" s="195" t="inlineStr">
        <is>
          <t>VS-CS1</t>
        </is>
      </c>
      <c r="F91" s="191" t="n"/>
      <c r="G91" s="195" t="n">
        <v>1</v>
      </c>
      <c r="H91" s="196" t="n"/>
      <c r="I91" s="196" t="n"/>
      <c r="J91" s="191" t="inlineStr">
        <is>
          <t>Kiểm định</t>
        </is>
      </c>
      <c r="K91" s="197" t="n"/>
      <c r="L91" s="198" t="n"/>
      <c r="M91" s="199" t="n"/>
      <c r="N91" s="197" t="n"/>
      <c r="O91" s="197" t="n"/>
      <c r="P91" s="221" t="n"/>
      <c r="Q91" s="200" t="n"/>
    </row>
    <row r="92" ht="26.25" customHeight="1" s="253">
      <c r="A92" s="221" t="inlineStr">
        <is>
          <t>B</t>
        </is>
      </c>
      <c r="B92" s="210" t="inlineStr">
        <is>
          <t>Khoa Bệnh nghề nghiệp</t>
        </is>
      </c>
      <c r="C92" s="254" t="n"/>
      <c r="D92" s="210" t="n"/>
      <c r="E92" s="210" t="n"/>
      <c r="F92" s="196" t="n"/>
      <c r="G92" s="204">
        <f>G93+G105</f>
        <v/>
      </c>
      <c r="H92" s="196" t="n"/>
      <c r="I92" s="196" t="n"/>
      <c r="J92" s="196" t="n"/>
      <c r="K92" s="197" t="n"/>
      <c r="L92" s="198">
        <f>L93+L105</f>
        <v/>
      </c>
      <c r="M92" s="197" t="n"/>
      <c r="N92" s="197" t="n"/>
      <c r="O92" s="197" t="n"/>
      <c r="P92" s="221" t="n"/>
      <c r="Q92" s="200" t="n"/>
    </row>
    <row r="93" ht="72" customHeight="1" s="253">
      <c r="A93" s="221" t="inlineStr">
        <is>
          <t>I</t>
        </is>
      </c>
      <c r="B93" s="210" t="inlineStr">
        <is>
          <t>Gói dịch vụ: Hiệu chuẩn, thiết bị phục vụ quan trắc môi trường lao động (đợt I.2026)</t>
        </is>
      </c>
      <c r="C93" s="254" t="n"/>
      <c r="D93" s="205" t="n"/>
      <c r="E93" s="206" t="inlineStr">
        <is>
          <t>BNN</t>
        </is>
      </c>
      <c r="F93" s="221" t="inlineStr">
        <is>
          <t>14/01/2026</t>
        </is>
      </c>
      <c r="G93" s="221">
        <f>sum(G94:G104)</f>
        <v/>
      </c>
      <c r="H93" s="207" t="n">
        <v>46052</v>
      </c>
      <c r="I93" s="62" t="inlineStr">
        <is>
          <t>TT Ứng dụng Dịch vụ KHCN và Môi trường</t>
        </is>
      </c>
      <c r="J93" s="62" t="inlineStr">
        <is>
          <t>Hiệu chuẩn</t>
        </is>
      </c>
      <c r="K93" s="208" t="inlineStr">
        <is>
          <t>02/4/2026</t>
        </is>
      </c>
      <c r="L93" s="209">
        <f>SUM(L94:L104)</f>
        <v/>
      </c>
      <c r="M93" s="197" t="n"/>
      <c r="N93" s="210" t="inlineStr">
        <is>
          <t>Ds. Tính, Ds. Lộc, 
Bs. Mậu, Cn. Nhi</t>
        </is>
      </c>
      <c r="O93" s="211" t="inlineStr">
        <is>
          <t>Quỹ 
PTHĐSN</t>
        </is>
      </c>
      <c r="P93" s="221" t="inlineStr">
        <is>
          <t>Quyết định số 
80/QĐ-TTKSBT
 ngày 25/2/2026</t>
        </is>
      </c>
      <c r="Q93" s="200" t="n"/>
    </row>
    <row r="94" ht="45.75" customHeight="1" s="253">
      <c r="A94" s="22" t="n">
        <v>1</v>
      </c>
      <c r="B94" s="249" t="inlineStr">
        <is>
          <t>TSBNN005</t>
        </is>
      </c>
      <c r="C94" s="72" t="inlineStr">
        <is>
          <t xml:space="preserve">Máy đo cường độ phóng xạ: 
RADIATION ALERT INS - HOLADAY – USA </t>
        </is>
      </c>
      <c r="D94" s="249" t="n">
        <v>2000</v>
      </c>
      <c r="E94" s="215" t="inlineStr">
        <is>
          <t>BNN</t>
        </is>
      </c>
      <c r="F94" s="22" t="n"/>
      <c r="G94" s="216" t="n">
        <v>1</v>
      </c>
      <c r="H94" s="217" t="n"/>
      <c r="I94" s="218" t="n"/>
      <c r="J94" s="188" t="inlineStr">
        <is>
          <t>Hiệu chuẩn</t>
        </is>
      </c>
      <c r="K94" s="219" t="n"/>
      <c r="L94" s="220" t="n">
        <v>2500000</v>
      </c>
      <c r="M94" s="216" t="inlineStr">
        <is>
          <t>Tốt</t>
        </is>
      </c>
      <c r="N94" s="218" t="n"/>
      <c r="O94" s="218" t="n"/>
      <c r="P94" s="221" t="n"/>
      <c r="Q94" s="200" t="n"/>
    </row>
    <row r="95" ht="45.75" customHeight="1" s="253">
      <c r="A95" s="22" t="n">
        <v>2</v>
      </c>
      <c r="B95" s="249" t="inlineStr">
        <is>
          <t>DP 86/12</t>
        </is>
      </c>
      <c r="C95" s="223" t="inlineStr">
        <is>
          <t xml:space="preserve">Máy đo khí CO2 Extech CO250 </t>
        </is>
      </c>
      <c r="D95" s="249" t="n">
        <v>2012</v>
      </c>
      <c r="E95" s="215" t="inlineStr">
        <is>
          <t>BNN</t>
        </is>
      </c>
      <c r="F95" s="22" t="n"/>
      <c r="G95" s="216" t="n">
        <v>1</v>
      </c>
      <c r="H95" s="217" t="n"/>
      <c r="I95" s="218" t="n"/>
      <c r="J95" s="188" t="inlineStr">
        <is>
          <t>Hiệu chuẩn</t>
        </is>
      </c>
      <c r="K95" s="219" t="n"/>
      <c r="L95" s="220" t="n">
        <v>2500000</v>
      </c>
      <c r="M95" s="216" t="inlineStr">
        <is>
          <t>Tốt</t>
        </is>
      </c>
      <c r="N95" s="218" t="n"/>
      <c r="O95" s="218" t="n"/>
      <c r="P95" s="221" t="n"/>
      <c r="Q95" s="200" t="n"/>
    </row>
    <row r="96" ht="45.75" customHeight="1" s="253">
      <c r="A96" s="22" t="n">
        <v>3</v>
      </c>
      <c r="B96" s="249" t="inlineStr">
        <is>
          <t>DP 204/18</t>
        </is>
      </c>
      <c r="C96" s="223" t="inlineStr">
        <is>
          <t xml:space="preserve">Máy đo bức xạ nhiệt PCE-SPM 1 </t>
        </is>
      </c>
      <c r="D96" s="249" t="n">
        <v>2018</v>
      </c>
      <c r="E96" s="215" t="inlineStr">
        <is>
          <t>BNN</t>
        </is>
      </c>
      <c r="F96" s="22" t="n"/>
      <c r="G96" s="216" t="n">
        <v>1</v>
      </c>
      <c r="H96" s="217" t="n"/>
      <c r="I96" s="218" t="n"/>
      <c r="J96" s="188" t="inlineStr">
        <is>
          <t>Hiệu chuẩn</t>
        </is>
      </c>
      <c r="K96" s="219" t="n"/>
      <c r="L96" s="220" t="n">
        <v>4000000</v>
      </c>
      <c r="M96" s="216" t="inlineStr">
        <is>
          <t>Tốt</t>
        </is>
      </c>
      <c r="N96" s="218" t="n"/>
      <c r="O96" s="218" t="n"/>
      <c r="P96" s="221" t="n"/>
      <c r="Q96" s="200" t="n"/>
    </row>
    <row r="97" ht="45.75" customHeight="1" s="253">
      <c r="A97" s="22" t="n">
        <v>4</v>
      </c>
      <c r="B97" s="249" t="inlineStr">
        <is>
          <t>DP 89/12</t>
        </is>
      </c>
      <c r="C97" s="223" t="inlineStr">
        <is>
          <t xml:space="preserve">Máy đo bụi hô hấp Kanomax 3432 </t>
        </is>
      </c>
      <c r="D97" s="249" t="n">
        <v>2012</v>
      </c>
      <c r="E97" s="215" t="inlineStr">
        <is>
          <t>BNN</t>
        </is>
      </c>
      <c r="F97" s="22" t="n"/>
      <c r="G97" s="216" t="n">
        <v>1</v>
      </c>
      <c r="H97" s="217" t="n"/>
      <c r="I97" s="218" t="n"/>
      <c r="J97" s="188" t="inlineStr">
        <is>
          <t>Hiệu chuẩn</t>
        </is>
      </c>
      <c r="K97" s="219" t="n"/>
      <c r="L97" s="220" t="n">
        <v>4000000</v>
      </c>
      <c r="M97" s="216" t="inlineStr">
        <is>
          <t>Tốt</t>
        </is>
      </c>
      <c r="N97" s="218" t="n"/>
      <c r="O97" s="218" t="n"/>
      <c r="P97" s="221" t="n"/>
      <c r="Q97" s="200" t="n"/>
    </row>
    <row r="98" ht="45.75" customHeight="1" s="253">
      <c r="A98" s="22" t="n">
        <v>5</v>
      </c>
      <c r="B98" s="249" t="inlineStr">
        <is>
          <t>TSBNN029</t>
        </is>
      </c>
      <c r="C98" s="223" t="inlineStr">
        <is>
          <t xml:space="preserve">Máy đo tốc độ gió TESTO 425 – GERMANY </t>
        </is>
      </c>
      <c r="D98" s="249" t="n">
        <v>2019</v>
      </c>
      <c r="E98" s="215" t="inlineStr">
        <is>
          <t>BNN</t>
        </is>
      </c>
      <c r="F98" s="22" t="n"/>
      <c r="G98" s="216" t="n">
        <v>1</v>
      </c>
      <c r="H98" s="217" t="n"/>
      <c r="I98" s="218" t="n"/>
      <c r="J98" s="188" t="inlineStr">
        <is>
          <t>Hiệu chuẩn</t>
        </is>
      </c>
      <c r="K98" s="219" t="n"/>
      <c r="L98" s="220" t="n">
        <v>3000000</v>
      </c>
      <c r="M98" s="216" t="inlineStr">
        <is>
          <t>Tốt</t>
        </is>
      </c>
      <c r="N98" s="218" t="n"/>
      <c r="O98" s="218" t="n"/>
      <c r="P98" s="221" t="n"/>
      <c r="Q98" s="200" t="n"/>
    </row>
    <row r="99" ht="45.75" customHeight="1" s="253">
      <c r="A99" s="22" t="n">
        <v>6</v>
      </c>
      <c r="B99" s="249" t="inlineStr">
        <is>
          <t>TSBNN012</t>
        </is>
      </c>
      <c r="C99" s="223" t="inlineStr">
        <is>
          <t xml:space="preserve">Máy đo điện từ trường tần số cao:  
CA43 –CHAUVIN ARNOUR </t>
        </is>
      </c>
      <c r="D99" s="224" t="n">
        <v>2012</v>
      </c>
      <c r="E99" s="215" t="inlineStr">
        <is>
          <t>BNN</t>
        </is>
      </c>
      <c r="F99" s="22" t="n"/>
      <c r="G99" s="216" t="n">
        <v>1</v>
      </c>
      <c r="H99" s="217" t="n"/>
      <c r="I99" s="218" t="n"/>
      <c r="J99" s="188" t="inlineStr">
        <is>
          <t>Hiệu chuẩn</t>
        </is>
      </c>
      <c r="K99" s="219" t="n"/>
      <c r="L99" s="220" t="n">
        <v>6000000</v>
      </c>
      <c r="M99" s="216" t="inlineStr">
        <is>
          <t>Tốt</t>
        </is>
      </c>
      <c r="N99" s="218" t="n"/>
      <c r="O99" s="218" t="n"/>
      <c r="P99" s="221" t="n"/>
      <c r="Q99" s="200" t="n"/>
    </row>
    <row r="100" ht="45.75" customHeight="1" s="253">
      <c r="A100" s="22" t="n">
        <v>7</v>
      </c>
      <c r="B100" s="249" t="inlineStr">
        <is>
          <t>DP 201/18</t>
        </is>
      </c>
      <c r="C100" s="223" t="inlineStr">
        <is>
          <t xml:space="preserve">Máy đo độ ồn có dải tần Rion NL-42 </t>
        </is>
      </c>
      <c r="D100" s="249" t="n">
        <v>2018</v>
      </c>
      <c r="E100" s="215" t="inlineStr">
        <is>
          <t>BNN</t>
        </is>
      </c>
      <c r="F100" s="22" t="n"/>
      <c r="G100" s="216" t="n">
        <v>1</v>
      </c>
      <c r="H100" s="217" t="n"/>
      <c r="I100" s="218" t="n"/>
      <c r="J100" s="188" t="inlineStr">
        <is>
          <t>Hiệu chuẩn</t>
        </is>
      </c>
      <c r="K100" s="219" t="n"/>
      <c r="L100" s="220" t="n">
        <v>3000000</v>
      </c>
      <c r="M100" s="216" t="inlineStr">
        <is>
          <t>Tốt</t>
        </is>
      </c>
      <c r="N100" s="218" t="n"/>
      <c r="O100" s="218" t="n"/>
      <c r="P100" s="221" t="n"/>
      <c r="Q100" s="200" t="n"/>
    </row>
    <row r="101" ht="45.75" customHeight="1" s="253">
      <c r="A101" s="22" t="n">
        <v>8</v>
      </c>
      <c r="B101" s="249" t="inlineStr">
        <is>
          <t>TSBNN006</t>
        </is>
      </c>
      <c r="C101" s="72" t="inlineStr">
        <is>
          <t xml:space="preserve">Máy đo điện từ trường tần số công nghiệp:
 EMF PERFORM TOOL - HOLADAY - USA </t>
        </is>
      </c>
      <c r="D101" s="249" t="n">
        <v>2006</v>
      </c>
      <c r="E101" s="215" t="inlineStr">
        <is>
          <t>BNN</t>
        </is>
      </c>
      <c r="F101" s="22" t="n"/>
      <c r="G101" s="216" t="n">
        <v>1</v>
      </c>
      <c r="H101" s="217" t="n"/>
      <c r="I101" s="218" t="n"/>
      <c r="J101" s="188" t="inlineStr">
        <is>
          <t>Hiệu chuẩn</t>
        </is>
      </c>
      <c r="K101" s="219" t="n"/>
      <c r="L101" s="220" t="n">
        <v>6000000</v>
      </c>
      <c r="M101" s="216" t="inlineStr">
        <is>
          <t>Tốt</t>
        </is>
      </c>
      <c r="N101" s="218" t="n"/>
      <c r="O101" s="218" t="n"/>
      <c r="P101" s="221" t="n"/>
      <c r="Q101" s="200" t="n"/>
    </row>
    <row r="102" ht="45.75" customHeight="1" s="253">
      <c r="A102" s="22" t="n">
        <v>9</v>
      </c>
      <c r="B102" s="249" t="inlineStr">
        <is>
          <t>13/CDC/20</t>
        </is>
      </c>
      <c r="C102" s="223" t="inlineStr">
        <is>
          <t>Máy đo bức xạ UV-340A</t>
        </is>
      </c>
      <c r="D102" s="249" t="n">
        <v>2020</v>
      </c>
      <c r="E102" s="215" t="inlineStr">
        <is>
          <t>BNN</t>
        </is>
      </c>
      <c r="F102" s="22" t="n"/>
      <c r="G102" s="216" t="n">
        <v>1</v>
      </c>
      <c r="H102" s="217" t="n"/>
      <c r="I102" s="218" t="n"/>
      <c r="J102" s="188" t="inlineStr">
        <is>
          <t>Hiệu chuẩn</t>
        </is>
      </c>
      <c r="K102" s="219" t="n"/>
      <c r="L102" s="220" t="n">
        <v>6000000</v>
      </c>
      <c r="M102" s="216" t="inlineStr">
        <is>
          <t>Tốt</t>
        </is>
      </c>
      <c r="N102" s="218" t="n"/>
      <c r="O102" s="218" t="n"/>
      <c r="P102" s="221" t="n"/>
      <c r="Q102" s="200" t="n"/>
    </row>
    <row r="103" ht="45.75" customHeight="1" s="253">
      <c r="A103" s="22" t="n">
        <v>10</v>
      </c>
      <c r="B103" s="249" t="inlineStr">
        <is>
          <t>TSBNN027</t>
        </is>
      </c>
      <c r="C103" s="72" t="inlineStr">
        <is>
          <t xml:space="preserve">Máy đo bụi 
(Model: EPAM-5000; HSX: EDC- USA/Mỹ) </t>
        </is>
      </c>
      <c r="D103" s="249" t="n">
        <v>2017</v>
      </c>
      <c r="E103" s="215" t="inlineStr">
        <is>
          <t>BNN</t>
        </is>
      </c>
      <c r="F103" s="22" t="n"/>
      <c r="G103" s="216" t="n">
        <v>1</v>
      </c>
      <c r="H103" s="217" t="n"/>
      <c r="I103" s="218" t="n"/>
      <c r="J103" s="188" t="inlineStr">
        <is>
          <t>Hiệu chuẩn</t>
        </is>
      </c>
      <c r="K103" s="219" t="n"/>
      <c r="L103" s="220" t="n">
        <v>4000000</v>
      </c>
      <c r="M103" s="216" t="inlineStr">
        <is>
          <t>Tốt</t>
        </is>
      </c>
      <c r="N103" s="218" t="n"/>
      <c r="O103" s="218" t="n"/>
      <c r="P103" s="221" t="n"/>
      <c r="Q103" s="200" t="n"/>
    </row>
    <row r="104" ht="45.75" customHeight="1" s="253">
      <c r="A104" s="22" t="n">
        <v>11</v>
      </c>
      <c r="B104" s="225" t="n"/>
      <c r="C104" s="223" t="inlineStr">
        <is>
          <t>Máy đo vi khí hậu, ánh sáng Extech-45170</t>
        </is>
      </c>
      <c r="D104" s="249" t="n">
        <v>2024</v>
      </c>
      <c r="E104" s="215" t="inlineStr">
        <is>
          <t>BNN</t>
        </is>
      </c>
      <c r="F104" s="22" t="n"/>
      <c r="G104" s="216" t="n">
        <v>1</v>
      </c>
      <c r="H104" s="217" t="n"/>
      <c r="I104" s="218" t="n"/>
      <c r="J104" s="188" t="inlineStr">
        <is>
          <t>Hiệu chuẩn</t>
        </is>
      </c>
      <c r="K104" s="219" t="n"/>
      <c r="L104" s="220" t="n">
        <v>7000000</v>
      </c>
      <c r="M104" s="216" t="inlineStr">
        <is>
          <t>Tốt</t>
        </is>
      </c>
      <c r="N104" s="218" t="n"/>
      <c r="O104" s="218" t="n"/>
      <c r="P104" s="221" t="n"/>
      <c r="Q104" s="200" t="n"/>
    </row>
    <row r="105" ht="55.5" customHeight="1" s="253">
      <c r="A105" s="221" t="inlineStr">
        <is>
          <t>II</t>
        </is>
      </c>
      <c r="B105" s="255" t="inlineStr">
        <is>
          <t>Gói dịch vụ: Hiệu chuẩn, thiết bị phục vụ quan trắc môi trường lao động (đợt II.2026)</t>
        </is>
      </c>
      <c r="C105" s="256" t="n"/>
      <c r="D105" s="205" t="n"/>
      <c r="E105" s="206" t="inlineStr">
        <is>
          <t>BNN</t>
        </is>
      </c>
      <c r="F105" s="197" t="n"/>
      <c r="G105" s="228">
        <f>sum(G106:G117)</f>
        <v/>
      </c>
      <c r="H105" s="197" t="n"/>
      <c r="I105" s="62" t="inlineStr">
        <is>
          <t>TT Ứng dụng Dịch vụ KHCN và Môi trường</t>
        </is>
      </c>
      <c r="J105" s="191" t="n"/>
      <c r="K105" s="229" t="n"/>
      <c r="L105" s="230">
        <f>sum(L106:L117)</f>
        <v/>
      </c>
      <c r="M105" s="231" t="n"/>
      <c r="N105" s="211" t="n"/>
      <c r="O105" s="211" t="inlineStr">
        <is>
          <t>Quỹ 
PTHĐSN</t>
        </is>
      </c>
      <c r="P105" s="221" t="inlineStr">
        <is>
          <t>Quyết định số
 379/QĐ-TTKSBT
 ngày 25/06/2026</t>
        </is>
      </c>
      <c r="Q105" s="200" t="n"/>
    </row>
    <row r="106" ht="51" customHeight="1" s="253">
      <c r="A106" s="22" t="n">
        <v>1</v>
      </c>
      <c r="B106" s="249" t="inlineStr">
        <is>
          <t>TSBNN028</t>
        </is>
      </c>
      <c r="C106" s="232" t="inlineStr">
        <is>
          <t xml:space="preserve">Máy đo vi khí hậu WBGT 213A-JAPAN </t>
        </is>
      </c>
      <c r="D106" s="249" t="n">
        <v>2019</v>
      </c>
      <c r="E106" s="215" t="inlineStr">
        <is>
          <t>BNN</t>
        </is>
      </c>
      <c r="F106" s="218" t="n"/>
      <c r="G106" s="216" t="n">
        <v>1</v>
      </c>
      <c r="H106" s="218" t="n"/>
      <c r="I106" s="218" t="n"/>
      <c r="J106" s="188" t="inlineStr">
        <is>
          <t>Hiệu chuẩn</t>
        </is>
      </c>
      <c r="K106" s="218" t="n"/>
      <c r="L106" s="233" t="n">
        <v>4000000</v>
      </c>
      <c r="M106" s="216" t="inlineStr">
        <is>
          <t>Tốt</t>
        </is>
      </c>
      <c r="N106" s="218" t="n"/>
      <c r="O106" s="218" t="n"/>
      <c r="P106" s="234" t="n"/>
      <c r="Q106" s="200" t="n"/>
    </row>
    <row r="107" ht="51" customHeight="1" s="253">
      <c r="A107" s="22" t="n">
        <v>2</v>
      </c>
      <c r="B107" s="218" t="n"/>
      <c r="C107" s="232" t="inlineStr">
        <is>
          <t xml:space="preserve">Máy đo ánh sáng Testo 540 </t>
        </is>
      </c>
      <c r="D107" s="235" t="n"/>
      <c r="E107" s="215" t="inlineStr">
        <is>
          <t>BNN</t>
        </is>
      </c>
      <c r="F107" s="218" t="n"/>
      <c r="G107" s="216" t="n">
        <v>1</v>
      </c>
      <c r="H107" s="218" t="n"/>
      <c r="I107" s="218" t="n"/>
      <c r="J107" s="188" t="inlineStr">
        <is>
          <t>Hiệu chuẩn</t>
        </is>
      </c>
      <c r="K107" s="218" t="n"/>
      <c r="L107" s="233" t="n">
        <v>2500000</v>
      </c>
      <c r="M107" s="216" t="inlineStr">
        <is>
          <t>Tốt</t>
        </is>
      </c>
      <c r="N107" s="218" t="n"/>
      <c r="O107" s="218" t="n"/>
      <c r="P107" s="234" t="n"/>
      <c r="Q107" s="200" t="n"/>
    </row>
    <row r="108" ht="51" customHeight="1" s="253">
      <c r="A108" s="22" t="n">
        <v>3</v>
      </c>
      <c r="B108" s="218" t="n"/>
      <c r="C108" s="232" t="inlineStr">
        <is>
          <t xml:space="preserve">Máy đo phóng xạ điện tử Inspector - Alert </t>
        </is>
      </c>
      <c r="D108" s="235" t="n"/>
      <c r="E108" s="215" t="inlineStr">
        <is>
          <t>BNN</t>
        </is>
      </c>
      <c r="F108" s="218" t="n"/>
      <c r="G108" s="216" t="n">
        <v>1</v>
      </c>
      <c r="H108" s="218" t="n"/>
      <c r="I108" s="218" t="n"/>
      <c r="J108" s="188" t="inlineStr">
        <is>
          <t>Hiệu chuẩn</t>
        </is>
      </c>
      <c r="K108" s="218" t="n"/>
      <c r="L108" s="233" t="n">
        <v>2500000</v>
      </c>
      <c r="M108" s="216" t="inlineStr">
        <is>
          <t>Tốt</t>
        </is>
      </c>
      <c r="N108" s="218" t="n"/>
      <c r="O108" s="218" t="n"/>
      <c r="P108" s="234" t="n"/>
      <c r="Q108" s="200" t="n"/>
    </row>
    <row r="109" ht="51" customHeight="1" s="253">
      <c r="A109" s="22" t="n">
        <v>4</v>
      </c>
      <c r="B109" s="218" t="n"/>
      <c r="C109" s="232" t="inlineStr">
        <is>
          <t xml:space="preserve">Máy đo vi khí hậu Model: CENTER 332 </t>
        </is>
      </c>
      <c r="D109" s="235" t="n"/>
      <c r="E109" s="215" t="inlineStr">
        <is>
          <t>BNN</t>
        </is>
      </c>
      <c r="F109" s="218" t="n"/>
      <c r="G109" s="216" t="n">
        <v>1</v>
      </c>
      <c r="H109" s="218" t="n"/>
      <c r="I109" s="218" t="n"/>
      <c r="J109" s="188" t="inlineStr">
        <is>
          <t>Hiệu chuẩn</t>
        </is>
      </c>
      <c r="K109" s="218" t="n"/>
      <c r="L109" s="233" t="n">
        <v>4000000</v>
      </c>
      <c r="M109" s="216" t="inlineStr">
        <is>
          <t>Tốt</t>
        </is>
      </c>
      <c r="N109" s="218" t="n"/>
      <c r="O109" s="218" t="n"/>
      <c r="P109" s="234" t="n"/>
      <c r="Q109" s="200" t="n"/>
    </row>
    <row r="110" ht="51" customHeight="1" s="253">
      <c r="A110" s="22" t="n">
        <v>5</v>
      </c>
      <c r="B110" s="218" t="n"/>
      <c r="C110" s="232" t="inlineStr">
        <is>
          <t xml:space="preserve">Máy đo ánh sáng: ANA F9 LUX METER K 95389 – JAPAN </t>
        </is>
      </c>
      <c r="D110" s="235" t="n"/>
      <c r="E110" s="215" t="inlineStr">
        <is>
          <t>BNN</t>
        </is>
      </c>
      <c r="F110" s="218" t="n"/>
      <c r="G110" s="216" t="n">
        <v>1</v>
      </c>
      <c r="H110" s="218" t="n"/>
      <c r="I110" s="218" t="n"/>
      <c r="J110" s="188" t="inlineStr">
        <is>
          <t>Hiệu chuẩn</t>
        </is>
      </c>
      <c r="K110" s="218" t="n"/>
      <c r="L110" s="233" t="n">
        <v>2500000</v>
      </c>
      <c r="M110" s="216" t="inlineStr">
        <is>
          <t>Tốt</t>
        </is>
      </c>
      <c r="N110" s="218" t="n"/>
      <c r="O110" s="218" t="n"/>
      <c r="P110" s="234" t="n"/>
      <c r="Q110" s="200" t="n"/>
    </row>
    <row r="111" ht="51" customHeight="1" s="253">
      <c r="A111" s="22" t="n">
        <v>6</v>
      </c>
      <c r="B111" s="218" t="n"/>
      <c r="C111" s="232" t="inlineStr">
        <is>
          <t xml:space="preserve">Máy đo hàm lượng bụi MICRODUST Pro 880 nm - CASELLA – ENGLAND </t>
        </is>
      </c>
      <c r="D111" s="235" t="n"/>
      <c r="E111" s="215" t="inlineStr">
        <is>
          <t>BNN</t>
        </is>
      </c>
      <c r="F111" s="218" t="n"/>
      <c r="G111" s="216" t="n">
        <v>1</v>
      </c>
      <c r="H111" s="218" t="n"/>
      <c r="I111" s="218" t="n"/>
      <c r="J111" s="188" t="inlineStr">
        <is>
          <t>Hiệu chuẩn</t>
        </is>
      </c>
      <c r="K111" s="218" t="n"/>
      <c r="L111" s="233" t="n">
        <v>4000000</v>
      </c>
      <c r="M111" s="216" t="inlineStr">
        <is>
          <t>Tốt</t>
        </is>
      </c>
      <c r="N111" s="218" t="n"/>
      <c r="O111" s="218" t="n"/>
      <c r="P111" s="234" t="n"/>
      <c r="Q111" s="200" t="n"/>
    </row>
    <row r="112" ht="51" customHeight="1" s="253">
      <c r="A112" s="22" t="n">
        <v>7</v>
      </c>
      <c r="B112" s="218" t="n"/>
      <c r="C112" s="232" t="inlineStr">
        <is>
          <t>Máy đo từ trường Extech 480823</t>
        </is>
      </c>
      <c r="D112" s="235" t="n"/>
      <c r="E112" s="215" t="inlineStr">
        <is>
          <t>BNN</t>
        </is>
      </c>
      <c r="F112" s="218" t="n"/>
      <c r="G112" s="216" t="n">
        <v>1</v>
      </c>
      <c r="H112" s="218" t="n"/>
      <c r="I112" s="218" t="n"/>
      <c r="J112" s="188" t="inlineStr">
        <is>
          <t>Hiệu chuẩn</t>
        </is>
      </c>
      <c r="K112" s="218" t="n"/>
      <c r="L112" s="233" t="n">
        <v>6000000</v>
      </c>
      <c r="M112" s="216" t="inlineStr">
        <is>
          <t>Tốt</t>
        </is>
      </c>
      <c r="N112" s="218" t="n"/>
      <c r="O112" s="218" t="n"/>
      <c r="P112" s="234" t="n"/>
      <c r="Q112" s="200" t="n"/>
    </row>
    <row r="113" ht="51" customHeight="1" s="253">
      <c r="A113" s="22" t="n">
        <v>8</v>
      </c>
      <c r="B113" s="249" t="inlineStr">
        <is>
          <t>TSBNN037</t>
        </is>
      </c>
      <c r="C113" s="232" t="inlineStr">
        <is>
          <t>Máy đo hơi khí độc SKY2000-WH-M4</t>
        </is>
      </c>
      <c r="D113" s="249" t="n">
        <v>2025</v>
      </c>
      <c r="E113" s="215" t="inlineStr">
        <is>
          <t>BNN</t>
        </is>
      </c>
      <c r="F113" s="218" t="n"/>
      <c r="G113" s="216" t="n">
        <v>1</v>
      </c>
      <c r="H113" s="218" t="n"/>
      <c r="I113" s="218" t="n"/>
      <c r="J113" s="188" t="inlineStr">
        <is>
          <t>Hiệu chuẩn</t>
        </is>
      </c>
      <c r="K113" s="218" t="n"/>
      <c r="L113" s="233" t="n">
        <v>6000000</v>
      </c>
      <c r="M113" s="216" t="inlineStr">
        <is>
          <t>Tốt</t>
        </is>
      </c>
      <c r="N113" s="218" t="n"/>
      <c r="O113" s="218" t="n"/>
      <c r="P113" s="234" t="n"/>
      <c r="Q113" s="200" t="n"/>
    </row>
    <row r="114" ht="51" customHeight="1" s="253">
      <c r="A114" s="22" t="n">
        <v>9</v>
      </c>
      <c r="B114" s="249" t="inlineStr">
        <is>
          <t>TSBNN038</t>
        </is>
      </c>
      <c r="C114" s="232" t="inlineStr">
        <is>
          <t>Máy đo Toluen - SKY2000-WH-C7H8</t>
        </is>
      </c>
      <c r="D114" s="249" t="n">
        <v>2025</v>
      </c>
      <c r="E114" s="215" t="inlineStr">
        <is>
          <t>BNN</t>
        </is>
      </c>
      <c r="F114" s="218" t="n"/>
      <c r="G114" s="216" t="n">
        <v>1</v>
      </c>
      <c r="H114" s="218" t="n"/>
      <c r="I114" s="218" t="n"/>
      <c r="J114" s="188" t="inlineStr">
        <is>
          <t>Hiệu chuẩn</t>
        </is>
      </c>
      <c r="K114" s="218" t="n"/>
      <c r="L114" s="233" t="n">
        <v>3000000</v>
      </c>
      <c r="M114" s="216" t="inlineStr">
        <is>
          <t>Tốt</t>
        </is>
      </c>
      <c r="N114" s="218" t="n"/>
      <c r="O114" s="218" t="n"/>
      <c r="P114" s="234" t="n"/>
      <c r="Q114" s="200" t="n"/>
    </row>
    <row r="115" ht="51" customHeight="1" s="253">
      <c r="A115" s="22" t="n">
        <v>10</v>
      </c>
      <c r="B115" s="249" t="inlineStr">
        <is>
          <t>TSBNN039</t>
        </is>
      </c>
      <c r="C115" s="232" t="inlineStr">
        <is>
          <t>Máy đo Xylen - SKY2000-WH-C8H10</t>
        </is>
      </c>
      <c r="D115" s="249" t="n">
        <v>2025</v>
      </c>
      <c r="E115" s="215" t="inlineStr">
        <is>
          <t>BNN</t>
        </is>
      </c>
      <c r="F115" s="218" t="n"/>
      <c r="G115" s="216" t="n">
        <v>1</v>
      </c>
      <c r="H115" s="218" t="n"/>
      <c r="I115" s="218" t="n"/>
      <c r="J115" s="188" t="inlineStr">
        <is>
          <t>Hiệu chuẩn</t>
        </is>
      </c>
      <c r="K115" s="218" t="n"/>
      <c r="L115" s="233" t="n">
        <v>3000000</v>
      </c>
      <c r="M115" s="216" t="inlineStr">
        <is>
          <t>Tốt</t>
        </is>
      </c>
      <c r="N115" s="218" t="n"/>
      <c r="O115" s="218" t="n"/>
      <c r="P115" s="234" t="n"/>
      <c r="Q115" s="200" t="n"/>
    </row>
    <row r="116" ht="51" customHeight="1" s="253">
      <c r="A116" s="22" t="n">
        <v>11</v>
      </c>
      <c r="B116" s="218" t="n"/>
      <c r="C116" s="232" t="inlineStr">
        <is>
          <t>Máy đo Bức Xạ ánh sáng Model:PMA 2200</t>
        </is>
      </c>
      <c r="D116" s="235" t="n"/>
      <c r="E116" s="215" t="inlineStr">
        <is>
          <t>BNN</t>
        </is>
      </c>
      <c r="F116" s="218" t="n"/>
      <c r="G116" s="216" t="n">
        <v>1</v>
      </c>
      <c r="H116" s="218" t="n"/>
      <c r="I116" s="218" t="n"/>
      <c r="J116" s="188" t="inlineStr">
        <is>
          <t>Hiệu chuẩn</t>
        </is>
      </c>
      <c r="K116" s="218" t="n"/>
      <c r="L116" s="233" t="n">
        <v>5000000</v>
      </c>
      <c r="M116" s="216" t="inlineStr">
        <is>
          <t>Tốt</t>
        </is>
      </c>
      <c r="N116" s="218" t="n"/>
      <c r="O116" s="218" t="n"/>
      <c r="P116" s="234" t="n"/>
      <c r="Q116" s="200" t="n"/>
    </row>
    <row r="117" ht="51" customHeight="1" s="253">
      <c r="A117" s="22" t="n">
        <v>12</v>
      </c>
      <c r="B117" s="218" t="n"/>
      <c r="C117" s="232" t="inlineStr">
        <is>
          <t xml:space="preserve">Máy bơm lấy mẫu khí lưu lượng thấp
 Zefon International </t>
        </is>
      </c>
      <c r="D117" s="232" t="n"/>
      <c r="E117" s="185" t="inlineStr">
        <is>
          <t>BNN</t>
        </is>
      </c>
      <c r="F117" s="218" t="n"/>
      <c r="G117" s="216" t="n">
        <v>1</v>
      </c>
      <c r="H117" s="218" t="n"/>
      <c r="I117" s="218" t="n"/>
      <c r="J117" s="188" t="inlineStr">
        <is>
          <t>Hiệu chuẩn</t>
        </is>
      </c>
      <c r="K117" s="218" t="n"/>
      <c r="L117" s="233" t="n">
        <v>1500000</v>
      </c>
      <c r="M117" s="216" t="inlineStr">
        <is>
          <t>Tốt</t>
        </is>
      </c>
      <c r="N117" s="218" t="n"/>
      <c r="O117" s="218" t="n"/>
      <c r="P117" s="234" t="n"/>
      <c r="Q117" s="200" t="n"/>
    </row>
    <row r="118" ht="30" customHeight="1" s="253">
      <c r="A118" s="236" t="inlineStr">
        <is>
          <t>C</t>
        </is>
      </c>
      <c r="B118" s="210" t="inlineStr">
        <is>
          <t>Khoa Dược - VTYT</t>
        </is>
      </c>
      <c r="C118" s="254" t="n"/>
      <c r="D118" s="238" t="n"/>
      <c r="E118" s="238" t="n"/>
      <c r="F118" s="238" t="n"/>
      <c r="G118" s="239">
        <f>G119</f>
        <v/>
      </c>
      <c r="H118" s="240" t="n"/>
      <c r="I118" s="240" t="n"/>
      <c r="J118" s="240" t="n"/>
      <c r="K118" s="240" t="n"/>
      <c r="L118" s="241" t="n"/>
      <c r="M118" s="240" t="n"/>
      <c r="N118" s="240" t="n"/>
      <c r="O118" s="240" t="n"/>
      <c r="P118" s="240" t="n"/>
      <c r="Q118" s="200" t="n"/>
    </row>
    <row r="119" ht="39" customHeight="1" s="253">
      <c r="A119" s="221" t="inlineStr">
        <is>
          <t>I</t>
        </is>
      </c>
      <c r="B119" s="255" t="inlineStr">
        <is>
          <t>Gói dịch vụ: Hiệu chuẩn, thiết bị phục vụ hoạt động chuyên môn tại kho.....</t>
        </is>
      </c>
      <c r="C119" s="256" t="n"/>
      <c r="D119" s="238" t="n"/>
      <c r="E119" s="249" t="n"/>
      <c r="F119" s="238" t="n"/>
      <c r="G119" s="243">
        <f>sum(G120:G124)</f>
        <v/>
      </c>
      <c r="H119" s="240" t="n"/>
      <c r="I119" s="240" t="n"/>
      <c r="J119" s="240" t="n"/>
      <c r="K119" s="240" t="n"/>
      <c r="L119" s="241" t="n"/>
      <c r="M119" s="240" t="n"/>
      <c r="N119" s="240" t="n"/>
      <c r="O119" s="240" t="n"/>
      <c r="P119" s="244" t="n"/>
      <c r="Q119" s="200" t="n"/>
    </row>
    <row r="120" ht="94.5" customHeight="1" s="253">
      <c r="A120" s="249" t="n">
        <v>1</v>
      </c>
      <c r="B120" s="210" t="n"/>
      <c r="C120" s="245" t="inlineStr">
        <is>
          <t xml:space="preserve">Bơm định liều 
Calibrex 520 5ml
</t>
        </is>
      </c>
      <c r="D120" s="238" t="n"/>
      <c r="E120" s="249" t="inlineStr">
        <is>
          <t>Dược</t>
        </is>
      </c>
      <c r="F120" s="238" t="n"/>
      <c r="G120" s="243" t="n">
        <v>4</v>
      </c>
      <c r="H120" s="240" t="n"/>
      <c r="I120" s="240" t="n"/>
      <c r="J120" s="240" t="n"/>
      <c r="K120" s="240" t="n"/>
      <c r="L120" s="241" t="n"/>
      <c r="M120" s="240" t="n"/>
      <c r="N120" s="240" t="n"/>
      <c r="O120" s="240" t="n"/>
      <c r="P120" s="244" t="inlineStr">
        <is>
          <t xml:space="preserve">Cấp phát methadone CS1 – SL 2
Cấp phát methadone CS2 – SL 2
Nguồn KP Hỗ trợ điều trị Methadone 
</t>
        </is>
      </c>
      <c r="Q120" s="200" t="n"/>
    </row>
    <row r="121" ht="256.5" customHeight="1" s="253">
      <c r="A121" s="249" t="n">
        <v>2</v>
      </c>
      <c r="B121" s="210" t="n"/>
      <c r="C121" s="245" t="inlineStr">
        <is>
          <t xml:space="preserve">Ẩm kế nhiệt kế
TANITA - TT - 513
</t>
        </is>
      </c>
      <c r="D121" s="238" t="n"/>
      <c r="E121" s="249" t="inlineStr">
        <is>
          <t>Dược</t>
        </is>
      </c>
      <c r="F121" s="238" t="n"/>
      <c r="G121" s="243" t="n">
        <v>7</v>
      </c>
      <c r="H121" s="240" t="n"/>
      <c r="I121" s="240" t="n"/>
      <c r="J121" s="240" t="n"/>
      <c r="K121" s="240" t="n"/>
      <c r="L121" s="241" t="n"/>
      <c r="M121" s="240" t="n"/>
      <c r="N121" s="240" t="n"/>
      <c r="O121" s="240" t="n"/>
      <c r="P121" s="244" t="inlineStr">
        <is>
          <t xml:space="preserve">Kho thuốc vật tư hóa chất CS1 – SL 2; Kho vắcxin CS1 – SL 1; Kho thuốc methadone CS1 – SL 1
(Nguồn KP Hỗ trợ điều trị Methadone)
Kho vắcxin CS2 – SL 1
(Nguồn Tiêm chủng mở rộng)
Kho thuốc vật tư hóa chất CS2 – SL 2
(Nguồn thu sự nghiệp)
</t>
        </is>
      </c>
      <c r="Q121" s="200" t="n"/>
    </row>
    <row r="122" ht="94.5" customHeight="1" s="253">
      <c r="A122" s="249" t="n">
        <v>3</v>
      </c>
      <c r="B122" s="210" t="n"/>
      <c r="C122" s="245" t="inlineStr">
        <is>
          <t xml:space="preserve">Ẩm kế nhiệt kế 
JWS - A2 - 2
</t>
        </is>
      </c>
      <c r="D122" s="238" t="n"/>
      <c r="E122" s="249" t="inlineStr">
        <is>
          <t>Dược</t>
        </is>
      </c>
      <c r="F122" s="238" t="n"/>
      <c r="G122" s="243" t="n">
        <v>1</v>
      </c>
      <c r="H122" s="240" t="n"/>
      <c r="I122" s="240" t="n"/>
      <c r="J122" s="240" t="n"/>
      <c r="K122" s="240" t="n"/>
      <c r="L122" s="241" t="n"/>
      <c r="M122" s="240" t="n"/>
      <c r="N122" s="240" t="n"/>
      <c r="O122" s="240" t="n"/>
      <c r="P122" s="244" t="inlineStr">
        <is>
          <t xml:space="preserve">Nhà thuốc CS 1
Nguồn thu sự nghiệp
</t>
        </is>
      </c>
      <c r="Q122" s="200" t="n"/>
    </row>
    <row r="123" ht="94.5" customHeight="1" s="253">
      <c r="A123" s="249" t="n">
        <v>4</v>
      </c>
      <c r="B123" s="210" t="n"/>
      <c r="C123" s="245" t="inlineStr">
        <is>
          <t>Nhiệt kế</t>
        </is>
      </c>
      <c r="D123" s="238" t="n"/>
      <c r="E123" s="249" t="inlineStr">
        <is>
          <t>Dược</t>
        </is>
      </c>
      <c r="F123" s="238" t="n"/>
      <c r="G123" s="243" t="n">
        <v>18</v>
      </c>
      <c r="H123" s="240" t="n"/>
      <c r="I123" s="240" t="n"/>
      <c r="J123" s="240" t="n"/>
      <c r="K123" s="240" t="n"/>
      <c r="L123" s="241" t="n"/>
      <c r="M123" s="240" t="n"/>
      <c r="N123" s="240" t="n"/>
      <c r="O123" s="240" t="n"/>
      <c r="P123" s="244" t="inlineStr">
        <is>
          <t xml:space="preserve">Kho vắcxin CS1
Nguồn Tiêm chủng mở rộng
</t>
        </is>
      </c>
      <c r="Q123" s="200" t="n"/>
    </row>
    <row r="124" ht="94.5" customHeight="1" s="253">
      <c r="A124" s="249" t="n">
        <v>5</v>
      </c>
      <c r="B124" s="210" t="n"/>
      <c r="C124" s="245" t="inlineStr">
        <is>
          <t xml:space="preserve">Nhiệt ẩm kế 
Any metre TH101E
</t>
        </is>
      </c>
      <c r="D124" s="238" t="n"/>
      <c r="E124" s="249" t="inlineStr">
        <is>
          <t>Dược</t>
        </is>
      </c>
      <c r="F124" s="238" t="n"/>
      <c r="G124" s="243" t="n">
        <v>1</v>
      </c>
      <c r="H124" s="240" t="n"/>
      <c r="I124" s="240" t="n"/>
      <c r="J124" s="240" t="n"/>
      <c r="K124" s="240" t="n"/>
      <c r="L124" s="241" t="n"/>
      <c r="M124" s="240" t="n"/>
      <c r="N124" s="240" t="n"/>
      <c r="O124" s="240" t="n"/>
      <c r="P124" s="244" t="inlineStr">
        <is>
          <t xml:space="preserve">Kho thuốc methadone CS2
Nguồn KP Hỗ trợ điều trị Methadone 
</t>
        </is>
      </c>
      <c r="Q124" s="200" t="n"/>
    </row>
    <row r="125" ht="30" customHeight="1" s="253">
      <c r="A125" s="236" t="inlineStr">
        <is>
          <t>D</t>
        </is>
      </c>
      <c r="B125" s="210" t="inlineStr">
        <is>
          <t>DỊCH VỤ CUNG CẤP LIỀU KẾ</t>
        </is>
      </c>
      <c r="C125" s="254" t="n"/>
      <c r="D125" s="238" t="n"/>
      <c r="E125" s="238" t="n"/>
      <c r="F125" s="238" t="n"/>
      <c r="G125" s="240" t="n"/>
      <c r="H125" s="240" t="n"/>
      <c r="I125" s="240" t="n"/>
      <c r="J125" s="240" t="n"/>
      <c r="K125" s="240" t="n"/>
      <c r="L125" s="241" t="n">
        <v>2940000</v>
      </c>
      <c r="M125" s="240" t="n"/>
      <c r="N125" s="240" t="n"/>
      <c r="O125" s="240" t="n"/>
      <c r="P125" s="240" t="n"/>
      <c r="Q125" s="200" t="n"/>
    </row>
    <row r="126" ht="15.75" customHeight="1" s="253">
      <c r="A126" s="249" t="n">
        <v>1</v>
      </c>
      <c r="B126" s="247" t="n"/>
      <c r="C126" s="248" t="inlineStr">
        <is>
          <t>Dịch vụ cung cấp liều kế cá nhân</t>
        </is>
      </c>
      <c r="D126" s="249" t="n"/>
      <c r="E126" s="249" t="inlineStr">
        <is>
          <t>PKĐK
 XN
 (DVTYT 
 quản lý)</t>
        </is>
      </c>
      <c r="F126" s="249" t="n"/>
      <c r="G126" s="249" t="inlineStr">
        <is>
          <t>Cung cấp 
liều kế
04 đợt/năm</t>
        </is>
      </c>
      <c r="H126" s="249" t="n"/>
      <c r="I126" s="249" t="n"/>
      <c r="J126" s="249" t="inlineStr">
        <is>
          <t>Cung cấp liều kế
 04 đợt/năm</t>
        </is>
      </c>
      <c r="K126" s="252" t="inlineStr">
        <is>
          <t>Đang thực hiện 
 04 đợt/năm 
 (Hạn HĐ đến 
31/12/2026)</t>
        </is>
      </c>
      <c r="L126" s="251" t="n">
        <v>2940000</v>
      </c>
      <c r="M126" s="247" t="n"/>
      <c r="N126" s="247" t="n"/>
      <c r="O126" s="252" t="inlineStr">
        <is>
          <t>Ngân sách cấp</t>
        </is>
      </c>
      <c r="P126" s="234" t="n"/>
      <c r="Q126" s="200" t="n"/>
    </row>
    <row r="127" ht="15.75" customHeight="1" s="253">
      <c r="A127" s="200" t="n"/>
      <c r="B127" s="200" t="n"/>
      <c r="C127" s="200" t="n"/>
      <c r="D127" s="200" t="n"/>
      <c r="E127" s="200" t="n"/>
      <c r="F127" s="200" t="n"/>
      <c r="G127" s="200" t="n"/>
      <c r="H127" s="200" t="n"/>
      <c r="I127" s="200" t="n"/>
      <c r="J127" s="200" t="n"/>
      <c r="K127" s="200" t="n"/>
      <c r="L127" s="200" t="n"/>
      <c r="M127" s="200" t="n"/>
      <c r="N127" s="200" t="n"/>
      <c r="O127" s="200" t="n"/>
      <c r="P127" s="200" t="n"/>
      <c r="Q127" s="200" t="n"/>
    </row>
    <row r="128" ht="15.75" customHeight="1" s="253">
      <c r="A128" s="200" t="n"/>
      <c r="B128" s="200" t="n"/>
      <c r="C128" s="200" t="n"/>
      <c r="D128" s="200" t="n"/>
      <c r="E128" s="200" t="n"/>
      <c r="F128" s="200" t="n"/>
      <c r="G128" s="200" t="n"/>
      <c r="H128" s="200" t="n"/>
      <c r="I128" s="200" t="n"/>
      <c r="J128" s="200" t="n"/>
      <c r="K128" s="200" t="n"/>
      <c r="L128" s="200" t="n"/>
      <c r="M128" s="200" t="n"/>
      <c r="N128" s="200" t="n"/>
      <c r="O128" s="200" t="n"/>
      <c r="P128" s="200" t="n"/>
      <c r="Q128" s="200" t="n"/>
    </row>
    <row r="129" ht="15.75" customHeight="1" s="253">
      <c r="A129" s="200" t="n"/>
      <c r="B129" s="200" t="n"/>
      <c r="C129" s="200" t="n"/>
      <c r="D129" s="200" t="n"/>
      <c r="E129" s="200" t="n"/>
      <c r="F129" s="200" t="n"/>
      <c r="G129" s="200" t="n"/>
      <c r="H129" s="200" t="n"/>
      <c r="I129" s="200" t="n"/>
      <c r="J129" s="200" t="n"/>
      <c r="K129" s="200" t="n"/>
      <c r="L129" s="200" t="n"/>
      <c r="M129" s="200" t="n"/>
      <c r="N129" s="200" t="n"/>
      <c r="O129" s="200" t="n"/>
      <c r="P129" s="200" t="n"/>
      <c r="Q129" s="200" t="n"/>
    </row>
    <row r="130" ht="15.75" customHeight="1" s="253">
      <c r="A130" s="200" t="n"/>
      <c r="B130" s="200" t="n"/>
      <c r="C130" s="200" t="n"/>
      <c r="D130" s="200" t="n"/>
      <c r="E130" s="200" t="n"/>
      <c r="F130" s="200" t="n"/>
      <c r="G130" s="200" t="n"/>
      <c r="H130" s="200" t="n"/>
      <c r="I130" s="200" t="n"/>
      <c r="J130" s="200" t="n"/>
      <c r="K130" s="200" t="n"/>
      <c r="L130" s="200" t="n"/>
      <c r="M130" s="200" t="n"/>
      <c r="N130" s="200" t="n"/>
      <c r="O130" s="200" t="n"/>
      <c r="P130" s="200" t="n"/>
      <c r="Q130" s="200" t="n"/>
    </row>
    <row r="131" ht="15.75" customHeight="1" s="253">
      <c r="A131" s="200" t="n"/>
      <c r="B131" s="200" t="n"/>
      <c r="C131" s="200" t="n"/>
      <c r="D131" s="200" t="n"/>
      <c r="E131" s="200" t="n"/>
      <c r="F131" s="200" t="n"/>
      <c r="G131" s="200" t="n"/>
      <c r="H131" s="200" t="n"/>
      <c r="I131" s="200" t="n"/>
      <c r="J131" s="200" t="n"/>
      <c r="K131" s="200" t="n"/>
      <c r="L131" s="200" t="n"/>
      <c r="M131" s="200" t="n"/>
      <c r="N131" s="200" t="n"/>
      <c r="O131" s="200" t="n"/>
      <c r="P131" s="200" t="n"/>
      <c r="Q131" s="200" t="n"/>
    </row>
    <row r="132" ht="15.75" customHeight="1" s="253">
      <c r="A132" s="200" t="n"/>
      <c r="B132" s="200" t="n"/>
      <c r="C132" s="200" t="n"/>
      <c r="D132" s="200" t="n"/>
      <c r="E132" s="200" t="n"/>
      <c r="F132" s="200" t="n"/>
      <c r="G132" s="200" t="n"/>
      <c r="H132" s="200" t="n"/>
      <c r="I132" s="200" t="n"/>
      <c r="J132" s="200" t="n"/>
      <c r="K132" s="200" t="n"/>
      <c r="L132" s="200" t="n"/>
      <c r="M132" s="200" t="n"/>
      <c r="N132" s="200" t="n"/>
      <c r="O132" s="200" t="n"/>
      <c r="P132" s="200" t="n"/>
      <c r="Q132" s="200" t="n"/>
    </row>
    <row r="133" ht="15.75" customHeight="1" s="253">
      <c r="A133" s="200" t="n"/>
      <c r="B133" s="200" t="n"/>
      <c r="C133" s="200" t="n"/>
      <c r="D133" s="200" t="n"/>
      <c r="E133" s="200" t="n"/>
      <c r="F133" s="200" t="n"/>
      <c r="G133" s="200" t="n"/>
      <c r="H133" s="200" t="n"/>
      <c r="I133" s="200" t="n"/>
      <c r="J133" s="200" t="n"/>
      <c r="K133" s="200" t="n"/>
      <c r="L133" s="200" t="n"/>
      <c r="M133" s="200" t="n"/>
      <c r="N133" s="200" t="n"/>
      <c r="O133" s="200" t="n"/>
      <c r="P133" s="200" t="n"/>
      <c r="Q133" s="200" t="n"/>
    </row>
    <row r="134" ht="15.75" customHeight="1" s="253">
      <c r="A134" s="200" t="n"/>
      <c r="B134" s="200" t="n"/>
      <c r="C134" s="200" t="n"/>
      <c r="D134" s="200" t="n"/>
      <c r="E134" s="200" t="n"/>
      <c r="F134" s="200" t="n"/>
      <c r="G134" s="200" t="n"/>
      <c r="H134" s="200" t="n"/>
      <c r="I134" s="200" t="n"/>
      <c r="J134" s="200" t="n"/>
      <c r="K134" s="200" t="n"/>
      <c r="L134" s="200" t="n"/>
      <c r="M134" s="200" t="n"/>
      <c r="N134" s="200" t="n"/>
      <c r="O134" s="200" t="n"/>
      <c r="P134" s="200" t="n"/>
      <c r="Q134" s="200" t="n"/>
    </row>
    <row r="135" ht="15.75" customHeight="1" s="253">
      <c r="A135" s="200" t="n"/>
      <c r="B135" s="200" t="n"/>
      <c r="C135" s="200" t="n"/>
      <c r="D135" s="200" t="n"/>
      <c r="E135" s="200" t="n"/>
      <c r="F135" s="200" t="n"/>
      <c r="G135" s="200" t="n"/>
      <c r="H135" s="200" t="n"/>
      <c r="I135" s="200" t="n"/>
      <c r="J135" s="200" t="n"/>
      <c r="K135" s="200" t="n"/>
      <c r="L135" s="200" t="n"/>
      <c r="M135" s="200" t="n"/>
      <c r="N135" s="200" t="n"/>
      <c r="O135" s="200" t="n"/>
      <c r="P135" s="200" t="n"/>
      <c r="Q135" s="200" t="n"/>
    </row>
    <row r="136" ht="15.75" customHeight="1" s="253">
      <c r="A136" s="200" t="n"/>
      <c r="B136" s="200" t="n"/>
      <c r="C136" s="200" t="n"/>
      <c r="D136" s="200" t="n"/>
      <c r="E136" s="200" t="n"/>
      <c r="F136" s="200" t="n"/>
      <c r="G136" s="200" t="n"/>
      <c r="H136" s="200" t="n"/>
      <c r="I136" s="200" t="n"/>
      <c r="J136" s="200" t="n"/>
      <c r="K136" s="200" t="n"/>
      <c r="L136" s="200" t="n"/>
      <c r="M136" s="200" t="n"/>
      <c r="N136" s="200" t="n"/>
      <c r="O136" s="200" t="n"/>
      <c r="P136" s="200" t="n"/>
      <c r="Q136" s="200" t="n"/>
    </row>
    <row r="137" ht="15.75" customHeight="1" s="253">
      <c r="A137" s="200" t="n"/>
      <c r="B137" s="200" t="n"/>
      <c r="C137" s="200" t="n"/>
      <c r="D137" s="200" t="n"/>
      <c r="E137" s="200" t="n"/>
      <c r="F137" s="200" t="n"/>
      <c r="G137" s="200" t="n"/>
      <c r="H137" s="200" t="n"/>
      <c r="I137" s="200" t="n"/>
      <c r="J137" s="200" t="n"/>
      <c r="K137" s="200" t="n"/>
      <c r="L137" s="200" t="n"/>
      <c r="M137" s="200" t="n"/>
      <c r="N137" s="200" t="n"/>
      <c r="O137" s="200" t="n"/>
      <c r="P137" s="200" t="n"/>
      <c r="Q137" s="200" t="n"/>
    </row>
    <row r="138" ht="15.75" customHeight="1" s="253">
      <c r="A138" s="200" t="n"/>
      <c r="B138" s="200" t="n"/>
      <c r="C138" s="200" t="n"/>
      <c r="D138" s="200" t="n"/>
      <c r="E138" s="200" t="n"/>
      <c r="F138" s="200" t="n"/>
      <c r="G138" s="200" t="n"/>
      <c r="H138" s="200" t="n"/>
      <c r="I138" s="200" t="n"/>
      <c r="J138" s="200" t="n"/>
      <c r="K138" s="200" t="n"/>
      <c r="L138" s="200" t="n"/>
      <c r="M138" s="200" t="n"/>
      <c r="N138" s="200" t="n"/>
      <c r="O138" s="200" t="n"/>
      <c r="P138" s="200" t="n"/>
      <c r="Q138" s="200" t="n"/>
    </row>
    <row r="139" ht="15.75" customHeight="1" s="253">
      <c r="A139" s="200" t="n"/>
      <c r="B139" s="200" t="n"/>
      <c r="C139" s="200" t="n"/>
      <c r="D139" s="200" t="n"/>
      <c r="E139" s="200" t="n"/>
      <c r="F139" s="200" t="n"/>
      <c r="G139" s="200" t="n"/>
      <c r="H139" s="200" t="n"/>
      <c r="I139" s="200" t="n"/>
      <c r="J139" s="200" t="n"/>
      <c r="K139" s="200" t="n"/>
      <c r="L139" s="200" t="n"/>
      <c r="M139" s="200" t="n"/>
      <c r="N139" s="200" t="n"/>
      <c r="O139" s="200" t="n"/>
      <c r="P139" s="200" t="n"/>
      <c r="Q139" s="200" t="n"/>
    </row>
    <row r="140" ht="15.75" customHeight="1" s="253">
      <c r="A140" s="200" t="n"/>
      <c r="B140" s="200" t="n"/>
      <c r="C140" s="200" t="n"/>
      <c r="D140" s="200" t="n"/>
      <c r="E140" s="200" t="n"/>
      <c r="F140" s="200" t="n"/>
      <c r="G140" s="200" t="n"/>
      <c r="H140" s="200" t="n"/>
      <c r="I140" s="200" t="n"/>
      <c r="J140" s="200" t="n"/>
      <c r="K140" s="200" t="n"/>
      <c r="L140" s="200" t="n"/>
      <c r="M140" s="200" t="n"/>
      <c r="N140" s="200" t="n"/>
      <c r="O140" s="200" t="n"/>
      <c r="P140" s="200" t="n"/>
      <c r="Q140" s="200" t="n"/>
    </row>
    <row r="141" ht="15.75" customHeight="1" s="253">
      <c r="A141" s="200" t="n"/>
      <c r="B141" s="200" t="n"/>
      <c r="C141" s="200" t="n"/>
      <c r="D141" s="200" t="n"/>
      <c r="E141" s="200" t="n"/>
      <c r="F141" s="200" t="n"/>
      <c r="G141" s="200" t="n"/>
      <c r="H141" s="200" t="n"/>
      <c r="I141" s="200" t="n"/>
      <c r="J141" s="200" t="n"/>
      <c r="K141" s="200" t="n"/>
      <c r="L141" s="200" t="n"/>
      <c r="M141" s="200" t="n"/>
      <c r="N141" s="200" t="n"/>
      <c r="O141" s="200" t="n"/>
      <c r="P141" s="200" t="n"/>
      <c r="Q141" s="200" t="n"/>
    </row>
    <row r="142" ht="15.75" customHeight="1" s="253">
      <c r="A142" s="200" t="n"/>
      <c r="B142" s="200" t="n"/>
      <c r="C142" s="200" t="n"/>
      <c r="D142" s="200" t="n"/>
      <c r="E142" s="200" t="n"/>
      <c r="F142" s="200" t="n"/>
      <c r="G142" s="200" t="n"/>
      <c r="H142" s="200" t="n"/>
      <c r="I142" s="200" t="n"/>
      <c r="J142" s="200" t="n"/>
      <c r="K142" s="200" t="n"/>
      <c r="L142" s="200" t="n"/>
      <c r="M142" s="200" t="n"/>
      <c r="N142" s="200" t="n"/>
      <c r="O142" s="200" t="n"/>
      <c r="P142" s="200" t="n"/>
      <c r="Q142" s="200" t="n"/>
    </row>
    <row r="143" ht="15.75" customHeight="1" s="253">
      <c r="A143" s="200" t="n"/>
      <c r="B143" s="200" t="n"/>
      <c r="C143" s="200" t="n"/>
      <c r="D143" s="200" t="n"/>
      <c r="E143" s="200" t="n"/>
      <c r="F143" s="200" t="n"/>
      <c r="G143" s="200" t="n"/>
      <c r="H143" s="200" t="n"/>
      <c r="I143" s="200" t="n"/>
      <c r="J143" s="200" t="n"/>
      <c r="K143" s="200" t="n"/>
      <c r="L143" s="200" t="n"/>
      <c r="M143" s="200" t="n"/>
      <c r="N143" s="200" t="n"/>
      <c r="O143" s="200" t="n"/>
      <c r="P143" s="200" t="n"/>
      <c r="Q143" s="200" t="n"/>
    </row>
    <row r="144" ht="15.75" customHeight="1" s="253">
      <c r="A144" s="200" t="n"/>
      <c r="B144" s="200" t="n"/>
      <c r="C144" s="200" t="n"/>
      <c r="D144" s="200" t="n"/>
      <c r="E144" s="200" t="n"/>
      <c r="F144" s="200" t="n"/>
      <c r="G144" s="200" t="n"/>
      <c r="H144" s="200" t="n"/>
      <c r="I144" s="200" t="n"/>
      <c r="J144" s="200" t="n"/>
      <c r="K144" s="200" t="n"/>
      <c r="L144" s="200" t="n"/>
      <c r="M144" s="200" t="n"/>
      <c r="N144" s="200" t="n"/>
      <c r="O144" s="200" t="n"/>
      <c r="P144" s="200" t="n"/>
      <c r="Q144" s="200" t="n"/>
    </row>
    <row r="145" ht="15.75" customHeight="1" s="253">
      <c r="A145" s="200" t="n"/>
      <c r="B145" s="200" t="n"/>
      <c r="C145" s="200" t="n"/>
      <c r="D145" s="200" t="n"/>
      <c r="E145" s="200" t="n"/>
      <c r="F145" s="200" t="n"/>
      <c r="G145" s="200" t="n"/>
      <c r="H145" s="200" t="n"/>
      <c r="I145" s="200" t="n"/>
      <c r="J145" s="200" t="n"/>
      <c r="K145" s="200" t="n"/>
      <c r="L145" s="200" t="n"/>
      <c r="M145" s="200" t="n"/>
      <c r="N145" s="200" t="n"/>
      <c r="O145" s="200" t="n"/>
      <c r="P145" s="200" t="n"/>
      <c r="Q145" s="200" t="n"/>
    </row>
    <row r="146" ht="15.75" customHeight="1" s="253">
      <c r="A146" s="200" t="n"/>
      <c r="B146" s="200" t="n"/>
      <c r="C146" s="200" t="n"/>
      <c r="D146" s="200" t="n"/>
      <c r="E146" s="200" t="n"/>
      <c r="F146" s="200" t="n"/>
      <c r="G146" s="200" t="n"/>
      <c r="H146" s="200" t="n"/>
      <c r="I146" s="200" t="n"/>
      <c r="J146" s="200" t="n"/>
      <c r="K146" s="200" t="n"/>
      <c r="L146" s="200" t="n"/>
      <c r="M146" s="200" t="n"/>
      <c r="N146" s="200" t="n"/>
      <c r="O146" s="200" t="n"/>
      <c r="P146" s="200" t="n"/>
      <c r="Q146" s="200" t="n"/>
    </row>
    <row r="147" ht="15.75" customHeight="1" s="253">
      <c r="A147" s="200" t="n"/>
      <c r="B147" s="200" t="n"/>
      <c r="C147" s="200" t="n"/>
      <c r="D147" s="200" t="n"/>
      <c r="E147" s="200" t="n"/>
      <c r="F147" s="200" t="n"/>
      <c r="G147" s="200" t="n"/>
      <c r="H147" s="200" t="n"/>
      <c r="I147" s="200" t="n"/>
      <c r="J147" s="200" t="n"/>
      <c r="K147" s="200" t="n"/>
      <c r="L147" s="200" t="n"/>
      <c r="M147" s="200" t="n"/>
      <c r="N147" s="200" t="n"/>
      <c r="O147" s="200" t="n"/>
      <c r="P147" s="200" t="n"/>
      <c r="Q147" s="200" t="n"/>
    </row>
    <row r="148" ht="15.75" customHeight="1" s="253">
      <c r="A148" s="200" t="n"/>
      <c r="B148" s="200" t="n"/>
      <c r="C148" s="200" t="n"/>
      <c r="D148" s="200" t="n"/>
      <c r="E148" s="200" t="n"/>
      <c r="F148" s="200" t="n"/>
      <c r="G148" s="200" t="n"/>
      <c r="H148" s="200" t="n"/>
      <c r="I148" s="200" t="n"/>
      <c r="J148" s="200" t="n"/>
      <c r="K148" s="200" t="n"/>
      <c r="L148" s="200" t="n"/>
      <c r="M148" s="200" t="n"/>
      <c r="N148" s="200" t="n"/>
      <c r="O148" s="200" t="n"/>
      <c r="P148" s="200" t="n"/>
      <c r="Q148" s="200" t="n"/>
    </row>
    <row r="149" ht="15.75" customHeight="1" s="253">
      <c r="A149" s="200" t="n"/>
      <c r="B149" s="200" t="n"/>
      <c r="C149" s="200" t="n"/>
      <c r="D149" s="200" t="n"/>
      <c r="E149" s="200" t="n"/>
      <c r="F149" s="200" t="n"/>
      <c r="G149" s="200" t="n"/>
      <c r="H149" s="200" t="n"/>
      <c r="I149" s="200" t="n"/>
      <c r="J149" s="200" t="n"/>
      <c r="K149" s="200" t="n"/>
      <c r="L149" s="200" t="n"/>
      <c r="M149" s="200" t="n"/>
      <c r="N149" s="200" t="n"/>
      <c r="O149" s="200" t="n"/>
      <c r="P149" s="200" t="n"/>
      <c r="Q149" s="200" t="n"/>
    </row>
    <row r="150" ht="15.75" customHeight="1" s="253">
      <c r="A150" s="200" t="n"/>
      <c r="B150" s="200" t="n"/>
      <c r="C150" s="200" t="n"/>
      <c r="D150" s="200" t="n"/>
      <c r="E150" s="200" t="n"/>
      <c r="F150" s="200" t="n"/>
      <c r="G150" s="200" t="n"/>
      <c r="H150" s="200" t="n"/>
      <c r="I150" s="200" t="n"/>
      <c r="J150" s="200" t="n"/>
      <c r="K150" s="200" t="n"/>
      <c r="L150" s="200" t="n"/>
      <c r="M150" s="200" t="n"/>
      <c r="N150" s="200" t="n"/>
      <c r="O150" s="200" t="n"/>
      <c r="P150" s="200" t="n"/>
      <c r="Q150" s="200" t="n"/>
    </row>
    <row r="151" ht="15.75" customHeight="1" s="253">
      <c r="A151" s="200" t="n"/>
      <c r="B151" s="200" t="n"/>
      <c r="C151" s="200" t="n"/>
      <c r="D151" s="200" t="n"/>
      <c r="E151" s="200" t="n"/>
      <c r="F151" s="200" t="n"/>
      <c r="G151" s="200" t="n"/>
      <c r="H151" s="200" t="n"/>
      <c r="I151" s="200" t="n"/>
      <c r="J151" s="200" t="n"/>
      <c r="K151" s="200" t="n"/>
      <c r="L151" s="200" t="n"/>
      <c r="M151" s="200" t="n"/>
      <c r="N151" s="200" t="n"/>
      <c r="O151" s="200" t="n"/>
      <c r="P151" s="200" t="n"/>
      <c r="Q151" s="200" t="n"/>
    </row>
    <row r="152" ht="15.75" customHeight="1" s="253">
      <c r="A152" s="200" t="n"/>
      <c r="B152" s="200" t="n"/>
      <c r="C152" s="200" t="n"/>
      <c r="D152" s="200" t="n"/>
      <c r="E152" s="200" t="n"/>
      <c r="F152" s="200" t="n"/>
      <c r="G152" s="200" t="n"/>
      <c r="H152" s="200" t="n"/>
      <c r="I152" s="200" t="n"/>
      <c r="J152" s="200" t="n"/>
      <c r="K152" s="200" t="n"/>
      <c r="L152" s="200" t="n"/>
      <c r="M152" s="200" t="n"/>
      <c r="N152" s="200" t="n"/>
      <c r="O152" s="200" t="n"/>
      <c r="P152" s="200" t="n"/>
      <c r="Q152" s="200" t="n"/>
    </row>
    <row r="153" ht="15.75" customHeight="1" s="253"/>
    <row r="154" ht="15.75" customHeight="1" s="253"/>
    <row r="155" ht="15.75" customHeight="1" s="253"/>
    <row r="156" ht="15.75" customHeight="1" s="253"/>
    <row r="157" ht="15.75" customHeight="1" s="253"/>
    <row r="158" ht="15.75" customHeight="1" s="253"/>
    <row r="159" ht="15.75" customHeight="1" s="253"/>
    <row r="160" ht="15.75" customHeight="1" s="253"/>
    <row r="161" ht="15.75" customHeight="1" s="253"/>
    <row r="162" ht="15.75" customHeight="1" s="253"/>
    <row r="163" ht="15.75" customHeight="1" s="253"/>
    <row r="164" ht="15.75" customHeight="1" s="253"/>
    <row r="165" ht="15.75" customHeight="1" s="253"/>
    <row r="166" ht="15.75" customHeight="1" s="253"/>
    <row r="167" ht="15.75" customHeight="1" s="253"/>
    <row r="168" ht="15.75" customHeight="1" s="253"/>
    <row r="169" ht="15.75" customHeight="1" s="253"/>
    <row r="170" ht="15.75" customHeight="1" s="253"/>
    <row r="171" ht="15.75" customHeight="1" s="253"/>
    <row r="172" ht="15.75" customHeight="1" s="253"/>
    <row r="173" ht="15.75" customHeight="1" s="253"/>
    <row r="174" ht="15.75" customHeight="1" s="253"/>
    <row r="175" ht="15.75" customHeight="1" s="253"/>
    <row r="176" ht="15.75" customHeight="1" s="253"/>
    <row r="177" ht="15.75" customHeight="1" s="253"/>
    <row r="178" ht="15.75" customHeight="1" s="253"/>
    <row r="179" ht="15.75" customHeight="1" s="253"/>
    <row r="180" ht="15.75" customHeight="1" s="253"/>
    <row r="181" ht="15.75" customHeight="1" s="253"/>
    <row r="182" ht="15.75" customHeight="1" s="253"/>
    <row r="183" ht="15.75" customHeight="1" s="253"/>
    <row r="184" ht="15.75" customHeight="1" s="253"/>
    <row r="185" ht="15.75" customHeight="1" s="253"/>
    <row r="186" ht="15.75" customHeight="1" s="253"/>
    <row r="187" ht="15.75" customHeight="1" s="253"/>
    <row r="188" ht="15.75" customHeight="1" s="253"/>
    <row r="189" ht="15.75" customHeight="1" s="253"/>
    <row r="190" ht="15.75" customHeight="1" s="253"/>
    <row r="191" ht="15.75" customHeight="1" s="253"/>
    <row r="192" ht="15.75" customHeight="1" s="253"/>
    <row r="193" ht="15.75" customHeight="1" s="253"/>
    <row r="194" ht="15.75" customHeight="1" s="253"/>
    <row r="195" ht="15.75" customHeight="1" s="253"/>
    <row r="196" ht="15.75" customHeight="1" s="253"/>
    <row r="197" ht="15.75" customHeight="1" s="253"/>
    <row r="198" ht="15.75" customHeight="1" s="253"/>
    <row r="199" ht="15.75" customHeight="1" s="253"/>
    <row r="200" ht="15.75" customHeight="1" s="253"/>
    <row r="201" ht="15.75" customHeight="1" s="253"/>
    <row r="202" ht="15.75" customHeight="1" s="253"/>
    <row r="203" ht="15.75" customHeight="1" s="253"/>
    <row r="204" ht="15.75" customHeight="1" s="253"/>
    <row r="205" ht="15.75" customHeight="1" s="253"/>
    <row r="206" ht="15.75" customHeight="1" s="253"/>
    <row r="207" ht="15.75" customHeight="1" s="253"/>
    <row r="208" ht="15.75" customHeight="1" s="253"/>
    <row r="209" ht="15.75" customHeight="1" s="253"/>
    <row r="210" ht="15.75" customHeight="1" s="253"/>
    <row r="211" ht="15.75" customHeight="1" s="253"/>
    <row r="212" ht="15.75" customHeight="1" s="253"/>
    <row r="213" ht="15.75" customHeight="1" s="253"/>
    <row r="214" ht="15.75" customHeight="1" s="253"/>
    <row r="215" ht="15.75" customHeight="1" s="253"/>
    <row r="216" ht="15.75" customHeight="1" s="253"/>
    <row r="217" ht="15.75" customHeight="1" s="253"/>
    <row r="218" ht="15.75" customHeight="1" s="253"/>
    <row r="219" ht="15.75" customHeight="1" s="253"/>
    <row r="220" ht="15.75" customHeight="1" s="253"/>
    <row r="221" ht="15.75" customHeight="1" s="253"/>
    <row r="222" ht="15.75" customHeight="1" s="253"/>
    <row r="223" ht="15.75" customHeight="1" s="253"/>
    <row r="224" ht="15.75" customHeight="1" s="253"/>
    <row r="225" ht="15.75" customHeight="1" s="253"/>
    <row r="226" ht="15.75" customHeight="1" s="253"/>
    <row r="227" ht="15.75" customHeight="1" s="253"/>
    <row r="228" ht="15.75" customHeight="1" s="253"/>
    <row r="229" ht="15.75" customHeight="1" s="253"/>
    <row r="230" ht="15.75" customHeight="1" s="253"/>
    <row r="231" ht="15.75" customHeight="1" s="253"/>
    <row r="232" ht="15.75" customHeight="1" s="253"/>
    <row r="233" ht="15.75" customHeight="1" s="253"/>
    <row r="234" ht="15.75" customHeight="1" s="253"/>
    <row r="235" ht="15.75" customHeight="1" s="253"/>
    <row r="236" ht="15.75" customHeight="1" s="253"/>
    <row r="237" ht="15.75" customHeight="1" s="253"/>
    <row r="238" ht="15.75" customHeight="1" s="253"/>
    <row r="239" ht="15.75" customHeight="1" s="253"/>
    <row r="240" ht="15.75" customHeight="1" s="253"/>
    <row r="241" ht="15.75" customHeight="1" s="253"/>
    <row r="242" ht="15.75" customHeight="1" s="253"/>
    <row r="243" ht="15.75" customHeight="1" s="253"/>
    <row r="244" ht="15.75" customHeight="1" s="253"/>
    <row r="245" ht="15.75" customHeight="1" s="253"/>
    <row r="246" ht="15.75" customHeight="1" s="253"/>
    <row r="247" ht="15.75" customHeight="1" s="253"/>
    <row r="248" ht="15.75" customHeight="1" s="253"/>
    <row r="249" ht="15.75" customHeight="1" s="253"/>
    <row r="250" ht="15.75" customHeight="1" s="253"/>
    <row r="251" ht="15.75" customHeight="1" s="253"/>
    <row r="252" ht="15.75" customHeight="1" s="253"/>
    <row r="253" ht="15.75" customHeight="1" s="253"/>
    <row r="254" ht="15.75" customHeight="1" s="253"/>
    <row r="255" ht="15.75" customHeight="1" s="253"/>
    <row r="256" ht="15.75" customHeight="1" s="253"/>
    <row r="257" ht="15.75" customHeight="1" s="253"/>
    <row r="258" ht="15.75" customHeight="1" s="253"/>
    <row r="259" ht="15.75" customHeight="1" s="253"/>
    <row r="260" ht="15.75" customHeight="1" s="253"/>
    <row r="261" ht="15.75" customHeight="1" s="253"/>
    <row r="262" ht="15.75" customHeight="1" s="253"/>
    <row r="263" ht="15.75" customHeight="1" s="253"/>
    <row r="264" ht="15.75" customHeight="1" s="253"/>
    <row r="265" ht="15.75" customHeight="1" s="253"/>
    <row r="266" ht="15.75" customHeight="1" s="253"/>
    <row r="267" ht="15.75" customHeight="1" s="253"/>
    <row r="268" ht="15.75" customHeight="1" s="253"/>
    <row r="269" ht="15.75" customHeight="1" s="253"/>
    <row r="270" ht="15.75" customHeight="1" s="253"/>
    <row r="271" ht="15.75" customHeight="1" s="253"/>
    <row r="272" ht="15.75" customHeight="1" s="253"/>
    <row r="273" ht="15.75" customHeight="1" s="253"/>
    <row r="274" ht="15.75" customHeight="1" s="253"/>
    <row r="275" ht="15.75" customHeight="1" s="253"/>
    <row r="276" ht="15.75" customHeight="1" s="253"/>
    <row r="277" ht="15.75" customHeight="1" s="253"/>
    <row r="278" ht="15.75" customHeight="1" s="253"/>
    <row r="279" ht="15.75" customHeight="1" s="253"/>
    <row r="280" ht="15.75" customHeight="1" s="253"/>
    <row r="281" ht="15.75" customHeight="1" s="253"/>
    <row r="282" ht="15.75" customHeight="1" s="253"/>
    <row r="283" ht="15.75" customHeight="1" s="253"/>
    <row r="284" ht="15.75" customHeight="1" s="253"/>
    <row r="285" ht="15.75" customHeight="1" s="253"/>
    <row r="286" ht="15.75" customHeight="1" s="253"/>
    <row r="287" ht="15.75" customHeight="1" s="253"/>
    <row r="288" ht="15.75" customHeight="1" s="253"/>
    <row r="289" ht="15.75" customHeight="1" s="253"/>
    <row r="290" ht="15.75" customHeight="1" s="253"/>
    <row r="291" ht="15.75" customHeight="1" s="253"/>
    <row r="292" ht="15.75" customHeight="1" s="253"/>
    <row r="293" ht="15.75" customHeight="1" s="253"/>
    <row r="294" ht="15.75" customHeight="1" s="253"/>
    <row r="295" ht="15.75" customHeight="1" s="253"/>
    <row r="296" ht="15.75" customHeight="1" s="253"/>
    <row r="297" ht="15.75" customHeight="1" s="253"/>
    <row r="298" ht="15.75" customHeight="1" s="253"/>
    <row r="299" ht="15.75" customHeight="1" s="253"/>
    <row r="300" ht="15.75" customHeight="1" s="253"/>
    <row r="301" ht="15.75" customHeight="1" s="253"/>
    <row r="302" ht="15.75" customHeight="1" s="253"/>
    <row r="303" ht="15.75" customHeight="1" s="253"/>
    <row r="304" ht="15.75" customHeight="1" s="253"/>
    <row r="305" ht="15.75" customHeight="1" s="253"/>
    <row r="306" ht="15.75" customHeight="1" s="253"/>
    <row r="307" ht="15.75" customHeight="1" s="253"/>
    <row r="308" ht="15.75" customHeight="1" s="253"/>
    <row r="309" ht="15.75" customHeight="1" s="253"/>
    <row r="310" ht="15.75" customHeight="1" s="253"/>
    <row r="311" ht="15.75" customHeight="1" s="253"/>
    <row r="312" ht="15.75" customHeight="1" s="253"/>
    <row r="313" ht="15.75" customHeight="1" s="253"/>
    <row r="314" ht="15.75" customHeight="1" s="253"/>
    <row r="315" ht="15.75" customHeight="1" s="253"/>
    <row r="316" ht="15.75" customHeight="1" s="253"/>
    <row r="317" ht="15.75" customHeight="1" s="253"/>
    <row r="318" ht="15.75" customHeight="1" s="253"/>
    <row r="319" ht="15.75" customHeight="1" s="253"/>
    <row r="320" ht="15.75" customHeight="1" s="253"/>
    <row r="321" ht="15.75" customHeight="1" s="253"/>
    <row r="322" ht="15.75" customHeight="1" s="253"/>
    <row r="323" ht="15.75" customHeight="1" s="253"/>
    <row r="324" ht="15.75" customHeight="1" s="253"/>
    <row r="325" ht="15.75" customHeight="1" s="253"/>
    <row r="326" ht="15.75" customHeight="1" s="253"/>
    <row r="327" ht="15.75" customHeight="1" s="253"/>
    <row r="328" ht="15.75" customHeight="1" s="253"/>
    <row r="329" ht="15.75" customHeight="1" s="253"/>
    <row r="330" ht="15.75" customHeight="1" s="253"/>
    <row r="331" ht="15.75" customHeight="1" s="253"/>
    <row r="332" ht="15.75" customHeight="1" s="253"/>
    <row r="333" ht="15.75" customHeight="1" s="253"/>
    <row r="334" ht="15.75" customHeight="1" s="253"/>
    <row r="335" ht="15.75" customHeight="1" s="253"/>
    <row r="336" ht="15.75" customHeight="1" s="253"/>
    <row r="337" ht="15.75" customHeight="1" s="253"/>
    <row r="338" ht="15.75" customHeight="1" s="253"/>
    <row r="339" ht="15.75" customHeight="1" s="253"/>
    <row r="340" ht="15.75" customHeight="1" s="253"/>
    <row r="341" ht="15.75" customHeight="1" s="253"/>
    <row r="342" ht="15.75" customHeight="1" s="253"/>
    <row r="343" ht="15.75" customHeight="1" s="253"/>
    <row r="344" ht="15.75" customHeight="1" s="253"/>
    <row r="345" ht="15.75" customHeight="1" s="253"/>
    <row r="346" ht="15.75" customHeight="1" s="253"/>
    <row r="347" ht="15.75" customHeight="1" s="253"/>
    <row r="348" ht="15.75" customHeight="1" s="253"/>
    <row r="349" ht="15.75" customHeight="1" s="253"/>
    <row r="350" ht="15.75" customHeight="1" s="253"/>
    <row r="351" ht="15.75" customHeight="1" s="253"/>
    <row r="352" ht="15.75" customHeight="1" s="253"/>
    <row r="353" ht="15.75" customHeight="1" s="253"/>
    <row r="354" ht="15.75" customHeight="1" s="253"/>
    <row r="355" ht="15.75" customHeight="1" s="253"/>
    <row r="356" ht="15.75" customHeight="1" s="253"/>
    <row r="357" ht="15.75" customHeight="1" s="253"/>
    <row r="358" ht="15.75" customHeight="1" s="253"/>
    <row r="359" ht="15.75" customHeight="1" s="253"/>
    <row r="360" ht="15.75" customHeight="1" s="253"/>
    <row r="361" ht="15.75" customHeight="1" s="253"/>
    <row r="362" ht="15.75" customHeight="1" s="253"/>
    <row r="363" ht="15.75" customHeight="1" s="253"/>
    <row r="364" ht="15.75" customHeight="1" s="253"/>
    <row r="365" ht="15.75" customHeight="1" s="253"/>
    <row r="366" ht="15.75" customHeight="1" s="253"/>
    <row r="367" ht="15.75" customHeight="1" s="253"/>
    <row r="368" ht="15.75" customHeight="1" s="253"/>
    <row r="369" ht="15.75" customHeight="1" s="253"/>
    <row r="370" ht="15.75" customHeight="1" s="253"/>
    <row r="371" ht="15.75" customHeight="1" s="253"/>
    <row r="372" ht="15.75" customHeight="1" s="253"/>
    <row r="373" ht="15.75" customHeight="1" s="253"/>
    <row r="374" ht="15.75" customHeight="1" s="253"/>
    <row r="375" ht="15.75" customHeight="1" s="253"/>
    <row r="376" ht="15.75" customHeight="1" s="253"/>
    <row r="377" ht="15.75" customHeight="1" s="253"/>
    <row r="378" ht="15.75" customHeight="1" s="253"/>
    <row r="379" ht="15.75" customHeight="1" s="253"/>
    <row r="380" ht="15.75" customHeight="1" s="253"/>
    <row r="381" ht="15.75" customHeight="1" s="253"/>
    <row r="382" ht="15.75" customHeight="1" s="253"/>
    <row r="383" ht="15.75" customHeight="1" s="253"/>
    <row r="384" ht="15.75" customHeight="1" s="253"/>
    <row r="385" ht="15.75" customHeight="1" s="253"/>
    <row r="386" ht="15.75" customHeight="1" s="253"/>
    <row r="387" ht="15.75" customHeight="1" s="253"/>
    <row r="388" ht="15.75" customHeight="1" s="253"/>
    <row r="389" ht="15.75" customHeight="1" s="253"/>
    <row r="390" ht="15.75" customHeight="1" s="253"/>
    <row r="391" ht="15.75" customHeight="1" s="253"/>
    <row r="392" ht="15.75" customHeight="1" s="253"/>
    <row r="393" ht="15.75" customHeight="1" s="253"/>
    <row r="394" ht="15.75" customHeight="1" s="253"/>
    <row r="395" ht="15.75" customHeight="1" s="253"/>
    <row r="396" ht="15.75" customHeight="1" s="253"/>
    <row r="397" ht="15.75" customHeight="1" s="253"/>
    <row r="398" ht="15.75" customHeight="1" s="253"/>
    <row r="399" ht="15.75" customHeight="1" s="253"/>
    <row r="400" ht="15.75" customHeight="1" s="253"/>
    <row r="401" ht="15.75" customHeight="1" s="253"/>
    <row r="402" ht="15.75" customHeight="1" s="253"/>
    <row r="403" ht="15.75" customHeight="1" s="253"/>
    <row r="404" ht="15.75" customHeight="1" s="253"/>
    <row r="405" ht="15.75" customHeight="1" s="253"/>
    <row r="406" ht="15.75" customHeight="1" s="253"/>
    <row r="407" ht="15.75" customHeight="1" s="253"/>
    <row r="408" ht="15.75" customHeight="1" s="253"/>
    <row r="409" ht="15.75" customHeight="1" s="253"/>
    <row r="410" ht="15.75" customHeight="1" s="253"/>
    <row r="411" ht="15.75" customHeight="1" s="253"/>
    <row r="412" ht="15.75" customHeight="1" s="253"/>
    <row r="413" ht="15.75" customHeight="1" s="253"/>
    <row r="414" ht="15.75" customHeight="1" s="253"/>
    <row r="415" ht="15.75" customHeight="1" s="253"/>
    <row r="416" ht="15.75" customHeight="1" s="253"/>
    <row r="417" ht="15.75" customHeight="1" s="253"/>
    <row r="418" ht="15.75" customHeight="1" s="253"/>
    <row r="419" ht="15.75" customHeight="1" s="253"/>
    <row r="420" ht="15.75" customHeight="1" s="253"/>
    <row r="421" ht="15.75" customHeight="1" s="253"/>
    <row r="422" ht="15.75" customHeight="1" s="253"/>
    <row r="423" ht="15.75" customHeight="1" s="253"/>
    <row r="424" ht="15.75" customHeight="1" s="253"/>
    <row r="425" ht="15.75" customHeight="1" s="253"/>
    <row r="426" ht="15.75" customHeight="1" s="253"/>
    <row r="427" ht="15.75" customHeight="1" s="253"/>
    <row r="428" ht="15.75" customHeight="1" s="253"/>
    <row r="429" ht="15.75" customHeight="1" s="253"/>
    <row r="430" ht="15.75" customHeight="1" s="253"/>
    <row r="431" ht="15.75" customHeight="1" s="253"/>
    <row r="432" ht="15.75" customHeight="1" s="253"/>
    <row r="433" ht="15.75" customHeight="1" s="253"/>
    <row r="434" ht="15.75" customHeight="1" s="253"/>
    <row r="435" ht="15.75" customHeight="1" s="253"/>
    <row r="436" ht="15.75" customHeight="1" s="253"/>
    <row r="437" ht="15.75" customHeight="1" s="253"/>
    <row r="438" ht="15.75" customHeight="1" s="253"/>
    <row r="439" ht="15.75" customHeight="1" s="253"/>
    <row r="440" ht="15.75" customHeight="1" s="253"/>
    <row r="441" ht="15.75" customHeight="1" s="253"/>
    <row r="442" ht="15.75" customHeight="1" s="253"/>
    <row r="443" ht="15.75" customHeight="1" s="253"/>
    <row r="444" ht="15.75" customHeight="1" s="253"/>
    <row r="445" ht="15.75" customHeight="1" s="253"/>
    <row r="446" ht="15.75" customHeight="1" s="253"/>
    <row r="447" ht="15.75" customHeight="1" s="253"/>
    <row r="448" ht="15.75" customHeight="1" s="253"/>
    <row r="449" ht="15.75" customHeight="1" s="253"/>
    <row r="450" ht="15.75" customHeight="1" s="253"/>
    <row r="451" ht="15.75" customHeight="1" s="253"/>
    <row r="452" ht="15.75" customHeight="1" s="253"/>
    <row r="453" ht="15.75" customHeight="1" s="253"/>
    <row r="454" ht="15.75" customHeight="1" s="253"/>
    <row r="455" ht="15.75" customHeight="1" s="253"/>
    <row r="456" ht="15.75" customHeight="1" s="253"/>
    <row r="457" ht="15.75" customHeight="1" s="253"/>
    <row r="458" ht="15.75" customHeight="1" s="253"/>
    <row r="459" ht="15.75" customHeight="1" s="253"/>
    <row r="460" ht="15.75" customHeight="1" s="253"/>
    <row r="461" ht="15.75" customHeight="1" s="253"/>
    <row r="462" ht="15.75" customHeight="1" s="253"/>
    <row r="463" ht="15.75" customHeight="1" s="253"/>
    <row r="464" ht="15.75" customHeight="1" s="253"/>
    <row r="465" ht="15.75" customHeight="1" s="253"/>
    <row r="466" ht="15.75" customHeight="1" s="253"/>
    <row r="467" ht="15.75" customHeight="1" s="253"/>
    <row r="468" ht="15.75" customHeight="1" s="253"/>
    <row r="469" ht="15.75" customHeight="1" s="253"/>
    <row r="470" ht="15.75" customHeight="1" s="253"/>
    <row r="471" ht="15.75" customHeight="1" s="253"/>
    <row r="472" ht="15.75" customHeight="1" s="253"/>
    <row r="473" ht="15.75" customHeight="1" s="253"/>
    <row r="474" ht="15.75" customHeight="1" s="253"/>
    <row r="475" ht="15.75" customHeight="1" s="253"/>
    <row r="476" ht="15.75" customHeight="1" s="253"/>
    <row r="477" ht="15.75" customHeight="1" s="253"/>
    <row r="478" ht="15.75" customHeight="1" s="253"/>
    <row r="479" ht="15.75" customHeight="1" s="253"/>
    <row r="480" ht="15.75" customHeight="1" s="253"/>
    <row r="481" ht="15.75" customHeight="1" s="253"/>
    <row r="482" ht="15.75" customHeight="1" s="253"/>
    <row r="483" ht="15.75" customHeight="1" s="253"/>
    <row r="484" ht="15.75" customHeight="1" s="253"/>
    <row r="485" ht="15.75" customHeight="1" s="253"/>
    <row r="486" ht="15.75" customHeight="1" s="253"/>
    <row r="487" ht="15.75" customHeight="1" s="253"/>
    <row r="488" ht="15.75" customHeight="1" s="253"/>
    <row r="489" ht="15.75" customHeight="1" s="253"/>
    <row r="490" ht="15.75" customHeight="1" s="253"/>
    <row r="491" ht="15.75" customHeight="1" s="253"/>
    <row r="492" ht="15.75" customHeight="1" s="253"/>
    <row r="493" ht="15.75" customHeight="1" s="253"/>
    <row r="494" ht="15.75" customHeight="1" s="253"/>
    <row r="495" ht="15.75" customHeight="1" s="253"/>
    <row r="496" ht="15.75" customHeight="1" s="253"/>
    <row r="497" ht="15.75" customHeight="1" s="253"/>
    <row r="498" ht="15.75" customHeight="1" s="253"/>
    <row r="499" ht="15.75" customHeight="1" s="253"/>
    <row r="500" ht="15.75" customHeight="1" s="253"/>
    <row r="501" ht="15.75" customHeight="1" s="253"/>
    <row r="502" ht="15.75" customHeight="1" s="253"/>
    <row r="503" ht="15.75" customHeight="1" s="253"/>
    <row r="504" ht="15.75" customHeight="1" s="253"/>
    <row r="505" ht="15.75" customHeight="1" s="253"/>
    <row r="506" ht="15.75" customHeight="1" s="253"/>
    <row r="507" ht="15.75" customHeight="1" s="253"/>
    <row r="508" ht="15.75" customHeight="1" s="253"/>
    <row r="509" ht="15.75" customHeight="1" s="253"/>
    <row r="510" ht="15.75" customHeight="1" s="253"/>
    <row r="511" ht="15.75" customHeight="1" s="253"/>
    <row r="512" ht="15.75" customHeight="1" s="253"/>
    <row r="513" ht="15.75" customHeight="1" s="253"/>
    <row r="514" ht="15.75" customHeight="1" s="253"/>
    <row r="515" ht="15.75" customHeight="1" s="253"/>
    <row r="516" ht="15.75" customHeight="1" s="253"/>
    <row r="517" ht="15.75" customHeight="1" s="253"/>
    <row r="518" ht="15.75" customHeight="1" s="253"/>
    <row r="519" ht="15.75" customHeight="1" s="253"/>
    <row r="520" ht="15.75" customHeight="1" s="253"/>
    <row r="521" ht="15.75" customHeight="1" s="253"/>
    <row r="522" ht="15.75" customHeight="1" s="253"/>
    <row r="523" ht="15.75" customHeight="1" s="253"/>
    <row r="524" ht="15.75" customHeight="1" s="253"/>
    <row r="525" ht="15.75" customHeight="1" s="253"/>
    <row r="526" ht="15.75" customHeight="1" s="253"/>
    <row r="527" ht="15.75" customHeight="1" s="253"/>
    <row r="528" ht="15.75" customHeight="1" s="253"/>
    <row r="529" ht="15.75" customHeight="1" s="253"/>
    <row r="530" ht="15.75" customHeight="1" s="253"/>
    <row r="531" ht="15.75" customHeight="1" s="253"/>
    <row r="532" ht="15.75" customHeight="1" s="253"/>
    <row r="533" ht="15.75" customHeight="1" s="253"/>
    <row r="534" ht="15.75" customHeight="1" s="253"/>
    <row r="535" ht="15.75" customHeight="1" s="253"/>
    <row r="536" ht="15.75" customHeight="1" s="253"/>
    <row r="537" ht="15.75" customHeight="1" s="253"/>
    <row r="538" ht="15.75" customHeight="1" s="253"/>
    <row r="539" ht="15.75" customHeight="1" s="253"/>
    <row r="540" ht="15.75" customHeight="1" s="253"/>
    <row r="541" ht="15.75" customHeight="1" s="253"/>
    <row r="542" ht="15.75" customHeight="1" s="253"/>
    <row r="543" ht="15.75" customHeight="1" s="253"/>
    <row r="544" ht="15.75" customHeight="1" s="253"/>
    <row r="545" ht="15.75" customHeight="1" s="253"/>
    <row r="546" ht="15.75" customHeight="1" s="253"/>
    <row r="547" ht="15.75" customHeight="1" s="253"/>
    <row r="548" ht="15.75" customHeight="1" s="253"/>
    <row r="549" ht="15.75" customHeight="1" s="253"/>
    <row r="550" ht="15.75" customHeight="1" s="253"/>
    <row r="551" ht="15.75" customHeight="1" s="253"/>
    <row r="552" ht="15.75" customHeight="1" s="253"/>
    <row r="553" ht="15.75" customHeight="1" s="253"/>
    <row r="554" ht="15.75" customHeight="1" s="253"/>
    <row r="555" ht="15.75" customHeight="1" s="253"/>
    <row r="556" ht="15.75" customHeight="1" s="253"/>
    <row r="557" ht="15.75" customHeight="1" s="253"/>
    <row r="558" ht="15.75" customHeight="1" s="253"/>
    <row r="559" ht="15.75" customHeight="1" s="253"/>
    <row r="560" ht="15.75" customHeight="1" s="253"/>
    <row r="561" ht="15.75" customHeight="1" s="253"/>
    <row r="562" ht="15.75" customHeight="1" s="253"/>
    <row r="563" ht="15.75" customHeight="1" s="253"/>
    <row r="564" ht="15.75" customHeight="1" s="253"/>
    <row r="565" ht="15.75" customHeight="1" s="253"/>
    <row r="566" ht="15.75" customHeight="1" s="253"/>
    <row r="567" ht="15.75" customHeight="1" s="253"/>
    <row r="568" ht="15.75" customHeight="1" s="253"/>
    <row r="569" ht="15.75" customHeight="1" s="253"/>
    <row r="570" ht="15.75" customHeight="1" s="253"/>
    <row r="571" ht="15.75" customHeight="1" s="253"/>
    <row r="572" ht="15.75" customHeight="1" s="253"/>
    <row r="573" ht="15.75" customHeight="1" s="253"/>
    <row r="574" ht="15.75" customHeight="1" s="253"/>
    <row r="575" ht="15.75" customHeight="1" s="253"/>
    <row r="576" ht="15.75" customHeight="1" s="253"/>
    <row r="577" ht="15.75" customHeight="1" s="253"/>
    <row r="578" ht="15.75" customHeight="1" s="253"/>
    <row r="579" ht="15.75" customHeight="1" s="253"/>
    <row r="580" ht="15.75" customHeight="1" s="253"/>
    <row r="581" ht="15.75" customHeight="1" s="253"/>
    <row r="582" ht="15.75" customHeight="1" s="253"/>
    <row r="583" ht="15.75" customHeight="1" s="253"/>
    <row r="584" ht="15.75" customHeight="1" s="253"/>
    <row r="585" ht="15.75" customHeight="1" s="253"/>
    <row r="586" ht="15.75" customHeight="1" s="253"/>
    <row r="587" ht="15.75" customHeight="1" s="253"/>
    <row r="588" ht="15.75" customHeight="1" s="253"/>
    <row r="589" ht="15.75" customHeight="1" s="253"/>
    <row r="590" ht="15.75" customHeight="1" s="253"/>
    <row r="591" ht="15.75" customHeight="1" s="253"/>
    <row r="592" ht="15.75" customHeight="1" s="253"/>
    <row r="593" ht="15.75" customHeight="1" s="253"/>
    <row r="594" ht="15.75" customHeight="1" s="253"/>
    <row r="595" ht="15.75" customHeight="1" s="253"/>
    <row r="596" ht="15.75" customHeight="1" s="253"/>
    <row r="597" ht="15.75" customHeight="1" s="253"/>
    <row r="598" ht="15.75" customHeight="1" s="253"/>
    <row r="599" ht="15.75" customHeight="1" s="253"/>
    <row r="600" ht="15.75" customHeight="1" s="253"/>
    <row r="601" ht="15.75" customHeight="1" s="253"/>
    <row r="602" ht="15.75" customHeight="1" s="253"/>
    <row r="603" ht="15.75" customHeight="1" s="253"/>
    <row r="604" ht="15.75" customHeight="1" s="253"/>
    <row r="605" ht="15.75" customHeight="1" s="253"/>
    <row r="606" ht="15.75" customHeight="1" s="253"/>
    <row r="607" ht="15.75" customHeight="1" s="253"/>
    <row r="608" ht="15.75" customHeight="1" s="253"/>
    <row r="609" ht="15.75" customHeight="1" s="253"/>
    <row r="610" ht="15.75" customHeight="1" s="253"/>
    <row r="611" ht="15.75" customHeight="1" s="253"/>
    <row r="612" ht="15.75" customHeight="1" s="253"/>
    <row r="613" ht="15.75" customHeight="1" s="253"/>
    <row r="614" ht="15.75" customHeight="1" s="253"/>
    <row r="615" ht="15.75" customHeight="1" s="253"/>
    <row r="616" ht="15.75" customHeight="1" s="253"/>
    <row r="617" ht="15.75" customHeight="1" s="253"/>
    <row r="618" ht="15.75" customHeight="1" s="253"/>
    <row r="619" ht="15.75" customHeight="1" s="253"/>
    <row r="620" ht="15.75" customHeight="1" s="253"/>
    <row r="621" ht="15.75" customHeight="1" s="253"/>
    <row r="622" ht="15.75" customHeight="1" s="253"/>
    <row r="623" ht="15.75" customHeight="1" s="253"/>
    <row r="624" ht="15.75" customHeight="1" s="253"/>
    <row r="625" ht="15.75" customHeight="1" s="253"/>
    <row r="626" ht="15.75" customHeight="1" s="253"/>
    <row r="627" ht="15.75" customHeight="1" s="253"/>
    <row r="628" ht="15.75" customHeight="1" s="253"/>
    <row r="629" ht="15.75" customHeight="1" s="253"/>
    <row r="630" ht="15.75" customHeight="1" s="253"/>
    <row r="631" ht="15.75" customHeight="1" s="253"/>
    <row r="632" ht="15.75" customHeight="1" s="253"/>
    <row r="633" ht="15.75" customHeight="1" s="253"/>
    <row r="634" ht="15.75" customHeight="1" s="253"/>
    <row r="635" ht="15.75" customHeight="1" s="253"/>
    <row r="636" ht="15.75" customHeight="1" s="253"/>
    <row r="637" ht="15.75" customHeight="1" s="253"/>
    <row r="638" ht="15.75" customHeight="1" s="253"/>
    <row r="639" ht="15.75" customHeight="1" s="253"/>
    <row r="640" ht="15.75" customHeight="1" s="253"/>
    <row r="641" ht="15.75" customHeight="1" s="253"/>
    <row r="642" ht="15.75" customHeight="1" s="253"/>
    <row r="643" ht="15.75" customHeight="1" s="253"/>
    <row r="644" ht="15.75" customHeight="1" s="253"/>
    <row r="645" ht="15.75" customHeight="1" s="253"/>
    <row r="646" ht="15.75" customHeight="1" s="253"/>
    <row r="647" ht="15.75" customHeight="1" s="253"/>
    <row r="648" ht="15.75" customHeight="1" s="253"/>
    <row r="649" ht="15.75" customHeight="1" s="253"/>
    <row r="650" ht="15.75" customHeight="1" s="253"/>
    <row r="651" ht="15.75" customHeight="1" s="253"/>
    <row r="652" ht="15.75" customHeight="1" s="253"/>
    <row r="653" ht="15.75" customHeight="1" s="253"/>
    <row r="654" ht="15.75" customHeight="1" s="253"/>
    <row r="655" ht="15.75" customHeight="1" s="253"/>
    <row r="656" ht="15.75" customHeight="1" s="253"/>
    <row r="657" ht="15.75" customHeight="1" s="253"/>
    <row r="658" ht="15.75" customHeight="1" s="253"/>
    <row r="659" ht="15.75" customHeight="1" s="253"/>
    <row r="660" ht="15.75" customHeight="1" s="253"/>
    <row r="661" ht="15.75" customHeight="1" s="253"/>
    <row r="662" ht="15.75" customHeight="1" s="253"/>
    <row r="663" ht="15.75" customHeight="1" s="253"/>
    <row r="664" ht="15.75" customHeight="1" s="253"/>
    <row r="665" ht="15.75" customHeight="1" s="253"/>
    <row r="666" ht="15.75" customHeight="1" s="253"/>
    <row r="667" ht="15.75" customHeight="1" s="253"/>
    <row r="668" ht="15.75" customHeight="1" s="253"/>
    <row r="669" ht="15.75" customHeight="1" s="253"/>
    <row r="670" ht="15.75" customHeight="1" s="253"/>
    <row r="671" ht="15.75" customHeight="1" s="253"/>
    <row r="672" ht="15.75" customHeight="1" s="253"/>
    <row r="673" ht="15.75" customHeight="1" s="253"/>
    <row r="674" ht="15.75" customHeight="1" s="253"/>
    <row r="675" ht="15.75" customHeight="1" s="253"/>
    <row r="676" ht="15.75" customHeight="1" s="253"/>
    <row r="677" ht="15.75" customHeight="1" s="253"/>
    <row r="678" ht="15.75" customHeight="1" s="253"/>
    <row r="679" ht="15.75" customHeight="1" s="253"/>
    <row r="680" ht="15.75" customHeight="1" s="253"/>
    <row r="681" ht="15.75" customHeight="1" s="253"/>
    <row r="682" ht="15.75" customHeight="1" s="253"/>
    <row r="683" ht="15.75" customHeight="1" s="253"/>
    <row r="684" ht="15.75" customHeight="1" s="253"/>
    <row r="685" ht="15.75" customHeight="1" s="253"/>
    <row r="686" ht="15.75" customHeight="1" s="253"/>
    <row r="687" ht="15.75" customHeight="1" s="253"/>
    <row r="688" ht="15.75" customHeight="1" s="253"/>
    <row r="689" ht="15.75" customHeight="1" s="253"/>
    <row r="690" ht="15.75" customHeight="1" s="253"/>
    <row r="691" ht="15.75" customHeight="1" s="253"/>
    <row r="692" ht="15.75" customHeight="1" s="253"/>
    <row r="693" ht="15.75" customHeight="1" s="253"/>
    <row r="694" ht="15.75" customHeight="1" s="253"/>
    <row r="695" ht="15.75" customHeight="1" s="253"/>
    <row r="696" ht="15.75" customHeight="1" s="253"/>
    <row r="697" ht="15.75" customHeight="1" s="253"/>
    <row r="698" ht="15.75" customHeight="1" s="253"/>
    <row r="699" ht="15.75" customHeight="1" s="253"/>
    <row r="700" ht="15.75" customHeight="1" s="253"/>
    <row r="701" ht="15.75" customHeight="1" s="253"/>
    <row r="702" ht="15.75" customHeight="1" s="253"/>
    <row r="703" ht="15.75" customHeight="1" s="253"/>
    <row r="704" ht="15.75" customHeight="1" s="253"/>
    <row r="705" ht="15.75" customHeight="1" s="253"/>
    <row r="706" ht="15.75" customHeight="1" s="253"/>
    <row r="707" ht="15.75" customHeight="1" s="253"/>
    <row r="708" ht="15.75" customHeight="1" s="253"/>
    <row r="709" ht="15.75" customHeight="1" s="253"/>
    <row r="710" ht="15.75" customHeight="1" s="253"/>
    <row r="711" ht="15.75" customHeight="1" s="253"/>
    <row r="712" ht="15.75" customHeight="1" s="253"/>
    <row r="713" ht="15.75" customHeight="1" s="253"/>
    <row r="714" ht="15.75" customHeight="1" s="253"/>
    <row r="715" ht="15.75" customHeight="1" s="253"/>
    <row r="716" ht="15.75" customHeight="1" s="253"/>
    <row r="717" ht="15.75" customHeight="1" s="253"/>
    <row r="718" ht="15.75" customHeight="1" s="253"/>
    <row r="719" ht="15.75" customHeight="1" s="253"/>
    <row r="720" ht="15.75" customHeight="1" s="253"/>
    <row r="721" ht="15.75" customHeight="1" s="253"/>
    <row r="722" ht="15.75" customHeight="1" s="253"/>
    <row r="723" ht="15.75" customHeight="1" s="253"/>
    <row r="724" ht="15.75" customHeight="1" s="253"/>
    <row r="725" ht="15.75" customHeight="1" s="253"/>
    <row r="726" ht="15.75" customHeight="1" s="253"/>
    <row r="727" ht="15.75" customHeight="1" s="253"/>
    <row r="728" ht="15.75" customHeight="1" s="253"/>
    <row r="729" ht="15.75" customHeight="1" s="253"/>
    <row r="730" ht="15.75" customHeight="1" s="253"/>
    <row r="731" ht="15.75" customHeight="1" s="253"/>
    <row r="732" ht="15.75" customHeight="1" s="253"/>
    <row r="733" ht="15.75" customHeight="1" s="253"/>
    <row r="734" ht="15.75" customHeight="1" s="253"/>
    <row r="735" ht="15.75" customHeight="1" s="253"/>
    <row r="736" ht="15.75" customHeight="1" s="253"/>
    <row r="737" ht="15.75" customHeight="1" s="253"/>
    <row r="738" ht="15.75" customHeight="1" s="253"/>
    <row r="739" ht="15.75" customHeight="1" s="253"/>
    <row r="740" ht="15.75" customHeight="1" s="253"/>
    <row r="741" ht="15.75" customHeight="1" s="253"/>
    <row r="742" ht="15.75" customHeight="1" s="253"/>
    <row r="743" ht="15.75" customHeight="1" s="253"/>
    <row r="744" ht="15.75" customHeight="1" s="253"/>
    <row r="745" ht="15.75" customHeight="1" s="253"/>
    <row r="746" ht="15.75" customHeight="1" s="253"/>
    <row r="747" ht="15.75" customHeight="1" s="253"/>
    <row r="748" ht="15.75" customHeight="1" s="253"/>
    <row r="749" ht="15.75" customHeight="1" s="253"/>
    <row r="750" ht="15.75" customHeight="1" s="253"/>
    <row r="751" ht="15.75" customHeight="1" s="253"/>
    <row r="752" ht="15.75" customHeight="1" s="253"/>
    <row r="753" ht="15.75" customHeight="1" s="253"/>
    <row r="754" ht="15.75" customHeight="1" s="253"/>
    <row r="755" ht="15.75" customHeight="1" s="253"/>
    <row r="756" ht="15.75" customHeight="1" s="253"/>
    <row r="757" ht="15.75" customHeight="1" s="253"/>
    <row r="758" ht="15.75" customHeight="1" s="253"/>
    <row r="759" ht="15.75" customHeight="1" s="253"/>
    <row r="760" ht="15.75" customHeight="1" s="253"/>
    <row r="761" ht="15.75" customHeight="1" s="253"/>
    <row r="762" ht="15.75" customHeight="1" s="253"/>
    <row r="763" ht="15.75" customHeight="1" s="253"/>
    <row r="764" ht="15.75" customHeight="1" s="253"/>
    <row r="765" ht="15.75" customHeight="1" s="253"/>
    <row r="766" ht="15.75" customHeight="1" s="253"/>
    <row r="767" ht="15.75" customHeight="1" s="253"/>
    <row r="768" ht="15.75" customHeight="1" s="253"/>
    <row r="769" ht="15.75" customHeight="1" s="253"/>
    <row r="770" ht="15.75" customHeight="1" s="253"/>
    <row r="771" ht="15.75" customHeight="1" s="253"/>
    <row r="772" ht="15.75" customHeight="1" s="253"/>
    <row r="773" ht="15.75" customHeight="1" s="253"/>
    <row r="774" ht="15.75" customHeight="1" s="253"/>
    <row r="775" ht="15.75" customHeight="1" s="253"/>
    <row r="776" ht="15.75" customHeight="1" s="253"/>
    <row r="777" ht="15.75" customHeight="1" s="253"/>
    <row r="778" ht="15.75" customHeight="1" s="253"/>
    <row r="779" ht="15.75" customHeight="1" s="253"/>
    <row r="780" ht="15.75" customHeight="1" s="253"/>
    <row r="781" ht="15.75" customHeight="1" s="253"/>
    <row r="782" ht="15.75" customHeight="1" s="253"/>
    <row r="783" ht="15.75" customHeight="1" s="253"/>
    <row r="784" ht="15.75" customHeight="1" s="253"/>
    <row r="785" ht="15.75" customHeight="1" s="253"/>
    <row r="786" ht="15.75" customHeight="1" s="253"/>
    <row r="787" ht="15.75" customHeight="1" s="253"/>
    <row r="788" ht="15.75" customHeight="1" s="253"/>
    <row r="789" ht="15.75" customHeight="1" s="253"/>
    <row r="790" ht="15.75" customHeight="1" s="253"/>
    <row r="791" ht="15.75" customHeight="1" s="253"/>
    <row r="792" ht="15.75" customHeight="1" s="253"/>
    <row r="793" ht="15.75" customHeight="1" s="253"/>
    <row r="794" ht="15.75" customHeight="1" s="253"/>
    <row r="795" ht="15.75" customHeight="1" s="253"/>
    <row r="796" ht="15.75" customHeight="1" s="253"/>
    <row r="797" ht="15.75" customHeight="1" s="253"/>
    <row r="798" ht="15.75" customHeight="1" s="253"/>
    <row r="799" ht="15.75" customHeight="1" s="253"/>
    <row r="800" ht="15.75" customHeight="1" s="253"/>
    <row r="801" ht="15.75" customHeight="1" s="253"/>
    <row r="802" ht="15.75" customHeight="1" s="253"/>
    <row r="803" ht="15.75" customHeight="1" s="253"/>
    <row r="804" ht="15.75" customHeight="1" s="253"/>
    <row r="805" ht="15.75" customHeight="1" s="253"/>
    <row r="806" ht="15.75" customHeight="1" s="253"/>
    <row r="807" ht="15.75" customHeight="1" s="253"/>
    <row r="808" ht="15.75" customHeight="1" s="253"/>
    <row r="809" ht="15.75" customHeight="1" s="253"/>
    <row r="810" ht="15.75" customHeight="1" s="253"/>
    <row r="811" ht="15.75" customHeight="1" s="253"/>
    <row r="812" ht="15.75" customHeight="1" s="253"/>
    <row r="813" ht="15.75" customHeight="1" s="253"/>
    <row r="814" ht="15.75" customHeight="1" s="253"/>
    <row r="815" ht="15.75" customHeight="1" s="253"/>
    <row r="816" ht="15.75" customHeight="1" s="253"/>
    <row r="817" ht="15.75" customHeight="1" s="253"/>
    <row r="818" ht="15.75" customHeight="1" s="253"/>
    <row r="819" ht="15.75" customHeight="1" s="253"/>
    <row r="820" ht="15.75" customHeight="1" s="253"/>
    <row r="821" ht="15.75" customHeight="1" s="253"/>
    <row r="822" ht="15.75" customHeight="1" s="253"/>
    <row r="823" ht="15.75" customHeight="1" s="253"/>
    <row r="824" ht="15.75" customHeight="1" s="253"/>
    <row r="825" ht="15.75" customHeight="1" s="253"/>
    <row r="826" ht="15.75" customHeight="1" s="253"/>
    <row r="827" ht="15.75" customHeight="1" s="253"/>
    <row r="828" ht="15.75" customHeight="1" s="253"/>
    <row r="829" ht="15.75" customHeight="1" s="253"/>
    <row r="830" ht="15.75" customHeight="1" s="253"/>
    <row r="831" ht="15.75" customHeight="1" s="253"/>
    <row r="832" ht="15.75" customHeight="1" s="253"/>
    <row r="833" ht="15.75" customHeight="1" s="253"/>
    <row r="834" ht="15.75" customHeight="1" s="253"/>
    <row r="835" ht="15.75" customHeight="1" s="253"/>
    <row r="836" ht="15.75" customHeight="1" s="253"/>
    <row r="837" ht="15.75" customHeight="1" s="253"/>
    <row r="838" ht="15.75" customHeight="1" s="253"/>
    <row r="839" ht="15.75" customHeight="1" s="253"/>
    <row r="840" ht="15.75" customHeight="1" s="253"/>
    <row r="841" ht="15.75" customHeight="1" s="253"/>
    <row r="842" ht="15.75" customHeight="1" s="253"/>
    <row r="843" ht="15.75" customHeight="1" s="253"/>
    <row r="844" ht="15.75" customHeight="1" s="253"/>
    <row r="845" ht="15.75" customHeight="1" s="253"/>
    <row r="846" ht="15.75" customHeight="1" s="253"/>
    <row r="847" ht="15.75" customHeight="1" s="253"/>
    <row r="848" ht="15.75" customHeight="1" s="253"/>
    <row r="849" ht="15.75" customHeight="1" s="253"/>
    <row r="850" ht="15.75" customHeight="1" s="253"/>
    <row r="851" ht="15.75" customHeight="1" s="253"/>
    <row r="852" ht="15.75" customHeight="1" s="253"/>
    <row r="853" ht="15.75" customHeight="1" s="253"/>
    <row r="854" ht="15.75" customHeight="1" s="253"/>
    <row r="855" ht="15.75" customHeight="1" s="253"/>
    <row r="856" ht="15.75" customHeight="1" s="253"/>
    <row r="857" ht="15.75" customHeight="1" s="253"/>
    <row r="858" ht="15.75" customHeight="1" s="253"/>
    <row r="859" ht="15.75" customHeight="1" s="253"/>
    <row r="860" ht="15.75" customHeight="1" s="253"/>
    <row r="861" ht="15.75" customHeight="1" s="253"/>
    <row r="862" ht="15.75" customHeight="1" s="253"/>
    <row r="863" ht="15.75" customHeight="1" s="253"/>
    <row r="864" ht="15.75" customHeight="1" s="253"/>
    <row r="865" ht="15.75" customHeight="1" s="253"/>
    <row r="866" ht="15.75" customHeight="1" s="253"/>
    <row r="867" ht="15.75" customHeight="1" s="253"/>
    <row r="868" ht="15.75" customHeight="1" s="253"/>
    <row r="869" ht="15.75" customHeight="1" s="253"/>
    <row r="870" ht="15.75" customHeight="1" s="253"/>
    <row r="871" ht="15.75" customHeight="1" s="253"/>
    <row r="872" ht="15.75" customHeight="1" s="253"/>
    <row r="873" ht="15.75" customHeight="1" s="253"/>
    <row r="874" ht="15.75" customHeight="1" s="253"/>
    <row r="875" ht="15.75" customHeight="1" s="253"/>
    <row r="876" ht="15.75" customHeight="1" s="253"/>
    <row r="877" ht="15.75" customHeight="1" s="253"/>
    <row r="878" ht="15.75" customHeight="1" s="253"/>
    <row r="879" ht="15.75" customHeight="1" s="253"/>
    <row r="880" ht="15.75" customHeight="1" s="253"/>
    <row r="881" ht="15.75" customHeight="1" s="253"/>
    <row r="882" ht="15.75" customHeight="1" s="253"/>
    <row r="883" ht="15.75" customHeight="1" s="253"/>
    <row r="884" ht="15.75" customHeight="1" s="253"/>
    <row r="885" ht="15.75" customHeight="1" s="253"/>
    <row r="886" ht="15.75" customHeight="1" s="253"/>
    <row r="887" ht="15.75" customHeight="1" s="253"/>
    <row r="888" ht="15.75" customHeight="1" s="253"/>
    <row r="889" ht="15.75" customHeight="1" s="253"/>
    <row r="890" ht="15.75" customHeight="1" s="253"/>
    <row r="891" ht="15.75" customHeight="1" s="253"/>
    <row r="892" ht="15.75" customHeight="1" s="253"/>
    <row r="893" ht="15.75" customHeight="1" s="253"/>
    <row r="894" ht="15.75" customHeight="1" s="253"/>
    <row r="895" ht="15.75" customHeight="1" s="253"/>
    <row r="896" ht="15.75" customHeight="1" s="253"/>
    <row r="897" ht="15.75" customHeight="1" s="253"/>
    <row r="898" ht="15.75" customHeight="1" s="253"/>
    <row r="899" ht="15.75" customHeight="1" s="253"/>
    <row r="900" ht="15.75" customHeight="1" s="253"/>
    <row r="901" ht="15.75" customHeight="1" s="253"/>
    <row r="902" ht="15.75" customHeight="1" s="253"/>
    <row r="903" ht="15.75" customHeight="1" s="253"/>
    <row r="904" ht="15.75" customHeight="1" s="253"/>
    <row r="905" ht="15.75" customHeight="1" s="253"/>
    <row r="906" ht="15.75" customHeight="1" s="253"/>
    <row r="907" ht="15.75" customHeight="1" s="253"/>
    <row r="908" ht="15.75" customHeight="1" s="253"/>
    <row r="909" ht="15.75" customHeight="1" s="253"/>
    <row r="910" ht="15.75" customHeight="1" s="253"/>
    <row r="911" ht="15.75" customHeight="1" s="253"/>
    <row r="912" ht="15.75" customHeight="1" s="253"/>
    <row r="913" ht="15.75" customHeight="1" s="253"/>
    <row r="914" ht="15.75" customHeight="1" s="253"/>
    <row r="915" ht="15.75" customHeight="1" s="253"/>
    <row r="916" ht="15.75" customHeight="1" s="253"/>
    <row r="917" ht="15.75" customHeight="1" s="253"/>
    <row r="918" ht="15.75" customHeight="1" s="253"/>
    <row r="919" ht="15.75" customHeight="1" s="253"/>
    <row r="920" ht="15.75" customHeight="1" s="253"/>
    <row r="921" ht="15.75" customHeight="1" s="253"/>
    <row r="922" ht="15.75" customHeight="1" s="253"/>
    <row r="923" ht="15.75" customHeight="1" s="253"/>
    <row r="924" ht="15.75" customHeight="1" s="253"/>
    <row r="925" ht="15.75" customHeight="1" s="253"/>
    <row r="926" ht="15.75" customHeight="1" s="253"/>
    <row r="927" ht="15.75" customHeight="1" s="253"/>
    <row r="928" ht="15.75" customHeight="1" s="253"/>
    <row r="929" ht="15.75" customHeight="1" s="253"/>
    <row r="930" ht="15.75" customHeight="1" s="253"/>
    <row r="931" ht="15.75" customHeight="1" s="253"/>
    <row r="932" ht="15.75" customHeight="1" s="253"/>
    <row r="933" ht="15.75" customHeight="1" s="253"/>
    <row r="934" ht="15.75" customHeight="1" s="253"/>
    <row r="935" ht="15.75" customHeight="1" s="253"/>
    <row r="936" ht="15.75" customHeight="1" s="253"/>
    <row r="937" ht="15.75" customHeight="1" s="253"/>
    <row r="938" ht="15.75" customHeight="1" s="253"/>
    <row r="939" ht="15.75" customHeight="1" s="253"/>
    <row r="940" ht="15.75" customHeight="1" s="253"/>
    <row r="941" ht="15.75" customHeight="1" s="253"/>
    <row r="942" ht="15.75" customHeight="1" s="253"/>
    <row r="943" ht="15.75" customHeight="1" s="253"/>
    <row r="944" ht="15.75" customHeight="1" s="253"/>
    <row r="945" ht="15.75" customHeight="1" s="253"/>
    <row r="946" ht="15.75" customHeight="1" s="253"/>
    <row r="947" ht="15.75" customHeight="1" s="253"/>
    <row r="948" ht="15.75" customHeight="1" s="253"/>
    <row r="949" ht="15.75" customHeight="1" s="253"/>
    <row r="950" ht="15.75" customHeight="1" s="253"/>
    <row r="951" ht="15.75" customHeight="1" s="253"/>
    <row r="952" ht="15.75" customHeight="1" s="253"/>
    <row r="953" ht="15.75" customHeight="1" s="253"/>
    <row r="954" ht="15.75" customHeight="1" s="253"/>
    <row r="955" ht="15.75" customHeight="1" s="253"/>
    <row r="956" ht="15.75" customHeight="1" s="253"/>
    <row r="957" ht="15.75" customHeight="1" s="253"/>
    <row r="958" ht="15.75" customHeight="1" s="253"/>
    <row r="959" ht="15.75" customHeight="1" s="253"/>
    <row r="960" ht="15.75" customHeight="1" s="253"/>
    <row r="961" ht="15.75" customHeight="1" s="253"/>
    <row r="962" ht="15.75" customHeight="1" s="253"/>
    <row r="963" ht="15.75" customHeight="1" s="253"/>
    <row r="964" ht="15.75" customHeight="1" s="253"/>
    <row r="965" ht="15.75" customHeight="1" s="253"/>
    <row r="966" ht="15.75" customHeight="1" s="253"/>
    <row r="967" ht="15.75" customHeight="1" s="253"/>
    <row r="968" ht="15.75" customHeight="1" s="253"/>
    <row r="969" ht="15.75" customHeight="1" s="253"/>
    <row r="970" ht="15.75" customHeight="1" s="253"/>
    <row r="971" ht="15.75" customHeight="1" s="253"/>
    <row r="972" ht="15.75" customHeight="1" s="253"/>
    <row r="973" ht="15.75" customHeight="1" s="253"/>
    <row r="974" ht="15.75" customHeight="1" s="253"/>
    <row r="975" ht="15.75" customHeight="1" s="253"/>
    <row r="976" ht="15.75" customHeight="1" s="253"/>
    <row r="977" ht="15.75" customHeight="1" s="253"/>
    <row r="978" ht="15.75" customHeight="1" s="253"/>
    <row r="979" ht="15.75" customHeight="1" s="253"/>
    <row r="980" ht="15.75" customHeight="1" s="253"/>
    <row r="981" ht="15.75" customHeight="1" s="253"/>
    <row r="982" ht="15.75" customHeight="1" s="253"/>
    <row r="983" ht="15.75" customHeight="1" s="253"/>
    <row r="984" ht="15.75" customHeight="1" s="253"/>
    <row r="985" ht="15.75" customHeight="1" s="253"/>
    <row r="986" ht="15.75" customHeight="1" s="253"/>
    <row r="987" ht="15.75" customHeight="1" s="253"/>
    <row r="988" ht="15.75" customHeight="1" s="253"/>
    <row r="989" ht="15.75" customHeight="1" s="253"/>
    <row r="990" ht="15.75" customHeight="1" s="253"/>
    <row r="991" ht="15.75" customHeight="1" s="253"/>
    <row r="992" ht="15.75" customHeight="1" s="253"/>
    <row r="993" ht="15.75" customHeight="1" s="253"/>
    <row r="994" ht="15.75" customHeight="1" s="253"/>
    <row r="995" ht="15.75" customHeight="1" s="253"/>
    <row r="996" ht="15.75" customHeight="1" s="253"/>
    <row r="997" ht="15.75" customHeight="1" s="253"/>
    <row r="998" ht="15.75" customHeight="1" s="253"/>
    <row r="999" ht="15.75" customHeight="1" s="253"/>
    <row r="1000" ht="15.75" customHeight="1" s="253"/>
    <row r="1001" ht="15.75" customHeight="1" s="253"/>
    <row r="1002" ht="15.75" customHeight="1" s="253"/>
    <row r="1003" ht="15.75" customHeight="1" s="253"/>
    <row r="1004" ht="15.75" customHeight="1" s="253"/>
    <row r="1005" ht="15.75" customHeight="1" s="253"/>
    <row r="1006" ht="15.75" customHeight="1" s="253"/>
    <row r="1007" ht="15.75" customHeight="1" s="253"/>
    <row r="1008" ht="15.75" customHeight="1" s="253"/>
    <row r="1009" ht="15.75" customHeight="1" s="253"/>
    <row r="1010" ht="15.75" customHeight="1" s="253"/>
    <row r="1011" ht="15.75" customHeight="1" s="253"/>
    <row r="1012" ht="15.75" customHeight="1" s="253"/>
    <row r="1013" ht="15.75" customHeight="1" s="253"/>
    <row r="1014" ht="15.75" customHeight="1" s="253"/>
    <row r="1015" ht="15.75" customHeight="1" s="253"/>
    <row r="1016" ht="15.75" customHeight="1" s="253"/>
    <row r="1017" ht="15.75" customHeight="1" s="253"/>
    <row r="1018" ht="15.75" customHeight="1" s="253"/>
    <row r="1019" ht="15.75" customHeight="1" s="253"/>
    <row r="1020" ht="15.75" customHeight="1" s="253"/>
    <row r="1021" ht="15.75" customHeight="1" s="253"/>
    <row r="1022" ht="15.75" customHeight="1" s="253"/>
    <row r="1023" ht="15.75" customHeight="1" s="253"/>
    <row r="1024" ht="15.75" customHeight="1" s="253"/>
    <row r="1025" ht="15.75" customHeight="1" s="253"/>
    <row r="1026" ht="15.75" customHeight="1" s="253"/>
    <row r="1027" ht="15.75" customHeight="1" s="253"/>
    <row r="1028" ht="15.75" customHeight="1" s="253"/>
    <row r="1029" ht="15.75" customHeight="1" s="253"/>
    <row r="1030" ht="15.75" customHeight="1" s="253"/>
    <row r="1031" ht="15.75" customHeight="1" s="253"/>
    <row r="1032" ht="15.75" customHeight="1" s="253"/>
    <row r="1033" ht="15.75" customHeight="1" s="253"/>
    <row r="1034" ht="15.75" customHeight="1" s="253"/>
    <row r="1035" ht="15.75" customHeight="1" s="253"/>
    <row r="1036" ht="15.75" customHeight="1" s="253"/>
    <row r="1037" ht="15.75" customHeight="1" s="253"/>
    <row r="1038" ht="15.75" customHeight="1" s="253"/>
    <row r="1039" ht="15.75" customHeight="1" s="253"/>
    <row r="1040" ht="15.75" customHeight="1" s="253"/>
    <row r="1041" ht="15.75" customHeight="1" s="253"/>
    <row r="1042" ht="15.75" customHeight="1" s="253"/>
    <row r="1043" ht="15.75" customHeight="1" s="253"/>
    <row r="1044" ht="15.75" customHeight="1" s="253"/>
    <row r="1045" ht="15.75" customHeight="1" s="253"/>
    <row r="1046" ht="15.75" customHeight="1" s="253"/>
    <row r="1047" ht="15.75" customHeight="1" s="253"/>
    <row r="1048" ht="15.75" customHeight="1" s="253"/>
    <row r="1049" ht="15.75" customHeight="1" s="253"/>
    <row r="1050" ht="15.75" customHeight="1" s="253"/>
    <row r="1051" ht="15.75" customHeight="1" s="253"/>
    <row r="1052" ht="15.75" customHeight="1" s="253"/>
    <row r="1053" ht="15.75" customHeight="1" s="253"/>
    <row r="1054" ht="15.75" customHeight="1" s="253"/>
    <row r="1055" ht="15.75" customHeight="1" s="253"/>
    <row r="1056" ht="15.75" customHeight="1" s="253"/>
    <row r="1057" ht="15.75" customHeight="1" s="253"/>
    <row r="1058" ht="15.75" customHeight="1" s="253"/>
  </sheetData>
  <mergeCells count="14">
    <mergeCell ref="B92:C92"/>
    <mergeCell ref="B6:C6"/>
    <mergeCell ref="B125:C125"/>
    <mergeCell ref="B7:C7"/>
    <mergeCell ref="A1:G2"/>
    <mergeCell ref="B56:C56"/>
    <mergeCell ref="B22:C22"/>
    <mergeCell ref="B93:C93"/>
    <mergeCell ref="B9:C9"/>
    <mergeCell ref="B118:C118"/>
    <mergeCell ref="B8:C8"/>
    <mergeCell ref="B105:C105"/>
    <mergeCell ref="A3:O3"/>
    <mergeCell ref="B119:C119"/>
  </mergeCells>
  <pageMargins left="0.7" right="0.7" top="0.75" bottom="0.75" header="0" footer="0"/>
  <pageSetup orientation="landscape" paperSize="9" scale="4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2026-09-09T09:31:58Z</dcterms:created>
  <dcterms:modified xmlns:dcterms="http://purl.org/dc/terms/" xmlns:xsi="http://www.w3.org/2001/XMLSchema-instance" xsi:type="dcterms:W3CDTF">2026-09-09T09:32:09Z</dcterms:modified>
</cp:coreProperties>
</file>