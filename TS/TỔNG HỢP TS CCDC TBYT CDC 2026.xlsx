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 activeTab="10"/>
  </bookViews>
  <sheets>
    <sheet name="PKĐK" sheetId="18" r:id="rId1"/>
    <sheet name="XN" sheetId="19" r:id="rId2"/>
    <sheet name="KDYTQT" sheetId="20" r:id="rId3"/>
    <sheet name="DVTYT" sheetId="21" r:id="rId4"/>
    <sheet name="HIV" sheetId="22" r:id="rId5"/>
    <sheet name="PCBTN" sheetId="23" r:id="rId6"/>
    <sheet name="SKSS" sheetId="24" r:id="rId7"/>
    <sheet name="KSTCT" sheetId="25" r:id="rId8"/>
    <sheet name="BNN" sheetId="26" r:id="rId9"/>
    <sheet name="BKLN" sheetId="27" r:id="rId10"/>
    <sheet name="SKMTYTTH" sheetId="28" r:id="rId11"/>
    <sheet name="DINHDUONG" sheetId="29" r:id="rId12"/>
    <sheet name="TCHC" sheetId="30" r:id="rId13"/>
  </sheets>
  <definedNames>
    <definedName name="_2.XN" localSheetId="0">#REF!</definedName>
    <definedName name="_2.XN">#REF!</definedName>
    <definedName name="_Fill" localSheetId="9" hidden="1">#REF!</definedName>
    <definedName name="_Fill" localSheetId="8" hidden="1">#REF!</definedName>
    <definedName name="_Fill" localSheetId="11" hidden="1">#REF!</definedName>
    <definedName name="_Fill" localSheetId="3" hidden="1">#REF!</definedName>
    <definedName name="_Fill" localSheetId="4" hidden="1">#REF!</definedName>
    <definedName name="_Fill" localSheetId="2" hidden="1">#REF!</definedName>
    <definedName name="_Fill" localSheetId="7" hidden="1">#REF!</definedName>
    <definedName name="_Fill" localSheetId="5" hidden="1">#REF!</definedName>
    <definedName name="_Fill" localSheetId="0">#REF!</definedName>
    <definedName name="_Fill" localSheetId="10" hidden="1">#REF!</definedName>
    <definedName name="_Fill" localSheetId="6" hidden="1">#REF!</definedName>
    <definedName name="_Fill" localSheetId="12" hidden="1">#REF!</definedName>
    <definedName name="_Fill" localSheetId="1" hidden="1">#REF!</definedName>
    <definedName name="_Fill">#REF!</definedName>
    <definedName name="_xlnm._FilterDatabase" localSheetId="9" hidden="1">BKLN!$A$12:$N$18</definedName>
    <definedName name="_xlnm._FilterDatabase" localSheetId="11" hidden="1">DINHDUONG!$A$12:$O$28</definedName>
    <definedName name="_xlnm._FilterDatabase" localSheetId="4" hidden="1">HIV!$A$34:$N$43</definedName>
    <definedName name="_xlnm._FilterDatabase" localSheetId="2" hidden="1">KDYTQT!$A$12:$N$57</definedName>
    <definedName name="_xlnm._FilterDatabase" localSheetId="7" hidden="1">KSTCT!$A$11:$M$24</definedName>
    <definedName name="_xlnm._FilterDatabase" localSheetId="5" hidden="1">PCBTN!$A$12:$N$16</definedName>
    <definedName name="_xlnm._FilterDatabase" localSheetId="0" hidden="1">PKĐK!$A$12:$N$418</definedName>
    <definedName name="_xlnm._FilterDatabase" localSheetId="10" hidden="1">SKMTYTTH!$A$12:$N$19</definedName>
    <definedName name="_xlnm._FilterDatabase" localSheetId="6" hidden="1">SKSS!$A$12:$P$27</definedName>
    <definedName name="_xlnm._FilterDatabase" localSheetId="12" hidden="1">TCHC!$A$12:$P$19</definedName>
    <definedName name="_xlnm._FilterDatabase" localSheetId="1" hidden="1">XN!$A$12:$N$384</definedName>
    <definedName name="_xlnm.Print_Titles" localSheetId="9">BKLN!$12:$16</definedName>
    <definedName name="_xlnm.Print_Titles" localSheetId="11">DINHDUONG!$12:$16</definedName>
    <definedName name="_xlnm.Print_Titles" localSheetId="3">DVTYT!$11:$13</definedName>
    <definedName name="_xlnm.Print_Titles" localSheetId="4">HIV!$12:$16</definedName>
    <definedName name="_xlnm.Print_Titles" localSheetId="2">KDYTQT!$12:$14</definedName>
    <definedName name="_xlnm.Print_Titles" localSheetId="7">KSTCT!$11:$13</definedName>
    <definedName name="_xlnm.Print_Titles" localSheetId="5">PCBTN!$12:$16</definedName>
    <definedName name="_xlnm.Print_Titles" localSheetId="0">PKĐK!$12:$14</definedName>
    <definedName name="_xlnm.Print_Titles" localSheetId="10">SKMTYTTH!$12:$16</definedName>
    <definedName name="_xlnm.Print_Titles" localSheetId="6">SKSS!$12:$16</definedName>
    <definedName name="_xlnm.Print_Titles" localSheetId="12">TCHC!$12:$16</definedName>
    <definedName name="_xlnm.Print_Titles" localSheetId="1">XN!$12:$16</definedName>
    <definedName name="TaxTV">10%</definedName>
    <definedName name="TaxXL">5%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30" l="1"/>
  <c r="G23" i="30"/>
  <c r="G22" i="30"/>
  <c r="G21" i="30"/>
  <c r="G20" i="30"/>
  <c r="G19" i="30"/>
  <c r="G18" i="30"/>
  <c r="G17" i="30"/>
  <c r="G28" i="29" l="1"/>
  <c r="G26" i="29"/>
  <c r="G25" i="29"/>
  <c r="G24" i="29"/>
  <c r="G23" i="29"/>
  <c r="G22" i="29"/>
  <c r="G21" i="29"/>
  <c r="G20" i="29"/>
  <c r="G19" i="29"/>
  <c r="G18" i="29"/>
  <c r="G24" i="28"/>
  <c r="G23" i="28"/>
  <c r="G22" i="28"/>
  <c r="G21" i="28"/>
  <c r="I19" i="28"/>
  <c r="G19" i="28"/>
  <c r="G18" i="28"/>
  <c r="G17" i="28"/>
  <c r="G18" i="27"/>
  <c r="H17" i="27"/>
  <c r="G17" i="27"/>
  <c r="G64" i="26" l="1"/>
  <c r="G63" i="26"/>
  <c r="G62" i="26"/>
  <c r="I60" i="26"/>
  <c r="G60" i="26"/>
  <c r="I59" i="26"/>
  <c r="G59" i="26"/>
  <c r="I58" i="26"/>
  <c r="G58" i="26"/>
  <c r="I57" i="26"/>
  <c r="G57" i="26"/>
  <c r="I56" i="26"/>
  <c r="G56" i="26"/>
  <c r="I55" i="26"/>
  <c r="G55" i="26"/>
  <c r="I54" i="26"/>
  <c r="G54" i="26"/>
  <c r="I53" i="26"/>
  <c r="G53" i="26"/>
  <c r="I52" i="26"/>
  <c r="G52" i="26"/>
  <c r="I51" i="26"/>
  <c r="G51" i="26"/>
  <c r="I50" i="26"/>
  <c r="G50" i="26"/>
  <c r="I49" i="26"/>
  <c r="G49" i="26"/>
  <c r="I48" i="26"/>
  <c r="G48" i="26"/>
  <c r="I47" i="26"/>
  <c r="G47" i="26"/>
  <c r="I46" i="26"/>
  <c r="G46" i="26"/>
  <c r="I45" i="26"/>
  <c r="G45" i="26"/>
  <c r="I44" i="26"/>
  <c r="G44" i="26"/>
  <c r="I43" i="26"/>
  <c r="G43" i="26"/>
  <c r="I42" i="26"/>
  <c r="G42" i="26"/>
  <c r="I41" i="26"/>
  <c r="G41" i="26"/>
  <c r="I40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C22" i="25" l="1"/>
  <c r="C21" i="25"/>
  <c r="I19" i="25"/>
  <c r="H19" i="25"/>
  <c r="H18" i="25"/>
  <c r="H14" i="25"/>
  <c r="G27" i="24" l="1"/>
  <c r="G26" i="24"/>
  <c r="G25" i="24"/>
  <c r="G24" i="24"/>
  <c r="G23" i="24"/>
  <c r="G22" i="24"/>
  <c r="G21" i="24"/>
  <c r="G20" i="24"/>
  <c r="G18" i="24"/>
  <c r="G17" i="23" l="1"/>
  <c r="G60" i="22" l="1"/>
  <c r="G59" i="22"/>
  <c r="G58" i="22"/>
  <c r="G57" i="22"/>
  <c r="G56" i="22"/>
  <c r="G55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41" i="22"/>
  <c r="G40" i="22"/>
  <c r="G39" i="22"/>
  <c r="G38" i="22"/>
  <c r="G36" i="22"/>
  <c r="G35" i="22"/>
  <c r="G34" i="22"/>
  <c r="G33" i="22"/>
  <c r="G32" i="22"/>
  <c r="G31" i="22"/>
  <c r="G30" i="22"/>
  <c r="G29" i="22"/>
  <c r="G27" i="22"/>
  <c r="G26" i="22"/>
  <c r="G25" i="22"/>
  <c r="G24" i="22"/>
  <c r="G22" i="22"/>
  <c r="G21" i="22"/>
  <c r="G20" i="22"/>
  <c r="G19" i="22"/>
  <c r="G118" i="21" l="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100" i="21"/>
  <c r="G98" i="21"/>
  <c r="G97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2" i="21"/>
  <c r="G71" i="21"/>
  <c r="G70" i="21"/>
  <c r="G69" i="21"/>
  <c r="G67" i="21"/>
  <c r="G66" i="21"/>
  <c r="G65" i="21"/>
  <c r="G64" i="21"/>
  <c r="G63" i="21"/>
  <c r="G62" i="21"/>
  <c r="G61" i="21"/>
  <c r="G60" i="21"/>
  <c r="G59" i="21"/>
  <c r="G58" i="21"/>
  <c r="G55" i="21"/>
  <c r="G54" i="21"/>
  <c r="G53" i="21"/>
  <c r="G52" i="21"/>
  <c r="G51" i="21"/>
  <c r="G50" i="21"/>
  <c r="G49" i="21"/>
  <c r="G48" i="21"/>
  <c r="G47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57" i="20" l="1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H29" i="20"/>
  <c r="G29" i="20"/>
  <c r="G28" i="20"/>
  <c r="G26" i="20"/>
  <c r="G25" i="20"/>
  <c r="G24" i="20"/>
  <c r="H23" i="20"/>
  <c r="G23" i="20"/>
  <c r="H22" i="20"/>
  <c r="G22" i="20"/>
  <c r="G21" i="20"/>
  <c r="G20" i="20"/>
  <c r="G19" i="20"/>
  <c r="G18" i="20"/>
  <c r="G17" i="20"/>
  <c r="G16" i="20"/>
  <c r="G15" i="20"/>
  <c r="G620" i="19" l="1"/>
  <c r="I619" i="19"/>
  <c r="G619" i="19"/>
  <c r="G618" i="19"/>
  <c r="G617" i="19"/>
  <c r="G616" i="19"/>
  <c r="G615" i="19"/>
  <c r="G614" i="19"/>
  <c r="G613" i="19"/>
  <c r="G612" i="19"/>
  <c r="G611" i="19"/>
  <c r="G610" i="19"/>
  <c r="G609" i="19"/>
  <c r="G608" i="19"/>
  <c r="G607" i="19"/>
  <c r="G606" i="19"/>
  <c r="G605" i="19"/>
  <c r="G604" i="19"/>
  <c r="G603" i="19"/>
  <c r="G602" i="19"/>
  <c r="G601" i="19"/>
  <c r="G600" i="19"/>
  <c r="G599" i="19"/>
  <c r="G598" i="19"/>
  <c r="G597" i="19"/>
  <c r="G596" i="19"/>
  <c r="G595" i="19"/>
  <c r="G594" i="19"/>
  <c r="G593" i="19"/>
  <c r="G592" i="19"/>
  <c r="G591" i="19"/>
  <c r="G590" i="19"/>
  <c r="G589" i="19"/>
  <c r="G588" i="19"/>
  <c r="G587" i="19"/>
  <c r="G586" i="19"/>
  <c r="G585" i="19"/>
  <c r="G584" i="19"/>
  <c r="G583" i="19"/>
  <c r="G582" i="19"/>
  <c r="G581" i="19"/>
  <c r="G580" i="19"/>
  <c r="G579" i="19"/>
  <c r="G578" i="19"/>
  <c r="G576" i="19"/>
  <c r="G575" i="19"/>
  <c r="G574" i="19"/>
  <c r="G573" i="19"/>
  <c r="G572" i="19"/>
  <c r="G571" i="19"/>
  <c r="G570" i="19"/>
  <c r="G569" i="19"/>
  <c r="G568" i="19"/>
  <c r="G567" i="19"/>
  <c r="G566" i="19"/>
  <c r="G565" i="19"/>
  <c r="G564" i="19"/>
  <c r="G563" i="19"/>
  <c r="G562" i="19"/>
  <c r="G561" i="19"/>
  <c r="G560" i="19"/>
  <c r="G559" i="19"/>
  <c r="G558" i="19"/>
  <c r="G557" i="19"/>
  <c r="G556" i="19"/>
  <c r="G555" i="19"/>
  <c r="G554" i="19"/>
  <c r="G553" i="19"/>
  <c r="G552" i="19"/>
  <c r="G551" i="19"/>
  <c r="G550" i="19"/>
  <c r="G549" i="19"/>
  <c r="G548" i="19"/>
  <c r="G547" i="19"/>
  <c r="G546" i="19"/>
  <c r="G545" i="19"/>
  <c r="G544" i="19"/>
  <c r="G543" i="19"/>
  <c r="G542" i="19"/>
  <c r="G541" i="19"/>
  <c r="G540" i="19"/>
  <c r="G539" i="19"/>
  <c r="G538" i="19"/>
  <c r="G537" i="19"/>
  <c r="G536" i="19"/>
  <c r="G535" i="19"/>
  <c r="G534" i="19"/>
  <c r="G533" i="19"/>
  <c r="G532" i="19"/>
  <c r="G531" i="19"/>
  <c r="G530" i="19"/>
  <c r="G529" i="19"/>
  <c r="G528" i="19"/>
  <c r="G527" i="19"/>
  <c r="G526" i="19"/>
  <c r="G525" i="19"/>
  <c r="G524" i="19"/>
  <c r="G523" i="19"/>
  <c r="G522" i="19"/>
  <c r="G521" i="19"/>
  <c r="G520" i="19"/>
  <c r="G519" i="19"/>
  <c r="G518" i="19"/>
  <c r="G517" i="19"/>
  <c r="G515" i="19"/>
  <c r="G514" i="19"/>
  <c r="G513" i="19"/>
  <c r="G512" i="19"/>
  <c r="G511" i="19"/>
  <c r="G510" i="19"/>
  <c r="G509" i="19"/>
  <c r="G508" i="19"/>
  <c r="G507" i="19"/>
  <c r="G506" i="19"/>
  <c r="G505" i="19"/>
  <c r="G504" i="19"/>
  <c r="G503" i="19"/>
  <c r="G502" i="19"/>
  <c r="G501" i="19"/>
  <c r="G500" i="19"/>
  <c r="G499" i="19"/>
  <c r="G498" i="19"/>
  <c r="G497" i="19"/>
  <c r="G496" i="19"/>
  <c r="G495" i="19"/>
  <c r="G494" i="19"/>
  <c r="G493" i="19"/>
  <c r="G492" i="19"/>
  <c r="G491" i="19"/>
  <c r="G490" i="19"/>
  <c r="G489" i="19"/>
  <c r="G488" i="19"/>
  <c r="G487" i="19"/>
  <c r="G486" i="19"/>
  <c r="G485" i="19"/>
  <c r="G484" i="19"/>
  <c r="G483" i="19"/>
  <c r="G482" i="19"/>
  <c r="G481" i="19"/>
  <c r="G480" i="19"/>
  <c r="G479" i="19"/>
  <c r="G478" i="19"/>
  <c r="G477" i="19"/>
  <c r="G476" i="19"/>
  <c r="G475" i="19"/>
  <c r="G474" i="19"/>
  <c r="G473" i="19"/>
  <c r="G472" i="19"/>
  <c r="G471" i="19"/>
  <c r="G470" i="19"/>
  <c r="G469" i="19"/>
  <c r="G468" i="19"/>
  <c r="G467" i="19"/>
  <c r="G466" i="19"/>
  <c r="G465" i="19"/>
  <c r="G464" i="19"/>
  <c r="G463" i="19"/>
  <c r="G462" i="19"/>
  <c r="G461" i="19"/>
  <c r="G460" i="19"/>
  <c r="G459" i="19"/>
  <c r="G458" i="19"/>
  <c r="G457" i="19"/>
  <c r="G456" i="19"/>
  <c r="G455" i="19"/>
  <c r="G454" i="19"/>
  <c r="G453" i="19"/>
  <c r="G452" i="19"/>
  <c r="G451" i="19"/>
  <c r="G450" i="19"/>
  <c r="G448" i="19"/>
  <c r="G447" i="19"/>
  <c r="G446" i="19"/>
  <c r="G445" i="19"/>
  <c r="G444" i="19"/>
  <c r="G443" i="19"/>
  <c r="G442" i="19"/>
  <c r="G441" i="19"/>
  <c r="G440" i="19"/>
  <c r="G439" i="19"/>
  <c r="G438" i="19"/>
  <c r="G437" i="19"/>
  <c r="G436" i="19"/>
  <c r="G435" i="19"/>
  <c r="G434" i="19"/>
  <c r="G433" i="19"/>
  <c r="G432" i="19"/>
  <c r="G431" i="19"/>
  <c r="G430" i="19"/>
  <c r="G429" i="19"/>
  <c r="G428" i="19"/>
  <c r="G427" i="19"/>
  <c r="G426" i="19"/>
  <c r="G425" i="19"/>
  <c r="G424" i="19"/>
  <c r="G423" i="19"/>
  <c r="G422" i="19"/>
  <c r="G421" i="19"/>
  <c r="G420" i="19"/>
  <c r="G419" i="19"/>
  <c r="G418" i="19"/>
  <c r="G417" i="19"/>
  <c r="G416" i="19"/>
  <c r="G415" i="19"/>
  <c r="G414" i="19"/>
  <c r="G413" i="19"/>
  <c r="G412" i="19"/>
  <c r="G411" i="19"/>
  <c r="G410" i="19"/>
  <c r="G409" i="19"/>
  <c r="G408" i="19"/>
  <c r="G407" i="19"/>
  <c r="G406" i="19"/>
  <c r="G405" i="19"/>
  <c r="G404" i="19"/>
  <c r="G403" i="19"/>
  <c r="G402" i="19"/>
  <c r="G401" i="19"/>
  <c r="G400" i="19"/>
  <c r="G399" i="19"/>
  <c r="G398" i="19"/>
  <c r="G397" i="19"/>
  <c r="G396" i="19"/>
  <c r="G395" i="19"/>
  <c r="G394" i="19"/>
  <c r="G393" i="19"/>
  <c r="G392" i="19"/>
  <c r="G391" i="19"/>
  <c r="G390" i="19"/>
  <c r="G389" i="19"/>
  <c r="G388" i="19"/>
  <c r="G387" i="19"/>
  <c r="G386" i="19"/>
  <c r="G384" i="19"/>
  <c r="G383" i="19"/>
  <c r="G382" i="19"/>
  <c r="G381" i="19"/>
  <c r="G380" i="19"/>
  <c r="G379" i="19"/>
  <c r="G378" i="19"/>
  <c r="G377" i="19"/>
  <c r="G376" i="19"/>
  <c r="G375" i="19"/>
  <c r="G373" i="19"/>
  <c r="G372" i="19"/>
  <c r="G370" i="19"/>
  <c r="G369" i="19"/>
  <c r="G368" i="19"/>
  <c r="G367" i="19"/>
  <c r="G366" i="19"/>
  <c r="G365" i="19"/>
  <c r="G364" i="19"/>
  <c r="G363" i="19"/>
  <c r="G362" i="19"/>
  <c r="G361" i="19"/>
  <c r="G359" i="19"/>
  <c r="G358" i="19"/>
  <c r="G357" i="19"/>
  <c r="G356" i="19"/>
  <c r="I355" i="19"/>
  <c r="H355" i="19"/>
  <c r="G355" i="19"/>
  <c r="G354" i="19"/>
  <c r="G353" i="19"/>
  <c r="G352" i="19"/>
  <c r="G351" i="19"/>
  <c r="I349" i="19"/>
  <c r="H349" i="19"/>
  <c r="G349" i="19"/>
  <c r="G348" i="19"/>
  <c r="G347" i="19"/>
  <c r="G346" i="19"/>
  <c r="G345" i="19"/>
  <c r="G344" i="19"/>
  <c r="G343" i="19"/>
  <c r="G342" i="19"/>
  <c r="G341" i="19"/>
  <c r="G340" i="19"/>
  <c r="G339" i="19"/>
  <c r="G338" i="19"/>
  <c r="G337" i="19"/>
  <c r="G336" i="19"/>
  <c r="G335" i="19"/>
  <c r="G334" i="19"/>
  <c r="G333" i="19"/>
  <c r="G332" i="19"/>
  <c r="G330" i="19"/>
  <c r="G328" i="19"/>
  <c r="G327" i="19"/>
  <c r="G326" i="19"/>
  <c r="G325" i="19"/>
  <c r="G324" i="19"/>
  <c r="G323" i="19"/>
  <c r="G321" i="19"/>
  <c r="G320" i="19"/>
  <c r="G319" i="19"/>
  <c r="G318" i="19"/>
  <c r="G317" i="19"/>
  <c r="G316" i="19"/>
  <c r="G314" i="19"/>
  <c r="G313" i="19"/>
  <c r="G312" i="19"/>
  <c r="G311" i="19"/>
  <c r="G310" i="19"/>
  <c r="G309" i="19"/>
  <c r="G308" i="19"/>
  <c r="G307" i="19"/>
  <c r="G306" i="19"/>
  <c r="G305" i="19"/>
  <c r="G304" i="19"/>
  <c r="G303" i="19"/>
  <c r="G302" i="19"/>
  <c r="G301" i="19"/>
  <c r="G300" i="19"/>
  <c r="G299" i="19"/>
  <c r="G298" i="19"/>
  <c r="G297" i="19"/>
  <c r="G295" i="19"/>
  <c r="G294" i="19"/>
  <c r="I293" i="19"/>
  <c r="H293" i="19"/>
  <c r="G293" i="19"/>
  <c r="G292" i="19"/>
  <c r="G291" i="19"/>
  <c r="G290" i="19"/>
  <c r="G289" i="19"/>
  <c r="G288" i="19"/>
  <c r="G287" i="19"/>
  <c r="G286" i="19"/>
  <c r="G285" i="19"/>
  <c r="G284" i="19"/>
  <c r="G283" i="19"/>
  <c r="G282" i="19"/>
  <c r="G281" i="19"/>
  <c r="G280" i="19"/>
  <c r="G279" i="19"/>
  <c r="G278" i="19"/>
  <c r="G277" i="19"/>
  <c r="G276" i="19"/>
  <c r="G275" i="19"/>
  <c r="G274" i="19"/>
  <c r="G272" i="19"/>
  <c r="G271" i="19"/>
  <c r="G270" i="19"/>
  <c r="G269" i="19"/>
  <c r="G268" i="19"/>
  <c r="G267" i="19"/>
  <c r="G266" i="19"/>
  <c r="G265" i="19"/>
  <c r="I263" i="19"/>
  <c r="H263" i="19"/>
  <c r="G263" i="19"/>
  <c r="G262" i="19"/>
  <c r="G261" i="19"/>
  <c r="G260" i="19"/>
  <c r="G259" i="19"/>
  <c r="G258" i="19"/>
  <c r="G257" i="19"/>
  <c r="G256" i="19"/>
  <c r="G255" i="19"/>
  <c r="G254" i="19"/>
  <c r="G253" i="19"/>
  <c r="G252" i="19"/>
  <c r="G251" i="19"/>
  <c r="H250" i="19"/>
  <c r="G250" i="19"/>
  <c r="G249" i="19"/>
  <c r="G248" i="19"/>
  <c r="G247" i="19"/>
  <c r="G246" i="19"/>
  <c r="G245" i="19"/>
  <c r="G244" i="19"/>
  <c r="H243" i="19"/>
  <c r="G243" i="19"/>
  <c r="G242" i="19"/>
  <c r="H241" i="19"/>
  <c r="G241" i="19"/>
  <c r="H240" i="19"/>
  <c r="G240" i="19"/>
  <c r="G239" i="19"/>
  <c r="G238" i="19"/>
  <c r="G237" i="19"/>
  <c r="G236" i="19"/>
  <c r="G235" i="19"/>
  <c r="G234" i="19"/>
  <c r="G233" i="19"/>
  <c r="G232" i="19"/>
  <c r="G231" i="19"/>
  <c r="G230" i="19"/>
  <c r="G229" i="19"/>
  <c r="G228" i="19"/>
  <c r="G227" i="19"/>
  <c r="G226" i="19"/>
  <c r="G225" i="19"/>
  <c r="G224" i="19"/>
  <c r="G223" i="19"/>
  <c r="G222" i="19"/>
  <c r="G221" i="19"/>
  <c r="G220" i="19"/>
  <c r="G219" i="19"/>
  <c r="G218" i="19"/>
  <c r="G217" i="19"/>
  <c r="G216" i="19"/>
  <c r="G215" i="19"/>
  <c r="G214" i="19"/>
  <c r="G213" i="19"/>
  <c r="G212" i="19"/>
  <c r="G211" i="19"/>
  <c r="G210" i="19"/>
  <c r="G209" i="19"/>
  <c r="G208" i="19"/>
  <c r="G207" i="19"/>
  <c r="G206" i="19"/>
  <c r="G205" i="19"/>
  <c r="G203" i="19"/>
  <c r="G202" i="19"/>
  <c r="G201" i="19"/>
  <c r="I200" i="19"/>
  <c r="H200" i="19"/>
  <c r="G200" i="19"/>
  <c r="G199" i="19"/>
  <c r="G198" i="19"/>
  <c r="G196" i="19"/>
  <c r="H195" i="19"/>
  <c r="G195" i="19"/>
  <c r="I194" i="19"/>
  <c r="H194" i="19"/>
  <c r="G194" i="19"/>
  <c r="G193" i="19"/>
  <c r="G192" i="19"/>
  <c r="G191" i="19"/>
  <c r="G190" i="19"/>
  <c r="G189" i="19"/>
  <c r="G188" i="19"/>
  <c r="G187" i="19"/>
  <c r="G186" i="19"/>
  <c r="G185" i="19"/>
  <c r="G184" i="19"/>
  <c r="G183" i="19"/>
  <c r="G182" i="19"/>
  <c r="G181" i="19"/>
  <c r="G180" i="19"/>
  <c r="G179" i="19"/>
  <c r="G178" i="19"/>
  <c r="G177" i="19"/>
  <c r="G176" i="19"/>
  <c r="G175" i="19"/>
  <c r="G174" i="19"/>
  <c r="G173" i="19"/>
  <c r="G172" i="19"/>
  <c r="G171" i="19"/>
  <c r="G170" i="19"/>
  <c r="G169" i="19"/>
  <c r="G168" i="19"/>
  <c r="G167" i="19"/>
  <c r="G166" i="19"/>
  <c r="G165" i="19"/>
  <c r="G164" i="19"/>
  <c r="G163" i="19"/>
  <c r="G162" i="19"/>
  <c r="G161" i="19"/>
  <c r="G160" i="19"/>
  <c r="G159" i="19"/>
  <c r="G158" i="19"/>
  <c r="G157" i="19"/>
  <c r="G156" i="19"/>
  <c r="G155" i="19"/>
  <c r="G154" i="19"/>
  <c r="G153" i="19"/>
  <c r="G151" i="19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7" i="19"/>
  <c r="G136" i="19"/>
  <c r="G135" i="19"/>
  <c r="G134" i="19"/>
  <c r="G132" i="19"/>
  <c r="G131" i="19"/>
  <c r="G130" i="19"/>
  <c r="I129" i="19"/>
  <c r="H129" i="19"/>
  <c r="G129" i="19"/>
  <c r="G128" i="19"/>
  <c r="G127" i="19"/>
  <c r="G126" i="19"/>
  <c r="G125" i="19"/>
  <c r="G124" i="19"/>
  <c r="G123" i="19"/>
  <c r="G122" i="19"/>
  <c r="G121" i="19"/>
  <c r="G120" i="19"/>
  <c r="G119" i="19"/>
  <c r="G118" i="19"/>
  <c r="G117" i="19"/>
  <c r="G116" i="19"/>
  <c r="G115" i="19"/>
  <c r="G114" i="19"/>
  <c r="G113" i="19"/>
  <c r="G112" i="19"/>
  <c r="G111" i="19"/>
  <c r="G110" i="19"/>
  <c r="G109" i="19"/>
  <c r="I108" i="19"/>
  <c r="G108" i="19"/>
  <c r="G107" i="19"/>
  <c r="G106" i="19"/>
  <c r="G105" i="19"/>
  <c r="G104" i="19"/>
  <c r="G103" i="19"/>
  <c r="G102" i="19"/>
  <c r="G101" i="19"/>
  <c r="G100" i="19"/>
  <c r="G99" i="19"/>
  <c r="G98" i="19"/>
  <c r="G97" i="19"/>
  <c r="G96" i="19"/>
  <c r="G95" i="19"/>
  <c r="G94" i="19"/>
  <c r="G93" i="19"/>
  <c r="G92" i="19"/>
  <c r="G91" i="19"/>
  <c r="G90" i="19"/>
  <c r="G89" i="19"/>
  <c r="G88" i="19"/>
  <c r="G87" i="19"/>
  <c r="G86" i="19"/>
  <c r="G85" i="19"/>
  <c r="G84" i="19"/>
  <c r="G83" i="19"/>
  <c r="G82" i="19"/>
  <c r="G81" i="19"/>
  <c r="G80" i="19"/>
  <c r="G79" i="19"/>
  <c r="G78" i="19"/>
  <c r="G77" i="19"/>
  <c r="G76" i="19"/>
  <c r="G75" i="19"/>
  <c r="G74" i="19"/>
  <c r="G73" i="19"/>
  <c r="G72" i="19"/>
  <c r="G71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I56" i="19"/>
  <c r="H56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I38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18" i="19"/>
  <c r="G523" i="18" l="1"/>
  <c r="G522" i="18"/>
  <c r="G521" i="18"/>
  <c r="G520" i="18"/>
  <c r="G519" i="18"/>
  <c r="G518" i="18"/>
  <c r="G517" i="18"/>
  <c r="G516" i="18"/>
  <c r="G515" i="18"/>
  <c r="G514" i="18"/>
  <c r="G513" i="18"/>
  <c r="G512" i="18"/>
  <c r="G511" i="18"/>
  <c r="G510" i="18"/>
  <c r="G509" i="18"/>
  <c r="G508" i="18"/>
  <c r="G507" i="18"/>
  <c r="G506" i="18"/>
  <c r="G505" i="18"/>
  <c r="G504" i="18"/>
  <c r="G503" i="18"/>
  <c r="G502" i="18"/>
  <c r="G501" i="18"/>
  <c r="G500" i="18"/>
  <c r="G499" i="18"/>
  <c r="G498" i="18"/>
  <c r="G497" i="18"/>
  <c r="G496" i="18"/>
  <c r="G495" i="18"/>
  <c r="G494" i="18"/>
  <c r="G493" i="18"/>
  <c r="G492" i="18"/>
  <c r="G491" i="18"/>
  <c r="G490" i="18"/>
  <c r="G489" i="18"/>
  <c r="G488" i="18"/>
  <c r="G487" i="18"/>
  <c r="G486" i="18"/>
  <c r="G485" i="18"/>
  <c r="G484" i="18"/>
  <c r="G483" i="18"/>
  <c r="G482" i="18"/>
  <c r="G481" i="18"/>
  <c r="G480" i="18"/>
  <c r="G479" i="18"/>
  <c r="G478" i="18"/>
  <c r="G477" i="18"/>
  <c r="G476" i="18"/>
  <c r="G475" i="18"/>
  <c r="G474" i="18"/>
  <c r="G473" i="18"/>
  <c r="G472" i="18"/>
  <c r="G471" i="18"/>
  <c r="G470" i="18"/>
  <c r="G469" i="18"/>
  <c r="G468" i="18"/>
  <c r="G467" i="18"/>
  <c r="G466" i="18"/>
  <c r="G465" i="18"/>
  <c r="G464" i="18"/>
  <c r="G463" i="18"/>
  <c r="G462" i="18"/>
  <c r="G461" i="18"/>
  <c r="G460" i="18"/>
  <c r="G459" i="18"/>
  <c r="G458" i="18"/>
  <c r="G457" i="18"/>
  <c r="G456" i="18"/>
  <c r="G455" i="18"/>
  <c r="G454" i="18"/>
  <c r="G453" i="18"/>
  <c r="G452" i="18"/>
  <c r="G451" i="18"/>
  <c r="G450" i="18"/>
  <c r="G449" i="18"/>
  <c r="G448" i="18"/>
  <c r="G447" i="18"/>
  <c r="G446" i="18"/>
  <c r="G445" i="18"/>
  <c r="G444" i="18"/>
  <c r="G442" i="18"/>
  <c r="G441" i="18"/>
  <c r="G440" i="18"/>
  <c r="G439" i="18"/>
  <c r="G438" i="18"/>
  <c r="G437" i="18"/>
  <c r="G436" i="18"/>
  <c r="G435" i="18"/>
  <c r="G434" i="18"/>
  <c r="G433" i="18"/>
  <c r="G432" i="18"/>
  <c r="G431" i="18"/>
  <c r="G430" i="18"/>
  <c r="G429" i="18"/>
  <c r="G428" i="18"/>
  <c r="G427" i="18"/>
  <c r="G426" i="18"/>
  <c r="G425" i="18"/>
  <c r="G424" i="18"/>
  <c r="G423" i="18"/>
  <c r="G422" i="18"/>
  <c r="G421" i="18"/>
  <c r="G420" i="18"/>
  <c r="G418" i="18"/>
  <c r="G417" i="18"/>
  <c r="G415" i="18"/>
  <c r="G414" i="18"/>
  <c r="G413" i="18"/>
  <c r="G411" i="18"/>
  <c r="G410" i="18"/>
  <c r="G409" i="18"/>
  <c r="G408" i="18"/>
  <c r="G407" i="18"/>
  <c r="G406" i="18"/>
  <c r="G405" i="18"/>
  <c r="G404" i="18"/>
  <c r="G403" i="18"/>
  <c r="G402" i="18"/>
  <c r="G401" i="18"/>
  <c r="G400" i="18"/>
  <c r="G399" i="18"/>
  <c r="G398" i="18"/>
  <c r="G397" i="18"/>
  <c r="G396" i="18"/>
  <c r="G395" i="18"/>
  <c r="G394" i="18"/>
  <c r="G393" i="18"/>
  <c r="G392" i="18"/>
  <c r="G391" i="18"/>
  <c r="G390" i="18"/>
  <c r="G388" i="18"/>
  <c r="I387" i="18"/>
  <c r="H387" i="18"/>
  <c r="I386" i="18"/>
  <c r="H386" i="18"/>
  <c r="G386" i="18"/>
  <c r="G385" i="18"/>
  <c r="G384" i="18"/>
  <c r="G381" i="18"/>
  <c r="G380" i="18"/>
  <c r="G378" i="18"/>
  <c r="G377" i="18"/>
  <c r="G376" i="18"/>
  <c r="G375" i="18"/>
  <c r="G374" i="18"/>
  <c r="G373" i="18"/>
  <c r="G372" i="18"/>
  <c r="G371" i="18"/>
  <c r="G370" i="18"/>
  <c r="G369" i="18"/>
  <c r="G368" i="18"/>
  <c r="G366" i="18"/>
  <c r="G365" i="18"/>
  <c r="G363" i="18"/>
  <c r="G362" i="18"/>
  <c r="G361" i="18"/>
  <c r="G360" i="18"/>
  <c r="G358" i="18"/>
  <c r="G357" i="18"/>
  <c r="G356" i="18"/>
  <c r="G355" i="18"/>
  <c r="G354" i="18"/>
  <c r="G352" i="18"/>
  <c r="G351" i="18"/>
  <c r="G350" i="18"/>
  <c r="G349" i="18"/>
  <c r="G348" i="18"/>
  <c r="G347" i="18"/>
  <c r="G345" i="18"/>
  <c r="G344" i="18"/>
  <c r="G343" i="18"/>
  <c r="G342" i="18"/>
  <c r="G341" i="18"/>
  <c r="G340" i="18"/>
  <c r="G339" i="18"/>
  <c r="G338" i="18"/>
  <c r="G337" i="18"/>
  <c r="G336" i="18"/>
  <c r="G335" i="18"/>
  <c r="G333" i="18"/>
  <c r="G332" i="18"/>
  <c r="G330" i="18"/>
  <c r="G329" i="18"/>
  <c r="G328" i="18"/>
  <c r="G327" i="18"/>
  <c r="G326" i="18"/>
  <c r="G325" i="18"/>
  <c r="G324" i="18"/>
  <c r="G323" i="18"/>
  <c r="G321" i="18"/>
  <c r="G320" i="18"/>
  <c r="G319" i="18"/>
  <c r="G318" i="18"/>
  <c r="G317" i="18"/>
  <c r="G316" i="18"/>
  <c r="G315" i="18"/>
  <c r="G314" i="18"/>
  <c r="G313" i="18"/>
  <c r="G312" i="18"/>
  <c r="G311" i="18"/>
  <c r="G310" i="18"/>
  <c r="G309" i="18"/>
  <c r="G308" i="18"/>
  <c r="G307" i="18"/>
  <c r="G306" i="18"/>
  <c r="G305" i="18"/>
  <c r="G304" i="18"/>
  <c r="G303" i="18"/>
  <c r="G302" i="18"/>
  <c r="G301" i="18"/>
  <c r="G300" i="18"/>
  <c r="G299" i="18"/>
  <c r="G298" i="18"/>
  <c r="G297" i="18"/>
  <c r="G296" i="18"/>
  <c r="G295" i="18"/>
  <c r="G294" i="18"/>
  <c r="G293" i="18"/>
  <c r="G292" i="18"/>
  <c r="G291" i="18"/>
  <c r="G290" i="18"/>
  <c r="G289" i="18"/>
  <c r="G288" i="18"/>
  <c r="G287" i="18"/>
  <c r="G286" i="18"/>
  <c r="G285" i="18"/>
  <c r="G284" i="18"/>
  <c r="G283" i="18"/>
  <c r="G282" i="18"/>
  <c r="G281" i="18"/>
  <c r="G280" i="18"/>
  <c r="G279" i="18"/>
  <c r="G278" i="18"/>
  <c r="G277" i="18"/>
  <c r="G276" i="18"/>
  <c r="G275" i="18"/>
  <c r="G274" i="18"/>
  <c r="G273" i="18"/>
  <c r="G272" i="18"/>
  <c r="G271" i="18"/>
  <c r="G270" i="18"/>
  <c r="G269" i="18"/>
  <c r="G268" i="18"/>
  <c r="G267" i="18"/>
  <c r="G266" i="18"/>
  <c r="G265" i="18"/>
  <c r="G264" i="18"/>
  <c r="G263" i="18"/>
  <c r="G262" i="18"/>
  <c r="G261" i="18"/>
  <c r="G260" i="18"/>
  <c r="G259" i="18"/>
  <c r="G258" i="18"/>
  <c r="G257" i="18"/>
  <c r="G256" i="18"/>
  <c r="G255" i="18"/>
  <c r="G254" i="18"/>
  <c r="G253" i="18"/>
  <c r="G252" i="18"/>
  <c r="G251" i="18"/>
  <c r="G250" i="18"/>
  <c r="G249" i="18"/>
  <c r="G248" i="18"/>
  <c r="G247" i="18"/>
  <c r="G246" i="18"/>
  <c r="G245" i="18"/>
  <c r="G244" i="18"/>
  <c r="G243" i="18"/>
  <c r="G241" i="18"/>
  <c r="G240" i="18"/>
  <c r="G239" i="18"/>
  <c r="G238" i="18"/>
  <c r="G237" i="18"/>
  <c r="G235" i="18"/>
  <c r="G234" i="18"/>
  <c r="G233" i="18"/>
  <c r="G232" i="18"/>
  <c r="G231" i="18"/>
  <c r="G230" i="18"/>
  <c r="G229" i="18"/>
  <c r="G227" i="18"/>
  <c r="G226" i="18"/>
  <c r="G225" i="18"/>
  <c r="G224" i="18"/>
  <c r="G223" i="18"/>
  <c r="G222" i="18"/>
  <c r="G220" i="18"/>
  <c r="G219" i="18"/>
  <c r="G218" i="18"/>
  <c r="G217" i="18"/>
  <c r="G216" i="18"/>
  <c r="G215" i="18"/>
  <c r="G214" i="18"/>
  <c r="G213" i="18"/>
  <c r="G212" i="18"/>
  <c r="G211" i="18"/>
  <c r="G209" i="18"/>
  <c r="G208" i="18"/>
  <c r="G207" i="18"/>
  <c r="G206" i="18"/>
  <c r="G205" i="18"/>
  <c r="G204" i="18"/>
  <c r="G203" i="18"/>
  <c r="G202" i="18"/>
  <c r="G201" i="18"/>
  <c r="G200" i="18"/>
  <c r="G199" i="18"/>
  <c r="G198" i="18"/>
  <c r="G197" i="18"/>
  <c r="G196" i="18"/>
  <c r="G195" i="18"/>
  <c r="G194" i="18"/>
  <c r="G193" i="18"/>
  <c r="G192" i="18"/>
  <c r="G191" i="18"/>
  <c r="G190" i="18"/>
  <c r="G189" i="18"/>
  <c r="G188" i="18"/>
  <c r="G187" i="18"/>
  <c r="G186" i="18"/>
  <c r="G185" i="18"/>
  <c r="G184" i="18"/>
  <c r="G182" i="18"/>
  <c r="G181" i="18"/>
  <c r="G180" i="18"/>
  <c r="G179" i="18"/>
  <c r="G178" i="18"/>
  <c r="G177" i="18"/>
  <c r="G176" i="18"/>
  <c r="G175" i="18"/>
  <c r="G174" i="18"/>
  <c r="G172" i="18"/>
  <c r="G171" i="18"/>
  <c r="G170" i="18"/>
  <c r="G169" i="18"/>
  <c r="G167" i="18"/>
  <c r="G166" i="18"/>
  <c r="G164" i="18"/>
  <c r="G162" i="18"/>
  <c r="G161" i="18"/>
  <c r="G160" i="18"/>
  <c r="G159" i="18"/>
  <c r="G158" i="18"/>
  <c r="G157" i="18"/>
  <c r="G155" i="18"/>
  <c r="G154" i="18"/>
  <c r="G153" i="18"/>
  <c r="G152" i="18"/>
  <c r="G151" i="18"/>
  <c r="G149" i="18"/>
  <c r="G148" i="18"/>
  <c r="G147" i="18"/>
  <c r="G146" i="18"/>
  <c r="G145" i="18"/>
  <c r="G143" i="18"/>
  <c r="G141" i="18"/>
  <c r="G140" i="18"/>
  <c r="G138" i="18"/>
  <c r="G136" i="18"/>
  <c r="G134" i="18"/>
  <c r="G133" i="18"/>
  <c r="G132" i="18"/>
  <c r="G131" i="18"/>
  <c r="G130" i="18"/>
  <c r="G129" i="18"/>
  <c r="G128" i="18"/>
  <c r="G127" i="18"/>
  <c r="G126" i="18"/>
  <c r="G125" i="18"/>
  <c r="G123" i="18"/>
  <c r="G122" i="18"/>
  <c r="G121" i="18"/>
  <c r="G119" i="18"/>
  <c r="G118" i="18"/>
  <c r="G117" i="18"/>
  <c r="G116" i="18"/>
  <c r="G115" i="18"/>
  <c r="G113" i="18"/>
  <c r="G112" i="18"/>
  <c r="G111" i="18"/>
  <c r="G110" i="18"/>
  <c r="G109" i="18"/>
  <c r="G107" i="18"/>
  <c r="G106" i="18"/>
  <c r="G105" i="18"/>
  <c r="G104" i="18"/>
  <c r="G103" i="18"/>
  <c r="G101" i="18"/>
  <c r="G100" i="18"/>
  <c r="G99" i="18"/>
  <c r="G98" i="18"/>
  <c r="G96" i="18"/>
  <c r="G95" i="18"/>
  <c r="G94" i="18"/>
  <c r="G93" i="18"/>
  <c r="G91" i="18"/>
  <c r="G90" i="18"/>
  <c r="G89" i="18"/>
  <c r="G87" i="18"/>
  <c r="G86" i="18"/>
  <c r="G85" i="18"/>
  <c r="G84" i="18"/>
  <c r="G82" i="18"/>
  <c r="G81" i="18"/>
  <c r="G80" i="18"/>
  <c r="G79" i="18"/>
  <c r="G78" i="18"/>
  <c r="G77" i="18"/>
  <c r="G76" i="18"/>
  <c r="G75" i="18"/>
  <c r="G73" i="18"/>
  <c r="G72" i="18"/>
  <c r="G71" i="18"/>
  <c r="G69" i="18"/>
  <c r="G67" i="18"/>
  <c r="G66" i="18"/>
  <c r="G65" i="18"/>
  <c r="G64" i="18"/>
  <c r="G63" i="18"/>
  <c r="G62" i="18"/>
  <c r="G61" i="18"/>
  <c r="G59" i="18"/>
  <c r="G57" i="18"/>
  <c r="G55" i="18"/>
  <c r="G54" i="18"/>
  <c r="G51" i="18"/>
  <c r="G49" i="18"/>
  <c r="G48" i="18"/>
  <c r="G46" i="18"/>
  <c r="G45" i="18"/>
  <c r="G44" i="18"/>
  <c r="G42" i="18"/>
  <c r="G40" i="18"/>
  <c r="G39" i="18"/>
  <c r="G38" i="18"/>
  <c r="G37" i="18"/>
  <c r="G36" i="18"/>
  <c r="G34" i="18"/>
  <c r="G33" i="18"/>
  <c r="G32" i="18"/>
  <c r="G31" i="18"/>
  <c r="G30" i="18"/>
  <c r="G29" i="18"/>
  <c r="G27" i="18"/>
  <c r="G26" i="18"/>
  <c r="G25" i="18"/>
  <c r="G24" i="18"/>
  <c r="G23" i="18"/>
  <c r="G22" i="18"/>
  <c r="G21" i="18"/>
  <c r="G20" i="18"/>
  <c r="G19" i="18"/>
  <c r="G18" i="18"/>
</calcChain>
</file>

<file path=xl/sharedStrings.xml><?xml version="1.0" encoding="utf-8"?>
<sst xmlns="http://schemas.openxmlformats.org/spreadsheetml/2006/main" count="8276" uniqueCount="2814">
  <si>
    <t>STT</t>
  </si>
  <si>
    <t>Tài sản</t>
  </si>
  <si>
    <t>Mã số</t>
  </si>
  <si>
    <t>Năm đưa vào sử dụng</t>
  </si>
  <si>
    <t>Theo sổ sách</t>
  </si>
  <si>
    <t>Theo thực tế</t>
  </si>
  <si>
    <t>Chênh lệch</t>
  </si>
  <si>
    <t>Đơn giá</t>
  </si>
  <si>
    <t>Thành tiền</t>
  </si>
  <si>
    <t>Bộ phận quản lý</t>
  </si>
  <si>
    <t>Nơi sử dụng hoặc người sử dụng</t>
  </si>
  <si>
    <t>Tình trạng sử dụng</t>
  </si>
  <si>
    <t>Nơi tài sản mới chuyển đến</t>
  </si>
  <si>
    <t>Ghi chú</t>
  </si>
  <si>
    <t>Số lượng</t>
  </si>
  <si>
    <t>A</t>
  </si>
  <si>
    <t>B</t>
  </si>
  <si>
    <t>C</t>
  </si>
  <si>
    <t>D</t>
  </si>
  <si>
    <t>SKSS</t>
  </si>
  <si>
    <t>Phòng khám đa khoa</t>
  </si>
  <si>
    <t>P. Tư vấn</t>
  </si>
  <si>
    <t>Nhiệt kế điện tử cầm tay</t>
  </si>
  <si>
    <t>TSPK362</t>
  </si>
  <si>
    <t xml:space="preserve">Đang sử dụng </t>
  </si>
  <si>
    <t xml:space="preserve">TC-HC </t>
  </si>
  <si>
    <t xml:space="preserve"> TS TCHC bàn giao 27/3/2024</t>
  </si>
  <si>
    <t>Nhiệt kế điện tử hồng ngoại FR1MF1
Microlife</t>
  </si>
  <si>
    <t>TSPK363</t>
  </si>
  <si>
    <t>Mua mới 2024</t>
  </si>
  <si>
    <t>TSPK364</t>
  </si>
  <si>
    <t>Máy đo huyết áp + Ống nghe</t>
  </si>
  <si>
    <t>TSPK365</t>
  </si>
  <si>
    <t xml:space="preserve">Khoa HIV </t>
  </si>
  <si>
    <t>Khoa HIV bàn giao qua năm 2024</t>
  </si>
  <si>
    <t>TSPK366</t>
  </si>
  <si>
    <t>Máy đo Huyết áp Omron hem 8712
Hãng SX: OMRON
Nước SX: Việt Nam</t>
  </si>
  <si>
    <t>TSPK392</t>
  </si>
  <si>
    <t>Mua mới năm 2025</t>
  </si>
  <si>
    <t>Vòng bít máy đo huyết áp
Hãng SX: OMRON
Nước SX: Việt Nam</t>
  </si>
  <si>
    <t>TSPK393</t>
  </si>
  <si>
    <t>Nhiệt kế hồng ngoại đo trán Microlife FR1MF1
Hãng SX: Microlife
Nước SX: Trung Quốc</t>
  </si>
  <si>
    <t>TSPK394</t>
  </si>
  <si>
    <t>Cân sức khoẻ</t>
  </si>
  <si>
    <t>TSPK008</t>
  </si>
  <si>
    <t>P. Tiêm-DV</t>
  </si>
  <si>
    <t>PCBKLN chuyển đến</t>
  </si>
  <si>
    <t>Xe đẩy người khuyết tật</t>
  </si>
  <si>
    <t>TSPK013</t>
  </si>
  <si>
    <t>Ghế bệnh nhân
-Kích thước: Phi (380x520+670)mm.
-Ghế đẩu quay khung inox 304, điều chỉnh được độ cao.</t>
  </si>
  <si>
    <t>TSPK346</t>
  </si>
  <si>
    <t>118 Lê Đình Lý</t>
  </si>
  <si>
    <t>Tủ lạnh Panasonic NR BU 302</t>
  </si>
  <si>
    <t>TSPK001</t>
  </si>
  <si>
    <t>YTDP</t>
  </si>
  <si>
    <t>Tủ lạnh Mitsubishi F43</t>
  </si>
  <si>
    <t>TSPK002</t>
  </si>
  <si>
    <t xml:space="preserve">Tủ lạnh Panasonic </t>
  </si>
  <si>
    <t>TSPK003</t>
  </si>
  <si>
    <t>Tủ lạnh Hitachi</t>
  </si>
  <si>
    <t>TSPK009</t>
  </si>
  <si>
    <t xml:space="preserve">Tủ ALASKA SL-8C ( tủ mát) VN </t>
  </si>
  <si>
    <t>TSPK011</t>
  </si>
  <si>
    <t>Nhập năm 2019</t>
  </si>
  <si>
    <t xml:space="preserve">Xe tiêm Inox lớn </t>
  </si>
  <si>
    <t>TSPK004</t>
  </si>
  <si>
    <t>Xe đẩy tiêm Inox</t>
  </si>
  <si>
    <t>TSPK006</t>
  </si>
  <si>
    <t>TSPK010</t>
  </si>
  <si>
    <t>Nhiệt kế tủ lạnh</t>
  </si>
  <si>
    <t>TSPK056</t>
  </si>
  <si>
    <t xml:space="preserve">P. khám ĐK </t>
  </si>
  <si>
    <t>Tăng 10 cái (cũ)</t>
  </si>
  <si>
    <t>Bình tích lạnh đựng Vắc-Xin</t>
  </si>
  <si>
    <t>TSPK360</t>
  </si>
  <si>
    <t>Tăng 01 cái (cũ)</t>
  </si>
  <si>
    <t>Giường không bánh xe
-Kích thước: (2.016x900x800)mm.
- Chất liệu: Inox 304.</t>
  </si>
  <si>
    <t>TSPK012</t>
  </si>
  <si>
    <t xml:space="preserve">Xe đẩy dụng cụ lớn </t>
  </si>
  <si>
    <t>TSPK124</t>
  </si>
  <si>
    <t>P. Theo dõi sau tiêm</t>
  </si>
  <si>
    <t>P.Mổ</t>
  </si>
  <si>
    <t>P. Theo dõi sau tiêm: 01 cái
P. Mổ: 01 cái</t>
  </si>
  <si>
    <t>Tủ nhôm kính nhỏ</t>
  </si>
  <si>
    <t>TSPK135</t>
  </si>
  <si>
    <t>Cân máng trẻ sơ sinh</t>
  </si>
  <si>
    <t>TSPK005</t>
  </si>
  <si>
    <t>TSPK313</t>
  </si>
  <si>
    <t>Tủ thuốc y tế Inox có ngăn độc A+B</t>
  </si>
  <si>
    <t>TSPK007</t>
  </si>
  <si>
    <t>Giường khám
-Kích thước: (1.800x650x800)mm.
- Khung inox 304, phần gối đầu điều chỉnh được độ ngả.</t>
  </si>
  <si>
    <t>TSPK345</t>
  </si>
  <si>
    <t>Bộ máy tính bàn</t>
  </si>
  <si>
    <t>TSPK152</t>
  </si>
  <si>
    <t>P.Khám HM Nam học</t>
  </si>
  <si>
    <t>Hỏng</t>
  </si>
  <si>
    <t>Hỏng- đi theo máy SÂ</t>
  </si>
  <si>
    <t>TSPK344</t>
  </si>
  <si>
    <t>TSPK343</t>
  </si>
  <si>
    <t>TSPK342</t>
  </si>
  <si>
    <t>Máy đo chức năng hô hấp (Model: DATOSPIR TOUCH EASY-T);
HSX: Sibel, S.A.U-
Xuất sứ: Tây Ban Nha</t>
  </si>
  <si>
    <t>TSPK368</t>
  </si>
  <si>
    <t>Mua mới năm 2024</t>
  </si>
  <si>
    <t>Máy đo thính lực (Máy đo hoàn chỉnh)
(Model: SIBELSOUND 400 AOM+);
HSX: Sibel, S.A.U-
Xuất sứ: Tây Ban Nha</t>
  </si>
  <si>
    <t>TSPK369</t>
  </si>
  <si>
    <t>Buồng cách âm di động Iac mini 250
(Đức)</t>
  </si>
  <si>
    <t>TSPK371</t>
  </si>
  <si>
    <t xml:space="preserve">Khoa BNN </t>
  </si>
  <si>
    <t xml:space="preserve">Khoa BNN chuyển đến </t>
  </si>
  <si>
    <t>Đèn UV model B100 AP (Mỹ)</t>
  </si>
  <si>
    <t>TSPK372</t>
  </si>
  <si>
    <t>Máy đo PH da HI99181</t>
  </si>
  <si>
    <t>TSPK373</t>
  </si>
  <si>
    <t>Cân sức khỏe</t>
  </si>
  <si>
    <t>TSPK374</t>
  </si>
  <si>
    <t>TSPK341</t>
  </si>
  <si>
    <t>TSPK340</t>
  </si>
  <si>
    <t>Cân nhơn hòa 30 kg</t>
  </si>
  <si>
    <t>TSPK356</t>
  </si>
  <si>
    <t>Khoa Dinh dưởng chuyển sang</t>
  </si>
  <si>
    <t>Thước đo đứng TE 180 cm (gỗ)</t>
  </si>
  <si>
    <t>TSPK357</t>
  </si>
  <si>
    <t>TSPK328</t>
  </si>
  <si>
    <t>P.Khám Phụ Khoa</t>
  </si>
  <si>
    <t>Máy soi cổ tử cung
Model: LT-300HD; Hãng SX: LUTECH Mỹ</t>
  </si>
  <si>
    <t>TSPK307</t>
  </si>
  <si>
    <t>Phòng khám đa khoa - Nguồn ngân sách</t>
  </si>
  <si>
    <t>Nhập năm 2020</t>
  </si>
  <si>
    <t>Đèn cực tím</t>
  </si>
  <si>
    <t>Nhập năm 2022</t>
  </si>
  <si>
    <t>Đèn gù</t>
  </si>
  <si>
    <t>TSPK314</t>
  </si>
  <si>
    <t>Bàn khám inox</t>
  </si>
  <si>
    <t>TSPK047</t>
  </si>
  <si>
    <t xml:space="preserve"> Từ p. thủ thuật 1</t>
  </si>
  <si>
    <t>Bục inox</t>
  </si>
  <si>
    <t>TSPK048</t>
  </si>
  <si>
    <t>Xe đẩy dụng cụ inox</t>
  </si>
  <si>
    <t>TSPK050</t>
  </si>
  <si>
    <t>Xe đẩy dụng cụ</t>
  </si>
  <si>
    <t>TSPK052</t>
  </si>
  <si>
    <t>P. Tiêm chủng</t>
  </si>
  <si>
    <t>Xe đẩy dụng cụ lớn inox</t>
  </si>
  <si>
    <t>TSPK117</t>
  </si>
  <si>
    <t>P.Đặt vòng</t>
  </si>
  <si>
    <t>TSPK337</t>
  </si>
  <si>
    <t>P. Thủ thuật 1</t>
  </si>
  <si>
    <t>Tủ dụng cụ
-Kích thước: (1.000x400x1.800)mm.
-Inox, đợt di động.</t>
  </si>
  <si>
    <t>TSPK338</t>
  </si>
  <si>
    <t>1 cái P TD sau TT</t>
  </si>
  <si>
    <t>CDC mua mới năm 2022</t>
  </si>
  <si>
    <t xml:space="preserve">Tủ lạnh Toshiba 2 ngăn </t>
  </si>
  <si>
    <t>TSPK036</t>
  </si>
  <si>
    <t>Giường inox siêu âm</t>
  </si>
  <si>
    <t>TSPK075</t>
  </si>
  <si>
    <t>P TD Sau hậu phẫu</t>
  </si>
  <si>
    <t>Súng sinh thiết</t>
  </si>
  <si>
    <t>TSPK082</t>
  </si>
  <si>
    <t>ĐN thanh lý</t>
  </si>
  <si>
    <t>TSPK097</t>
  </si>
  <si>
    <t>TSPK334</t>
  </si>
  <si>
    <t>P. Thủ thuật 2</t>
  </si>
  <si>
    <t>P. thủ thuật 2 - 
Phòng khám đa khoa</t>
  </si>
  <si>
    <t>TSPK335</t>
  </si>
  <si>
    <t>TSPK336</t>
  </si>
  <si>
    <t>TSPK332</t>
  </si>
  <si>
    <t>P. Thủ thuật 3</t>
  </si>
  <si>
    <t>P. thủ thuật 3 - 
Phòng khám đa khoa</t>
  </si>
  <si>
    <t>TSPK333</t>
  </si>
  <si>
    <t>P. thủ thuật 3 - P
hòng khám đa khoa</t>
  </si>
  <si>
    <t xml:space="preserve">
P. Thủ thuật 3</t>
  </si>
  <si>
    <t>P.Thủ thuật 3</t>
  </si>
  <si>
    <t>Xe đẩy sắt</t>
  </si>
  <si>
    <t>TSPK111</t>
  </si>
  <si>
    <t xml:space="preserve">P.Khám thai </t>
  </si>
  <si>
    <t>Ghế xoay inox</t>
  </si>
  <si>
    <t>TSPK115</t>
  </si>
  <si>
    <t>xe đẩy dụng cụ sắt nhỏ</t>
  </si>
  <si>
    <t>TSPK118</t>
  </si>
  <si>
    <t>Cây truyền dịch</t>
  </si>
  <si>
    <t>TSPK139</t>
  </si>
  <si>
    <t>P.Hậu phẫu</t>
  </si>
  <si>
    <t>TSPK330</t>
  </si>
  <si>
    <t>P. Thủ thuật 4</t>
  </si>
  <si>
    <t>P. thủ thuật 4 - Phòng khám đa khoa</t>
  </si>
  <si>
    <t>TSPK331</t>
  </si>
  <si>
    <t>Máy đốt laser Hàn Quốc AMT 
(kèm ổn áp Lioa)</t>
  </si>
  <si>
    <t>TSPK017</t>
  </si>
  <si>
    <t>ĐN Thanh lý 2026</t>
  </si>
  <si>
    <t>Máy áp lạnh sản khoa
Model: CR-201; Hãng SX: TOITU NB</t>
  </si>
  <si>
    <t>TSPK308</t>
  </si>
  <si>
    <t>CDC mua năm 2020</t>
  </si>
  <si>
    <t>TSPK066</t>
  </si>
  <si>
    <t xml:space="preserve">P. Thủ thuật </t>
  </si>
  <si>
    <t>TSPK087</t>
  </si>
  <si>
    <t>P. Đốt laser</t>
  </si>
  <si>
    <t>Máy khử mùi</t>
  </si>
  <si>
    <t>TSPK088</t>
  </si>
  <si>
    <t>TSPK089</t>
  </si>
  <si>
    <t>TSPK091</t>
  </si>
  <si>
    <t>Bình áp lạnh</t>
  </si>
  <si>
    <t>TSPK092</t>
  </si>
  <si>
    <t>ĐN thanh lý 1 bình cũ</t>
  </si>
  <si>
    <t>P. Thủ thuật 5</t>
  </si>
  <si>
    <t>P. thủ thuật 5 - Phòng khám đa khoa</t>
  </si>
  <si>
    <t>TSPK329</t>
  </si>
  <si>
    <t>Tủ lạnh Sanyo (nhỏ)</t>
  </si>
  <si>
    <t>TSPK035</t>
  </si>
  <si>
    <t xml:space="preserve">P. Thủ thuật 5
</t>
  </si>
  <si>
    <t>TSPK062</t>
  </si>
  <si>
    <t>TSPK063</t>
  </si>
  <si>
    <t>TSPK064</t>
  </si>
  <si>
    <t>TSPK065</t>
  </si>
  <si>
    <t>Bóp bóng</t>
  </si>
  <si>
    <t>TSPK057</t>
  </si>
  <si>
    <t>TSPK067</t>
  </si>
  <si>
    <t>1 lớn, 1 nhỏ</t>
  </si>
  <si>
    <t>Bàn để dụng cụ inox</t>
  </si>
  <si>
    <t>TSPK069</t>
  </si>
  <si>
    <t>Bình oxy lớn</t>
  </si>
  <si>
    <t>TSPK072</t>
  </si>
  <si>
    <t>TSPK326</t>
  </si>
  <si>
    <t>P. Theo dõi sau thủ thuật</t>
  </si>
  <si>
    <t>P. theo dõi sau thủ thuật - Phòng khám đa khoa</t>
  </si>
  <si>
    <t>TSPK327</t>
  </si>
  <si>
    <t>Bình oxy</t>
  </si>
  <si>
    <t>TSPK093</t>
  </si>
  <si>
    <t>P.PTNK</t>
  </si>
  <si>
    <t>Giường khám
-Kích thước: (1.800x650x800)mm.
- Khung inox 304</t>
  </si>
  <si>
    <t>TSPK324</t>
  </si>
  <si>
    <t>P. Hồi sức sau mổ, lưu BN sau bơm TT</t>
  </si>
  <si>
    <t>P.Hồi sức sau mổ - phòng khám đa khoa</t>
  </si>
  <si>
    <t>Không sử dụng</t>
  </si>
  <si>
    <t>Giường không bánh xe
-Kích thước: (2.016x900x800)mm.
- Chất liệu: Inox 304, phần gối đầu điều chỉnh được độ ngả.</t>
  </si>
  <si>
    <t>TSPK325</t>
  </si>
  <si>
    <t>Giao bảo vệ 1 giường( số 3) 15/10/25 Linh nhận</t>
  </si>
  <si>
    <t>P.Bơm TT</t>
  </si>
  <si>
    <t>Bàn để dụng cụ sắt- inox</t>
  </si>
  <si>
    <t>TSPK154</t>
  </si>
  <si>
    <t>P.Thủ thuật IUI</t>
  </si>
  <si>
    <t>Bàn khám PK inox</t>
  </si>
  <si>
    <t>TSPK155</t>
  </si>
  <si>
    <t>TSPK156</t>
  </si>
  <si>
    <t>TSPK114</t>
  </si>
  <si>
    <t xml:space="preserve">Đề nghị thanh lý </t>
  </si>
  <si>
    <t>Ghế inox xoay</t>
  </si>
  <si>
    <t>TSPK148</t>
  </si>
  <si>
    <t xml:space="preserve">P.XN tinh trùng </t>
  </si>
  <si>
    <t>TSPK029</t>
  </si>
  <si>
    <t>P Lọc rửa TT</t>
  </si>
  <si>
    <t>Xuống cấp trầm trọng</t>
  </si>
  <si>
    <t>Máy ly tâm Kubota 5310</t>
  </si>
  <si>
    <t>TSPK031</t>
  </si>
  <si>
    <t>Xuống cấp</t>
  </si>
  <si>
    <t>Tủ an toàn sinh học MicroFlow</t>
  </si>
  <si>
    <t>TSPK018</t>
  </si>
  <si>
    <t>Chuyển từ khoa XN HIV</t>
  </si>
  <si>
    <t>Tủ lạnh LG</t>
  </si>
  <si>
    <t>TSPK034</t>
  </si>
  <si>
    <t>Kính hiển vi Olympus CH20</t>
  </si>
  <si>
    <t>TSPK361</t>
  </si>
  <si>
    <t>Micropipette 5-50</t>
  </si>
  <si>
    <t>TSPK145</t>
  </si>
  <si>
    <t>P.303 (P.XN tinh trùng )</t>
  </si>
  <si>
    <t>Giá đựng ống nghiệm inox</t>
  </si>
  <si>
    <t>TSPK144</t>
  </si>
  <si>
    <t>Buồng đếm tinh trùng (Đức)</t>
  </si>
  <si>
    <t>TSPK146</t>
  </si>
  <si>
    <t>Khay inox chữ nhật</t>
  </si>
  <si>
    <t>TSPK149</t>
  </si>
  <si>
    <t>01 cái P. Thanh trùng</t>
  </si>
  <si>
    <t>Hộp đựng DC inox lớn</t>
  </si>
  <si>
    <t>TSPK150</t>
  </si>
  <si>
    <t>Máy đếm bách phân</t>
  </si>
  <si>
    <t>TSPK147</t>
  </si>
  <si>
    <t>TSPK315</t>
  </si>
  <si>
    <t>P. Bệnh nhân lấy mẫu TT</t>
  </si>
  <si>
    <t xml:space="preserve"> Phòng khám đa khoa</t>
  </si>
  <si>
    <t>TSPK322</t>
  </si>
  <si>
    <t>P. Chuẩn bị BN Tiền phẫu</t>
  </si>
  <si>
    <t>P. Chuẩn bị hồ sơ BN- phòng khám đa khoa</t>
  </si>
  <si>
    <t>TSPK323</t>
  </si>
  <si>
    <t>Máy đo HA</t>
  </si>
  <si>
    <t>TSPK096</t>
  </si>
  <si>
    <t>P.111 (P.PTNK)</t>
  </si>
  <si>
    <t>Nhiệt kế</t>
  </si>
  <si>
    <t>TSPK071</t>
  </si>
  <si>
    <t>P.105 (P. Thủ thuật )</t>
  </si>
  <si>
    <t>ĐN Thanh lý</t>
  </si>
  <si>
    <t>Tủ inox đầu giường</t>
  </si>
  <si>
    <t>TSPK110</t>
  </si>
  <si>
    <t>P.Khám thai (204+205)</t>
  </si>
  <si>
    <t>Tủ inox</t>
  </si>
  <si>
    <t>TSPK167</t>
  </si>
  <si>
    <t>P.304 (P.Thủ thuật IUI)</t>
  </si>
  <si>
    <t>TSPK367</t>
  </si>
  <si>
    <t>P.Thanh Trùng</t>
  </si>
  <si>
    <t>P. thanh trùng- phòng khám đa khoa</t>
  </si>
  <si>
    <t xml:space="preserve">Tủ lạnh Sanyo </t>
  </si>
  <si>
    <t>TSPK037</t>
  </si>
  <si>
    <t>Chuyển từ P XN về năm 2019</t>
  </si>
  <si>
    <t>TSPK039</t>
  </si>
  <si>
    <t xml:space="preserve">Lò sấy khô dụng cụ Memmert </t>
  </si>
  <si>
    <t>TSPK042</t>
  </si>
  <si>
    <t>Tủ sấy Memmert (Đức)</t>
  </si>
  <si>
    <t>TSPK375</t>
  </si>
  <si>
    <t>Máy giặt Panasonic 13,5kg</t>
  </si>
  <si>
    <t>TSPK045</t>
  </si>
  <si>
    <t>Quỹ PTHDSN
Phòng khám đa khoa</t>
  </si>
  <si>
    <t>Máy sấy ELECTROLUX - 
EDV854N3SB; 
Serial: 32932535;
NSX: Thái Lan</t>
  </si>
  <si>
    <t>TSPK370</t>
  </si>
  <si>
    <t>Máy giặt TOSHIBA AW-DUM1600LV (SG);
Model: AW-DUM1600LV
Serial: 5473802741L45051D00411
Hãng Sản Xuất: Toshiba - Nhật Bản
NSX: Trung Quốc</t>
  </si>
  <si>
    <t>TSPK376</t>
  </si>
  <si>
    <t>Khay quả đậu inox</t>
  </si>
  <si>
    <t>TSPK053</t>
  </si>
  <si>
    <t>Pince gắp bông</t>
  </si>
  <si>
    <t>TSPK054</t>
  </si>
  <si>
    <t>Hộp đựng bông cồn</t>
  </si>
  <si>
    <t>TSPK055</t>
  </si>
  <si>
    <t>Hộp CN nhôm lớn</t>
  </si>
  <si>
    <t>TSPK131</t>
  </si>
  <si>
    <t>Hộp chữ nhật inox nhỏ có nắp</t>
  </si>
  <si>
    <t>TSPK076</t>
  </si>
  <si>
    <t>P.106 (P.Siêu âm vú)</t>
  </si>
  <si>
    <t>Khay CN inox lớn</t>
  </si>
  <si>
    <t>TSPK079</t>
  </si>
  <si>
    <t>Khay CN inox lớn có lỗ</t>
  </si>
  <si>
    <t>TSPK080</t>
  </si>
  <si>
    <t>Khay quả đậu</t>
  </si>
  <si>
    <t>TSPK083</t>
  </si>
  <si>
    <t>Tủ thuốc inox</t>
  </si>
  <si>
    <t>TSPK134</t>
  </si>
  <si>
    <t>Tủ nhôm kính lớn</t>
  </si>
  <si>
    <t>TSPK136</t>
  </si>
  <si>
    <t>Hộp đựng DC inox</t>
  </si>
  <si>
    <t>TSPK158</t>
  </si>
  <si>
    <t>Hộp nhôm CN nhỏ</t>
  </si>
  <si>
    <t>TSPK159</t>
  </si>
  <si>
    <t>Săng vải 60x60cm</t>
  </si>
  <si>
    <t>TSPK302</t>
  </si>
  <si>
    <t xml:space="preserve">Phòng khám </t>
  </si>
  <si>
    <t>Kéo thẳng Inox</t>
  </si>
  <si>
    <t>TSPK303</t>
  </si>
  <si>
    <t xml:space="preserve">Áo choàng siêu âm vú </t>
  </si>
  <si>
    <t>TSPK304</t>
  </si>
  <si>
    <t>Phòng khám vú</t>
  </si>
  <si>
    <t xml:space="preserve">Áo choàng chọc vú </t>
  </si>
  <si>
    <t>TSPK305</t>
  </si>
  <si>
    <t xml:space="preserve">Phòng khám vú </t>
  </si>
  <si>
    <t>May nệm (0,5x0,35x0,1)</t>
  </si>
  <si>
    <t>TSPK306</t>
  </si>
  <si>
    <t>TSPK165</t>
  </si>
  <si>
    <t>Hộp inox tròn đựng bông cồn</t>
  </si>
  <si>
    <t>TSPK168</t>
  </si>
  <si>
    <t>Hộp inox CN nhỏ</t>
  </si>
  <si>
    <t>TSPK169</t>
  </si>
  <si>
    <t>Khay hình chữ nhật nhỏ</t>
  </si>
  <si>
    <t>TSPK170</t>
  </si>
  <si>
    <t>Pince gắp bông tiêm</t>
  </si>
  <si>
    <t>TSPK171</t>
  </si>
  <si>
    <t>Chén inox nhỏ</t>
  </si>
  <si>
    <t>TSPK174</t>
  </si>
  <si>
    <t>Kéo thẳng nhỏ</t>
  </si>
  <si>
    <t>TSPK162</t>
  </si>
  <si>
    <t>TSPK163</t>
  </si>
  <si>
    <t>Hộp nhôm chữ nhật nhỏ</t>
  </si>
  <si>
    <t>TSPK151</t>
  </si>
  <si>
    <t>Val bụng ( 2 )</t>
  </si>
  <si>
    <t>TSPK177</t>
  </si>
  <si>
    <t>P.Thanh trùng</t>
  </si>
  <si>
    <t>Phẩu tích không mấu (1)</t>
  </si>
  <si>
    <t>TSPK178</t>
  </si>
  <si>
    <t>Phẩu tích có mấu</t>
  </si>
  <si>
    <t>TSPK179</t>
  </si>
  <si>
    <t>Kéo thẳng</t>
  </si>
  <si>
    <t>TSPK180</t>
  </si>
  <si>
    <t>Kéo cong</t>
  </si>
  <si>
    <t>TSPK181</t>
  </si>
  <si>
    <t>Pince gắp vòi trứng</t>
  </si>
  <si>
    <t>TSPK182</t>
  </si>
  <si>
    <t>Pince kẹp gim</t>
  </si>
  <si>
    <t>TSPK183</t>
  </si>
  <si>
    <t>Pince cầm máu cong</t>
  </si>
  <si>
    <t>TSPK184</t>
  </si>
  <si>
    <t>Pince cấm máu thẳng</t>
  </si>
  <si>
    <t>TSPK185</t>
  </si>
  <si>
    <t>Pince PK thẳng inox đầu tù</t>
  </si>
  <si>
    <t>TSPK186</t>
  </si>
  <si>
    <t>TSPK188</t>
  </si>
  <si>
    <t>TSPK189</t>
  </si>
  <si>
    <t>TSPK190</t>
  </si>
  <si>
    <t>TSPK191</t>
  </si>
  <si>
    <t>TSPK192</t>
  </si>
  <si>
    <t>TSPK193</t>
  </si>
  <si>
    <t>Pince răng chuột (2)</t>
  </si>
  <si>
    <t>TSPK194</t>
  </si>
  <si>
    <t>Pince răng chuột nhọn nhỏ (2)</t>
  </si>
  <si>
    <t>TSPK195</t>
  </si>
  <si>
    <t>Pince thẳng nhỏ</t>
  </si>
  <si>
    <t>TSPK196</t>
  </si>
  <si>
    <t>Kẹp săng</t>
  </si>
  <si>
    <t>TSPK197</t>
  </si>
  <si>
    <t>Kẹp thẳng nhỏ</t>
  </si>
  <si>
    <t>TSPK198</t>
  </si>
  <si>
    <t>Cán dao mổ</t>
  </si>
  <si>
    <t>TSPK199</t>
  </si>
  <si>
    <t>Hộp CN inox có nắp nhỏ</t>
  </si>
  <si>
    <t>TSPK200</t>
  </si>
  <si>
    <t>TSPK201</t>
  </si>
  <si>
    <t>Kéo cong lớn</t>
  </si>
  <si>
    <t>TSPK202</t>
  </si>
  <si>
    <t>Kéo nhỏ nhọn</t>
  </si>
  <si>
    <t>TSPK203</t>
  </si>
  <si>
    <t>Pince gắp ống dẫn tinh</t>
  </si>
  <si>
    <t>TSPK204</t>
  </si>
  <si>
    <t>Pince cong nhọn nhỏ</t>
  </si>
  <si>
    <t>TSPK205</t>
  </si>
  <si>
    <t>Val âm đạo</t>
  </si>
  <si>
    <t>TSPK206</t>
  </si>
  <si>
    <t>Nong CTC các cỡ</t>
  </si>
  <si>
    <t>TSPK207</t>
  </si>
  <si>
    <t>Pozzi (1)</t>
  </si>
  <si>
    <t>TSPK208</t>
  </si>
  <si>
    <t>Thước đo buồng tử cung</t>
  </si>
  <si>
    <t>TSPK209</t>
  </si>
  <si>
    <t>Pince gắp thai</t>
  </si>
  <si>
    <t>TSPK210</t>
  </si>
  <si>
    <t>Mỏ vịt trung + lớn</t>
  </si>
  <si>
    <t>TSPK211</t>
  </si>
  <si>
    <t xml:space="preserve">P. Thanh trùng </t>
  </si>
  <si>
    <t>Pince PK cong dài</t>
  </si>
  <si>
    <t>TSPK212</t>
  </si>
  <si>
    <t>Phẩu tích không mấu</t>
  </si>
  <si>
    <t>TSPK213</t>
  </si>
  <si>
    <t>Thìa thủng</t>
  </si>
  <si>
    <t>TSPK214</t>
  </si>
  <si>
    <t>Thìa nạo đặc nhỏ</t>
  </si>
  <si>
    <t>TSPK215</t>
  </si>
  <si>
    <t>Thìa nạo đặc lớn</t>
  </si>
  <si>
    <t>TSPK216</t>
  </si>
  <si>
    <t>Khay hạt đậu lớn</t>
  </si>
  <si>
    <t>TSPK217</t>
  </si>
  <si>
    <t>Khay hạt đậu đại</t>
  </si>
  <si>
    <t>TSPK218</t>
  </si>
  <si>
    <t>Khay hạt đậu trung</t>
  </si>
  <si>
    <t>TSPK219</t>
  </si>
  <si>
    <t>Khay hạt đậu nhỏ</t>
  </si>
  <si>
    <t>TSPK220</t>
  </si>
  <si>
    <t>TSPK221</t>
  </si>
  <si>
    <t>Cần đẩy tử cung</t>
  </si>
  <si>
    <t>TSPK222</t>
  </si>
  <si>
    <t>Chén inox các loại</t>
  </si>
  <si>
    <t>TSPK223</t>
  </si>
  <si>
    <t>Hộp inox CN</t>
  </si>
  <si>
    <t>TSPK224</t>
  </si>
  <si>
    <t>Hộp inox CN cao có nắp ngâm DC</t>
  </si>
  <si>
    <t>TSPK225</t>
  </si>
  <si>
    <t>Hộp inox dẹt có nắp trung 30*20</t>
  </si>
  <si>
    <t>TSPK226</t>
  </si>
  <si>
    <t>Hộp inox CN lớn ngâm DC</t>
  </si>
  <si>
    <t>TSPK227</t>
  </si>
  <si>
    <t>Hộp tròn inox cao đựng săng mổ</t>
  </si>
  <si>
    <t>TSPK228</t>
  </si>
  <si>
    <t>Hộp tròn inox lớn</t>
  </si>
  <si>
    <t>TSPK229</t>
  </si>
  <si>
    <t>Hộp tròn inox nhỏ nắp dính</t>
  </si>
  <si>
    <t>TSPK230</t>
  </si>
  <si>
    <t>Hộp đựng bông cồn có nắp tròn nhỏ</t>
  </si>
  <si>
    <t>TSPK231</t>
  </si>
  <si>
    <t>Hộp tròn inox</t>
  </si>
  <si>
    <t>TSPK232</t>
  </si>
  <si>
    <t>Hộp tròn inox trung đựng săng</t>
  </si>
  <si>
    <t>TSPK233</t>
  </si>
  <si>
    <t>Kéo cắt chỉ có 1 mấu</t>
  </si>
  <si>
    <t>TSPK234</t>
  </si>
  <si>
    <t>TSPK235</t>
  </si>
  <si>
    <t>Kẹp bấm sinh thiết</t>
  </si>
  <si>
    <t>TSPK236</t>
  </si>
  <si>
    <t>Kẹp bấm sinh thiết ( 1 đầu tròn)</t>
  </si>
  <si>
    <t>TSPK237</t>
  </si>
  <si>
    <t>Kẹp gắp thai lớn</t>
  </si>
  <si>
    <t>TSPK238</t>
  </si>
  <si>
    <t>Kẹp gắp thai trung</t>
  </si>
  <si>
    <t>TSPK239</t>
  </si>
  <si>
    <t>Kẹp phẩu tích hình tim có răng</t>
  </si>
  <si>
    <t>TSPK240</t>
  </si>
  <si>
    <t>Kẹp răng chuột ( các loại )</t>
  </si>
  <si>
    <t>TSPK241</t>
  </si>
  <si>
    <t>Kẹp săng nhỏ</t>
  </si>
  <si>
    <t>TSPK242</t>
  </si>
  <si>
    <t>Kẹp săng nhỏ mới</t>
  </si>
  <si>
    <t>TSPK243</t>
  </si>
  <si>
    <t>Kẹp săng trung</t>
  </si>
  <si>
    <t>TSPK244</t>
  </si>
  <si>
    <t>Khay inox các loại</t>
  </si>
  <si>
    <t>TSPK245</t>
  </si>
  <si>
    <t>Kìm kẹp kim các loại</t>
  </si>
  <si>
    <t>TSPK246</t>
  </si>
  <si>
    <t>Mỏ vịt nhỏ</t>
  </si>
  <si>
    <t>TSPK247</t>
  </si>
  <si>
    <t>Mõ vịt trung</t>
  </si>
  <si>
    <t>TSPK248</t>
  </si>
  <si>
    <t>Móc ống dẫn tinh</t>
  </si>
  <si>
    <t>TSPK249</t>
  </si>
  <si>
    <t>Móc vòi trứng mới</t>
  </si>
  <si>
    <t>TSPK250</t>
  </si>
  <si>
    <t>Móc vòng</t>
  </si>
  <si>
    <t>TSPK251</t>
  </si>
  <si>
    <t>Ống inox cắm pince</t>
  </si>
  <si>
    <t>TSPK254</t>
  </si>
  <si>
    <t>TSPK255</t>
  </si>
  <si>
    <t>Phẩu tích không có mấu</t>
  </si>
  <si>
    <t>TSPK256</t>
  </si>
  <si>
    <t>Pince Bab cock nhỏ</t>
  </si>
  <si>
    <t>TSPK257</t>
  </si>
  <si>
    <t>Pince Bab cock trung</t>
  </si>
  <si>
    <t>TSPK258</t>
  </si>
  <si>
    <t>Pince cầm máu cong các loại</t>
  </si>
  <si>
    <t>TSPK259</t>
  </si>
  <si>
    <t>Pince đầu nhọn</t>
  </si>
  <si>
    <t>TSPK260</t>
  </si>
  <si>
    <t>Pince đầu vợt</t>
  </si>
  <si>
    <t>TSPK261</t>
  </si>
  <si>
    <t>Pince gắp vòi trứng hình tim k có răng</t>
  </si>
  <si>
    <t>TSPK262</t>
  </si>
  <si>
    <t>Pince gắp vòi trứng k răng</t>
  </si>
  <si>
    <t>TSPK263</t>
  </si>
  <si>
    <t>Pince nhọn cong gắp ống DT</t>
  </si>
  <si>
    <t>TSPK264</t>
  </si>
  <si>
    <t>Pince nhọn cong rạch ống DT</t>
  </si>
  <si>
    <t>TSPK265</t>
  </si>
  <si>
    <t>Pince PK cong dài inox</t>
  </si>
  <si>
    <t>TSPK266</t>
  </si>
  <si>
    <t>Pince thẳng nhỏ ( triệt sản )</t>
  </si>
  <si>
    <t>TSPK267</t>
  </si>
  <si>
    <t>Pozzi</t>
  </si>
  <si>
    <t>TSPK268</t>
  </si>
  <si>
    <t>Pozzi 4 mấu</t>
  </si>
  <si>
    <t>TSPK269</t>
  </si>
  <si>
    <t>Pozzi cong lớn</t>
  </si>
  <si>
    <t>TSPK270</t>
  </si>
  <si>
    <t>Thìa đặc lớn</t>
  </si>
  <si>
    <t>TSPK272</t>
  </si>
  <si>
    <t>Thìa đặc nhỏ</t>
  </si>
  <si>
    <t>TSPK273</t>
  </si>
  <si>
    <t>Thùng ngâm dụng cụ inox lớn</t>
  </si>
  <si>
    <t>TSPK274</t>
  </si>
  <si>
    <t>Thùng ngâm dụng cụ inox nhỏ</t>
  </si>
  <si>
    <t>TSPK275</t>
  </si>
  <si>
    <t>Thước đo cũ</t>
  </si>
  <si>
    <t>TSPK277</t>
  </si>
  <si>
    <t>Thước đo mới</t>
  </si>
  <si>
    <t>TSPK278</t>
  </si>
  <si>
    <t>TSPK279</t>
  </si>
  <si>
    <t>Val bụng dài</t>
  </si>
  <si>
    <t>TSPK280</t>
  </si>
  <si>
    <t>Val bụng lớn trung</t>
  </si>
  <si>
    <t>TSPK281</t>
  </si>
  <si>
    <t>Val bụng nhỏ</t>
  </si>
  <si>
    <t>TSPK282</t>
  </si>
  <si>
    <t>TSPK283</t>
  </si>
  <si>
    <t>Pince các loại</t>
  </si>
  <si>
    <t>TSPK284</t>
  </si>
  <si>
    <t>Que nong CTC từ số 13-20</t>
  </si>
  <si>
    <t>TSPK285</t>
  </si>
  <si>
    <t>Que nong CTC từ số 13.5-19.5</t>
  </si>
  <si>
    <t>TSPK286</t>
  </si>
  <si>
    <t>Que nong CTC từ số 12.5</t>
  </si>
  <si>
    <t>TSPK287</t>
  </si>
  <si>
    <t>Mỏ vịt trung</t>
  </si>
  <si>
    <t>TSPK288</t>
  </si>
  <si>
    <t>TSPK289</t>
  </si>
  <si>
    <t>Pince</t>
  </si>
  <si>
    <t>TSPK290</t>
  </si>
  <si>
    <t>Khay CN inox</t>
  </si>
  <si>
    <t>TSPK291</t>
  </si>
  <si>
    <t>Hộp CN inox nhỏ</t>
  </si>
  <si>
    <t>TSPK292</t>
  </si>
  <si>
    <t>TSPK293</t>
  </si>
  <si>
    <t>Chén inox lớn</t>
  </si>
  <si>
    <t>TSPK294</t>
  </si>
  <si>
    <t>Ổ cắm pince</t>
  </si>
  <si>
    <t>TSPK295</t>
  </si>
  <si>
    <t>TSPK296</t>
  </si>
  <si>
    <t xml:space="preserve">Ghế bệnh nhân 
- Kích thước : Phi ( 380x520 +670)mm
-Ghế đẩu quay khung inox 304, điều chỉnh được độ cao </t>
  </si>
  <si>
    <t>Phòng mổ</t>
  </si>
  <si>
    <t>Mới</t>
  </si>
  <si>
    <t>Bàn mổ</t>
  </si>
  <si>
    <t>TSPK122</t>
  </si>
  <si>
    <t>Xe đẩy dụng cụ nhỏ</t>
  </si>
  <si>
    <t>TSPK123</t>
  </si>
  <si>
    <t>TSPK125</t>
  </si>
  <si>
    <t>TSPK126</t>
  </si>
  <si>
    <t>Đèn mổ</t>
  </si>
  <si>
    <t>TSPK127</t>
  </si>
  <si>
    <t>TSPK128</t>
  </si>
  <si>
    <t>Giá truyền dịch</t>
  </si>
  <si>
    <t>TSPK129</t>
  </si>
  <si>
    <t>TSPK132</t>
  </si>
  <si>
    <t>Băng ca (có bánh xe đẩy)</t>
  </si>
  <si>
    <t>TSPK133</t>
  </si>
  <si>
    <t>TSPK318</t>
  </si>
  <si>
    <t>P. Khám thai</t>
  </si>
  <si>
    <t>P. khám thai- phòng khám đa khoa</t>
  </si>
  <si>
    <t>TSPK316</t>
  </si>
  <si>
    <t>TSPK026</t>
  </si>
  <si>
    <t>Đề nghị thanh lý 2 cái</t>
  </si>
  <si>
    <t>Máy đo điện tim 6 kênh ( model:EPG6 View plus:HSX Progetti/ Italia; XX Phần Lan) (Nhật Bản)</t>
  </si>
  <si>
    <t>TSPK027</t>
  </si>
  <si>
    <t>Giường inox</t>
  </si>
  <si>
    <t>TSPK106</t>
  </si>
  <si>
    <t>Thước dây</t>
  </si>
  <si>
    <t>TSPK107</t>
  </si>
  <si>
    <t>Cân</t>
  </si>
  <si>
    <t>TSPK108</t>
  </si>
  <si>
    <t>Ống nghe TT</t>
  </si>
  <si>
    <t>TSPK109</t>
  </si>
  <si>
    <t>Xe đựng dụng cụ inox</t>
  </si>
  <si>
    <t>TSPK141</t>
  </si>
  <si>
    <t>P. Khám Thai</t>
  </si>
  <si>
    <t>P.212 (P.Đo điện tim)</t>
  </si>
  <si>
    <t>TSPK319</t>
  </si>
  <si>
    <t xml:space="preserve">P. Khám Nhũ </t>
  </si>
  <si>
    <t>P. nhũ- phòng khám đa khoa</t>
  </si>
  <si>
    <t>TSPK317</t>
  </si>
  <si>
    <t xml:space="preserve">Máy siêu âm ALOKA SSD 3500  Nhật </t>
  </si>
  <si>
    <t>TSPK022</t>
  </si>
  <si>
    <t>P. Siêu âm (tầng 3)</t>
  </si>
  <si>
    <t xml:space="preserve">Đi khám tuyến </t>
  </si>
  <si>
    <t>Kính lúp</t>
  </si>
  <si>
    <t>TSPK085</t>
  </si>
  <si>
    <t>P. Khám nhũ (tầng 2)</t>
  </si>
  <si>
    <t>Đèn đọc phim</t>
  </si>
  <si>
    <t>TSPK084</t>
  </si>
  <si>
    <t>P.107 (P.Khám vú)</t>
  </si>
  <si>
    <t>TSPK320</t>
  </si>
  <si>
    <t>P. Siêu âm (tầng 2)</t>
  </si>
  <si>
    <t>P. Siêu âm- phòng khám đa khoa</t>
  </si>
  <si>
    <t>TSPK321</t>
  </si>
  <si>
    <t>Máy siêu âm SonoaceR7
 (Doppler màu 4 chiều), Hàn Quốc</t>
  </si>
  <si>
    <t>TSPK019</t>
  </si>
  <si>
    <t>Đang sử dụng</t>
  </si>
  <si>
    <t>Chuyển từ khoa PCBKLN 315PCT</t>
  </si>
  <si>
    <t>Trong sổ 2015</t>
  </si>
  <si>
    <t>Đầu dò sản khoa máy siêu âm Sonoace R7/ Model ER4-9, hãng sx: SAMSUNG Medision- HQ</t>
  </si>
  <si>
    <t>TSPK020</t>
  </si>
  <si>
    <t>Nhập năm 2019, dùng cho máy SA R7</t>
  </si>
  <si>
    <t>Máy vi tính + Máy in màu Ep Son (Kèm theo của máy Siêu âm Sonoace R7/020)</t>
  </si>
  <si>
    <t>TSPK100</t>
  </si>
  <si>
    <t>Hỏng máy vi tính</t>
  </si>
  <si>
    <t xml:space="preserve">Chờ Thanh lý </t>
  </si>
  <si>
    <t>Màn hình ti vi : Toshiba (Kèm theo của máy Siêu âm  Sonoace R7/020)</t>
  </si>
  <si>
    <t>TSPK101</t>
  </si>
  <si>
    <t xml:space="preserve">P. Siêu âm (tầng 2) </t>
  </si>
  <si>
    <t>Máy siêu âm 4D, Prosuund Alpha 6 Nhật( Aloka Nhật)</t>
  </si>
  <si>
    <t>TSPK021</t>
  </si>
  <si>
    <t>Máy vi tính (Kèm theo máy siêu âm Aloka Alpha 6)</t>
  </si>
  <si>
    <t>TSPK104</t>
  </si>
  <si>
    <t>Máy siêu âm 4D UGEO H60 Hàn Quốc</t>
  </si>
  <si>
    <t>TSPK025</t>
  </si>
  <si>
    <t>Hay bị trục trặc</t>
  </si>
  <si>
    <t>Máy vi tính + Máy in màu Ep Son (Kèm theo của Máy siêu âm 4D UGEO H60)</t>
  </si>
  <si>
    <t>TSPK102</t>
  </si>
  <si>
    <t>Màn hình ti vi : Toshiba (Kèm theo của Máy siêu âm 4D UGEO H60)</t>
  </si>
  <si>
    <t>TSPK103</t>
  </si>
  <si>
    <t>Chờ thanh lý</t>
  </si>
  <si>
    <t>Đầu dò Siêu âm 4D Convex( Thăm khám bụng tổng quát)
Model: UST-9123; Hãng SX: Hitachi Aloka NB
(Đi kèm máy siêu âm Aloka Alpha 6)</t>
  </si>
  <si>
    <t>TSPK310</t>
  </si>
  <si>
    <t>Phòng khám - Nguồn ngân sách</t>
  </si>
  <si>
    <t>P khám PK Chuyển qua</t>
  </si>
  <si>
    <t>Máy X-Quang nhũ ảnh kỹ thuật số Selenia Dimensions D3000 (Mỹ)</t>
  </si>
  <si>
    <t>TSPK309</t>
  </si>
  <si>
    <t>P. Xquang (tầng 3)</t>
  </si>
  <si>
    <t>CDC mua mới năm 2020</t>
  </si>
  <si>
    <t>Máy chụp Xquang di động (Model: TMX +; HSX: GE Health care/Ý)</t>
  </si>
  <si>
    <t>TSPK312</t>
  </si>
  <si>
    <t>Khoa bệnh nghề nghiệp - Ngân sách- Sở Y tế TP Đà Nẵng mua cấp</t>
  </si>
  <si>
    <t>Khoa bệnh nghề nghiệp chuyển qua năm 2022</t>
  </si>
  <si>
    <t>Nhập năm 2023</t>
  </si>
  <si>
    <t>Máy hút ẩm Fujie 
Model: HM1500D, Hãng SX: TQ</t>
  </si>
  <si>
    <t>TSPK311</t>
  </si>
  <si>
    <t xml:space="preserve">TSPK078 </t>
  </si>
  <si>
    <t>P.X quang tầng 3</t>
  </si>
  <si>
    <t>Áo chì</t>
  </si>
  <si>
    <t>Kính chì</t>
  </si>
  <si>
    <t>Yếm chì</t>
  </si>
  <si>
    <t>TSPK081</t>
  </si>
  <si>
    <t>P.108</t>
  </si>
  <si>
    <t>Đèn đọc 3 phim CT-MRI-XQ LED
Model: LED-TNE;
HSX: TNE; NSX: Việt Nam</t>
  </si>
  <si>
    <t>TSPK354</t>
  </si>
  <si>
    <t>Nguồn thu sự nghiệp</t>
  </si>
  <si>
    <t>CDC mua mới
 năm 2024</t>
  </si>
  <si>
    <t>Nhập tháng 7/2024</t>
  </si>
  <si>
    <t>Bảng đo thị lực</t>
  </si>
  <si>
    <t>TSPK378</t>
  </si>
  <si>
    <t>CS2 khoa BNN bàn giao từ 22/10/2025</t>
  </si>
  <si>
    <t>Dụng cụ đo cong vẹo cột sống</t>
  </si>
  <si>
    <t>TSPK379</t>
  </si>
  <si>
    <t>TSPK380</t>
  </si>
  <si>
    <t>TSPK381</t>
  </si>
  <si>
    <t>TSPK382</t>
  </si>
  <si>
    <t>Đèn soi đáy mắt</t>
  </si>
  <si>
    <t>TSPK383</t>
  </si>
  <si>
    <t>Bộ khám tai mũi họng</t>
  </si>
  <si>
    <t>TSPK384</t>
  </si>
  <si>
    <t>TSPK385</t>
  </si>
  <si>
    <t>TSPK386</t>
  </si>
  <si>
    <t>Adaptor omron AC
Model: HN-289-Philippines</t>
  </si>
  <si>
    <t>TSPK387</t>
  </si>
  <si>
    <t>Đèn thị lực chữ C</t>
  </si>
  <si>
    <t>TSPK388</t>
  </si>
  <si>
    <t>TSPK389</t>
  </si>
  <si>
    <t>Cân sức khoẻ điện tử Omron
Model: HN-289-Trung Quốc</t>
  </si>
  <si>
    <t>TSPK390</t>
  </si>
  <si>
    <t>Máy đo thính lực
Sibel-Sound 400AOM; Hãng SX: Sibel 
Xuất xứ: Tây Ban Nha</t>
  </si>
  <si>
    <t>TSPK391</t>
  </si>
  <si>
    <t>CDC07/20</t>
  </si>
  <si>
    <t>Khoa XN CS2 bàn giao ngày 10/10/2025</t>
  </si>
  <si>
    <t>CDC08/21</t>
  </si>
  <si>
    <t>Máy siêu âm 3D Sonix Touch 
(Canada)</t>
  </si>
  <si>
    <t>TSPK014</t>
  </si>
  <si>
    <t>P. Siêu âm 2  (tầng 3)</t>
  </si>
  <si>
    <t xml:space="preserve">Đầu dò </t>
  </si>
  <si>
    <t>TSPK024</t>
  </si>
  <si>
    <t>P.Siêu âm (tầng 3)</t>
  </si>
  <si>
    <t>P. 103</t>
  </si>
  <si>
    <t xml:space="preserve">Đầu dò máy SA SSD 1000 
</t>
  </si>
  <si>
    <t>Màn hình ti vi Samsung (Kèm theo máy siêu âm Aloka Alpha 6)</t>
  </si>
  <si>
    <t>TSPK105</t>
  </si>
  <si>
    <t>TSPK350</t>
  </si>
  <si>
    <t>P. Siêu âm (T3.14)</t>
  </si>
  <si>
    <t>P. Siêu âm - Phòng khám đa khoa</t>
  </si>
  <si>
    <t>TSPK351</t>
  </si>
  <si>
    <t>P. Nghỉ nhân viên</t>
  </si>
  <si>
    <t>TSPK339</t>
  </si>
  <si>
    <t>Phòng tiêm chủng (06 PCT) chuyển qua</t>
  </si>
  <si>
    <t>Phòng tiêm chủng (06 PCT) chuyển qua 01 cái</t>
  </si>
  <si>
    <t xml:space="preserve">P.Theo dõi sau tiêm </t>
  </si>
  <si>
    <t>Phòng khám 5:Nam Khoa</t>
  </si>
  <si>
    <t>Phòng khám 3: BNN</t>
  </si>
  <si>
    <t>Phòng khám 3 - Phòng khám đa khoa</t>
  </si>
  <si>
    <t>Phòng khám 3 - 
Phòng khám đa khoa</t>
  </si>
  <si>
    <t>Phòng khám 2: Khám Nội</t>
  </si>
  <si>
    <t>Phòng khám 2 - 
Phòng khám đa khoa</t>
  </si>
  <si>
    <t>Phòng khám 1:Khám Nhi</t>
  </si>
  <si>
    <t>Phòng khám 1 - 
Phòng khám đa khoa</t>
  </si>
  <si>
    <t>P.Khám phụ khoa - 
Phòng khám đa khoa</t>
  </si>
  <si>
    <t xml:space="preserve">PK phụ khoa 3 cái </t>
  </si>
  <si>
    <t>PK phụ khoa 2 cái</t>
  </si>
  <si>
    <t>P. thủ thuật 1 - 
Phòng khám đa khoa</t>
  </si>
  <si>
    <t>P. thủ thuật 1 -
Phòng khám đa khoa</t>
  </si>
  <si>
    <t>P. thủ thuật 1 - Phòng khám đa khoa</t>
  </si>
  <si>
    <t>P. Nhân viên</t>
  </si>
  <si>
    <t>P.Siêu âm vú</t>
  </si>
  <si>
    <t>P. Thanh trùng</t>
  </si>
  <si>
    <t>P.Tiêm DV:01
P.TK: 01</t>
  </si>
  <si>
    <t>P.Tiêm DV:01
P.Cấp cứu: 01</t>
  </si>
  <si>
    <t>P.Thủ thuật 5: 01 cái
Phòng sau bơm TT: 01 cái</t>
  </si>
  <si>
    <t>Tủ ấm BINDER (Tủ ấm nhiều ngăn dùng cho IVF)</t>
  </si>
  <si>
    <t>+Cây truyền dịch</t>
  </si>
  <si>
    <t>Máy đo chức năng hô hấp
Model: SPIROANALYZER ST-95
Xuất xứ: Nhật Bản</t>
  </si>
  <si>
    <t>Máy đo huyết áp bắp tay tự động Omron
Model: JPN600-nhật</t>
  </si>
  <si>
    <t>Chuyển từ Khoa PCBKLN 315 PCT (2019)
P.Siêu âm</t>
  </si>
  <si>
    <t>P.Siêu âm</t>
  </si>
  <si>
    <t>Thước đo chiều cao</t>
  </si>
  <si>
    <t>Bộ triệt sản nữ (đủ bộ):</t>
  </si>
  <si>
    <t>Bộ triệt sản nam (mới)</t>
  </si>
  <si>
    <t>Bộ nạo thai gồm:</t>
  </si>
  <si>
    <t>Bộ triệt sản nam (cũ):</t>
  </si>
  <si>
    <t>Bộ triệt sản nữ (không đủ bộ):</t>
  </si>
  <si>
    <t>Lò hấp ướt Tony (TOMY)</t>
  </si>
  <si>
    <t>Nhiệt kế (Nhiệt ẩm kế)</t>
  </si>
  <si>
    <t>Máy đo chức năng hô hấp
Model:Spirilab
Xuất xứ: MIA/Italia (MIR/Italia)</t>
  </si>
  <si>
    <t>PHÒNG KHÁM ĐA KHOA T1</t>
  </si>
  <si>
    <t>Phòng Tư vấn</t>
  </si>
  <si>
    <t>Theo dõi CCDC</t>
  </si>
  <si>
    <t>Phòng Tiêm chủng</t>
  </si>
  <si>
    <t>Phòng Theo dõi sau tiêm</t>
  </si>
  <si>
    <t>Phòng Cấp cứu</t>
  </si>
  <si>
    <t>P.Cấp cứu</t>
  </si>
  <si>
    <t>SKNN</t>
  </si>
  <si>
    <t>PHÒNG KHÁM ĐA KHOA T2</t>
  </si>
  <si>
    <t>Phòng Khám 6: Hiếm muộn</t>
  </si>
  <si>
    <t>Phòng khám 6: Hiếm muộn</t>
  </si>
  <si>
    <t>Phòng Khám 5: Nam khoa</t>
  </si>
  <si>
    <t>Phòng Khám 4: LCK</t>
  </si>
  <si>
    <t>Phòng khám 4: LCK</t>
  </si>
  <si>
    <t>Phòng Khám 3: BNN</t>
  </si>
  <si>
    <t>Phòng Khám 2: Khám nội</t>
  </si>
  <si>
    <t>Phòng Khám 1: Khám nhi</t>
  </si>
  <si>
    <t>Phòng Khám phụ khoa</t>
  </si>
  <si>
    <t>Phòng Thủ thuật 1</t>
  </si>
  <si>
    <t>Phòng Thủ thuật 2</t>
  </si>
  <si>
    <t>P.Thủ thuật 1</t>
  </si>
  <si>
    <t>Phòng Thủ thuật 3</t>
  </si>
  <si>
    <t>Phòng Thủ thuật 4</t>
  </si>
  <si>
    <t>Phòng Thủ thuật 5</t>
  </si>
  <si>
    <t>Phòng theo dõi sau thủ thuật</t>
  </si>
  <si>
    <t>Phòng Hồi sức sau mổ, lưu BN sau bơm TT</t>
  </si>
  <si>
    <t>Phòng Lọc rửa TT</t>
  </si>
  <si>
    <t>Phòng Bệnh nhân lấy mẫu TT</t>
  </si>
  <si>
    <t>Phòng Chuẩn bị BN tiền phẫu</t>
  </si>
  <si>
    <t>Phòng Thanh trùng</t>
  </si>
  <si>
    <t>Vật tư tiêu hao, ĐN thanh lý</t>
  </si>
  <si>
    <t>P.XN Tinh trùng</t>
  </si>
  <si>
    <t>Nhập từ tháng 10/2015</t>
  </si>
  <si>
    <t>Phòng Mổ</t>
  </si>
  <si>
    <t>Ống nhiệt kế</t>
  </si>
  <si>
    <t>Phòng Khám thai</t>
  </si>
  <si>
    <t>Phòng Khám nhũ</t>
  </si>
  <si>
    <t>Phòng Siêu âm (Tầng 2)</t>
  </si>
  <si>
    <t>Chờ thanh lý máy tính</t>
  </si>
  <si>
    <t>P.Siêu âm (tầng 2)</t>
  </si>
  <si>
    <t>PHÒNG KHÁM ĐA KHOA (Tầng 3)</t>
  </si>
  <si>
    <t>Phòng X-Quang</t>
  </si>
  <si>
    <t>Dây sạc, CS2 khoa BNN bàn giao từ 22/10/2025</t>
  </si>
  <si>
    <t>Phòng siêu âm 1 tầng 3 (T3.13)</t>
  </si>
  <si>
    <t>Phòng siêu âm 2 tầng 3 (T3.14)</t>
  </si>
  <si>
    <t>Đơn vị: Trung tâm Kiểm soát bệnh tật TP Đà Nẵng</t>
  </si>
  <si>
    <t>Mẫu số C53-HD</t>
  </si>
  <si>
    <t>Mã ĐV SDNS: 1127644</t>
  </si>
  <si>
    <t>1. Ông. Nguyễn Đại Vĩnh</t>
  </si>
  <si>
    <t>Giám đốc</t>
  </si>
  <si>
    <t>Thành viên</t>
  </si>
  <si>
    <t>Trưởng phòng TC - KT</t>
  </si>
  <si>
    <t>Phụ trách Khoa Dược - VTYT</t>
  </si>
  <si>
    <t>Tổ trưởng</t>
  </si>
  <si>
    <t>Cùng tiến hành kiểm kê tài sản, kết quả như sau:</t>
  </si>
  <si>
    <t>Trưởng Phòng khám đa khoa</t>
  </si>
  <si>
    <t>Chủ tịch Hội đồng</t>
  </si>
  <si>
    <t>Đại diện Khoa</t>
  </si>
  <si>
    <t>Bàn khám
- Kích thước (1.900x650x600) mm
- Chất liệu Inox 304, dày 1mm</t>
  </si>
  <si>
    <t>CƠ SỞ 2</t>
  </si>
  <si>
    <t>Bộ dụng cụ khám phụ khoa</t>
  </si>
  <si>
    <t>Máy chiếu tia cực tím diệt khuẩn phòng mổ</t>
  </si>
  <si>
    <t xml:space="preserve">Máy siêu âm màu; Model: ECUBE 7; Hãng sản xuất: Hàn Quốc (kèm theo bộ VT, in)			</t>
  </si>
  <si>
    <t xml:space="preserve">Máy Siêu âm màu 3D SSA-590A Hiệu Toshiba		</t>
  </si>
  <si>
    <t>Máy thở oxy khí trời</t>
  </si>
  <si>
    <t xml:space="preserve">Máy điện tim 3 cần	</t>
  </si>
  <si>
    <t>Máy điện tim 3 cần</t>
  </si>
  <si>
    <t>Máy điện tim 6 cần; Model: Cardio 601</t>
  </si>
  <si>
    <t>Máy phun khí dung lấy bệnh phẩm (Máy siêu khí dung); Model: Comfort 2000 KU-400; Hiệu: Sharp; Hãng sản xuất: Nhật Bản</t>
  </si>
  <si>
    <t xml:space="preserve">Giường cấp cứu; Model: TB-512 B; Hãng sản xuất: Hàn Quốc		</t>
  </si>
  <si>
    <t>Tủ lạnh bệnh phẩm; Hãng SX: Đan Mạch (ADB)</t>
  </si>
  <si>
    <t>Nồi hấp khử trùng 50 lít</t>
  </si>
  <si>
    <t>Máy siêu âm Doppler 3 màu + Máy vi tính</t>
  </si>
  <si>
    <t xml:space="preserve">Máy siêu âm Doppler màu 4 D sản khoa  + Máy vi tính + máy in 		</t>
  </si>
  <si>
    <t>Máy siêu âm xách tay</t>
  </si>
  <si>
    <t xml:space="preserve">Máy SA màu 4D-3 hiệu Philip (BV T.Thần chuyển)	</t>
  </si>
  <si>
    <t>Máy đo loãng xương SONOST-3000</t>
  </si>
  <si>
    <t>Tủ bảo quản thuốc; Model: MPR-S313; Hãng sản xuất: Nhật Bản</t>
  </si>
  <si>
    <t>Tủ bảo quản vắc xin TCW 3000</t>
  </si>
  <si>
    <t>SS 08/17</t>
  </si>
  <si>
    <t>SS 07/17</t>
  </si>
  <si>
    <t>HIV 57/17</t>
  </si>
  <si>
    <t>SR 04/14</t>
  </si>
  <si>
    <t>SS 112/07</t>
  </si>
  <si>
    <t>SS 09/17</t>
  </si>
  <si>
    <t>SR 08/17</t>
  </si>
  <si>
    <t>SR 09/17</t>
  </si>
  <si>
    <t>HIV 77/17</t>
  </si>
  <si>
    <t>HIV 106/17</t>
  </si>
  <si>
    <t>HIV 83/17</t>
  </si>
  <si>
    <t>HIV 84/17</t>
  </si>
  <si>
    <t>HIV 85/17</t>
  </si>
  <si>
    <t>HIV100/17</t>
  </si>
  <si>
    <t>SS 10/17</t>
  </si>
  <si>
    <t>SS 04/15</t>
  </si>
  <si>
    <t>SS 71/05</t>
  </si>
  <si>
    <t>SS 10/07</t>
  </si>
  <si>
    <t>SS 06/15</t>
  </si>
  <si>
    <t>SR 05/16</t>
  </si>
  <si>
    <t>SS 129/11</t>
  </si>
  <si>
    <t>HIV 78/17</t>
  </si>
  <si>
    <t>DP 11/08</t>
  </si>
  <si>
    <t>2008</t>
  </si>
  <si>
    <t>CS2</t>
  </si>
  <si>
    <t>PKĐK CS2</t>
  </si>
  <si>
    <t>Đề nghị thanh lý năm 2026</t>
  </si>
  <si>
    <t>Bộ đặt vòng ( DA )</t>
  </si>
  <si>
    <t>Kèm bấm sinh thiết</t>
  </si>
  <si>
    <t>Bàn (XN, cấp phát thuốc, thanh KT )</t>
  </si>
  <si>
    <t>Giường bệnh; Hãng SX: Metech</t>
  </si>
  <si>
    <t>Bàn khám bệnh AT120SK; hiệu Hòa Phát (1 người lớn; 2 trẻ em)</t>
  </si>
  <si>
    <t>Ghế liền 03 cái dùng cho BN (nhận BM )</t>
  </si>
  <si>
    <t xml:space="preserve">Đèn gù </t>
  </si>
  <si>
    <t>Thùng khăn sạch</t>
  </si>
  <si>
    <t>Bàn khám phụ khoa+Bục</t>
  </si>
  <si>
    <t>Giá inox treo dây siêu âm</t>
  </si>
  <si>
    <t>Giường I nox</t>
  </si>
  <si>
    <t>Nệm bông ép giường SÂ</t>
  </si>
  <si>
    <t>Ổn áp</t>
  </si>
  <si>
    <t xml:space="preserve">Tủ Inox đầu giường </t>
  </si>
  <si>
    <t>Đèn mổ 4 bóng</t>
  </si>
  <si>
    <t>Đèn mỗ 12 bóng TQ</t>
  </si>
  <si>
    <t>Đèn gù TQ</t>
  </si>
  <si>
    <t>Tủ thuốc</t>
  </si>
  <si>
    <t>Xe đẩy dụng cụ Inox</t>
  </si>
  <si>
    <t>Bàn tiểu phẩu Inox</t>
  </si>
  <si>
    <t>Bàn mỗ vạn năng</t>
  </si>
  <si>
    <t>Bộ ô xy lưu đông</t>
  </si>
  <si>
    <t>Xe dụng cụ inox</t>
  </si>
  <si>
    <t>Bàn khám PK</t>
  </si>
  <si>
    <t>Hộp đèn soi mô</t>
  </si>
  <si>
    <t>Giá dịch chuyền</t>
  </si>
  <si>
    <t>Hộp inox có nắp chữ nhật</t>
  </si>
  <si>
    <t>Xe đẩy dụng cụ Inox</t>
  </si>
  <si>
    <t>Xe đẩy tiêm thuốc inox</t>
  </si>
  <si>
    <t xml:space="preserve">Giá treo Inox 9 </t>
  </si>
  <si>
    <t>Bình oxy</t>
  </si>
  <si>
    <t>Giường inox</t>
  </si>
  <si>
    <t>Tủ trưng bày</t>
  </si>
  <si>
    <t>Gường khám bệnh</t>
  </si>
  <si>
    <t>Giường khám bệnh GBV-04-00</t>
  </si>
  <si>
    <t>Tủ thuốc cấp cứu Hoàng Gia</t>
  </si>
  <si>
    <t>Bàn khám bệnh người lớn; Hãng SX: Metech</t>
  </si>
  <si>
    <t>Bàn khám bệnh trẻ em; Hãng SX: Metech</t>
  </si>
  <si>
    <t>Bộ ngũ quang</t>
  </si>
  <si>
    <t>Tủ Inox đầu giường</t>
  </si>
  <si>
    <t>Giá treo Inox</t>
  </si>
  <si>
    <t>Giường Inox</t>
  </si>
  <si>
    <t>Ghế tròn xoay Inox</t>
  </si>
  <si>
    <t>Cân Bà mẹ</t>
  </si>
  <si>
    <t>Ghế bệnh nhân (băng ngồi chờ 4 chỗ)</t>
  </si>
  <si>
    <t>Bàn làm việc</t>
  </si>
  <si>
    <t>Cân sức khỏe Akiko</t>
  </si>
  <si>
    <t>Băng ghế chờ (3 chỗ ngồi/dãy)</t>
  </si>
  <si>
    <t>Ghế chờ cho bệnh nhân (1 bộ gồm 4 ghế liền)</t>
  </si>
  <si>
    <t>Tủ lạnh đựng vắc xin Frigor</t>
  </si>
  <si>
    <t>Cân Seca</t>
  </si>
  <si>
    <t>Nhiệt kế hồng ngoại đo trán Microlife</t>
  </si>
  <si>
    <t>Cân sức khỏe có kích thước đo chiều cao</t>
  </si>
  <si>
    <t xml:space="preserve">Máy đo huyết áp cơ ALPK2
Xuất xứ: Tanaka Sangyo Co., Ltd.  Nhật Bản
</t>
  </si>
  <si>
    <t xml:space="preserve">Máy đo huyết áp bắp tay tự động Omron 
Xuất xứ: OMRON HEALTHCARE Co., Ltd. Matsusaka Factory/ Nhật Bản
</t>
  </si>
  <si>
    <t>Máy giặt AQUA AQW-S82JT.BK</t>
  </si>
  <si>
    <t>Tủ thuốc</t>
  </si>
  <si>
    <t xml:space="preserve">Ống nghe 
HSX: ALPK2 ; NSX: JAPAN
</t>
  </si>
  <si>
    <t>Đề nghị thanh lý năm 2026(2 cái)</t>
  </si>
  <si>
    <t>Máy monitoring (máy theo dõi tim thai</t>
  </si>
  <si>
    <t xml:space="preserve">Máy chụp X-quang Analog XR6000; GE Gualun Medical Systems Co.,Ltd/ Trung Quốc, 2021
</t>
  </si>
  <si>
    <t>Hệ thống xử lý ảnh X-quang kỹ thuật số)</t>
  </si>
  <si>
    <t>Vali Champion 5 FG00</t>
  </si>
  <si>
    <t>Vali Champion 6 FG00</t>
  </si>
  <si>
    <t>Buồng đo thính lực cao 2m; dài 1,1m. Rộng 1,1m 4 bánh xe ( cấu tạo 4 lớp nhôm Xingpha; xốp cách nhiệt-chống ồn;Alu)</t>
  </si>
  <si>
    <t>Chuyển 01 phòng TCHC</t>
  </si>
  <si>
    <t>Hỏng 1</t>
  </si>
  <si>
    <t>Đề nghị thanh lý</t>
  </si>
  <si>
    <t xml:space="preserve"> XN KDYTQT</t>
  </si>
  <si>
    <t xml:space="preserve">BNN </t>
  </si>
  <si>
    <t>2. Ông. Hồ Phú Quảng</t>
  </si>
  <si>
    <t>3. Bà. Mai Thị Tính</t>
  </si>
  <si>
    <t>4. Ông. Trương Tấn Nam</t>
  </si>
  <si>
    <t>5. Thành viên tổ kiểm kê</t>
  </si>
  <si>
    <t>Thành viên tổ kiểm kê</t>
  </si>
  <si>
    <t>Nguyễn Đại Vĩnh</t>
  </si>
  <si>
    <t>Trưởng phòng TCKT</t>
  </si>
  <si>
    <t>Hồ Phú Quảng</t>
  </si>
  <si>
    <t>Trương Tấn Nam</t>
  </si>
  <si>
    <t>- Huỳnh Bá Thành..................................</t>
  </si>
  <si>
    <t>Trưởng PKĐK</t>
  </si>
  <si>
    <t>BIÊN BẢN KIỂM KÊ TÀI SẢN CỐ ĐỊNH, CCDC NĂM 2026
PHÒNG KHÁM ĐA KHOA</t>
  </si>
  <si>
    <t>- Phạm Phú Ân........................................</t>
  </si>
  <si>
    <t>- Lê Xuân Lộc..........................................</t>
  </si>
  <si>
    <t>- Lê Thị Thanh Thủy..............................</t>
  </si>
  <si>
    <t>- Hôm nay, ngày       tháng 01 năm 2026, tại Trung tâm Kiểm soát bệnh tật TP Đà Nẵng chúng tôi gồm:</t>
  </si>
  <si>
    <t>Đà Nẵng, ngày      tháng 01 năm 2026</t>
  </si>
  <si>
    <t>- Mai Thị Tính........................................</t>
  </si>
  <si>
    <t>BIÊN BẢN KIỂM KÊ TÀI SẢN CỐ ĐỊNH, CCDC NĂM 2026
KHOA XÉT NGHIỆM - CĐHA - TDCN</t>
  </si>
  <si>
    <t>- Hôm nay, ngày      tháng 01 năm 2026, tại Trung tâm Kiểm soát bệnh tật TP Đà Nẵng chúng tôi gồm:</t>
  </si>
  <si>
    <t>Phụ trách khoa Dược - VTYT</t>
  </si>
  <si>
    <t>4. Ông. Nguyễn Trường Duy</t>
  </si>
  <si>
    <t>Phó Trưởng khoa XN-CĐHA-TDCN</t>
  </si>
  <si>
    <t>TÀI SẢN</t>
  </si>
  <si>
    <t>Mã
số</t>
  </si>
  <si>
    <t>Năm
đưa vào sử dụng</t>
  </si>
  <si>
    <t>Thực tế KK</t>
  </si>
  <si>
    <t xml:space="preserve">Ghi chú
</t>
  </si>
  <si>
    <t>PHÒNG HOÁ LÝ</t>
  </si>
  <si>
    <t>Máy sắc ký khí khối phổ (GC/MS) Thermo, kèm theo:</t>
  </si>
  <si>
    <t>TSXN004</t>
  </si>
  <si>
    <t>Khoa XN-CĐHA-TDCN</t>
  </si>
  <si>
    <t>Hóa TP</t>
  </si>
  <si>
    <t>Labo XN</t>
  </si>
  <si>
    <t>Máy vi tính Dell</t>
  </si>
  <si>
    <t>Máy in Hp D3920</t>
  </si>
  <si>
    <t>Bơm hút chân khôn</t>
  </si>
  <si>
    <t>Bộ lưu điện</t>
  </si>
  <si>
    <t>Máy cô quay chân không Yamato B0410</t>
  </si>
  <si>
    <t>TSXN005</t>
  </si>
  <si>
    <t>Lò nung  Nabertherm B180</t>
  </si>
  <si>
    <t>TSXN006</t>
  </si>
  <si>
    <t>Hỏng, ĐN sửa</t>
  </si>
  <si>
    <t>Kho T6, ĐN sửa</t>
  </si>
  <si>
    <t>Bể ủ có máy khấy Grant</t>
  </si>
  <si>
    <t>TSXN012</t>
  </si>
  <si>
    <t>Buồng hút khí độc  ESCO EQU/04</t>
  </si>
  <si>
    <t>TSXN016</t>
  </si>
  <si>
    <t>Lò nung  Nabertherm</t>
  </si>
  <si>
    <t>TSXN020</t>
  </si>
  <si>
    <t>Máy đồng nhất mẫu  IKA T25 Basic</t>
  </si>
  <si>
    <t>TSXN021</t>
  </si>
  <si>
    <t>Máy cô quay chân không Buchi R200</t>
  </si>
  <si>
    <t>TSXN022</t>
  </si>
  <si>
    <t>Hỏng bơm</t>
  </si>
  <si>
    <r>
      <t xml:space="preserve">Chỉ còn bơm 
chân không, nồi, điều khiển Buchi V500
Labo XN
</t>
    </r>
    <r>
      <rPr>
        <sz val="10"/>
        <rFont val="Times New Roman"/>
        <family val="1"/>
      </rPr>
      <t>ĐN thanh lý</t>
    </r>
  </si>
  <si>
    <t>Máy li tâm Hettich (Đức)</t>
  </si>
  <si>
    <t>TSXN026</t>
  </si>
  <si>
    <t>Tủ sấy Memmert</t>
  </si>
  <si>
    <t>TSXN027</t>
  </si>
  <si>
    <t>Hệ thống máy phá mẫu vi sóng ( Aurora)</t>
  </si>
  <si>
    <t>TSXN032</t>
  </si>
  <si>
    <t>Phòng Hoá Lý- Ngân sách (SYT cấp)</t>
  </si>
  <si>
    <t>Máy chiết béo BUCHI</t>
  </si>
  <si>
    <t>TSXN043</t>
  </si>
  <si>
    <t>Phòng Hoá lý- Sở Y tế TP Đà Nẵng mua cấp</t>
  </si>
  <si>
    <t>Tủ bảo ôn ( Tủ đựng mẫu) Lovibond</t>
  </si>
  <si>
    <t>TSXN047</t>
  </si>
  <si>
    <t>Phòng Hoá lý- Nguồn ATTP</t>
  </si>
  <si>
    <t>Bộ chiếc đạm Model: UDK 132 VELP</t>
  </si>
  <si>
    <t>TSXN050</t>
  </si>
  <si>
    <t>Hoá lý-Dự án HTPTHTYTDP</t>
  </si>
  <si>
    <t>Máy nghiền mẫu khô  Model: M20</t>
  </si>
  <si>
    <t>TSXN051</t>
  </si>
  <si>
    <t>Máy nghiền mẫu ướt Model: A11basic</t>
  </si>
  <si>
    <t>TSXN052</t>
  </si>
  <si>
    <t>Máy cất còn Model:Alcohol distiller
( Bộ cất rượu)</t>
  </si>
  <si>
    <t>TSXN054</t>
  </si>
  <si>
    <r>
      <t xml:space="preserve">01 cái Labo XN;
01 cái tại kho T6 </t>
    </r>
    <r>
      <rPr>
        <sz val="10"/>
        <rFont val="Times New Roman"/>
        <family val="1"/>
      </rPr>
      <t>(Hỏng)</t>
    </r>
  </si>
  <si>
    <t>Máy đo độ cồn (bộ 21 cái) ( Cồn kế)
Model:Alcoholmeter GE ClassIII</t>
  </si>
  <si>
    <t>TSXN056</t>
  </si>
  <si>
    <t>Máy cô quay
Model: Hei VAP Advantage</t>
  </si>
  <si>
    <t>TSXN061</t>
  </si>
  <si>
    <t>Cân phân tích
Model: CPA224S</t>
  </si>
  <si>
    <t>TSXN068</t>
  </si>
  <si>
    <t>Cân kỹ thuật
Mdel: CPA4202S</t>
  </si>
  <si>
    <t>TSXN069</t>
  </si>
  <si>
    <t>Tủ đựng hoá chất chống độc ( Tủ hút hơi khí độc)</t>
  </si>
  <si>
    <t>TSXN070</t>
  </si>
  <si>
    <t>Tủ đựng vật liệu, hoá chất độc hại</t>
  </si>
  <si>
    <t>TSXN071</t>
  </si>
  <si>
    <t>Máy phát hiện Aren Obenco
Model: SP600 (Arsen Orbeco)</t>
  </si>
  <si>
    <t>TSXN072</t>
  </si>
  <si>
    <t>Máy Quang phổ kế tử ngoại khả kiến UV-VIS 2900 
(kèm bộ máy tính)</t>
  </si>
  <si>
    <t>TSXN073</t>
  </si>
  <si>
    <t>Máy lắc ngang (IKA)</t>
  </si>
  <si>
    <t>TSXN076</t>
  </si>
  <si>
    <t xml:space="preserve">Hệ thống chiết rắn tự động ( Model: SPE-01-I; HSX: Promochrom Technologies; nước SX: Canada) </t>
  </si>
  <si>
    <t>TSXN077</t>
  </si>
  <si>
    <t>Phòng Hóa lý -Ngân sách- Sở Y tế TP Đà Nẵng mua cấp</t>
  </si>
  <si>
    <t>Hệ thống sắc ký Ion (Model: Professionnal IC Vario 2.940.1500940 Professionnal IC Vario one/ SeS /PP ; HSX: Metromhm/ Switzerland/ Thụy Sỹ)</t>
  </si>
  <si>
    <t>TSXN079</t>
  </si>
  <si>
    <t>Cột sắc ký ion Metrosep C4-150/4.0 code (6.1050.420)</t>
  </si>
  <si>
    <t>TSXN079-1</t>
  </si>
  <si>
    <t>Phòng Hóa lý -Nguồn TSN</t>
  </si>
  <si>
    <t>Máy phân tích thủy ngân PERKINELMER</t>
  </si>
  <si>
    <t>TSXN082</t>
  </si>
  <si>
    <t>P. Hoá lý-Ngân sách-Sở y tế TP ĐN mua cấp</t>
  </si>
  <si>
    <t>Máy trộn REAX</t>
  </si>
  <si>
    <t>TSXN085</t>
  </si>
  <si>
    <t>Nhiệt kế ẩm kế TH600 (hình tròn)</t>
  </si>
  <si>
    <t>TSXN086</t>
  </si>
  <si>
    <t>Hóa TP-Ngân sách</t>
  </si>
  <si>
    <t>Máy đo nhiệt độ, độ ẩm Model RZ-03313-86 (Thiết bị)</t>
  </si>
  <si>
    <t>TSXN087</t>
  </si>
  <si>
    <t>Hóa TP: 3; DV</t>
  </si>
  <si>
    <t>03 cái tại Labo XN</t>
  </si>
  <si>
    <t>Cân phân tích (AB204-S, Switzerland)</t>
  </si>
  <si>
    <t>TSXN111</t>
  </si>
  <si>
    <t>K. XN-CĐHA-TDCN</t>
  </si>
  <si>
    <t>P. Hóa lý</t>
  </si>
  <si>
    <t>XN KDQT</t>
  </si>
  <si>
    <t>Vòi sen cấp cứu + vòi rửa mắt cấp cứu</t>
  </si>
  <si>
    <t>TSXN096</t>
  </si>
  <si>
    <t>Dự án HTPTHTYTDP</t>
  </si>
  <si>
    <t>Đèn Xenon dùng cho đầu dò huỳnh quang 2475</t>
  </si>
  <si>
    <t>TSXN098</t>
  </si>
  <si>
    <t>Hóa lý-DA NCNL VSATTP
( Xây dựng cơ bản)</t>
  </si>
  <si>
    <t>Labo XN
(ĐN thanh lý)</t>
  </si>
  <si>
    <t>Tủ đựng hóa chất inox</t>
  </si>
  <si>
    <t>TSXN106</t>
  </si>
  <si>
    <t>Tủ lạnh âm sâu (-20ºC)</t>
  </si>
  <si>
    <t>TSXN162</t>
  </si>
  <si>
    <t>Phòng Vi sinh -Dự án Mê Kông</t>
  </si>
  <si>
    <t>P.XLNT</t>
  </si>
  <si>
    <t>Bể rửa siêu âm (Power Sonic 410, Hàn quốc)</t>
  </si>
  <si>
    <t>TSXN114</t>
  </si>
  <si>
    <t>Máy xay mẫu (800S, Mỹ)</t>
  </si>
  <si>
    <t>TSXN117</t>
  </si>
  <si>
    <t>Hệ Thống chưng cất tinh chế axit (Milestone) model:DuoPUR Đức</t>
  </si>
  <si>
    <t>TSXN131</t>
  </si>
  <si>
    <t>DA-Nccs-ttbytdp QĐ 3320-UBND</t>
  </si>
  <si>
    <t>Hệ Thống rửa dụng cụ bằng hơi axit (Milestone) Model: TraceClean Đức</t>
  </si>
  <si>
    <t>TSXN132</t>
  </si>
  <si>
    <t>Hệ thống sắc ký lỏng ghép khối phổ Ba tứ cực (Shimadzu- Nhật Bản) model: LCMS- 8040</t>
  </si>
  <si>
    <t>TSXN133</t>
  </si>
  <si>
    <t>Maý Phân tích Ni tơ ( LECO) model:FP628C Mỹ 
(kèm bộ máy tính)</t>
  </si>
  <si>
    <t>TSXN134</t>
  </si>
  <si>
    <t xml:space="preserve">Hệ thống ký sắc lỏng hiệu năng cao HPLC/UV-VIS 2489 Waters (Alliance e2695 XE) (kèm 5 món: máy tính, CPU, bộ lưu điện..) </t>
  </si>
  <si>
    <t>TSXN411</t>
  </si>
  <si>
    <t xml:space="preserve">Hệ thống Plasma cảm ứng ghép nối đầu dò khối phổ ICP-MS (kèm 7 món: máy tính, CPU, bộ lưu điện..) </t>
  </si>
  <si>
    <t>TSXN412</t>
  </si>
  <si>
    <t>Máy xay mẫu 800s</t>
  </si>
  <si>
    <t>TSXN413</t>
  </si>
  <si>
    <t>Bộ vô cơ phá mẫu DK6</t>
  </si>
  <si>
    <t>TSXN414</t>
  </si>
  <si>
    <t>Bếp điện</t>
  </si>
  <si>
    <t>TSXN415</t>
  </si>
  <si>
    <t>01 cái Khoa tự mua;
01 hỏng (ĐN thanh lý)</t>
  </si>
  <si>
    <t>Thiết bị xét nghiệm nhanh
 hóa chất bảo vệ thực vật gồm:</t>
  </si>
  <si>
    <t>Phòng Hoá lý- Dự án Mê Kông</t>
  </si>
  <si>
    <t>Máy đọc Elisa: TC-96/Teco Diagnostic</t>
  </si>
  <si>
    <t>TSXN036</t>
  </si>
  <si>
    <t>P. XLNT</t>
  </si>
  <si>
    <t>Máy xay mẫu: 800S/Waring</t>
  </si>
  <si>
    <t>TSXN037</t>
  </si>
  <si>
    <t>Bộ lọc chân không: 
Pall Life Science</t>
  </si>
  <si>
    <t>TSXN038</t>
  </si>
  <si>
    <t>Kho tầng 6</t>
  </si>
  <si>
    <t>Bơm chân không:
 MV 6206/Mityvac- Mỹ</t>
  </si>
  <si>
    <t>TSXN039</t>
  </si>
  <si>
    <r>
      <t>Bộ Pipet tự động:
- Pipet đơn kênh: P3960-200A/Labnet 20-200</t>
    </r>
    <r>
      <rPr>
        <sz val="10"/>
        <rFont val="Calibri"/>
        <family val="2"/>
      </rPr>
      <t>µ</t>
    </r>
    <r>
      <rPr>
        <sz val="10"/>
        <rFont val="Times New Roman"/>
        <family val="1"/>
      </rPr>
      <t>l</t>
    </r>
  </si>
  <si>
    <t>TSXN040</t>
  </si>
  <si>
    <t>Hỏng, thất lạc</t>
  </si>
  <si>
    <t>Đề nghị thanh lý
Labo XN</t>
  </si>
  <si>
    <t>Pipet đơn kênh 20-200µl</t>
  </si>
  <si>
    <t>TSXN370</t>
  </si>
  <si>
    <t>Pipet đơn kênh (P3960-200A, Mỹ) 50-200µl</t>
  </si>
  <si>
    <t>TSXN129</t>
  </si>
  <si>
    <t>Pipet đơn kênh 50-200µl</t>
  </si>
  <si>
    <t>TSXN371</t>
  </si>
  <si>
    <t>Pipet đơn kênh 10-100µl</t>
  </si>
  <si>
    <t>TSXN372</t>
  </si>
  <si>
    <t>Pipet đơn kênh 100-1000µl</t>
  </si>
  <si>
    <t>TSXN373</t>
  </si>
  <si>
    <t>Pipet đơn kênh 40-200µl</t>
  </si>
  <si>
    <t>TSXN374</t>
  </si>
  <si>
    <t>Pipet đơn kênh 5-50µl</t>
  </si>
  <si>
    <t>TSXN375</t>
  </si>
  <si>
    <t>Thiết bị đo nhiệt độ Testo 925</t>
  </si>
  <si>
    <t>Phòng Hoá lý-Ngân sách</t>
  </si>
  <si>
    <t>(Bình ắc quy) Bộ lưu điện máy sắc ký ion</t>
  </si>
  <si>
    <t>TSXN136</t>
  </si>
  <si>
    <t>K. XN-CĐHA-TDCN - Nguồn TSN</t>
  </si>
  <si>
    <t>Bộ test kít định lượng hóa chất
bảo vệ thực vật: Abraxis LLC</t>
  </si>
  <si>
    <t>TSXN041</t>
  </si>
  <si>
    <t xml:space="preserve">Hết hạn </t>
  </si>
  <si>
    <t>Đề nghị thanh lý
 (Thất lạc)</t>
  </si>
  <si>
    <t>Hệ thống lọc nước siêu sạch Barnstead</t>
  </si>
  <si>
    <t>TSXN019</t>
  </si>
  <si>
    <t>Máy cất nước 2 lần Hamilton</t>
  </si>
  <si>
    <t>TSXN023</t>
  </si>
  <si>
    <t xml:space="preserve">Máy chuẩn độ điện thế 848 Titrino Plus </t>
  </si>
  <si>
    <t>TSXN031</t>
  </si>
  <si>
    <t>Hoá lý- NLKNVSATTP( Ngân sách)</t>
  </si>
  <si>
    <t>Thiết bị phân tích nhanh lý, 
hóa nước và thực phẩm gồm:</t>
  </si>
  <si>
    <t>Máy quang phổ: 8000/Palintest</t>
  </si>
  <si>
    <t>TSXN033</t>
  </si>
  <si>
    <t>Máy đo độ đục cầm tay:
 HI 98703/Hanna</t>
  </si>
  <si>
    <t>TSXN034</t>
  </si>
  <si>
    <t>Kho T6 (Đề nghị thanh lý)</t>
  </si>
  <si>
    <t>Máy đo pH kết hợp độ dẫn: 
HI 98129/Hanna</t>
  </si>
  <si>
    <t>TSXN035</t>
  </si>
  <si>
    <t>Tủ mát Darling 2620</t>
  </si>
  <si>
    <t>TSXN042</t>
  </si>
  <si>
    <t>Phòng Hoá lý- Nguồn Dịch vụ</t>
  </si>
  <si>
    <t>1 cái tại P. XLNT
1 cái tại labo XN</t>
  </si>
  <si>
    <t>Máy đo PH để bàn 827</t>
  </si>
  <si>
    <t>TSXN045</t>
  </si>
  <si>
    <t>Phòng Hoá lý-Nguồn DA TCNLHTKNCL VSATTP</t>
  </si>
  <si>
    <t>Máy đo Ph để bàn 913</t>
  </si>
  <si>
    <t>TSXN046</t>
  </si>
  <si>
    <t>Lò nung Nabertherm Model:LH60/12/B150</t>
  </si>
  <si>
    <t>TSXN053</t>
  </si>
  <si>
    <t>Máy đo độ đường  Model : ADP 410</t>
  </si>
  <si>
    <t>TSXN055</t>
  </si>
  <si>
    <t>Tỷ trọng kế
Model: Densito 30 GS</t>
  </si>
  <si>
    <t>TSXN057</t>
  </si>
  <si>
    <t>Máy đo độ ẩm ngũ cốc
Model:PM 600</t>
  </si>
  <si>
    <t>TSXN059</t>
  </si>
  <si>
    <t>Bộ cất nước hai lần, Model: A4000D</t>
  </si>
  <si>
    <t>TSXN062</t>
  </si>
  <si>
    <t>Thiết bị phân tích nước 6 thông số
Model:U10</t>
  </si>
  <si>
    <t>TSXN063</t>
  </si>
  <si>
    <t>hỏng</t>
  </si>
  <si>
    <t>Máy đo độ đục
Model: TurbiDirect</t>
  </si>
  <si>
    <t>TSXN064</t>
  </si>
  <si>
    <t>Tủ hút an toàn hoá học
Model:Safehood 120</t>
  </si>
  <si>
    <t>TSXN067</t>
  </si>
  <si>
    <t>Tủ bảo ôn 2-8 độ C, 60 lít (Lect)</t>
  </si>
  <si>
    <t>TSXN075</t>
  </si>
  <si>
    <t>Máy đo Ph để bàn (Model: 780PH  Meter; HSX: Metromhm/ Switzerland)</t>
  </si>
  <si>
    <t>TSXN078</t>
  </si>
  <si>
    <t>Máy đo độ đục tiêu chuẩn  (Model:  HI 93414 CP ; Hãng: Hana; Xuất xứ: Romania)</t>
  </si>
  <si>
    <t>TSXN080</t>
  </si>
  <si>
    <t>Phòng Hóa lý -Ngân sách ( APEC)</t>
  </si>
  <si>
    <t>Máy đo ph (Model: HI 98190; Hãng: Hana; Xuất xứ: Romania)</t>
  </si>
  <si>
    <t>TSXN081-1
TSXN081-2</t>
  </si>
  <si>
    <t>P. XLNT (đã chuyển 
01 cái TSXN 081-3 qua VS-NTP)</t>
  </si>
  <si>
    <t>Máy xây mẫu Blender</t>
  </si>
  <si>
    <t>Máy quang kế dạng cầm tay (HI96745, Romania)</t>
  </si>
  <si>
    <t>TSXN120</t>
  </si>
  <si>
    <t>P.XLNT, ĐN sửa</t>
  </si>
  <si>
    <t>Máy đo độ cứng ( HI96735, Romania)</t>
  </si>
  <si>
    <t>TSXN121</t>
  </si>
  <si>
    <t>Máy đo pH kết hợp độ dẫn (HI98129, Romania)</t>
  </si>
  <si>
    <t>TSXN122</t>
  </si>
  <si>
    <t>Máy giám sát vệ sinh bề mặt ( kiểm tra mức độ vệ sinh bằng phương pháp định lượng ATP)
Model: MPV ICON; hãng SX: Biocontrol Mỹ</t>
  </si>
  <si>
    <t>TSXN135</t>
  </si>
  <si>
    <t>K. XN-CĐHA-TDCN - Nguồn Ngân sách</t>
  </si>
  <si>
    <t>Bình nước cất</t>
  </si>
  <si>
    <t>TSXN423</t>
  </si>
  <si>
    <t>Hệ thống hút khí nâng cấp tủ đựng hoá chất (Quạt hút)</t>
  </si>
  <si>
    <t>TSXN369</t>
  </si>
  <si>
    <t>Bể điều nhiệt Prolabo</t>
  </si>
  <si>
    <t>TSXN029</t>
  </si>
  <si>
    <t>Bộ lấy mẫu nước và chất lỏng</t>
  </si>
  <si>
    <t>TSXN065</t>
  </si>
  <si>
    <t>Kho</t>
  </si>
  <si>
    <t>Máy khuấy từ gia nhiệt (RHB-2, Đức)</t>
  </si>
  <si>
    <t>TSXN113</t>
  </si>
  <si>
    <t>Bộ lọc chân không (PRG-3700, Mỹ)</t>
  </si>
  <si>
    <t>TSXN118</t>
  </si>
  <si>
    <t>Bơm hút chân không (CP-1080, Nhật)</t>
  </si>
  <si>
    <t>TSXN124</t>
  </si>
  <si>
    <t>Bộ cất Cyanide</t>
  </si>
  <si>
    <t>Thiết bị xét nghiệm nhanh hóa chất BVTV bao gồm:</t>
  </si>
  <si>
    <t>TSXN126</t>
  </si>
  <si>
    <t>Bộ lọc chân không (Pall Life Science, Mỹ)</t>
  </si>
  <si>
    <t>TSXN127</t>
  </si>
  <si>
    <t>Bộ lọc chân không</t>
  </si>
  <si>
    <t>TSXN421</t>
  </si>
  <si>
    <t xml:space="preserve">Bơm chân không </t>
  </si>
  <si>
    <t>TSXN422</t>
  </si>
  <si>
    <t>Máy đo nhiệt độ, độ ẩm tự ghi</t>
  </si>
  <si>
    <t>TSXN074</t>
  </si>
  <si>
    <t>Hoá lý -Dự án HTPTHTYTDP</t>
  </si>
  <si>
    <t>TSXN130</t>
  </si>
  <si>
    <t>Thất lạc, ĐN thanh lý</t>
  </si>
  <si>
    <t>TSXN273-3</t>
  </si>
  <si>
    <t>Máy đo đa chỉ tiêu (HI 97745, Hana, Romania)</t>
  </si>
  <si>
    <t>Hóa lý</t>
  </si>
  <si>
    <t>CDC mua mới</t>
  </si>
  <si>
    <t>Máy đo đa chỉ tiêu (HI 9814, Hana, Romania)</t>
  </si>
  <si>
    <t>Tủ lạnh đựng sinh phẩm Sanyo  Electric MPR311D</t>
  </si>
  <si>
    <t>TSKD042</t>
  </si>
  <si>
    <t>DVTYT</t>
  </si>
  <si>
    <t>Tiếp nhận từ Khoa Dược 2026</t>
  </si>
  <si>
    <t>Kệ inox đựng mẫu 3 tầng</t>
  </si>
  <si>
    <t>TSXN094</t>
  </si>
  <si>
    <t>bổ sung
Labo XN</t>
  </si>
  <si>
    <t>Bàn inox 2 tầng (50x80cm)</t>
  </si>
  <si>
    <t>TSXN416</t>
  </si>
  <si>
    <t>Bàn inox</t>
  </si>
  <si>
    <t>TSXN417</t>
  </si>
  <si>
    <t>Kệ inox 4 tầng (kệ lớn đựng TTB)</t>
  </si>
  <si>
    <t>TSXN418</t>
  </si>
  <si>
    <t>Kệ đựng ống nghiệm</t>
  </si>
  <si>
    <t>TSXN419</t>
  </si>
  <si>
    <t>Kệ inox 4 tầng (kệ đựng ống nghiệm)</t>
  </si>
  <si>
    <t>TSXN420</t>
  </si>
  <si>
    <t>Xe chuyên chở PTN</t>
  </si>
  <si>
    <t>TSXN088</t>
  </si>
  <si>
    <t>1 cái P.XLNT
1 cái tại Kho</t>
  </si>
  <si>
    <t>Thùng nhựa đen chứa chất thải hoá học (thùng chứa rác thải hoá học)</t>
  </si>
  <si>
    <t>TSXN091</t>
  </si>
  <si>
    <t>Hoá lý: 2 chiếc;
- Dự án HTPTHTYTDP</t>
  </si>
  <si>
    <t>1 cái tại P.XLNT
1 cái tại Labo XN (PKĐK mượn)</t>
  </si>
  <si>
    <t>Bàn đá</t>
  </si>
  <si>
    <t>TSXN107</t>
  </si>
  <si>
    <t>P.XLNT: 3 cái
labo XN: 5 cái</t>
  </si>
  <si>
    <t>Bàn inxox để dụng cụ</t>
  </si>
  <si>
    <t>TSXN358</t>
  </si>
  <si>
    <t>HIV</t>
  </si>
  <si>
    <t>TSXN410</t>
  </si>
  <si>
    <t>Xe đẩy bình khí, hoá chất</t>
  </si>
  <si>
    <t>TSXN100</t>
  </si>
  <si>
    <t>Ghế inox</t>
  </si>
  <si>
    <t>TSXN092</t>
  </si>
  <si>
    <t>Thùng nhựa vàng có bánh xe ( thùng chứa rác thải sinh học)</t>
  </si>
  <si>
    <t>TSXN090</t>
  </si>
  <si>
    <t>Hoá lý:1 chiếc;
Vi sinh: 3 chiếc- Dự án HTPTHTYTDP</t>
  </si>
  <si>
    <t>Kho rác
tầng 1</t>
  </si>
  <si>
    <t>Ổn áp Hanshin 4KVA</t>
  </si>
  <si>
    <t>TSXN097</t>
  </si>
  <si>
    <t>Kho, ĐN thanh lý</t>
  </si>
  <si>
    <t>Bàn inox nhỏ (0,7 x 0,8m)</t>
  </si>
  <si>
    <t>TSXN095</t>
  </si>
  <si>
    <t>P.Xử lý nước thải 01</t>
  </si>
  <si>
    <t>Bàn inox lớn (1,4 x 0,8m)</t>
  </si>
  <si>
    <t>TSXN105</t>
  </si>
  <si>
    <t>Phòng nhận mẫu Nước-TP
(tầng 1)</t>
  </si>
  <si>
    <t>Lò vi sóng Sharp</t>
  </si>
  <si>
    <t>TSXN341</t>
  </si>
  <si>
    <t>Khoa XN HIV</t>
  </si>
  <si>
    <t>nằm trong hệ thống máy PCR: 2015</t>
  </si>
  <si>
    <t>Nhận từ labo HIV(số 29 phòng xét nghiệm HIV)</t>
  </si>
  <si>
    <t>PHÒNG VIRUS</t>
  </si>
  <si>
    <t>Hệ thống Real-time PCR
Model: Aria Dx Realtime-PCR 
(Seri: 21035331)
NSX: Agilent-Malaysia</t>
  </si>
  <si>
    <t>TSXN137</t>
  </si>
  <si>
    <t>K. XN-CĐHA-TDCN - Công ty TNHH đầu tư và phát triển Đô thị Gia Lâm tài trợ</t>
  </si>
  <si>
    <t>P. Virus</t>
  </si>
  <si>
    <t>Nhập năm 2021</t>
  </si>
  <si>
    <t>Hệ thống PCR định lượng nguyên khối và phụ kiện tiêu chuẩn( Realtime PCR) (Model:MX 3005 P; Hãng sx: Agilent Technologies/ Mỹ- Đức )</t>
  </si>
  <si>
    <t>TSXN267</t>
  </si>
  <si>
    <t>Phòng Vi sinh- Ngân sách- Sở Y tế TP Đà Nẵng mua cấp</t>
  </si>
  <si>
    <t>Hệ thống Real-Time PCR nguyên khối (5 màu) Model: ARIAMX , hãng SX: AGILENT-MỸ</t>
  </si>
  <si>
    <t>TSXN269</t>
  </si>
  <si>
    <t>Phòng Vi sinh  - Sở Y tế TP Đà Nẵng mua cấp</t>
  </si>
  <si>
    <t>Đang sử dụng
Máy lỗi</t>
  </si>
  <si>
    <t>Nhập năm 2020
(máy lỗi ĐN sửa)</t>
  </si>
  <si>
    <t>Hệ thống tách chiết DNA/RNA tự động
Model: MAELSTROM 9600
NSX: Tanbead - Đài Loan</t>
  </si>
  <si>
    <t>TSXN138</t>
  </si>
  <si>
    <t>Máy tách chiết tách mẫu tự động(máy tách chiết DNA tự động)
Chemagic360-D, Phần Lan</t>
  </si>
  <si>
    <t>TSXN139</t>
  </si>
  <si>
    <t>K. XN-CĐHA-TDCN -Tập đoàn dầu khí Việt Nam</t>
  </si>
  <si>
    <r>
      <t>Hệ thống xét nghiệm tự động</t>
    </r>
    <r>
      <rPr>
        <b/>
        <sz val="10"/>
        <rFont val="Times New Roman"/>
        <family val="1"/>
      </rPr>
      <t xml:space="preserve"> (PCR)</t>
    </r>
    <r>
      <rPr>
        <sz val="10"/>
        <rFont val="Times New Roman"/>
        <family val="1"/>
      </rPr>
      <t xml:space="preserve"> Cobas 6800 (đính kèm 5 món: máy tính, máy in, bộ lưu điện …)
Model: Cobas 6800
NSX: Roche-Thụy Sĩ </t>
    </r>
  </si>
  <si>
    <t>TSXN140</t>
  </si>
  <si>
    <t>K. XN-CĐHA-TDCN -Công ty TNHH Nhựa Duy Tân tài trợ</t>
  </si>
  <si>
    <r>
      <t>Tủ âm sâu -80</t>
    </r>
    <r>
      <rPr>
        <sz val="10"/>
        <rFont val="Calibri"/>
        <family val="2"/>
      </rPr>
      <t>°</t>
    </r>
    <r>
      <rPr>
        <sz val="10"/>
        <rFont val="Times New Roman"/>
        <family val="1"/>
      </rPr>
      <t>C, dung tích 519L
Model: MDF-U55V-PE
NSX: PHC Corporation, Nhật Bản</t>
    </r>
  </si>
  <si>
    <t>TSXN141</t>
  </si>
  <si>
    <t xml:space="preserve">Tủ an toàn sinh học cấp II Model: AC2-4El </t>
  </si>
  <si>
    <t>TSXN148</t>
  </si>
  <si>
    <t>Chuyển từ XN HIV đến
nằm trong hệ thống máy PCR: 2015</t>
  </si>
  <si>
    <t xml:space="preserve">Tủ lạnh đựng sinh phẩm( ARCTIKO) model LR300 Đan Mạch </t>
  </si>
  <si>
    <t>TSXN156</t>
  </si>
  <si>
    <t>Tủ âm sâu Sanyo MDF 136</t>
  </si>
  <si>
    <t>TSXN159</t>
  </si>
  <si>
    <t>Vi sinh-PCD CUM</t>
  </si>
  <si>
    <t>Tủ lạnh âm sâu -80 độ C Sanyo</t>
  </si>
  <si>
    <t>TSXN160</t>
  </si>
  <si>
    <t>Block ủ nhiệt khô</t>
  </si>
  <si>
    <t>TSXN266</t>
  </si>
  <si>
    <t>Phòng XN Vi sinh- Nguồn Ngân sách - Sở Y tế TP Đà Nẵng mua cấp</t>
  </si>
  <si>
    <t>Nồi hấp ướt (STURDY) model:SA-300VLA Đài Loan</t>
  </si>
  <si>
    <t>TSXN172</t>
  </si>
  <si>
    <t>Máy li tâm EBA21</t>
  </si>
  <si>
    <t>TSXN193</t>
  </si>
  <si>
    <t>Vi sinh-SXH</t>
  </si>
  <si>
    <t>Máy li tâm lạnh KUBOTA 2800</t>
  </si>
  <si>
    <t>TSXN196</t>
  </si>
  <si>
    <t>Chuyển từ XN HIV đến</t>
  </si>
  <si>
    <t>Máy ly tâm lạnh ống eppendorf tách mẫu DNA để bàn Model: 5424R</t>
  </si>
  <si>
    <t>TSXN197</t>
  </si>
  <si>
    <t xml:space="preserve">Chuyển từ XN HIV đến
P. Virus: 1 cái
Kho: 1 cái
nằm trong hệ thống máy PCR: 2015
</t>
  </si>
  <si>
    <t>Máy li tâm lắng mẫu nhanh PRIFM Mini</t>
  </si>
  <si>
    <t>TSXN376</t>
  </si>
  <si>
    <t>Máy tích điện (Bộ lưu điện)</t>
  </si>
  <si>
    <t>TSXN377</t>
  </si>
  <si>
    <t>Pipet dung tích 100 - 1000 ul</t>
  </si>
  <si>
    <t>TSXN243</t>
  </si>
  <si>
    <t>Micropipet đơn kênh (100µ -1000µ)
Model: P3960-1000A, 
Hãng SX: LABNET-Mỹ</t>
  </si>
  <si>
    <t>TSXN247</t>
  </si>
  <si>
    <t>Pipetman đơn P1000 microlit</t>
  </si>
  <si>
    <t>TSXN234</t>
  </si>
  <si>
    <t>Vi sinh- Dự án HTPTHTYTDP</t>
  </si>
  <si>
    <r>
      <t>Pipet đơn kênh 100-1000</t>
    </r>
    <r>
      <rPr>
        <sz val="10"/>
        <rFont val="Calibri"/>
        <family val="2"/>
      </rPr>
      <t>µ</t>
    </r>
    <r>
      <rPr>
        <sz val="10"/>
        <rFont val="Times New Roman"/>
        <family val="1"/>
      </rPr>
      <t>l</t>
    </r>
  </si>
  <si>
    <t xml:space="preserve"> Pipet dung tích 20 - 200 ul</t>
  </si>
  <si>
    <t>TSXN242</t>
  </si>
  <si>
    <t>Chuyển từ XN HIV đến nằm trong hệ thống máy PCR: 2015</t>
  </si>
  <si>
    <t>Micropipet đơn kênh (20µ -200µ)
Model: P3960-200A, Hãng SX: LABNET-Mỹ</t>
  </si>
  <si>
    <t>TSXN246</t>
  </si>
  <si>
    <t>Pipet dung tích 10 - 100 ul</t>
  </si>
  <si>
    <t>TSXN241</t>
  </si>
  <si>
    <t>Micropipet đơn kênh (10µ -100µ)
Model: P3960-100A, Hãng SX: LABNET-Mỹ</t>
  </si>
  <si>
    <t>TSXN245</t>
  </si>
  <si>
    <t>Pipetman đơn P100 microlit</t>
  </si>
  <si>
    <t>TSXN237</t>
  </si>
  <si>
    <t>Pipetman đơn P50 microlit</t>
  </si>
  <si>
    <t>TSXN233</t>
  </si>
  <si>
    <t>Pipet dung tích 0,1 - 2,5 ul</t>
  </si>
  <si>
    <t>TSXN238</t>
  </si>
  <si>
    <t>Pipet đơn kênh 2-20µl</t>
  </si>
  <si>
    <t>Pipet dung tích 2 - 20 ul</t>
  </si>
  <si>
    <t>TSXN240</t>
  </si>
  <si>
    <r>
      <t>Pipet đơn kênh 200</t>
    </r>
    <r>
      <rPr>
        <sz val="10"/>
        <rFont val="Calibri"/>
        <family val="2"/>
      </rPr>
      <t>µ</t>
    </r>
    <r>
      <rPr>
        <sz val="10"/>
        <rFont val="Times New Roman"/>
        <family val="1"/>
      </rPr>
      <t>l</t>
    </r>
  </si>
  <si>
    <t>Pipet dung tích 0,5 - 10 ul</t>
  </si>
  <si>
    <t>TSXN239</t>
  </si>
  <si>
    <r>
      <t>Micropipet đơn kênh (0,5µ -10</t>
    </r>
    <r>
      <rPr>
        <sz val="10"/>
        <rFont val="Calibri"/>
        <family val="2"/>
      </rPr>
      <t xml:space="preserve">µ)
</t>
    </r>
    <r>
      <rPr>
        <sz val="10"/>
        <rFont val="Times New Roman"/>
        <family val="1"/>
      </rPr>
      <t>Model: P3960-10A, Hãng SX: LABNET-Mỹ</t>
    </r>
  </si>
  <si>
    <t>TSXN244</t>
  </si>
  <si>
    <r>
      <t>Pipet đơn kênh 10</t>
    </r>
    <r>
      <rPr>
        <sz val="10"/>
        <rFont val="Calibri"/>
        <family val="2"/>
      </rPr>
      <t>µ</t>
    </r>
    <r>
      <rPr>
        <sz val="10"/>
        <rFont val="Times New Roman"/>
        <family val="1"/>
      </rPr>
      <t>l</t>
    </r>
  </si>
  <si>
    <t>Micropipet 12 kênh (5-50ul), dụng cụ hút mẫu 12 đầu hút</t>
  </si>
  <si>
    <t>TSXN248</t>
  </si>
  <si>
    <t>Nguồn Ngân sách</t>
  </si>
  <si>
    <t>Pipetman đa kênh P 5 - 50 microlit</t>
  </si>
  <si>
    <t>TSXN232</t>
  </si>
  <si>
    <t>Vi sinh-Dự án HTPTHTYTDP</t>
  </si>
  <si>
    <t>Micropipet 12 kênh (30-300ul), dụng cụ hút mẫu 12 đầu hút</t>
  </si>
  <si>
    <t>TSXN249</t>
  </si>
  <si>
    <t>Pipetman đa kênh P 30 - 300 microlit</t>
  </si>
  <si>
    <t>TSXN231</t>
  </si>
  <si>
    <t>Máy làm đá vảy BREMA</t>
  </si>
  <si>
    <t>TSXN274</t>
  </si>
  <si>
    <t>Vi sinh-DA Cum</t>
  </si>
  <si>
    <t>Tủ đông trữ mẫu (-30ºC 300 Lít) 
Model: MDF-MU339; hãng SX: PHC Coporation- NB</t>
  </si>
  <si>
    <t>TSXN158</t>
  </si>
  <si>
    <t>TSXN273-1</t>
  </si>
  <si>
    <t>4 cái (đã chuyển 3 cái: CLS, HIV, Hóa lý)</t>
  </si>
  <si>
    <t>Máy lắc trộn BR-2000</t>
  </si>
  <si>
    <t>TSXN213</t>
  </si>
  <si>
    <t>P.vius: 1 cái
P.VS-NTP: 1 cái</t>
  </si>
  <si>
    <t>Máy li tâm Centurion Scientific</t>
  </si>
  <si>
    <t>TSXN195</t>
  </si>
  <si>
    <t>Chuyển từ kho xuống Virus</t>
  </si>
  <si>
    <t xml:space="preserve">Bàn inox có hộc </t>
  </si>
  <si>
    <t>TSXN378</t>
  </si>
  <si>
    <t>Kệ đựng inox 4 tầng</t>
  </si>
  <si>
    <t>TSXN379</t>
  </si>
  <si>
    <t>TSXN380</t>
  </si>
  <si>
    <t>9 cái</t>
  </si>
  <si>
    <t>TSXN381</t>
  </si>
  <si>
    <t>Nhiệt kế ẩm kế TH600</t>
  </si>
  <si>
    <t>TSXN219</t>
  </si>
  <si>
    <t>Vi sinh- Ngân sách</t>
  </si>
  <si>
    <t>PHÒNG VI SINH - NƯỚC THỰC PHẨM</t>
  </si>
  <si>
    <t>Tủ an toàn sinh học cấp 2 ESCO - CLASS II BSC</t>
  </si>
  <si>
    <t>TSXN143</t>
  </si>
  <si>
    <t>Phòng Vi sinh- Dự án  JICA ( nguồn khác) - Ngân sách</t>
  </si>
  <si>
    <t>Tủ an toàn sinh học cấp II</t>
  </si>
  <si>
    <t>TSXN145</t>
  </si>
  <si>
    <t>Tủ lạnh (LG GN-U242RT)</t>
  </si>
  <si>
    <t>TSXN149</t>
  </si>
  <si>
    <t>Tủ lạnhToshiba GR-22VT</t>
  </si>
  <si>
    <t>TSXN150</t>
  </si>
  <si>
    <t>Vi sinh</t>
  </si>
  <si>
    <t>Hỏng 01 cái</t>
  </si>
  <si>
    <t>Tủ lạnh Toshiba 19X</t>
  </si>
  <si>
    <t>TSXN151</t>
  </si>
  <si>
    <t>Vi sinh- Dịch vụ</t>
  </si>
  <si>
    <t>Tủ lạnh Sharp</t>
  </si>
  <si>
    <t>TSXN152</t>
  </si>
  <si>
    <t>Vi sinh:1; -Dự án HTPTHTYTDP</t>
  </si>
  <si>
    <t>Tủ bảo ôn 425 lit LOVIBOND</t>
  </si>
  <si>
    <t>TSXN155</t>
  </si>
  <si>
    <t xml:space="preserve"> Phòng Vi sinh- Nguồn DA tăng cường năng lực hệ thống kiểm nghiệm chất lượng VSATTP</t>
  </si>
  <si>
    <t>Tủ mát Alaska FL-8C 730l (2 cửa)</t>
  </si>
  <si>
    <t>TSXN157</t>
  </si>
  <si>
    <t>Phòng Vi sinh
 - Ngân sách</t>
  </si>
  <si>
    <t>Nhập năm 2020
P.VS-NTP: 1 cái
(Đã chuyển P. Cận lâm sàng: 1 cái)</t>
  </si>
  <si>
    <t>Tủ lạnh âm sâu -80C</t>
  </si>
  <si>
    <t>TSXN161</t>
  </si>
  <si>
    <t xml:space="preserve">Tủ âm sâu -30C,Model: MDF-U333 Sanyo
</t>
  </si>
  <si>
    <t>TSXN163</t>
  </si>
  <si>
    <t xml:space="preserve">Tủ âm sâu -86 độ C  ( THERMO)
</t>
  </si>
  <si>
    <t>TSXN164</t>
  </si>
  <si>
    <t>P.Vi sinh-Ngân sách-mua sắm tập trung</t>
  </si>
  <si>
    <t>Tủ lạnh Sanaky</t>
  </si>
  <si>
    <t>TSXN338</t>
  </si>
  <si>
    <t>Tủ ấm Binder BD 53- Đức</t>
  </si>
  <si>
    <t>TSXN165-2</t>
  </si>
  <si>
    <t>Vi sinh-DA NCNL VSATTP 
( Xây dựng cơ bản)</t>
  </si>
  <si>
    <t>Tủ ấm: ISGI-30T/JSR</t>
  </si>
  <si>
    <t>TSXN166</t>
  </si>
  <si>
    <t>Nồi hấp ( Autoclave ES-315, Nhật) TOMY</t>
  </si>
  <si>
    <t>TSXN171</t>
  </si>
  <si>
    <t>Phòng VS -Khoa XN</t>
  </si>
  <si>
    <t>Kiểm dịch</t>
  </si>
  <si>
    <t>Cơ sở 2</t>
  </si>
  <si>
    <t>Nồi hấp Model: ES315</t>
  </si>
  <si>
    <t>TSXN173</t>
  </si>
  <si>
    <t>Hấp xử lý rác thải y tế</t>
  </si>
  <si>
    <t>Tủ sấy lớn 250 độC 120 lít
Model:LDO-150F</t>
  </si>
  <si>
    <t>TSXN176</t>
  </si>
  <si>
    <t>Cân điện tử ACB 300g</t>
  </si>
  <si>
    <t>TSXN182</t>
  </si>
  <si>
    <t>Cân điện tử ACB 150g</t>
  </si>
  <si>
    <t>TSXN185</t>
  </si>
  <si>
    <t>Cân kỹ thuật</t>
  </si>
  <si>
    <t>TSXN183</t>
  </si>
  <si>
    <t>Cân kỹ thuật Preasa (PRECISA)</t>
  </si>
  <si>
    <t>TSXN184</t>
  </si>
  <si>
    <t>Kính hiển vi huỳnh quang (kèm máy in HP 8000)</t>
  </si>
  <si>
    <t>TSXN186</t>
  </si>
  <si>
    <t>Máy in tại kho
CLS mượn 01 kính</t>
  </si>
  <si>
    <t>Lò vi sóng SHARP</t>
  </si>
  <si>
    <t>TSXN200</t>
  </si>
  <si>
    <t>Phòng Vi sinh- Nguồn ATTP</t>
  </si>
  <si>
    <t>Lò vi sóng</t>
  </si>
  <si>
    <t>TSXN201</t>
  </si>
  <si>
    <t xml:space="preserve">Hệ thống lọc 3 kênh (Merck Millipore) Mỹ </t>
  </si>
  <si>
    <t>TSXN206</t>
  </si>
  <si>
    <t>Máy xử lý mẫu vi sinh TP Stomacher 400</t>
  </si>
  <si>
    <t>TSXN209</t>
  </si>
  <si>
    <t>Máy phá mẫu (400 Circulator, Anh)</t>
  </si>
  <si>
    <t>TSXN212</t>
  </si>
  <si>
    <t>Labo vi khuẩn</t>
  </si>
  <si>
    <t>Nồi đun cách thuỷ Model: WNB 14</t>
  </si>
  <si>
    <t>TSXN216</t>
  </si>
  <si>
    <t>Máy nước cất 2 lần A4000D</t>
  </si>
  <si>
    <t>TSXN222</t>
  </si>
  <si>
    <t>Thiết bị trợ pipet</t>
  </si>
  <si>
    <t>TSXN224</t>
  </si>
  <si>
    <t>Máy đếm khuẩn lạc
Model:Manual Colony Couínter</t>
  </si>
  <si>
    <t>TSXN225</t>
  </si>
  <si>
    <t>Máy pha chế môi trường nuôi cấy</t>
  </si>
  <si>
    <t>TSXN226</t>
  </si>
  <si>
    <t>Đèn UV: EA 160/Spectronics</t>
  </si>
  <si>
    <t>TSXN227</t>
  </si>
  <si>
    <t>Nồi hấp tiệt trùng ALP (Nhật Bản)</t>
  </si>
  <si>
    <t>TSXN317</t>
  </si>
  <si>
    <t>Nồi nước cất 2 lần HAMILTON</t>
  </si>
  <si>
    <t>TSXN350</t>
  </si>
  <si>
    <t>Nhiệt kế ẩm kế Tanita</t>
  </si>
  <si>
    <t>TSXN218</t>
  </si>
  <si>
    <t>Thất lạc 01 cái</t>
  </si>
  <si>
    <t xml:space="preserve">Nhiệt kế Max 0-150 độ C 
( Nhiệt kế vẩy 10/150 cc) Assislen ( Đức) </t>
  </si>
  <si>
    <t>TSXN220</t>
  </si>
  <si>
    <t>P. Vi sinh- XNM</t>
  </si>
  <si>
    <t xml:space="preserve">Buồng thao tác chuẩn bị phản ứng realtime PCR  Model: SCR - 2AL </t>
  </si>
  <si>
    <t>TSXN268-1
TSXN268-2
TSXN268-3</t>
  </si>
  <si>
    <t>Chuyển từ XN HIV đến
P.vius: 1 cái
P.VS-NTP: 1 cái
Kho: 1 cái (TSXN268-3 Không sử dụng)</t>
  </si>
  <si>
    <t>Tủ ấm điện tử hiện số Class E Model INE 550 -Memmert</t>
  </si>
  <si>
    <t>TSXN167-1
TSXN167-2
TSXN167-3</t>
  </si>
  <si>
    <t>Phòng Vi sinh - Dự án tăng cường năng lực hệ thống kiểm nghiệm chất lượng VSATTP</t>
  </si>
  <si>
    <t>P.VS-NTP: 2 cái
Kho: 1 cái (TSXN167-3 Không sử dụng)</t>
  </si>
  <si>
    <t>TSXN389</t>
  </si>
  <si>
    <t>P.VS-NTP</t>
  </si>
  <si>
    <t>Tủ ấm điều nhiệt (MIR-153, Nhật) Sanyo</t>
  </si>
  <si>
    <t>TSXN168</t>
  </si>
  <si>
    <t>Chờ sử dụng</t>
  </si>
  <si>
    <t>Nồi hấp tiệt trùng (SA-300H, Đài Loan)</t>
  </si>
  <si>
    <t>TSXN170</t>
  </si>
  <si>
    <t>chưa sử dụng</t>
  </si>
  <si>
    <t>Nồi hấp ướt tiệt trùng 53 lít</t>
  </si>
  <si>
    <t>TSXN174</t>
  </si>
  <si>
    <t>Nồi hấp ướt ALP</t>
  </si>
  <si>
    <t>TSXN175</t>
  </si>
  <si>
    <t>Tủ sấy JSON-153P(JSOF, Hàn quốc) JSON-153P</t>
  </si>
  <si>
    <t>TSXN178</t>
  </si>
  <si>
    <t>KDYT</t>
  </si>
  <si>
    <t>Máy li tâm lạnh 200R  1,5 ml</t>
  </si>
  <si>
    <t>TSXN191</t>
  </si>
  <si>
    <t>Máy li tâm lạnh 320R</t>
  </si>
  <si>
    <t>TSXN192</t>
  </si>
  <si>
    <t>Máy ly tâm lắng mẫu nhanh, có rotor cho strip 8 ống Model: Micro-6</t>
  </si>
  <si>
    <t>TSXN198</t>
  </si>
  <si>
    <t xml:space="preserve">Máy li tâm lạnh ống Eppendorf
Model: Velocity 15HR, hãng SX: Dynamica- Anh </t>
  </si>
  <si>
    <t>TSXN199</t>
  </si>
  <si>
    <t>Bơm chân không (Đức) D79112</t>
  </si>
  <si>
    <t>TSXN207</t>
  </si>
  <si>
    <t>Bơm chân không ( MV 6206, Mỹ)</t>
  </si>
  <si>
    <t>TSXN208</t>
  </si>
  <si>
    <t>Máy trộn mẫu ( Votex)</t>
  </si>
  <si>
    <t>TSXN210</t>
  </si>
  <si>
    <t>TSXN211</t>
  </si>
  <si>
    <t>TSXN214</t>
  </si>
  <si>
    <t>Máy lắc votex Model: Vortex Genius 3</t>
  </si>
  <si>
    <t>TSXN215</t>
  </si>
  <si>
    <t>Đèn UV (EA160, Mỹ)</t>
  </si>
  <si>
    <t>TSXN230</t>
  </si>
  <si>
    <t>Labo vi khuẩn, 
P. Vi sinh</t>
  </si>
  <si>
    <t>Buồng thao tác PCR</t>
  </si>
  <si>
    <t>TSXN262</t>
  </si>
  <si>
    <t>Máy đo ph (Model: HI 98190; Hãng: Hana; Xuất xứ: Romania)  )</t>
  </si>
  <si>
    <t>TSXN081-3</t>
  </si>
  <si>
    <t>Chuyển từ Hóa lý sang</t>
  </si>
  <si>
    <t>Tủ sấy tiệt trùng( MEMMERT) model:SF 110</t>
  </si>
  <si>
    <t>TSXN289</t>
  </si>
  <si>
    <t>Phòng xét nghiệm 06 PCT</t>
  </si>
  <si>
    <t>Chuyển từ CLS sang</t>
  </si>
  <si>
    <t>Nhiệt kế thuỷ tinh</t>
  </si>
  <si>
    <t>TSXN382</t>
  </si>
  <si>
    <t>TSXN250</t>
  </si>
  <si>
    <t>Vi sinh:2; Dự án HTPTHTYTDP</t>
  </si>
  <si>
    <t>Giỏ đựng mẫu XN 
chuyên dụng Inox</t>
  </si>
  <si>
    <t>TSXN251</t>
  </si>
  <si>
    <t>Vi sinh:4;  Dự án HTPTHTYTDP</t>
  </si>
  <si>
    <t>TSXN383</t>
  </si>
  <si>
    <t>Chuyển từ phòng HC Khoa 6 cái</t>
  </si>
  <si>
    <t>Tủ inox 4 tầng 2 cánh (Dự Án)</t>
  </si>
  <si>
    <t>TSXN384</t>
  </si>
  <si>
    <t>Xe đẩy inox 2 tầng</t>
  </si>
  <si>
    <t>TSXN385</t>
  </si>
  <si>
    <t>TSXN386</t>
  </si>
  <si>
    <t>Giá để dụng cụ inox 4 tầng</t>
  </si>
  <si>
    <t>TSXN387</t>
  </si>
  <si>
    <t>PHÒNG CẬN LÂM SÀNG</t>
  </si>
  <si>
    <t>Tủ an toàn sinh học cấp II ( Labtech)</t>
  </si>
  <si>
    <t>TSXN147</t>
  </si>
  <si>
    <t>P. Cận lâm sàng</t>
  </si>
  <si>
    <t>Tủ ấm JSR (ISGI-30T, Hàn Quốc)</t>
  </si>
  <si>
    <t>TSXN169</t>
  </si>
  <si>
    <t>Máy li tâm Kubota 2010 (Nhật)</t>
  </si>
  <si>
    <t>TSXN190</t>
  </si>
  <si>
    <t>Máy nước tiểu 720 Plus</t>
  </si>
  <si>
    <t>TSXN254</t>
  </si>
  <si>
    <t>Vi sinh (DV)</t>
  </si>
  <si>
    <t>không sử dụng</t>
  </si>
  <si>
    <t>P. Cận lâm sàng;</t>
  </si>
  <si>
    <t>Máy phân tích huyết học tự động 26 thông số 5 thành phần bạch cầu (Sysmex XS1000i)</t>
  </si>
  <si>
    <t>TSXN255</t>
  </si>
  <si>
    <t>Máy phân tích sinh hoá tự động
Model:AU400</t>
  </si>
  <si>
    <t>TSXN258</t>
  </si>
  <si>
    <t>TSXN259</t>
  </si>
  <si>
    <t>Máy xét nghiệm sinh hóa tự động 
Humastar 200</t>
  </si>
  <si>
    <t>TSXN342</t>
  </si>
  <si>
    <t xml:space="preserve">Máy phân tích nước tiểu 10 TS MISSION U120 Mỹ </t>
  </si>
  <si>
    <t>TSXN276</t>
  </si>
  <si>
    <t>Phòng XN 06 PCT</t>
  </si>
  <si>
    <t xml:space="preserve">Máy đông máu  BIO SOLEA 4 Pháp </t>
  </si>
  <si>
    <t>TSXN278</t>
  </si>
  <si>
    <t xml:space="preserve">Máy lắc </t>
  </si>
  <si>
    <t>TSXN279</t>
  </si>
  <si>
    <t>Máy ly tâm (mẫu máu) đa năng để bàn Model: 5702</t>
  </si>
  <si>
    <t>TSXN281</t>
  </si>
  <si>
    <t xml:space="preserve">chuyển từ XN HIV </t>
  </si>
  <si>
    <t xml:space="preserve">Kính hiển vi Olympus CX21 Nhật </t>
  </si>
  <si>
    <t>TSXN285</t>
  </si>
  <si>
    <t>chuyển từ khoa KST -CT qua</t>
  </si>
  <si>
    <t>TSXN287</t>
  </si>
  <si>
    <t xml:space="preserve">Tủ lạnh Sharp </t>
  </si>
  <si>
    <t>TSXN288</t>
  </si>
  <si>
    <t>Máy sấy dụng cụ( Lò nướng)</t>
  </si>
  <si>
    <t>TSXN290</t>
  </si>
  <si>
    <t>Máy sinh hoá bán tự động( máy phân tích sinh hoá bán tự động)
Model: Humalyzer 4000 (Đức)</t>
  </si>
  <si>
    <t>TSXN291</t>
  </si>
  <si>
    <t>Phòng xét nghiệm 06 PCT - Nguồn Ngân sách</t>
  </si>
  <si>
    <t>Kính hiển vi thường Nikon</t>
  </si>
  <si>
    <t>TSXN187</t>
  </si>
  <si>
    <t>P. Cận lâm sàng;
Hỏng vật kính 100</t>
  </si>
  <si>
    <r>
      <t>Pipet đơn kênh 0,5-10</t>
    </r>
    <r>
      <rPr>
        <sz val="10"/>
        <rFont val="Calibri"/>
        <family val="2"/>
      </rPr>
      <t>µ</t>
    </r>
    <r>
      <rPr>
        <sz val="10"/>
        <rFont val="Times New Roman"/>
        <family val="1"/>
      </rPr>
      <t>l</t>
    </r>
  </si>
  <si>
    <t>TSXN401</t>
  </si>
  <si>
    <t>TSXN273-4</t>
  </si>
  <si>
    <t>chuyển từ labo virus sang</t>
  </si>
  <si>
    <t>Chuyển Vi sinh qua</t>
  </si>
  <si>
    <t>Máy hủy kim</t>
  </si>
  <si>
    <t>TSHIV043</t>
  </si>
  <si>
    <t>Methadon</t>
  </si>
  <si>
    <t>KHOA PC HIV/AIDS &amp; QLĐTNC</t>
  </si>
  <si>
    <t>Bàn giao không có hồ sơ thiết bị
(nhận từ labo HIV - TÀI SẢN TIẾP NHẬN TỪ KHOA PC HIV/AIDS &amp; QLĐTNC số 03)</t>
  </si>
  <si>
    <t xml:space="preserve">DỤNG CỤ , VẬT TƯ KHÁC </t>
  </si>
  <si>
    <t>Giá đỡ kiểu tròn</t>
  </si>
  <si>
    <t>TSXN275</t>
  </si>
  <si>
    <t>Chuyển từ XN HIV đến
P. Cận lâm sàng</t>
  </si>
  <si>
    <t>Tủ lạnh Arctiko</t>
  </si>
  <si>
    <t>TSXN396</t>
  </si>
  <si>
    <t>Máy phát điện</t>
  </si>
  <si>
    <t>TSXN397</t>
  </si>
  <si>
    <t>CLS: 01, Kho: 01</t>
  </si>
  <si>
    <t>TSXN398</t>
  </si>
  <si>
    <t>TSXN399</t>
  </si>
  <si>
    <t>TSXN400</t>
  </si>
  <si>
    <t xml:space="preserve">Nhiệt kế tủ lạnh </t>
  </si>
  <si>
    <t>TSXN293</t>
  </si>
  <si>
    <t xml:space="preserve">Đồng hồ bấm giây </t>
  </si>
  <si>
    <t>TSXN294</t>
  </si>
  <si>
    <t xml:space="preserve">Pince gắp bông </t>
  </si>
  <si>
    <t>TSXN295</t>
  </si>
  <si>
    <t>P. Cận lâm sàng
Gãy 1 cái</t>
  </si>
  <si>
    <t xml:space="preserve">Hộp bông cồn </t>
  </si>
  <si>
    <t>TSXN296</t>
  </si>
  <si>
    <t xml:space="preserve">Kẹp có mấu </t>
  </si>
  <si>
    <t>TSXN297</t>
  </si>
  <si>
    <t xml:space="preserve">Khay quả đậu </t>
  </si>
  <si>
    <t>TSXN298</t>
  </si>
  <si>
    <t>Khay Inox</t>
  </si>
  <si>
    <t>TSXN299</t>
  </si>
  <si>
    <t>Giá Inox đựng lam</t>
  </si>
  <si>
    <t>TSXN300</t>
  </si>
  <si>
    <t xml:space="preserve">Hộp Inox hình chữ nhật </t>
  </si>
  <si>
    <t>TSXN301</t>
  </si>
  <si>
    <t xml:space="preserve">Hộp gửi mẫu </t>
  </si>
  <si>
    <t>TSXN302</t>
  </si>
  <si>
    <t xml:space="preserve">Hộp xử lý mẫu tràn đổ </t>
  </si>
  <si>
    <t>TSXN303</t>
  </si>
  <si>
    <t>Thùng nhựa đen chứa chất thải hoá học( thùng chứa rác thải hoá học)</t>
  </si>
  <si>
    <t>TSXN252</t>
  </si>
  <si>
    <t>Hoá lý: 2 chiếc;
Vi sinh: 2 chiếc- Dự án HTPTHTYTDP</t>
  </si>
  <si>
    <t>Chuyển từ Kho VS sang</t>
  </si>
  <si>
    <t>PHÒNG XÉT NGHIỆM HIV</t>
  </si>
  <si>
    <t>Buồng sinh học Telstar Tây Ban Nha</t>
  </si>
  <si>
    <t>TSXN306</t>
  </si>
  <si>
    <t>Phòng khẳng định HIV</t>
  </si>
  <si>
    <r>
      <t>Tủ lạnh SANYO -20</t>
    </r>
    <r>
      <rPr>
        <vertAlign val="superscript"/>
        <sz val="10"/>
        <rFont val="Times New Roman"/>
        <family val="1"/>
      </rPr>
      <t>o</t>
    </r>
    <r>
      <rPr>
        <sz val="10"/>
        <rFont val="Times New Roman"/>
        <family val="1"/>
      </rPr>
      <t>C bảo quản mẫu</t>
    </r>
  </si>
  <si>
    <t>TSXN308</t>
  </si>
  <si>
    <r>
      <t>Tủ lạnh SANYO +4</t>
    </r>
    <r>
      <rPr>
        <vertAlign val="superscript"/>
        <sz val="10"/>
        <rFont val="Times New Roman"/>
        <family val="1"/>
      </rPr>
      <t>o</t>
    </r>
    <r>
      <rPr>
        <sz val="10"/>
        <rFont val="Times New Roman"/>
        <family val="1"/>
      </rPr>
      <t>C bảo quản mẫu</t>
    </r>
  </si>
  <si>
    <t>TSXN309</t>
  </si>
  <si>
    <t>Tủ lạnh Panasonic</t>
  </si>
  <si>
    <t>TSXN310</t>
  </si>
  <si>
    <t>Dự ánFHI</t>
  </si>
  <si>
    <t>Máy in Elisa HP P2014 + CPU + màn hình</t>
  </si>
  <si>
    <t>TSXN314</t>
  </si>
  <si>
    <t>Máy ủ lắc khay vi thể</t>
  </si>
  <si>
    <t>TSXN316</t>
  </si>
  <si>
    <t>Dàn Elisa Bio-Rad</t>
  </si>
  <si>
    <t xml:space="preserve">   + Máy ủ IPS (sx: Pháp)</t>
  </si>
  <si>
    <t>TSXN319</t>
  </si>
  <si>
    <t xml:space="preserve">   + Máy rửa PW40 (sx: Pháp)</t>
  </si>
  <si>
    <t>TSXN320</t>
  </si>
  <si>
    <t xml:space="preserve">   + Máy đọc IMark (sx: Nhật)</t>
  </si>
  <si>
    <t>TSXN321</t>
  </si>
  <si>
    <t xml:space="preserve">P. Virus mượn </t>
  </si>
  <si>
    <t xml:space="preserve">   + Dàn máy vi tính Samsung E1720</t>
  </si>
  <si>
    <t>TSXN322</t>
  </si>
  <si>
    <t xml:space="preserve">   + Máy in HP P1102.</t>
  </si>
  <si>
    <t>TSXN323</t>
  </si>
  <si>
    <t>Phòng nhận mẫu tầng 1</t>
  </si>
  <si>
    <t>Máy đếm tế bào CD4 (Cy Flow)</t>
  </si>
  <si>
    <t>TSXN324</t>
  </si>
  <si>
    <t xml:space="preserve">Hệ thống máy PCR bao gồm: </t>
  </si>
  <si>
    <t>TSXN325</t>
  </si>
  <si>
    <t>Máy nhân gen có chức năng gradient Hãng Eppendorf sx: Đức</t>
  </si>
  <si>
    <t>TSXN326</t>
  </si>
  <si>
    <t>Micropipette chuyên dụng cho sinh học</t>
  </si>
  <si>
    <t>TSXN327</t>
  </si>
  <si>
    <t xml:space="preserve">    + Pipet dung tích 0,1 - 2,5 ul</t>
  </si>
  <si>
    <t>TSXN328</t>
  </si>
  <si>
    <t xml:space="preserve">    + Pipet dung tích 0,5 - 10 ul</t>
  </si>
  <si>
    <t>TSXN329</t>
  </si>
  <si>
    <t xml:space="preserve">    + Pipet dung tích 2 - 20 ul</t>
  </si>
  <si>
    <t>TSXN330</t>
  </si>
  <si>
    <t xml:space="preserve">    + Pipet dung tích 10 - 100 ul</t>
  </si>
  <si>
    <t>TSXN331</t>
  </si>
  <si>
    <t xml:space="preserve">    + Pipet dung tích 20 - 200 ul</t>
  </si>
  <si>
    <t>TSXN332</t>
  </si>
  <si>
    <t xml:space="preserve">    + Pipet dung tích 100 - 1000 ul</t>
  </si>
  <si>
    <t>TSXN333</t>
  </si>
  <si>
    <t xml:space="preserve">    + Giá đỡ kiểu tròn</t>
  </si>
  <si>
    <t>TSXN334</t>
  </si>
  <si>
    <t>HIV: 3, CLS: 2, VS: 1</t>
  </si>
  <si>
    <t>TSXN335</t>
  </si>
  <si>
    <t>Phòng nhận mẫu 
tầng 3;
ĐN sửa</t>
  </si>
  <si>
    <t>Máy ủ nhiệt có làm lạnh kèm lắc rung. Model: Thermomixer comfort</t>
  </si>
  <si>
    <t>TSXN336</t>
  </si>
  <si>
    <t>Tủ lạnh bảo quản mẫu Elctrolux</t>
  </si>
  <si>
    <t>TSXN337</t>
  </si>
  <si>
    <t>Máy điện di ngang và bộ nguồn. Model: Mupid-2plus</t>
  </si>
  <si>
    <t>TSXN339</t>
  </si>
  <si>
    <t>Máy chụp ảnh del điện di. 
Model: DigiDoc-It + Màn hình+CPU+IN</t>
  </si>
  <si>
    <t>TSXN340</t>
  </si>
  <si>
    <t xml:space="preserve">
Kho, ĐN thanh lý
</t>
  </si>
  <si>
    <t>Ổn áp Mitsu 117LD 1KVA</t>
  </si>
  <si>
    <t>TSXN344</t>
  </si>
  <si>
    <t>TSXN346</t>
  </si>
  <si>
    <t>Phòng lấy mẫu tầng 3</t>
  </si>
  <si>
    <t>Máy li tâm  KUBOTA 5200</t>
  </si>
  <si>
    <t>TSXN347</t>
  </si>
  <si>
    <t>Máy ly tâm(mẫu máu) đa năng để bàn.5702</t>
  </si>
  <si>
    <t>TSXN409</t>
  </si>
  <si>
    <t>Máy ly tâm lạnh Model 5702R</t>
  </si>
  <si>
    <t>TSXN194</t>
  </si>
  <si>
    <t>TSXN273-2</t>
  </si>
  <si>
    <t xml:space="preserve">DỤNG CỤ, VẬT TƯ KHÁC </t>
  </si>
  <si>
    <t>Bàn đẩy thuốc Inox</t>
  </si>
  <si>
    <t>TSXN352</t>
  </si>
  <si>
    <t>Ghế xoay inox lớn</t>
  </si>
  <si>
    <t>TSXN353</t>
  </si>
  <si>
    <t>Xe đẩy inox lấy máu</t>
  </si>
  <si>
    <t>TSXN354</t>
  </si>
  <si>
    <t>TSXN355</t>
  </si>
  <si>
    <t>Micropipet</t>
  </si>
  <si>
    <t>TSXN356</t>
  </si>
  <si>
    <t>Hộp hấp bông</t>
  </si>
  <si>
    <t>TSXN359</t>
  </si>
  <si>
    <t xml:space="preserve">Nhiệt kế tủ sinh phẩm </t>
  </si>
  <si>
    <t>TSXN360</t>
  </si>
  <si>
    <t xml:space="preserve">Nhiệt kế tủ mẫu </t>
  </si>
  <si>
    <t>TSXN361</t>
  </si>
  <si>
    <t>Nhiệt độ, độ ẩm treo tường TANITA</t>
  </si>
  <si>
    <t>TSXN362</t>
  </si>
  <si>
    <t>TÀI SẢN TIẾP NHẬN TỪ KHOA PC HIV/AIDS &amp; QLĐTNC</t>
  </si>
  <si>
    <t>Máy ly tâm 12 ống</t>
  </si>
  <si>
    <t>TSHIV008</t>
  </si>
  <si>
    <t>Bàn gia không có hồ sơ thiết bị</t>
  </si>
  <si>
    <t>TSHIV047</t>
  </si>
  <si>
    <t>TSHIV044</t>
  </si>
  <si>
    <t>Phòng lấy mẫu tầng Hiv 3</t>
  </si>
  <si>
    <t>Phòng lấy mẫu tầng Hiv 4</t>
  </si>
  <si>
    <t>Bàn inox lấy mẫu</t>
  </si>
  <si>
    <t>TSHIV039</t>
  </si>
  <si>
    <t>NGOÀI SỔ</t>
  </si>
  <si>
    <t>Ghế xoay inox
(Ghế inox 4 chân)</t>
  </si>
  <si>
    <t>TSHIV038</t>
  </si>
  <si>
    <t>Tủ hồ sơ inox</t>
  </si>
  <si>
    <t>TSHIV019</t>
  </si>
  <si>
    <t>Phòng lấy mẫu HIV tầng 3</t>
  </si>
  <si>
    <t>Tủ hồ sơ inox
(Tủ đựng thuốc inox có ngăn độc AB)</t>
  </si>
  <si>
    <t>TSHIV034</t>
  </si>
  <si>
    <t>TSHIV027</t>
  </si>
  <si>
    <t>PHÒNG THAY ĐỒ NỮ</t>
  </si>
  <si>
    <t>Tủ lạnh Hitachi 1997</t>
  </si>
  <si>
    <t>TSXN153</t>
  </si>
  <si>
    <t>P. thay đồ nữ</t>
  </si>
  <si>
    <t>Giường không bánh xe
-Kích thước: (2.016x900x800)mm.
-Chất liệu: Inox 304.</t>
  </si>
  <si>
    <t>TSXN406</t>
  </si>
  <si>
    <t>Tài sản mới tiếp nhận 
CS mới</t>
  </si>
  <si>
    <t>PHÒNG NGHỈ</t>
  </si>
  <si>
    <t>TSPK347-1
TSPK347-2</t>
  </si>
  <si>
    <t>P.Nghỉ</t>
  </si>
  <si>
    <t>TSPK349-1
TSPK349-2</t>
  </si>
  <si>
    <t>TSPK353</t>
  </si>
  <si>
    <t>TSPK355-1
TSPK355-2
TSPK355-3</t>
  </si>
  <si>
    <t>Ghế Inox</t>
  </si>
  <si>
    <t>TSPK348</t>
  </si>
  <si>
    <t>TSPK352</t>
  </si>
  <si>
    <t>Giá đựng ống nghiệm Inox</t>
  </si>
  <si>
    <t>CẬN LÂM SÀNG - CƠ SỞ 2</t>
  </si>
  <si>
    <t>Máy hút ẩm; Hãng SX: Thái Lan (ADB)</t>
  </si>
  <si>
    <t>HIV 102/17</t>
  </si>
  <si>
    <t>P.Tách chiết</t>
  </si>
  <si>
    <t>Nồi trộn Voltex; Model: VM-300; Hãng sản xuất: Đài Loan</t>
  </si>
  <si>
    <t>HIV 62/17</t>
  </si>
  <si>
    <t>P.Nhận mẫu</t>
  </si>
  <si>
    <t>Tủ lạnh sinh phẩm Alaska; Hãng SX: Trung Quốc (ADB)</t>
  </si>
  <si>
    <t>HIV 99/17</t>
  </si>
  <si>
    <t>Máy hút ẩm; Model: ED-16B; Hãng sản xuất: EDISON; XX: Thái lan</t>
  </si>
  <si>
    <t>HIV 74/17</t>
  </si>
  <si>
    <t>Máy chắt lọc tinh trùng (Máy ly tâm)</t>
  </si>
  <si>
    <t>SS 69/04</t>
  </si>
  <si>
    <t>Máy lắc PPR; Model: VRN-210; Hãng sản xuất: Đài Loan</t>
  </si>
  <si>
    <t>HIV 68/17</t>
  </si>
  <si>
    <t>Chưa sử dụng</t>
  </si>
  <si>
    <t>Kính hiển vi thường; Model:  LB 212; Hãng sản xuất: Mỹ</t>
  </si>
  <si>
    <t>HIV 67/17</t>
  </si>
  <si>
    <t>Dàn Elisa: Tủ sấy bảo quản kính lọc; Model: YCO-010; Hãng sản xuất: Đức</t>
  </si>
  <si>
    <t>HIV 55/17</t>
  </si>
  <si>
    <t>Tủ sấy khô; Model: YCO-010; Hãng sản xuất: Đài Loan</t>
  </si>
  <si>
    <t>HIV 65/17</t>
  </si>
  <si>
    <t>P.Tý</t>
  </si>
  <si>
    <t>Tủ Ấm 37 C; Model: IN-601;Hãng sản xuất: Đài Loan</t>
  </si>
  <si>
    <t>HIV 73/17</t>
  </si>
  <si>
    <t>Máy li tâm C2006</t>
  </si>
  <si>
    <t>DP 118/11</t>
  </si>
  <si>
    <t xml:space="preserve"> ĐN thanh lý</t>
  </si>
  <si>
    <t xml:space="preserve">Máy sinh hóa nước tiểu Clintek StaAus+ Brio2+		</t>
  </si>
  <si>
    <t>SR 02/15</t>
  </si>
  <si>
    <t>Máy lắc bàn ngang; Model: 3006; Hãng sản xuất: Đức</t>
  </si>
  <si>
    <t>HIV 69/17</t>
  </si>
  <si>
    <t>Máy ly tâm; Hãng SX: Anh (ADB)</t>
  </si>
  <si>
    <t>HIV 91/17</t>
  </si>
  <si>
    <t>Nồi chưng cách thủy BM1</t>
  </si>
  <si>
    <t>SS 281/14</t>
  </si>
  <si>
    <t>Máy cất nước; Hãng SX: Hàn Quốc (ADB)</t>
  </si>
  <si>
    <t>HIV 103/17</t>
  </si>
  <si>
    <t>Tủ lạnh đựng sinh phẩm; Hãng: Nhật Bản; Hiệu: Panasonic MPR-311D(H) (t01/2013)</t>
  </si>
  <si>
    <t>HIV 01/13</t>
  </si>
  <si>
    <t>Nồi hấp: Hãng SX: Việt Nam (ADB)</t>
  </si>
  <si>
    <t>HIV 92/17</t>
  </si>
  <si>
    <t xml:space="preserve">Máy đo HbA1C		</t>
  </si>
  <si>
    <t xml:space="preserve">SR 07/17	</t>
  </si>
  <si>
    <t>Tủ an toàn sinh học cấp 2 Cryste</t>
  </si>
  <si>
    <t>SS 400/15</t>
  </si>
  <si>
    <t xml:space="preserve">Máy sinh hóa bán tự động BTS-350		</t>
  </si>
  <si>
    <t xml:space="preserve">SR 04/17	</t>
  </si>
  <si>
    <t>P.Chị Ánh</t>
  </si>
  <si>
    <t>Nồi hấp ướt; Model: SA 300VF; Hãng sản xuất: Đài Loan</t>
  </si>
  <si>
    <t>HIV 72/17</t>
  </si>
  <si>
    <t>Máy cất nước 2 lần; Model: 2102; Hãng sản xuất: Đức</t>
  </si>
  <si>
    <t>HIV 75/17</t>
  </si>
  <si>
    <t>P.Thư</t>
  </si>
  <si>
    <t>Máy an toàn sinh học cấp II; Model: UV2 PC; Hảng sản xuất: Mỹ (Kèm theo chân đế 1 chiếc)</t>
  </si>
  <si>
    <t>HIV 64/17</t>
  </si>
  <si>
    <t>P.Pha Mix</t>
  </si>
  <si>
    <t>Máy ly tâm văng ngang Roto Fix 325 (1)</t>
  </si>
  <si>
    <t>SS 277a/14</t>
  </si>
  <si>
    <t>Dàn Elisa Biorab</t>
  </si>
  <si>
    <t>DP 149/09</t>
  </si>
  <si>
    <t xml:space="preserve">Tủ an toàn sinh học PURI CUBE		</t>
  </si>
  <si>
    <t>DP 113/14</t>
  </si>
  <si>
    <t>P.HIV</t>
  </si>
  <si>
    <t>Dàn ELISA (01/2011) Kèm theo máy in + vi tính (ADB)</t>
  </si>
  <si>
    <t>HIV 01/11</t>
  </si>
  <si>
    <t>Kính hiển vi huỳnh quang; Model:  LB 274; Hãng sản xuất: Mỹ</t>
  </si>
  <si>
    <t>HIV 66/17</t>
  </si>
  <si>
    <t>Tủ lạnh âm sâu lưu giữ mẫu; Model : MDF-U33V</t>
  </si>
  <si>
    <t>HIV 71/17</t>
  </si>
  <si>
    <t>HLVS</t>
  </si>
  <si>
    <t>Tủ an toàn sinh học; Hãng SX: Indonesia (ADB)</t>
  </si>
  <si>
    <t>HIV 94/17</t>
  </si>
  <si>
    <t xml:space="preserve">Kính hiển vị có Camara nối Máy vi tính + Máy in + Bàn để máy vi tính	</t>
  </si>
  <si>
    <t>SS 04/17</t>
  </si>
  <si>
    <t>P.Đọc kết quả</t>
  </si>
  <si>
    <t>Hệ thống elisa bán tự động Hãng SX: Trung Quốc/ Phần Lan/Việt Nam (ADB), bao gồm: Máy đọc khay vi thể; Máy rửa khay vi thể; Phần mềm phân tích; Máy tính để bàn; Máy in màu</t>
  </si>
  <si>
    <t>HIV 105/17</t>
  </si>
  <si>
    <t>P.Ánh</t>
  </si>
  <si>
    <t>Máy CD4; Model; MiniPoc; Hãng sản xuất: Đức</t>
  </si>
  <si>
    <t>HIV 56/17</t>
  </si>
  <si>
    <t>Máy cấy vi khuẩn tự động; Model: BD Bactec; Hãng sản xuất: Mỹ (Kèm theo UPS 1.5KVA)</t>
  </si>
  <si>
    <t>HIV 63/17</t>
  </si>
  <si>
    <t>ĐN điều chuyển</t>
  </si>
  <si>
    <t>Hệ thống Xét nghiệm Real-Time PCR tự động (Gồm có: Máy tách chiết DNA/RNA; Máy chia mẫu; Máy  Real-Time PCR; Máy in màu; 02 bộLlưu điện - Viện trợ)</t>
  </si>
  <si>
    <t>CDC43/20</t>
  </si>
  <si>
    <t>2020</t>
  </si>
  <si>
    <t>Hỏng máy tính</t>
  </si>
  <si>
    <t>Máy giặt Tosiba DUJ1400</t>
  </si>
  <si>
    <t>08/XN/2021</t>
  </si>
  <si>
    <t>Vòi sen CC + Vòi rữa mắt CC</t>
  </si>
  <si>
    <t>DP 112/12</t>
  </si>
  <si>
    <t>DP 113/12</t>
  </si>
  <si>
    <t>Pipet 8 kênh– P300; Hãng SX: Đức (ADB)</t>
  </si>
  <si>
    <t>HIV 95/17</t>
  </si>
  <si>
    <t>HIV 96/17</t>
  </si>
  <si>
    <t>Pipet 8 kênh– P50; Hãng SX: Đức (ADB)</t>
  </si>
  <si>
    <t>HIV 97/17</t>
  </si>
  <si>
    <t>HIV 98/17</t>
  </si>
  <si>
    <t xml:space="preserve">Máy sinh hoa bán tự động; 3000 Evolution		</t>
  </si>
  <si>
    <t>SR 01/15</t>
  </si>
  <si>
    <t xml:space="preserve">Máy xét nghiệm huyết học 26 thông số Abacus 5	</t>
  </si>
  <si>
    <t xml:space="preserve">SR 05/17	</t>
  </si>
  <si>
    <t xml:space="preserve">Máy xét nghiệm nước tiểu 11 thông số Urlizel 100BLO	</t>
  </si>
  <si>
    <t xml:space="preserve">SR 06/17	</t>
  </si>
  <si>
    <t>Máy lắc DOS 20l</t>
  </si>
  <si>
    <t>SS 278/14</t>
  </si>
  <si>
    <t>Máy vi tính : 510-P0141</t>
  </si>
  <si>
    <t>HIV 28/17</t>
  </si>
  <si>
    <t>P.Duy</t>
  </si>
  <si>
    <t>Chuyển CS1</t>
  </si>
  <si>
    <t>HIV 29/17</t>
  </si>
  <si>
    <t>P.Đông</t>
  </si>
  <si>
    <t>Chuyển CS2</t>
  </si>
  <si>
    <t>HIV 30/17</t>
  </si>
  <si>
    <t>P.C4</t>
  </si>
  <si>
    <t>Hỏng, ĐN thanh lý</t>
  </si>
  <si>
    <t xml:space="preserve">Máy XN ELIZA Biotexk	</t>
  </si>
  <si>
    <t>SR 05/09</t>
  </si>
  <si>
    <t xml:space="preserve">Máy Elisa tự động		</t>
  </si>
  <si>
    <t>SR 03/12</t>
  </si>
  <si>
    <t xml:space="preserve">Hệ thống Elisa - Stat Fax (ADB)	</t>
  </si>
  <si>
    <t>DP 147/13</t>
  </si>
  <si>
    <t>Dàn Elisa: Máy ủ; Model: TC-92; Hãng sản xuất: Mỹ</t>
  </si>
  <si>
    <t>HIV 54/17</t>
  </si>
  <si>
    <t>Dàn Elisa: MMáy rửa; Model: TC-94; Hãng sản xuất: Mỹ</t>
  </si>
  <si>
    <t>HIV 53/17</t>
  </si>
  <si>
    <t>Dàn Elisa: Máy đọc; Model: TC-96; Hãng sản xuất: Mỹ (kèm theo bộ VT, in)</t>
  </si>
  <si>
    <t>HIV 51/17</t>
  </si>
  <si>
    <t>Máy huyết học tự động 18 thông số có kèm theo Máy in</t>
  </si>
  <si>
    <t>SS 302/15</t>
  </si>
  <si>
    <t>Thường xuyên trục trặc</t>
  </si>
  <si>
    <t>Máy xét nghiệm huyết học tự động 18 thông số; Model: MYTHIC; Hãng sản xuất: Thụy Sỹ</t>
  </si>
  <si>
    <t>HIV 60/17</t>
  </si>
  <si>
    <t>Máy phân tích máu 32TS</t>
  </si>
  <si>
    <t>DP 117/11</t>
  </si>
  <si>
    <t>Máy sinh hóa tự động + Máy vi tính+ máy in canon 2900</t>
  </si>
  <si>
    <t>SS 05/17</t>
  </si>
  <si>
    <t>Máy xét nghiệm sinh hóa 16 thông số; Model: FULLY; Hảng sản xuất: Italy</t>
  </si>
  <si>
    <t>HIV 59/17</t>
  </si>
  <si>
    <t>Máy chiết tách tự động (bao gồm: 01 bộ tách chiết, 01 bộ máy vi tính, 01 máy in màu 01 bộ lưu điện) (Vien trợ)</t>
  </si>
  <si>
    <t>04/CDC/24</t>
  </si>
  <si>
    <t>Hỏng máy in</t>
  </si>
  <si>
    <t>Tủ an toàn sinh học cấp II; Khổ 1,2m; Model: SC2-4E1; Hãng: Esco-Singapore (Viện trợ)</t>
  </si>
  <si>
    <t>05/CDC/24</t>
  </si>
  <si>
    <t>Bàn khám bệnh AT120SK; hiệu Hòa Phát (3 người lớn)</t>
  </si>
  <si>
    <t>232-HIV/17</t>
  </si>
  <si>
    <t>233-HIV/17</t>
  </si>
  <si>
    <t>234-HIV/17</t>
  </si>
  <si>
    <t xml:space="preserve">Giá INOX để ống nghiệm </t>
  </si>
  <si>
    <t>303/5-HIV/17</t>
  </si>
  <si>
    <t>Pipette dải thể tích 10-100µl; Model: Finnpipette F1 Clip-Tip; Hãng SX: Phần Lan</t>
  </si>
  <si>
    <t>249-HIV/17</t>
  </si>
  <si>
    <t>UPS 1.5KVA (đi kèm máy cấy vi khuẩn)</t>
  </si>
  <si>
    <t>245-HIV/17</t>
  </si>
  <si>
    <t>Chân đế: 01 chiếc (đi kèm máy an toàn SH)</t>
  </si>
  <si>
    <t>246-HIV/17</t>
  </si>
  <si>
    <t>Tủ lạnh đựng bệnh phẩm; Hãng SX: Nhật Bản</t>
  </si>
  <si>
    <t>247-HIV/17</t>
  </si>
  <si>
    <t>Tủ bảo quản sinh phẩm; Hãng SX: Nhật Bản</t>
  </si>
  <si>
    <t>248-HIV/17</t>
  </si>
  <si>
    <t>250-HIV/17</t>
  </si>
  <si>
    <t>Pipette dải thể tích 20-200µl; Model: Finnpipette F1 Clip-Tip; Hãng SX: Phần Lan</t>
  </si>
  <si>
    <t>251-HIV/17</t>
  </si>
  <si>
    <t>Pipette dải thể tích 5-50µl; Model: Finnpipette F1 Clip-Tip; Hãng SX: Phần Lan</t>
  </si>
  <si>
    <t>252-HIV/17</t>
  </si>
  <si>
    <t>Giá đỡ pipetman; Hãng SX: Phần Lan</t>
  </si>
  <si>
    <t>253-HIV/17</t>
  </si>
  <si>
    <t>Lò sưởi điện; Model: OFR379; Hãng SX: Nhật Bản; XX: Trung Quốc</t>
  </si>
  <si>
    <t>254-HIV/17</t>
  </si>
  <si>
    <t>Tủ đựng hồ sơ CA- 2C-S6</t>
  </si>
  <si>
    <t>61-HIV/15</t>
  </si>
  <si>
    <t>Máy lắc ngang</t>
  </si>
  <si>
    <t>255-HIV/17</t>
  </si>
  <si>
    <t>Pipet đơn kênh–1000ul</t>
  </si>
  <si>
    <t>256-HIV/17</t>
  </si>
  <si>
    <t>257-HIV/17</t>
  </si>
  <si>
    <t>Pipet đơn kênh –100ul</t>
  </si>
  <si>
    <t>258-HIV/17</t>
  </si>
  <si>
    <t>259-HIV/17</t>
  </si>
  <si>
    <t>Pipet đơn kênh –200ul</t>
  </si>
  <si>
    <t>260-HIV/17</t>
  </si>
  <si>
    <t>261-HIV/17</t>
  </si>
  <si>
    <t>Pipet đơn kênh –50ul</t>
  </si>
  <si>
    <t>262-HIV/17</t>
  </si>
  <si>
    <t>263-HIV/17</t>
  </si>
  <si>
    <t>Máng pha hoá chất</t>
  </si>
  <si>
    <t>264-HIV/17</t>
  </si>
  <si>
    <t>265-HIV/17</t>
  </si>
  <si>
    <t>266-HIV/17</t>
  </si>
  <si>
    <t>267-HIV/17</t>
  </si>
  <si>
    <t>268-HIV/17</t>
  </si>
  <si>
    <t>Micropipet cố định 5-50 Clinipert</t>
  </si>
  <si>
    <t>18-YTDP</t>
  </si>
  <si>
    <t>Gía để Micropipet cố định 100 Biohit</t>
  </si>
  <si>
    <t>19-YTDP</t>
  </si>
  <si>
    <t>20-YTDP</t>
  </si>
  <si>
    <t>Micropipet thay đổi 10-100 GenexB</t>
  </si>
  <si>
    <t>21-YTDP</t>
  </si>
  <si>
    <t>Micropipet thay đổi 10-100 Lobopette</t>
  </si>
  <si>
    <t>22-YTDP</t>
  </si>
  <si>
    <t xml:space="preserve">Gía để Micropipet </t>
  </si>
  <si>
    <t>23-YTDP</t>
  </si>
  <si>
    <t>Lò vi sóng Panasonic</t>
  </si>
  <si>
    <t>24-YTDP</t>
  </si>
  <si>
    <t>Micropipet 100-1000</t>
  </si>
  <si>
    <t>25-YTDP</t>
  </si>
  <si>
    <t>Tủ sấy Menmer</t>
  </si>
  <si>
    <t>27-YTDP</t>
  </si>
  <si>
    <t>Micropipet 10-100 Accu-P</t>
  </si>
  <si>
    <t>33-YTDP</t>
  </si>
  <si>
    <t>Micropipet 100-1000 Sartorius</t>
  </si>
  <si>
    <t>34-YTDP</t>
  </si>
  <si>
    <t>Micropipet 20-200 Bioht</t>
  </si>
  <si>
    <t>35-YTDP</t>
  </si>
  <si>
    <t>36-YTDP</t>
  </si>
  <si>
    <t>37-YTDP</t>
  </si>
  <si>
    <t>Hộp để kính hiển vi ( gỗ huỹnh)</t>
  </si>
  <si>
    <t>2-SKSS</t>
  </si>
  <si>
    <t>6-SKSS</t>
  </si>
  <si>
    <t>Cân thước do</t>
  </si>
  <si>
    <t>1-SR-BC</t>
  </si>
  <si>
    <t>Máy trộn</t>
  </si>
  <si>
    <t>2-SR-BC</t>
  </si>
  <si>
    <t>Kính hiển vi</t>
  </si>
  <si>
    <t>5-SR-BC</t>
  </si>
  <si>
    <t>6 cái đang sử dụng-10 cái hỏng</t>
  </si>
  <si>
    <t>Hỏng 10 cái, ĐN thanh lý</t>
  </si>
  <si>
    <t>Tủ lạnh Shap SJ 189 S-DS</t>
  </si>
  <si>
    <t>TS110</t>
  </si>
  <si>
    <t>Tủ lạnh Hitachi R-15-A3BK</t>
  </si>
  <si>
    <t>TS159</t>
  </si>
  <si>
    <t>Tủ lạnh SamSung SDIS</t>
  </si>
  <si>
    <t>TS109</t>
  </si>
  <si>
    <t>Máy li tâm Kubota 2010</t>
  </si>
  <si>
    <t>TS119</t>
  </si>
  <si>
    <t>Bị gãy nút mở, ĐN sửa</t>
  </si>
  <si>
    <t>Máy li tâm Clayadams</t>
  </si>
  <si>
    <t>TS108</t>
  </si>
  <si>
    <t>Máy Voxtex Glax-Col</t>
  </si>
  <si>
    <t>TS115</t>
  </si>
  <si>
    <t>Kính hiển vi 02 mắt OLYMPUS</t>
  </si>
  <si>
    <t>TS156</t>
  </si>
  <si>
    <t>Huma pipet 8 đầu 5- 50µl</t>
  </si>
  <si>
    <t>TS104</t>
  </si>
  <si>
    <t>Huma pipet 8 đầu 50-250µl</t>
  </si>
  <si>
    <t>TS103</t>
  </si>
  <si>
    <t>Tủ âm Alaska BD 4399B</t>
  </si>
  <si>
    <t>TS152</t>
  </si>
  <si>
    <t>Máy hút ẩm Edison</t>
  </si>
  <si>
    <t>TS114</t>
  </si>
  <si>
    <t>Kính Lúp OLYMUS CX 21</t>
  </si>
  <si>
    <t>SR-02/97</t>
  </si>
  <si>
    <t>Tủ lạnh Toshiba</t>
  </si>
  <si>
    <t>SR-01/10</t>
  </si>
  <si>
    <t>Tủ lạnh §eaW00 (3/6-02/TL/Q2)</t>
  </si>
  <si>
    <t>SR-02/09</t>
  </si>
  <si>
    <t>Máy hút ẩm National</t>
  </si>
  <si>
    <t>SR-01/98</t>
  </si>
  <si>
    <t>Đồng hồ bấm giờ</t>
  </si>
  <si>
    <t>18/CDC/20</t>
  </si>
  <si>
    <t>Máy Micropipet</t>
  </si>
  <si>
    <t>26/CDC/20</t>
  </si>
  <si>
    <t>Micropipet cố định 100 Human</t>
  </si>
  <si>
    <t>16-YTDP</t>
  </si>
  <si>
    <t>PHÒNG HÓA LÝ VI SINH-CS2</t>
  </si>
  <si>
    <t>Cân phân tích Acculad</t>
  </si>
  <si>
    <t>Bộ phận VS (CS2)</t>
  </si>
  <si>
    <t>KNQN</t>
  </si>
  <si>
    <t>Máy lắc gia nhiệt</t>
  </si>
  <si>
    <t>Bộ phận HL (CS2)</t>
  </si>
  <si>
    <t>Tủ hốt + Bộ phá mẫu</t>
  </si>
  <si>
    <t>Hỏng</t>
  </si>
  <si>
    <r>
      <t>Tủ ấm Memmert 37</t>
    </r>
    <r>
      <rPr>
        <vertAlign val="superscript"/>
        <sz val="10"/>
        <rFont val="Times New Roman"/>
        <family val="1"/>
      </rPr>
      <t xml:space="preserve">0 </t>
    </r>
    <r>
      <rPr>
        <sz val="10"/>
        <rFont val="Times New Roman"/>
        <family val="1"/>
      </rPr>
      <t>C</t>
    </r>
  </si>
  <si>
    <t>ĐN sửa chữa</t>
  </si>
  <si>
    <r>
      <t>Tủ ấm Yamato 44</t>
    </r>
    <r>
      <rPr>
        <vertAlign val="superscript"/>
        <sz val="10"/>
        <rFont val="Times New Roman"/>
        <family val="1"/>
      </rPr>
      <t xml:space="preserve">0 </t>
    </r>
    <r>
      <rPr>
        <sz val="10"/>
        <rFont val="Times New Roman"/>
        <family val="1"/>
      </rPr>
      <t>C</t>
    </r>
  </si>
  <si>
    <t>Máy đo pH</t>
  </si>
  <si>
    <t>Tủ ATSH Cấp 2 Jouan SA</t>
  </si>
  <si>
    <t>Bộ cất béo( dàn chưng cất Lipit)</t>
  </si>
  <si>
    <t>Cân phân tích TE214S</t>
  </si>
  <si>
    <t>Máy đo quang phổ</t>
  </si>
  <si>
    <t>Máy phá mẫu COD</t>
  </si>
  <si>
    <t>Cô quay chân không</t>
  </si>
  <si>
    <t>Sắc ký bản mỏng</t>
  </si>
  <si>
    <t>Bộ BOD</t>
  </si>
  <si>
    <t>Máy đo độ đường</t>
  </si>
  <si>
    <t>Tủ âm SANYO</t>
  </si>
  <si>
    <t>Bộ phận VS(CS2)</t>
  </si>
  <si>
    <t>Máy đếm khuẩn lạc IUL</t>
  </si>
  <si>
    <t>Bộ lọc mẫu 3 phểu lọc+ 
máy hút chân không</t>
  </si>
  <si>
    <t>Máy nghiền mẫu khô</t>
  </si>
  <si>
    <t>Máy phân tích nước</t>
  </si>
  <si>
    <t>Máy nghiền mẫu ướt</t>
  </si>
  <si>
    <r>
      <t>Tủ ấm CO</t>
    </r>
    <r>
      <rPr>
        <vertAlign val="subscript"/>
        <sz val="10"/>
        <rFont val="Times New Roman"/>
        <family val="1"/>
      </rPr>
      <t xml:space="preserve">2 </t>
    </r>
    <r>
      <rPr>
        <sz val="10"/>
        <rFont val="Times New Roman"/>
        <family val="1"/>
      </rPr>
      <t>SANYO</t>
    </r>
  </si>
  <si>
    <t>Bể điều nhiệt PolyScience</t>
  </si>
  <si>
    <t>Máy đo quang( Quang phổ tử ngoại khả kiến-U-2900</t>
  </si>
  <si>
    <t>ĐN sửa chữa</t>
  </si>
  <si>
    <t>Bơm chân không</t>
  </si>
  <si>
    <t>Sắc ký lỏng cao áp(HPLC)+ Bơm chân không+ Bộ lọc+ Bể siêu âm</t>
  </si>
  <si>
    <t>Tủ bảo ôn</t>
  </si>
  <si>
    <t>Nồi hấp sấy ướt Sturdy</t>
  </si>
  <si>
    <t>Tủ đựng hóa chất</t>
  </si>
  <si>
    <t>Tủ đựng môi trường - hoá chất</t>
  </si>
  <si>
    <t>Bộ phận HL(CS2)</t>
  </si>
  <si>
    <t>Vòi rửa mắt - tắm khẩn cấp Guardian</t>
  </si>
  <si>
    <t>Vòi tắm, vòi rửa mắt khẩn cấp</t>
  </si>
  <si>
    <t>Thiết bị cất nước 1 lần</t>
  </si>
  <si>
    <t>Bộ cân chuẩn E2</t>
  </si>
  <si>
    <t>Cân kỹ thuật Ohaus</t>
  </si>
  <si>
    <t>Máy dập mẫu</t>
  </si>
  <si>
    <t>Bộ chiết pha rắn 12 vị trí</t>
  </si>
  <si>
    <t>Hệ thống sắc ký khí</t>
  </si>
  <si>
    <t>Máy ly tâm týp 50 ml</t>
  </si>
  <si>
    <t>Máy cất nước 2 lần</t>
  </si>
  <si>
    <t>Tủ hút khí độc</t>
  </si>
  <si>
    <t xml:space="preserve">Máy quang phổ hấp thụ nguyên tử </t>
  </si>
  <si>
    <t>Hệ thống graphite hoạt động không ổn định</t>
  </si>
  <si>
    <t>Thiết bị lấy mẫu nước, chất lỏng</t>
  </si>
  <si>
    <t>Máy đo pH/mV để bàn</t>
  </si>
  <si>
    <t>Máy trích ly béo Soxhlet</t>
  </si>
  <si>
    <t>Hệ thống chưng cất đạm</t>
  </si>
  <si>
    <t>Hệ thống Buchi bị hỏng</t>
  </si>
  <si>
    <t>Tủ sấy Nuve</t>
  </si>
  <si>
    <t>Tủ ấm 108 lít</t>
  </si>
  <si>
    <t>Tủ  ấm lạnh 130 lít</t>
  </si>
  <si>
    <t xml:space="preserve"> ĐN sửa chữa</t>
  </si>
  <si>
    <t>Tủ an toàn cấp II, 2 chỗ ngồi</t>
  </si>
  <si>
    <t>Thiết bị đo tổng chất rắn hòa tan</t>
  </si>
  <si>
    <t>Nồi hấp tiệt trùng</t>
  </si>
  <si>
    <t>Hệ thống cấp khí sạch cho phòng Vi sinh</t>
  </si>
  <si>
    <t>Tủ cấy vô trùng ACH- 4D1</t>
  </si>
  <si>
    <t>Tủ sấy điện, 250 độ C; Model: YCO-010; Hãng sản xuất: Đài Loan</t>
  </si>
  <si>
    <t>HIV 76/17</t>
  </si>
  <si>
    <t>Nhận từ Cận Lâm Sàng - Cơ Sở 2 số 09 TSCĐ</t>
  </si>
  <si>
    <t>Tủ sấy: Hãng SX: Hàn Quốc  (ADB)</t>
  </si>
  <si>
    <t>HIV 93/17</t>
  </si>
  <si>
    <t>Nhận từ Cận Lâm Sàng - Cơ Sở 2 số 20 TSCĐ</t>
  </si>
  <si>
    <t>Nồi hấp tiệt trùng 300 lít; Model: TC-612; Hãng sản xuất: Đài Loan</t>
  </si>
  <si>
    <t>HIV 61/17</t>
  </si>
  <si>
    <t>Nhận từ Cận Lâm Sàng - Cơ Sở 2 số 32 TSCĐ</t>
  </si>
  <si>
    <t>Tủ lạnh âm sâu; Hãng SX: Indonesia (ADB)</t>
  </si>
  <si>
    <t>HIV 101/17</t>
  </si>
  <si>
    <t>Nhận từ Cận Lâm Sàng - Cơ Sở 2 số 34 TSCĐ</t>
  </si>
  <si>
    <t>TSXN179</t>
  </si>
  <si>
    <t>Nhận từ Phòng vi sinh nước thực phẩm CS1 số 52</t>
  </si>
  <si>
    <t>Tủ lạnh TOSHIBA</t>
  </si>
  <si>
    <t>Tủ ấm Memmert</t>
  </si>
  <si>
    <t>Tủ ấm Yamato</t>
  </si>
  <si>
    <t>Lò vi sóng LG</t>
  </si>
  <si>
    <t>Tủ sấy</t>
  </si>
  <si>
    <t>Tủ lạnh Panasonic 198L</t>
  </si>
  <si>
    <t>Tủ lạnh Panasonic 296L</t>
  </si>
  <si>
    <t>Máy khuấy từ</t>
  </si>
  <si>
    <t xml:space="preserve">Máy giặt </t>
  </si>
  <si>
    <t>Nhiệt kế đầu dò Testo</t>
  </si>
  <si>
    <t>1 Bộ phận HL- 
1 bộ phận vi sinh (CS2)</t>
  </si>
  <si>
    <t>1 Đang sử dụng
1 hỏng</t>
  </si>
  <si>
    <t>01 cái hỏng - ĐN sửa chữa</t>
  </si>
  <si>
    <t>Bộ ray</t>
  </si>
  <si>
    <t>Bếp cách thủy</t>
  </si>
  <si>
    <t>Xe đẩy inox</t>
  </si>
  <si>
    <t>Tủ đựng hồ sơ</t>
  </si>
  <si>
    <t>Bộ phận HL-VS (CS2)</t>
  </si>
  <si>
    <t>Tủ đựng dụng cụ</t>
  </si>
  <si>
    <t>Nhiệt ẩm kế</t>
  </si>
  <si>
    <t>Nhiệt kế thủy tinh</t>
  </si>
  <si>
    <t>Bàn 2.4m  x 0.6 m</t>
  </si>
  <si>
    <t>Bàn 1.5 m x 0.6 m</t>
  </si>
  <si>
    <t>Micropipette 20-200ml</t>
  </si>
  <si>
    <t>Micropipette 100-1000ml</t>
  </si>
  <si>
    <t>Micropipette 1-5ml</t>
  </si>
  <si>
    <t>Nhiệt kế Max</t>
  </si>
  <si>
    <t>Nhiệt kế Thủy ngân</t>
  </si>
  <si>
    <t>Micropipette 10-100ml</t>
  </si>
  <si>
    <t>Micropipet 100-1000ml</t>
  </si>
  <si>
    <t>Máy tính làm việc</t>
  </si>
  <si>
    <t>Máy in</t>
  </si>
  <si>
    <t>Ghế xoay</t>
  </si>
  <si>
    <t>Tủ lạnh SANYO</t>
  </si>
  <si>
    <t>Bàn gỗ ghép  1,2m x 0,6x 0,75 
( Bàn làm việc)</t>
  </si>
  <si>
    <t>Máy in vi tính</t>
  </si>
  <si>
    <t>Điều hòa</t>
  </si>
  <si>
    <t>Bộ cân chuẩn</t>
  </si>
  <si>
    <t>Máy lắc Vortex</t>
  </si>
  <si>
    <t>25/CDC/20</t>
  </si>
  <si>
    <t>2</t>
  </si>
  <si>
    <t>Nhận 2 cái từ Cận Lâm Sàng - Cơ Sở 2 số 65 CCDC</t>
  </si>
  <si>
    <t>Nồi đun cách thuỷ ( Bể cách thuỷ 
hay Bể ổn nhiệt)</t>
  </si>
  <si>
    <t>TSXN217</t>
  </si>
  <si>
    <t>Nhận từ Phòng vi sinh nước thực phẩm CS1 số 64</t>
  </si>
  <si>
    <t>P.Trưởng khoa XN-CDHA-TDCN</t>
  </si>
  <si>
    <t>Nguyễn Trường Duy</t>
  </si>
  <si>
    <t>BIÊN BẢN KIỂM KÊ TÀI SẢN CỐ ĐỊNH, CCDC NĂM 2026
KHOA KIỂM DỊCH Y TẾ QUỐC TẾ</t>
  </si>
  <si>
    <t>4. Ông. Phan Văn Bửu</t>
  </si>
  <si>
    <t>Trưởng khoa KDYTQT</t>
  </si>
  <si>
    <t>S
T
T</t>
  </si>
  <si>
    <t>Máy đo thân nhiệt từ xa Meditherm</t>
  </si>
  <si>
    <t>TSKDYTQT
002</t>
  </si>
  <si>
    <t>KDTYQT</t>
  </si>
  <si>
    <t>Sân bay ga xuất QT</t>
  </si>
  <si>
    <t xml:space="preserve">Máy đo thân nhiệt FLir A320New </t>
  </si>
  <si>
    <t>TSKDYTQT
003</t>
  </si>
  <si>
    <t>Kho T6</t>
  </si>
  <si>
    <t>TSKDYTQT
004</t>
  </si>
  <si>
    <t>Cảng biển</t>
  </si>
  <si>
    <t>TSKDYTQT
005</t>
  </si>
  <si>
    <t>Máy đo thân nhiệt Optotherm</t>
  </si>
  <si>
    <t>TSKDYTQT
006</t>
  </si>
  <si>
    <t>Máy đo thân nhiệt FLir A300</t>
  </si>
  <si>
    <t>TSKDYTQT
025</t>
  </si>
  <si>
    <t>KDYTQT</t>
  </si>
  <si>
    <t>Máy phun thuốc Makita 
(dùng pin) Nsx: Nhật Bản</t>
  </si>
  <si>
    <t>TSKDYTQT
028</t>
  </si>
  <si>
    <t>Cảng biển: 04 cái</t>
  </si>
  <si>
    <t>Camera đo thân nhiệt từ xa FLIR A500-EST Thermal Core 2020 (HQ viện trợ) + Màn hình TV LE55AQT6 600UG</t>
  </si>
  <si>
    <t>TSKDYTQT
031</t>
  </si>
  <si>
    <t>5 màn hình TV LE55AQT6 600UG (PKĐK: 3 cái, TCHC: 2 cái). SB: 04 cái, Kho: 02 cái.</t>
  </si>
  <si>
    <t>Máy phun thuốc Makita dùng pin 
Nsx: Nhật Bản
DVF 154Z</t>
  </si>
  <si>
    <t>TSKDYTQT
032</t>
  </si>
  <si>
    <t>Sân bay: 04 cái</t>
  </si>
  <si>
    <t>Pin BL1850B 197280-8</t>
  </si>
  <si>
    <t>TSKDYTQT
033</t>
  </si>
  <si>
    <t>Sạc pin DC18RD 196933-6</t>
  </si>
  <si>
    <t>TSKDYTQT
034</t>
  </si>
  <si>
    <t>Hệ thống đo nhiệt độ cơ thể từ xa bằng camera ảnh nhiệt hồng ngoại; Model: A300 Series; Hãng SX: FLIR Systems AB; Xuất xứ: Thụy Điển (Viện trợ)</t>
  </si>
  <si>
    <t>CDC45/20</t>
  </si>
  <si>
    <t>Nam Giang</t>
  </si>
  <si>
    <t>THEO DÕI CÔNG CỤ DỤNG CỤ</t>
  </si>
  <si>
    <t xml:space="preserve">Nhiệt kế đo từ xa Medisana </t>
  </si>
  <si>
    <t>TSKDYTQT
009</t>
  </si>
  <si>
    <t>Nhiệt kế Microlife</t>
  </si>
  <si>
    <t>TSKDYTQT
010</t>
  </si>
  <si>
    <t xml:space="preserve">Huyết áp trẻ em </t>
  </si>
  <si>
    <t>TSKDYTQT
011</t>
  </si>
  <si>
    <t>TSKDYTQT
012</t>
  </si>
  <si>
    <t>Huyết áp người lớn</t>
  </si>
  <si>
    <t>TSKDYTQT
013</t>
  </si>
  <si>
    <t>Khay inox 15x20cm</t>
  </si>
  <si>
    <t>TSKDYTQT
014</t>
  </si>
  <si>
    <t>Khay inox quả đậu nhỏ</t>
  </si>
  <si>
    <t>TSKDYTQT
015</t>
  </si>
  <si>
    <t>Búa phản xạ</t>
  </si>
  <si>
    <t>TSKDYTQT
016</t>
  </si>
  <si>
    <t>Hộp inox đựng cồn xác khuẩn</t>
  </si>
  <si>
    <t>TSKDYTQT
017</t>
  </si>
  <si>
    <t>Panh mũi inox</t>
  </si>
  <si>
    <t>TSKDYTQT
018</t>
  </si>
  <si>
    <t>Kẹp inox</t>
  </si>
  <si>
    <t>TSKDYTQT
019</t>
  </si>
  <si>
    <t>Đè lưỡi inox</t>
  </si>
  <si>
    <t>TSKDYTQT
020</t>
  </si>
  <si>
    <t>Kéo, panh cong, panh thẳng inox</t>
  </si>
  <si>
    <t>TSKDYTQT
021</t>
  </si>
  <si>
    <t>Lọ inox đựng panh, kéo</t>
  </si>
  <si>
    <t>TSKDYTQT
022</t>
  </si>
  <si>
    <t>Nhiệt kế thủy ngân</t>
  </si>
  <si>
    <t>TSKDYTQT
026</t>
  </si>
  <si>
    <t xml:space="preserve">Nhiệt kế Microlife </t>
  </si>
  <si>
    <t>TSKDYTQT
027</t>
  </si>
  <si>
    <t>Loa cầm tay</t>
  </si>
  <si>
    <t>TSKDYTQT
029</t>
  </si>
  <si>
    <t>Sân bay: 02 cái</t>
  </si>
  <si>
    <t>TSKDYTQT
030</t>
  </si>
  <si>
    <t>Kéo cắt băng nhọn</t>
  </si>
  <si>
    <t xml:space="preserve">TSKDYTQT
</t>
  </si>
  <si>
    <t>Phòng cách ly</t>
  </si>
  <si>
    <t>Pince không mấu cong</t>
  </si>
  <si>
    <t>Pince không mấu thẳng</t>
  </si>
  <si>
    <t>Khay inox quả đậu</t>
  </si>
  <si>
    <t>Hộp inox</t>
  </si>
  <si>
    <t>Lọ inox</t>
  </si>
  <si>
    <t>Hộp thuốc cấp cứu</t>
  </si>
  <si>
    <t>Máy đo thân nhiệt cầm tay</t>
  </si>
  <si>
    <t>5/YTDP</t>
  </si>
  <si>
    <t>Máy phun áp lực miscumi</t>
  </si>
  <si>
    <t>37/KDYT/2023</t>
  </si>
  <si>
    <t>10-SKSS</t>
  </si>
  <si>
    <t>Máy Phun Hóa chất; Hiệu Honda GX 35,4; Dung tích: 20 lít; Hãng SX: Thái Lan (Viện trợ)</t>
  </si>
  <si>
    <t>CDC46/20</t>
  </si>
  <si>
    <t>Nhiệt kế đo trán Microlife FR1MF1</t>
  </si>
  <si>
    <t>Mua mới 2025</t>
  </si>
  <si>
    <t>Phan Văn Bửu</t>
  </si>
  <si>
    <t>BIÊN BẢN KIỂM KÊ TÀI SẢN CỐ ĐỊNH, CCDC NĂM 2026
KHOA DƯỢC - VẬT TƯ Y TẾ</t>
  </si>
  <si>
    <t>Tổ trưởng, Đại diện Khoa</t>
  </si>
  <si>
    <t>4. Thành viên tổ kiểm kê</t>
  </si>
  <si>
    <t>KHO VACCIN</t>
  </si>
  <si>
    <t>Tủ lạnh TCW 3000</t>
  </si>
  <si>
    <t>TSKD001</t>
  </si>
  <si>
    <t>Kho Vaccin</t>
  </si>
  <si>
    <t>Hỏng 1, ĐN thanh lý 1</t>
  </si>
  <si>
    <t>TSKD002</t>
  </si>
  <si>
    <t>Tủ lạnh Sanyo F48 NT</t>
  </si>
  <si>
    <t>TSKD006</t>
  </si>
  <si>
    <t>Kho thuốc</t>
  </si>
  <si>
    <t>TSKD008</t>
  </si>
  <si>
    <t>Hỏng TSKD008-1 ĐN thanh lý.</t>
  </si>
  <si>
    <t>Tủ lạnh TCW 3000AC ( Hãng sx: Dometic, nước sx: Luxembourg)</t>
  </si>
  <si>
    <t>TSKD009</t>
  </si>
  <si>
    <t>Nguồn TCMR- Viện Pasteur Nha Trang cấp</t>
  </si>
  <si>
    <t>TCW 3000  Luxembourg</t>
  </si>
  <si>
    <t>TSKD010</t>
  </si>
  <si>
    <t>Tủ lạnh Hitachi (Vn sản xuất)</t>
  </si>
  <si>
    <t>TSKD011</t>
  </si>
  <si>
    <t>Tủ đông TW800 Luxembourg</t>
  </si>
  <si>
    <t>TSKD012</t>
  </si>
  <si>
    <t>Tủ lạnh Domectic TCW 3000</t>
  </si>
  <si>
    <t>TSKD013</t>
  </si>
  <si>
    <t xml:space="preserve">P. tiêm chủng 103 HV 
chuyển về </t>
  </si>
  <si>
    <t>Tủ lạnh chuyên dụng  
(Domectic TCW 3000, Luxembourg)</t>
  </si>
  <si>
    <t>TSKD014</t>
  </si>
  <si>
    <t xml:space="preserve">Tủ lạnh TCW 3000 AC- </t>
  </si>
  <si>
    <t>TSKD015</t>
  </si>
  <si>
    <t>TSKD16</t>
  </si>
  <si>
    <t>Tủ lạnh Domectic TCW 4000 AC (Luxembourg)</t>
  </si>
  <si>
    <t>TSKD017</t>
  </si>
  <si>
    <t>Nhập mới năm 2020</t>
  </si>
  <si>
    <t>Hỏng TSKD017-1 ĐN sửa. Nguồn TCMR- Viện Vệ Sinh Dịch Tễ Trung Ương</t>
  </si>
  <si>
    <t>Tủ lạnh TFW800 (Hãng SX: Domectic)</t>
  </si>
  <si>
    <t>TSKD018</t>
  </si>
  <si>
    <t>Tầng hầm</t>
  </si>
  <si>
    <t>Hỏng, không sử dụng</t>
  </si>
  <si>
    <t>Hỏng ĐN thanh lý. Ngân sách - viện pasteur Nha Trang cấp</t>
  </si>
  <si>
    <t>Tủ đá TFW 800</t>
  </si>
  <si>
    <t>TSKD019</t>
  </si>
  <si>
    <t>01 cái tại Phòng Virut - Khoa XN mượn. Nguồn TCMR</t>
  </si>
  <si>
    <t>Tủ lạnh TCW 80 AC (Luxembourg)</t>
  </si>
  <si>
    <t>TSKD020</t>
  </si>
  <si>
    <t>Nhập mới năm 2022</t>
  </si>
  <si>
    <t>Nguồn TCMR- Viện Vệ Sinh Dịch Tễ Trung Ương</t>
  </si>
  <si>
    <t>Tủ đá Vestfrost Denmark MF314</t>
  </si>
  <si>
    <t>TSKD021</t>
  </si>
  <si>
    <t>TSKD022</t>
  </si>
  <si>
    <t>Tủ lạnh Domectic TCW4000AC (Luxembourg)</t>
  </si>
  <si>
    <t>TSKD024</t>
  </si>
  <si>
    <t>Hệ thống khí y tế trung tâm</t>
  </si>
  <si>
    <t>TSKD058</t>
  </si>
  <si>
    <t>Trung tâm CDC</t>
  </si>
  <si>
    <t>Hệ thống lọc nước RO 250L/h</t>
  </si>
  <si>
    <t>TSKD059</t>
  </si>
  <si>
    <t>Tầng 7 CDC</t>
  </si>
  <si>
    <t>Két sắt 110kg</t>
  </si>
  <si>
    <t>TSHIV003</t>
  </si>
  <si>
    <t>Kho Methadone
 CS1</t>
  </si>
  <si>
    <t>Két sắt đựng thuốc 400kg 
Hoà Phát</t>
  </si>
  <si>
    <t>TSHIV030</t>
  </si>
  <si>
    <t>Két sắt đựng thuốc 2 cánh</t>
  </si>
  <si>
    <t>TSHIV050</t>
  </si>
  <si>
    <t>CS Methadone 1</t>
  </si>
  <si>
    <t>Két sắt đựng thuốc 2 cánh 500kg</t>
  </si>
  <si>
    <t>TSHIV009</t>
  </si>
  <si>
    <t>Két sắt đựng thuốc 168kg</t>
  </si>
  <si>
    <t>TSHIV029</t>
  </si>
  <si>
    <t>Methadone
 CS1</t>
  </si>
  <si>
    <t>TSHIV032</t>
  </si>
  <si>
    <t xml:space="preserve">Bơm định liều Caliberex 520 </t>
  </si>
  <si>
    <t>TSHIV015</t>
  </si>
  <si>
    <t>CS1 điều trị Methadone</t>
  </si>
  <si>
    <t>Bơm định liều 1-5ml
Model: Calibrex 520
Mã hàng (Cat.No): 520.005
Hãng SX: SOCOREX, Xuất xứ: Thuỵ Sĩ</t>
  </si>
  <si>
    <t>TSHIV051</t>
  </si>
  <si>
    <t>Bơm định liều</t>
  </si>
  <si>
    <t>TSHIV048</t>
  </si>
  <si>
    <t>TSHIV052</t>
  </si>
  <si>
    <t>KHO VẬT TƯ</t>
  </si>
  <si>
    <r>
      <t xml:space="preserve">Máy phun tồn lưu+ Đầu ULV. Master 452, Model:45201, HSX Solo, XX Đức ( </t>
    </r>
    <r>
      <rPr>
        <b/>
        <sz val="10"/>
        <rFont val="Times New Roman"/>
        <family val="1"/>
      </rPr>
      <t>hàng tài trợ</t>
    </r>
    <r>
      <rPr>
        <sz val="10"/>
        <rFont val="Times New Roman"/>
        <family val="1"/>
      </rPr>
      <t>)</t>
    </r>
  </si>
  <si>
    <t>TSKD046</t>
  </si>
  <si>
    <t>Kho Vật tư</t>
  </si>
  <si>
    <t>Máy phun hoá chất khử khuẩn
 Pulverysateur36</t>
  </si>
  <si>
    <t>TSKD055</t>
  </si>
  <si>
    <t>Máy phun MD150X</t>
  </si>
  <si>
    <t>TSKD051</t>
  </si>
  <si>
    <t>Đã sử dụng</t>
  </si>
  <si>
    <t>Máy phun Frontan</t>
  </si>
  <si>
    <t>TSKD052</t>
  </si>
  <si>
    <t>Máy phun SOLO</t>
  </si>
  <si>
    <t>TSKD053</t>
  </si>
  <si>
    <t>Bình phun HUDSON MR8</t>
  </si>
  <si>
    <t>TSKD054</t>
  </si>
  <si>
    <t>Bình bơm phun thuốc phòng chống dịch. Model: 3270P, hãng SX: Mesto</t>
  </si>
  <si>
    <t>TSKD056</t>
  </si>
  <si>
    <t>Bình bơm phun thuốc phòng chống dịch. Model: IK Multi 12BS, hãng SX: Goizper Group</t>
  </si>
  <si>
    <t>TSKD057</t>
  </si>
  <si>
    <t>Bình bơm phun Hansen</t>
  </si>
  <si>
    <t>Theo dõi bên CCDC</t>
  </si>
  <si>
    <t>QUẦY THUỐC</t>
  </si>
  <si>
    <t>TSKD039</t>
  </si>
  <si>
    <t>Nhiệt ẩm kế tự ghi</t>
  </si>
  <si>
    <t>TSKD040</t>
  </si>
  <si>
    <t>Quầy thuốc</t>
  </si>
  <si>
    <t>Nhiệt kế ẩm TT-513</t>
  </si>
  <si>
    <t>TSKD060</t>
  </si>
  <si>
    <t>Kho Methadone</t>
  </si>
  <si>
    <t>Nguồn Methadone</t>
  </si>
  <si>
    <t>TSKD061</t>
  </si>
  <si>
    <t xml:space="preserve">Kho thuốc - VT </t>
  </si>
  <si>
    <t>Nguồn thu SN. Kho vắc xin: 01; Kho thuốc: 02.</t>
  </si>
  <si>
    <t xml:space="preserve">Bơm định liều </t>
  </si>
  <si>
    <t>TSHIV025</t>
  </si>
  <si>
    <t>HIV chuyển đến</t>
  </si>
  <si>
    <t>TSHIV041</t>
  </si>
  <si>
    <t>TSHIV042</t>
  </si>
  <si>
    <t>Máy hút ẩm</t>
  </si>
  <si>
    <t>TSHIV021</t>
  </si>
  <si>
    <t>TSHIV040</t>
  </si>
  <si>
    <t>Cân điện tử BC-541 đo lượng mỡ</t>
  </si>
  <si>
    <t>TSKD041</t>
  </si>
  <si>
    <t>Cân phân tích OHAUS 311</t>
  </si>
  <si>
    <t>Thước đo trẻ em</t>
  </si>
  <si>
    <t>TSKD043</t>
  </si>
  <si>
    <t>Cân đo lượng mỡ OMRON HBF-356</t>
  </si>
  <si>
    <t>TSKD044</t>
  </si>
  <si>
    <t>Bộ dao mổ điện</t>
  </si>
  <si>
    <t>SS 02/15</t>
  </si>
  <si>
    <t>2015</t>
  </si>
  <si>
    <t xml:space="preserve">Bộ dụng cụ nạo thai	</t>
  </si>
  <si>
    <t>SS 01/17</t>
  </si>
  <si>
    <t>2017</t>
  </si>
  <si>
    <t xml:space="preserve">Bộ dụng cụ triệt sản nam		</t>
  </si>
  <si>
    <t>SS 02/17</t>
  </si>
  <si>
    <t xml:space="preserve">Két sắt lớn đựng thuốc KS 500K2C1 (T12/14) </t>
  </si>
  <si>
    <t>HIV 04/14</t>
  </si>
  <si>
    <t>2014</t>
  </si>
  <si>
    <t>Két sắt lớn đựng thuốc TBM 1505-127 (Tủ chính)</t>
  </si>
  <si>
    <t>HIV 02/15</t>
  </si>
  <si>
    <t xml:space="preserve">Máy tạo Oxy di động	</t>
  </si>
  <si>
    <t>SS 03/17</t>
  </si>
  <si>
    <t>DP 12/12</t>
  </si>
  <si>
    <t>2012</t>
  </si>
  <si>
    <t>DP 14/15</t>
  </si>
  <si>
    <t>DP 16/12</t>
  </si>
  <si>
    <t>DP 15/15</t>
  </si>
  <si>
    <t>DP 13/11</t>
  </si>
  <si>
    <t>2011</t>
  </si>
  <si>
    <t>DP 17/14</t>
  </si>
  <si>
    <t>DP 10/08</t>
  </si>
  <si>
    <t>Tủ lạnh vắc xin Sanyo</t>
  </si>
  <si>
    <t>DP 08/98</t>
  </si>
  <si>
    <t>Tủ bảo quản Vắc xin chuyên dụng TCW4000 AC; Hãng SX: Luxembourg (Viện trợ từ vốn đối ứng NSNN)</t>
  </si>
  <si>
    <t>CDC52/20</t>
  </si>
  <si>
    <t>CDC53/20</t>
  </si>
  <si>
    <t>CDC50/20</t>
  </si>
  <si>
    <t>CDC51/20</t>
  </si>
  <si>
    <t>Tủ lạnh chuyên dụng TCW80AC (Viện trợ)</t>
  </si>
  <si>
    <t>TCW80AC</t>
  </si>
  <si>
    <t>Tủ bảo quản Vắc xin chuyên dụng TCW4000 AC (Viện trợ) (2)</t>
  </si>
  <si>
    <t>TCW4000AC</t>
  </si>
  <si>
    <t>Tủ bảo quản Vắc xin chuyên dụng TCW4000AC (Viện trợ) (3)</t>
  </si>
  <si>
    <t>TCW4000AC-2</t>
  </si>
  <si>
    <t>TCW4000AC-3</t>
  </si>
  <si>
    <t>Tủ lạnh MF314 (Viện trợ)</t>
  </si>
  <si>
    <t>CDC08/23</t>
  </si>
  <si>
    <t>Tủ lạnh  chuyên dụng bảo quản vắcxin, Nhãn hiệu: B Medical Sytems Model: TCW 4000AC ( Viện trợ)</t>
  </si>
  <si>
    <t>01/CDC/24</t>
  </si>
  <si>
    <t>Tủ lạnh  chuyên dụng bảo quản vắcxin, Nhãn hiệu: B Medical Sytems Model: TCW 4000AC ( Viện trợ) (2)</t>
  </si>
  <si>
    <t>03/CDC/24</t>
  </si>
  <si>
    <t>Bàn khám PK</t>
  </si>
  <si>
    <t>Bàn làm rốn (bàn đẻ)</t>
  </si>
  <si>
    <t>Bàn sinh</t>
  </si>
  <si>
    <t>Kệ đựng thuốc Inox</t>
  </si>
  <si>
    <t>Tủ nhôm đựng thuốc</t>
  </si>
  <si>
    <t>Bộ giá đỡ giữ bơm định liều :Xuất xứ :Gia công sản xuất tại VN</t>
  </si>
  <si>
    <t>Két sét KS 186K2C1</t>
  </si>
  <si>
    <t xml:space="preserve">Bơm chia liều thuốc Methedone (2017) </t>
  </si>
  <si>
    <t>Két sắt Hòa Phát; mã SP: KA72</t>
  </si>
  <si>
    <t>Tủ lẻ đựng thuốc Hòa Phát (Két sắt bé)</t>
  </si>
  <si>
    <t>P.Trưởng khoa Dược - VTYT</t>
  </si>
  <si>
    <t>Mai Thị Tính</t>
  </si>
  <si>
    <t>BIÊN BẢN KIỂM KÊ TÀI SẢN CỐ ĐỊNH, CCDC NĂM 2026
KHOA HIV/AIDS VÀ QLĐTNC</t>
  </si>
  <si>
    <t>4. Ông. Cao Minh Thông</t>
  </si>
  <si>
    <t>Trưởng khoa HIV/AIDS và QLĐTNC</t>
  </si>
  <si>
    <t>METHADONE 1 (HIỆN ĐÃ HỦY CƠ SỞ, ĐƯA TÀI SẢN VỀ KHO 118 LÊ ĐÌNH LÝ)</t>
  </si>
  <si>
    <t>Bộ đèn cực tím 6 tấc có chân (di động)</t>
  </si>
  <si>
    <t>TSHIV004</t>
  </si>
  <si>
    <t>Methadone 1</t>
  </si>
  <si>
    <t>Bàn khám Inox có nệm</t>
  </si>
  <si>
    <t>TSHIV006</t>
  </si>
  <si>
    <t>Kho tầng hầm, ĐN thanh lý</t>
  </si>
  <si>
    <t>kho tầng hầm, đề nghị thanh lý</t>
  </si>
  <si>
    <t>Xe đẩy thuốc Inox</t>
  </si>
  <si>
    <t>TSHIV007</t>
  </si>
  <si>
    <t>Cân. NSX: Trung Quốc</t>
  </si>
  <si>
    <t>TSHIV056</t>
  </si>
  <si>
    <t>Phòng tư vấn HIV tầng 1</t>
  </si>
  <si>
    <t>METHADONE SỐ 2 (163 HẢI PHÒNG)</t>
  </si>
  <si>
    <t>Ông nghe, máy đo huyết áp, nhiệt kế
NSX: Nhật Bản</t>
  </si>
  <si>
    <t>TSHIV053</t>
  </si>
  <si>
    <t>Methadone 2</t>
  </si>
  <si>
    <t>Huyết áp kế (HA cơ)</t>
  </si>
  <si>
    <t>TSHIV022</t>
  </si>
  <si>
    <t>FHI</t>
  </si>
  <si>
    <t>Máy điện tim 3 kênh</t>
  </si>
  <si>
    <t>TSHIV023</t>
  </si>
  <si>
    <t>Tủ lạnh sharp 195S</t>
  </si>
  <si>
    <t>TSHIV028</t>
  </si>
  <si>
    <t>Kho 118 Lê Đình Lý</t>
  </si>
  <si>
    <t>Bộ đèn cực tím 6 tấc có chân</t>
  </si>
  <si>
    <t>TSHIV026</t>
  </si>
  <si>
    <t>hỏng, lưu kho tầng hầm, đề nghị thanh lý</t>
  </si>
  <si>
    <t>Giá để tài liệu sắt</t>
  </si>
  <si>
    <t>TSHIV033</t>
  </si>
  <si>
    <t>Kho thuốc me2</t>
  </si>
  <si>
    <t>kho thuốc me2</t>
  </si>
  <si>
    <t>Bàn khám inox+nệm</t>
  </si>
  <si>
    <t>TSHIV035</t>
  </si>
  <si>
    <t>VAAC</t>
  </si>
  <si>
    <t>Cáng cứu thương inox</t>
  </si>
  <si>
    <t>TSHIV036</t>
  </si>
  <si>
    <t>Cân sức khoẻ có thước đo</t>
  </si>
  <si>
    <t>TSHIV037</t>
  </si>
  <si>
    <t>Bình Oxy nhỏ</t>
  </si>
  <si>
    <t>TSHIV045</t>
  </si>
  <si>
    <t>TSHIV046</t>
  </si>
  <si>
    <t>TSHIV054</t>
  </si>
  <si>
    <t>CƠ SỞ 2 (129 Trưng Nữ Vương)</t>
  </si>
  <si>
    <t>Cân đo sức khỏe , thước đo chiều cao (T12/2017)</t>
  </si>
  <si>
    <t>110-HIV/17</t>
  </si>
  <si>
    <t>Đang sd</t>
  </si>
  <si>
    <t xml:space="preserve">Ghế chờ bệnh nhân 3 chỗ ngồi (T12/14) </t>
  </si>
  <si>
    <t>08-HIV/14</t>
  </si>
  <si>
    <t>09-HIV/14</t>
  </si>
  <si>
    <t>10-HIV/14</t>
  </si>
  <si>
    <t>11-HIV/14</t>
  </si>
  <si>
    <t>Hỏng (Đề nghị thanh lý)</t>
  </si>
  <si>
    <t>12-HIV/14</t>
  </si>
  <si>
    <t>Giường bệnh nhân bằng Innox :VN</t>
  </si>
  <si>
    <t>15-HIV/14</t>
  </si>
  <si>
    <t xml:space="preserve">Cáng cứu thương Inox gấp VN </t>
  </si>
  <si>
    <t>16-HIV/14</t>
  </si>
  <si>
    <t>Tủ thuốc cấp cứu</t>
  </si>
  <si>
    <t>17-HIV/14</t>
  </si>
  <si>
    <t>Không SD</t>
  </si>
  <si>
    <t xml:space="preserve">Ghế băng cho bệnh nhân 2016; 
hiệu: Hòa Phát (4 chỗ ngồi/dãy) </t>
  </si>
  <si>
    <t>128-HIV/17</t>
  </si>
  <si>
    <t xml:space="preserve">Ghế băng cho bệnh nhân 2016; 
hiệu: Hòa Phát (4 chổ ngồi/dãy) </t>
  </si>
  <si>
    <t>129-HIV/17</t>
  </si>
  <si>
    <t xml:space="preserve">Ghế băng cho bệnh nhân 2016; hiệu: Hòa Phát (4 chỗ ngồi/dãy) </t>
  </si>
  <si>
    <t>130-HIV/17</t>
  </si>
  <si>
    <t>Tủ đựng thuốc và trang thiết bị cấp cứu</t>
  </si>
  <si>
    <t>153-HIV/17</t>
  </si>
  <si>
    <t>35-HIV/15</t>
  </si>
  <si>
    <t>36-HIV/15</t>
  </si>
  <si>
    <t>37-HIV/15</t>
  </si>
  <si>
    <t>38-HIV/15</t>
  </si>
  <si>
    <t>39-HIV/15</t>
  </si>
  <si>
    <t>Tủ đựng hồ sơ CA- 2C-S4</t>
  </si>
  <si>
    <t>41-HIV/15</t>
  </si>
  <si>
    <t>Không sử dụng (ĐN chuyển sang thiết bị văn phòng)</t>
  </si>
  <si>
    <t>Không sử dụng( chuyển sang thiết bị văn phòng)</t>
  </si>
  <si>
    <t>Bộ dụng cụ cấp cứu ban đầu và bình oxy</t>
  </si>
  <si>
    <t>43-HIV/15</t>
  </si>
  <si>
    <t>Xe đẩy XL - 01</t>
  </si>
  <si>
    <t>44-HIV/15</t>
  </si>
  <si>
    <t xml:space="preserve">Đèn khám mắt họng 
Xuất xứ: Luxamed GmbH &amp; Co. KG/ Đức
</t>
  </si>
  <si>
    <t>20/HIV/2023</t>
  </si>
  <si>
    <t xml:space="preserve">Đang sd 3
Hỏng 2
</t>
  </si>
  <si>
    <t>Đề nghị thanh lý 2</t>
  </si>
  <si>
    <t>21/HIV/2023</t>
  </si>
  <si>
    <t>Trưởng khoa HIV/AIDS VÀ QLĐTNC</t>
  </si>
  <si>
    <t>Cao Minh Thông</t>
  </si>
  <si>
    <t>BIÊN BẢN KIỂM KÊ TÀI SẢN CỐ ĐỊNH, CCDC NĂM 2026
KHOA PHÒNG CHỐNG BỆNH TRUYỀN NHIỄM</t>
  </si>
  <si>
    <t>4. Ông. Đặng Quang Ánh</t>
  </si>
  <si>
    <t>Phó Trưởng khoa PCBTN</t>
  </si>
  <si>
    <t>Máy phun thuốc STIHL SR420*</t>
  </si>
  <si>
    <t>TSBTN016</t>
  </si>
  <si>
    <t>PCBTN-TSN</t>
  </si>
  <si>
    <t>Cơ sở 1</t>
  </si>
  <si>
    <t>Điều chuyển khoa KST 01 máy</t>
  </si>
  <si>
    <t>P.Trưởng khoa PCBTN</t>
  </si>
  <si>
    <t>Đặng Quang Ánh</t>
  </si>
  <si>
    <t>Máy Phun Hóa chất; Hiệu Honda GX 35,4; Dung tích: 20 lít; Hãng SX: Thái Lan (Viện trợ)*</t>
  </si>
  <si>
    <t>CDC47/20</t>
  </si>
  <si>
    <t>Máy phun ULV đeo vai*</t>
  </si>
  <si>
    <t>DP 60/10</t>
  </si>
  <si>
    <t>DP 59/10</t>
  </si>
  <si>
    <t>Máy Phun Stihl SR420; Hãng SX: Đức (Viện trợ)*</t>
  </si>
  <si>
    <t>CDC48/20</t>
  </si>
  <si>
    <t>Máy phun thuốc chạy xăng Makita PM7650H - Trung Quốc*</t>
  </si>
  <si>
    <t>TSBTN011</t>
  </si>
  <si>
    <t>Máy phun mù nóng*</t>
  </si>
  <si>
    <t>TSBTN015</t>
  </si>
  <si>
    <t>BIÊN BẢN KIỂM KÊ TÀI SẢN CỐ ĐỊNH, CCDC NĂM 2026
KHOA SỨC KHỎE SINH SẢN</t>
  </si>
  <si>
    <t>4. Bà. Trần Thị Dạ Thảo</t>
  </si>
  <si>
    <t>Trưởng khoa Sức khỏe sinh sản</t>
  </si>
  <si>
    <t>Thành Tiền</t>
  </si>
  <si>
    <t>CƠ SỞ 1</t>
  </si>
  <si>
    <t>Mô hình đỡ đẻ tự động</t>
  </si>
  <si>
    <t>TSSKSS001</t>
  </si>
  <si>
    <t>Khoa SKSS</t>
  </si>
  <si>
    <t>Bộ trình diễn thức ăn dinh dưỡng</t>
  </si>
  <si>
    <t>22-SKSS</t>
  </si>
  <si>
    <t>Bộ trưng bày thực phẩm</t>
  </si>
  <si>
    <t>23-SKSS</t>
  </si>
  <si>
    <t>Cân bàn đồng hồ</t>
  </si>
  <si>
    <t>24-SKSS</t>
  </si>
  <si>
    <t>Cân trẻ em 30kg</t>
  </si>
  <si>
    <t>25-SKSS</t>
  </si>
  <si>
    <t>Kệ mặt trời bé thơ</t>
  </si>
  <si>
    <t>26-SKSS</t>
  </si>
  <si>
    <t>Tháp Dinh Dưỡng Kính nhôm</t>
  </si>
  <si>
    <t>28-SKSS</t>
  </si>
  <si>
    <t>Thước đo trẻ em ( nằm )</t>
  </si>
  <si>
    <t>30-SKSS</t>
  </si>
  <si>
    <t>Thước đo trẻ em ( đứng )</t>
  </si>
  <si>
    <t>29-SKSS</t>
  </si>
  <si>
    <t>Trưởng khoa SKSS</t>
  </si>
  <si>
    <t>Trần Thị Dạ Thảo</t>
  </si>
  <si>
    <t>BIÊN BẢN KIỂM KÊ TÀI SẢN CỐ ĐỊNH, CCDC NĂM 2026
KHOA KÝ SINH TRÙNG CÔN TRÙNG</t>
  </si>
  <si>
    <t>4. Ông. Nguyễn Như Tiến</t>
  </si>
  <si>
    <t>P.Trưởng khoa KST - CT</t>
  </si>
  <si>
    <t>Đơn giá</t>
  </si>
  <si>
    <t>Thành tiền</t>
  </si>
  <si>
    <t>Máy hút muỗi PCD SXH</t>
  </si>
  <si>
    <t>TSKST001</t>
  </si>
  <si>
    <t>Khoa Ký sinh trùng - côn trùng-SXH</t>
  </si>
  <si>
    <t>P. Soi lam</t>
  </si>
  <si>
    <t>Bộ dụng cụ điều tra bọ gậy phục vụ công tác chống dịch</t>
  </si>
  <si>
    <t>TSKST002</t>
  </si>
  <si>
    <t>Khoa Ký sinh trùng - côn trùng - CTMT</t>
  </si>
  <si>
    <t>Kính hiển vi 2 mắt CX23</t>
  </si>
  <si>
    <t>TSKST007</t>
  </si>
  <si>
    <t>KSTCT-Nguồn ngân sách - chương trình Sốt rét</t>
  </si>
  <si>
    <t>Tủ lạnh Deawoo 250 lít VR 250S-VN</t>
  </si>
  <si>
    <t>TSKST009</t>
  </si>
  <si>
    <t>K. KST-CT</t>
  </si>
  <si>
    <t>Văn phòng khoa</t>
  </si>
  <si>
    <t>Máy phun thuốc chạy xăng Makita PM7650H - Trung Quốc</t>
  </si>
  <si>
    <t>TSKST021</t>
  </si>
  <si>
    <t>Kho KST</t>
  </si>
  <si>
    <t>Máy phun tồn lưu + đầu ULV Solomaster 45201 - Đức</t>
  </si>
  <si>
    <t>TSKST022</t>
  </si>
  <si>
    <t>Kho KST: 1 cái</t>
  </si>
  <si>
    <t>Máy phun thuốc STIHL SR420 (Brazil)</t>
  </si>
  <si>
    <t>TSKST023</t>
  </si>
  <si>
    <t>Bình bơm Micron</t>
  </si>
  <si>
    <t>Cơ sở 2</t>
  </si>
  <si>
    <t>Bình bơm Semco</t>
  </si>
  <si>
    <t>10/SR-BC</t>
  </si>
  <si>
    <t>PCBTN</t>
  </si>
  <si>
    <t>Mua mới tháng 12/2024</t>
  </si>
  <si>
    <t>P.Trưởng khoa KST-CT</t>
  </si>
  <si>
    <t>Nguyễn Như Tiến</t>
  </si>
  <si>
    <t>BIÊN BẢN KIỂM KÊ TÀI SẢN CỐ ĐỊNH, CCDC NĂM 2026
KHOA BỆNH NGHỀ NGHIỆP</t>
  </si>
  <si>
    <t>4. Ông. Dương Ấm Mậu</t>
  </si>
  <si>
    <t>Trưởng khoa Bệnh nghề nghiệp</t>
  </si>
  <si>
    <t>Máy đo ánh sáng ANA-F9 (Nhật)</t>
  </si>
  <si>
    <t>TSBNN003</t>
  </si>
  <si>
    <t>Khoa BNN</t>
  </si>
  <si>
    <t>Máy đo phóng xạ Inspector (Nhật)</t>
  </si>
  <si>
    <t>TSBNN005</t>
  </si>
  <si>
    <t>Máy đo điện từ trường tần số công nghiệp HI3604 (Mỹ)</t>
  </si>
  <si>
    <t>TSBNN006</t>
  </si>
  <si>
    <t>Máy đo điện từ trường tần số cao CA43</t>
  </si>
  <si>
    <t>TSBNN012</t>
  </si>
  <si>
    <t>Máy đo điện từ trường ELT400</t>
  </si>
  <si>
    <t>TSBNN013</t>
  </si>
  <si>
    <t>Máy đo phóng xạ X5C Plus (Đức)</t>
  </si>
  <si>
    <t>TSBNN014</t>
  </si>
  <si>
    <t>Máy đo cường độ sáng
Model:840020</t>
  </si>
  <si>
    <t>TSBNN015</t>
  </si>
  <si>
    <t>Máy đo phóng xạ (Máy đo Bức Xạ ánh sáng) Model:PMA 2200 (Mỹ)</t>
  </si>
  <si>
    <t>TSBNN016</t>
  </si>
  <si>
    <t>Máy đo độ ồn có phân tích giải tần số
Model: CR:191 (CIRRUS)</t>
  </si>
  <si>
    <t>TSBNN019</t>
  </si>
  <si>
    <t>Bộ kính thử mắt Model: K-0391+K-350</t>
  </si>
  <si>
    <t>TSBNN020</t>
  </si>
  <si>
    <t>Máy lấy mẫu bụi bông Model: TE- 4000 (220)</t>
  </si>
  <si>
    <t>TSBNN021</t>
  </si>
  <si>
    <t>Máy đo trọng lượng bụi Model: Microdust pro Particulate Monitor</t>
  </si>
  <si>
    <t>TSBNN022</t>
  </si>
  <si>
    <t>Dụng cụ lấy mẫu không khí Model: SL-30</t>
  </si>
  <si>
    <t>TSBNN023</t>
  </si>
  <si>
    <t>Dụng cụ đo cong vẹo cột sống( Medicon Đức)</t>
  </si>
  <si>
    <t>TSBNN024</t>
  </si>
  <si>
    <t>Bộ khám ngũ quan</t>
  </si>
  <si>
    <t>TSBNN025</t>
  </si>
  <si>
    <t>Bơm phát hiện khí nhanh trong không khí</t>
  </si>
  <si>
    <t>TSBNN026</t>
  </si>
  <si>
    <t xml:space="preserve">Máy đo bụi ( Model: EPAM-5000; HSX: EDC- USA/Mỹ) </t>
  </si>
  <si>
    <t>TSBNN027</t>
  </si>
  <si>
    <t xml:space="preserve">Máy đo vi khí hậu: model WBGT-213A ; hãng SX KEM,  NSX  Nhật Bản </t>
  </si>
  <si>
    <t>TSBNN028</t>
  </si>
  <si>
    <t>Máy đo tốc độ gió; model: Testo 425; hsx Testo. Xuất xứ Đức</t>
  </si>
  <si>
    <t>TSBNN029</t>
  </si>
  <si>
    <t>Máy đo khí độc đa chỉ tiêu cầm tay (Model: 72-561 RK, Eagle; HSX: GKI- USA/ Mỹ)</t>
  </si>
  <si>
    <t>TSBNN030</t>
  </si>
  <si>
    <t>Máy đo hơi khí độc SKY2000-WH-M4</t>
  </si>
  <si>
    <t>TSBNN037</t>
  </si>
  <si>
    <t>Máy đo Toluen - SKY2000-WH-C7H8</t>
  </si>
  <si>
    <t>TSBNN038</t>
  </si>
  <si>
    <t>Máy đo Xylen - SKY2000-WH-C8H10</t>
  </si>
  <si>
    <t>TSBNN039</t>
  </si>
  <si>
    <t>Bơm phát hiện khí nhanh</t>
  </si>
  <si>
    <t>TS102/YTD</t>
  </si>
  <si>
    <t>Máy đo ánh sáng</t>
  </si>
  <si>
    <t>12/CDC/20</t>
  </si>
  <si>
    <t>Máy đo bức xạ tử ngoại UV-340A</t>
  </si>
  <si>
    <t>13/CDC/20</t>
  </si>
  <si>
    <t>Sửa tên</t>
  </si>
  <si>
    <t>Máy đo VKH 4in1 Extech 45170</t>
  </si>
  <si>
    <t>Máy đo vi khí hậu Model: CENTER 332 Xuất xứ : Đài Loan</t>
  </si>
  <si>
    <t>20/CDC/2024</t>
  </si>
  <si>
    <t>Máy đo khoảng cách Model: DT 100M Xuất xứ : Trung Quốc</t>
  </si>
  <si>
    <t>21/CDC/2024</t>
  </si>
  <si>
    <t>Đồng hồ bấm giây Model: PC 894, Xuất xứ: Trung Quốc</t>
  </si>
  <si>
    <t>22/CDC/2024</t>
  </si>
  <si>
    <t>Thiết bị đo lực bóp tay Model: MG 4800  Xuất xứ : Đài Loan</t>
  </si>
  <si>
    <t>23/CDC/2024</t>
  </si>
  <si>
    <t>Máy đo từ trường tần số công nghiệp 480823</t>
  </si>
  <si>
    <t>DP 202/18</t>
  </si>
  <si>
    <t>Máy đo bức xạ nhiệt (pce-spm1)</t>
  </si>
  <si>
    <t>DP 204/18</t>
  </si>
  <si>
    <t>Máy đo bụi hô hấp trọng lượng</t>
  </si>
  <si>
    <t>DP 89/12</t>
  </si>
  <si>
    <t>Máy đo khí CO2</t>
  </si>
  <si>
    <t>DP 86/12</t>
  </si>
  <si>
    <t>Máy đo ồn giải tần (NL-42)</t>
  </si>
  <si>
    <t>DP 201/18</t>
  </si>
  <si>
    <t>Máy đo phóng xạ điện tử hiệu số (Inspector)</t>
  </si>
  <si>
    <t>DP 90/12</t>
  </si>
  <si>
    <t>Máy đo rung có giải tần (VM82A)</t>
  </si>
  <si>
    <t>DP 203/18</t>
  </si>
  <si>
    <t>Thiết bị lấy mẫu khí lưu lượng thấp; Model: Escort ELF; Hãng: Zefon; XX: Mỹ</t>
  </si>
  <si>
    <t>CDC11/20</t>
  </si>
  <si>
    <t>Máy lấy mẫu bụi bông</t>
  </si>
  <si>
    <t>DP 95/12</t>
  </si>
  <si>
    <t>Máy đo tốc độ gió; Model: Testo 425; Hãng: Testo - Đức; XX: Đức</t>
  </si>
  <si>
    <t>CDC10/20</t>
  </si>
  <si>
    <t>Máy đo điện từ trường</t>
  </si>
  <si>
    <t>DP 94/12</t>
  </si>
  <si>
    <t>Máy đo khí độc cầm tay</t>
  </si>
  <si>
    <t>DP 93/12</t>
  </si>
  <si>
    <t>Máy đo trọng lượng bụi</t>
  </si>
  <si>
    <t>DP 92/12</t>
  </si>
  <si>
    <t>Đèn đọc phim DYX-2 (TQ)</t>
  </si>
  <si>
    <t>TSBNN032</t>
  </si>
  <si>
    <t>Giường sắt chân Inox có bánh xe</t>
  </si>
  <si>
    <t>TSBNN035</t>
  </si>
  <si>
    <t>Máy hút dịch 2 bình 7A-23YUWELL</t>
  </si>
  <si>
    <t>TSBNN036</t>
  </si>
  <si>
    <t>Sửa tên, ĐN chuyển PKĐK 2026</t>
  </si>
  <si>
    <t>Trưởng khoa BNN</t>
  </si>
  <si>
    <t>Dương Ấm Mậu</t>
  </si>
  <si>
    <t>BIÊN BẢN KIỂM KÊ TÀI SẢN CỐ ĐỊNH, CCDC NĂM 2026
KHOA PHÒNG CHỐNG BỆNH KHÔNG LÂY NHIỄM</t>
  </si>
  <si>
    <t>4. Bà. Bùi Thị Long Cảnh</t>
  </si>
  <si>
    <t>Trưởng khoa PCBKLN</t>
  </si>
  <si>
    <t>Máy đo đường huyết 
phục vụ sàng lọc ĐTĐ</t>
  </si>
  <si>
    <t>TSPCBKLN 005</t>
  </si>
  <si>
    <t>Khoa PCBKLN</t>
  </si>
  <si>
    <t>Đang SD</t>
  </si>
  <si>
    <t>Máy đo Huyết áp điện tử
OMRON</t>
  </si>
  <si>
    <t>TSPCBKLN 007</t>
  </si>
  <si>
    <t>Bùi Thị Long Cảnh</t>
  </si>
  <si>
    <t>BIÊN BẢN KIỂM KÊ TÀI SẢN CỐ ĐỊNH, CCDC NĂM 2026
KHOA SỨC KHỎE MÔI TRƯỜNG - Y TẾ TRƯỜNG HỌC</t>
  </si>
  <si>
    <t>4. Bà. Võ Thị Duy Lệ</t>
  </si>
  <si>
    <t>Trưởng khoa SKMT - YTTH</t>
  </si>
  <si>
    <t xml:space="preserve">Máy đo độ ồn </t>
  </si>
  <si>
    <t>DP 84/12</t>
  </si>
  <si>
    <t>SKMT-YTTH</t>
  </si>
  <si>
    <t>DP 68/13</t>
  </si>
  <si>
    <t>Máy phun Stihl SR420; Hãng SX: Đức (viện trợ)</t>
  </si>
  <si>
    <t>CDC49/20</t>
  </si>
  <si>
    <t>Máy đo cường độ ánh sáng 
(Model: 337) 
Nước SX: Center - Đài Loan</t>
  </si>
  <si>
    <t>TSSKMT01-1</t>
  </si>
  <si>
    <t>TSSKMT01-2</t>
  </si>
  <si>
    <t>Máy đo độ ồn
(Model: 323)
Nước SX: Center - Đài Loan</t>
  </si>
  <si>
    <t>TSSKMT02</t>
  </si>
  <si>
    <t>TS69/YTDP</t>
  </si>
  <si>
    <t>Trưởng khoa SKMT-YTTH</t>
  </si>
  <si>
    <t>Võ Thị Duy Lệ</t>
  </si>
  <si>
    <t>BIÊN BẢN KIỂM KÊ TÀI SẢN CỐ ĐỊNH, CCDC NĂM 2026
KHOA DINH DƯỠNG</t>
  </si>
  <si>
    <t>4. Ông. Ngô Văn Quang</t>
  </si>
  <si>
    <t>Trưởng khoa Dinh dưỡng</t>
  </si>
  <si>
    <t>Cân Nhơn Hòa 30 kg</t>
  </si>
  <si>
    <t>TSDD001</t>
  </si>
  <si>
    <t>K. Dinh Dưỡng</t>
  </si>
  <si>
    <t>Khoa Dinh Dưỡng</t>
  </si>
  <si>
    <t>TTCSSKSS</t>
  </si>
  <si>
    <t>Cân TANITA 150 Kg (Japan) BC-313</t>
  </si>
  <si>
    <t>TSDD003</t>
  </si>
  <si>
    <t>Cân sức khoẻ  điện tử S6403ENG</t>
  </si>
  <si>
    <t>mới nhận 9/2025</t>
  </si>
  <si>
    <t>Ống nghe tim phổi</t>
  </si>
  <si>
    <t>TSDD004</t>
  </si>
  <si>
    <t>Ống nhiệt</t>
  </si>
  <si>
    <t>TSDD005</t>
  </si>
  <si>
    <t>Thước đo đứng TE 132cm (gỗ)</t>
  </si>
  <si>
    <t>TSDD006</t>
  </si>
  <si>
    <t>Thước đo đứng TE 180cm (gỗ)</t>
  </si>
  <si>
    <t>TSDD007</t>
  </si>
  <si>
    <t>Thước đo nằm TE (gỗ)</t>
  </si>
  <si>
    <t>TSDD008</t>
  </si>
  <si>
    <t>Thước đo nằm 1m</t>
  </si>
  <si>
    <t>TSDD009</t>
  </si>
  <si>
    <t>Cân điện tử</t>
  </si>
  <si>
    <t>10-CDC/19</t>
  </si>
  <si>
    <t>Ngô Văn Quang</t>
  </si>
  <si>
    <t>BIÊN BẢN KIỂM KÊ TÀI SẢN CỐ ĐỊNH, CCDC NĂM 2026
PHÒNG TỔ CHỨC HÀNH CHÍNH</t>
  </si>
  <si>
    <t>4. Ông. Trần Liên</t>
  </si>
  <si>
    <t>Trưởng phòng Tổ chức Hành chính</t>
  </si>
  <si>
    <t>Đại diện Phòng</t>
  </si>
  <si>
    <t>TSTC001</t>
  </si>
  <si>
    <t>P. TCHC</t>
  </si>
  <si>
    <t>P. Bảo vệ</t>
  </si>
  <si>
    <t>PKĐK (TSPK325-3)</t>
  </si>
  <si>
    <t>P. Đội xe</t>
  </si>
  <si>
    <t xml:space="preserve">Màn hình TV LE55AQT6 600UG (của bộ Camera đo thân nhiệt từ xa FLIR A500-EST Thermal Core 2020 của K.KDYTQT) </t>
  </si>
  <si>
    <t>TSTC002</t>
  </si>
  <si>
    <t>KDYTQT
chuyển về</t>
  </si>
  <si>
    <t>Hội trường 1 và 2 (Tầng 7)</t>
  </si>
  <si>
    <t>Tủ nhôm cách âm Cao 2,1m x rộng 1,4m x dài 3,4m; Sắt hộp 40x80 dày 1,2 ly; Sắt vuông 40x40 dày 1,2 ly</t>
  </si>
  <si>
    <t>CDC05/20</t>
  </si>
  <si>
    <t>17.000.000</t>
  </si>
  <si>
    <t>Khoa XN CS2</t>
  </si>
  <si>
    <t>Ghế băng cho bệnh nhân 2026; hiệu: Hòa Phát (4 chỗ ngồi/dãy)</t>
  </si>
  <si>
    <t>Ghế chờ bệnh nhân 3 chỗ ngồi</t>
  </si>
  <si>
    <t>Trưởng phòng TCHC</t>
  </si>
  <si>
    <t>Trần Liên</t>
  </si>
  <si>
    <t>Máy xét nghiệm miễn dịch tự động (Model: Cobas e411; Hãng sx: Rocher Hitachi- Nhật Bản )</t>
  </si>
  <si>
    <t>- Ghi nhận: Máy lắc Vortex mã 25/CDC/20 số lượng 03 cái sử dụng tại BP Cận Lâm Sàng CS2</t>
  </si>
  <si>
    <t>- Ghi nhận: Hòm lạnh RCW25 mã TSBTN007 số lượng 01 cái sử dụng tại khoa PCBTN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</si>
</sst>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_(* #,##0.000_);_(* \(#,##0.000\);_(* &quot;-&quot;??_);_(@_)"/>
    <numFmt numFmtId="165" formatCode="_-* #,##0_-;\-* #,##0_-;_-* &quot;-&quot;??_-;_-@_-"/>
    <numFmt numFmtId="166" formatCode="_(* #,##0_);_(* \(#,##0\);_(* &quot;-&quot;??_);_(@_)"/>
    <numFmt numFmtId="167" formatCode="#,##0;[Red]#,##0"/>
    <numFmt numFmtId="168" formatCode="_-* #,##0&quot; &quot;_ _-;\-* #,##0&quot; &quot;_ _-;_-* &quot;-&quot;??&quot; &quot;_ _-;_-@_-"/>
    <numFmt numFmtId="169" formatCode="_-* #,##0\ _ _-;\-* #,##0\ _ _-;_-* &quot;-&quot;\ _ _-;_-@_-"/>
    <numFmt numFmtId="170" formatCode="_(* #,##0_);_(* \(#,##0\);_(* &quot;-&quot;&quot;?&quot;&quot;?&quot;_);_(@_)"/>
    <numFmt numFmtId="171" formatCode="#_);\(#\)"/>
    <numFmt numFmtId="172" formatCode="0.0%"/>
    <numFmt numFmtId="173" formatCode="_(* #,##0_);_(* \(#,##0\);_(* \-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  <charset val="163"/>
    </font>
    <font>
      <sz val="11"/>
      <name val="Times New Roman"/>
      <family val="1"/>
      <charset val="163"/>
    </font>
    <font>
      <b/>
      <u/>
      <sz val="11"/>
      <name val="Times New Roman"/>
      <family val="1"/>
      <charset val="163"/>
    </font>
    <font>
      <b/>
      <sz val="14"/>
      <name val="Times New Roman"/>
      <family val="1"/>
      <charset val="163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sz val="8"/>
      <name val="Times New Roman"/>
      <family val="1"/>
      <charset val="163"/>
    </font>
    <font>
      <sz val="8"/>
      <color indexed="8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2"/>
    </font>
    <font>
      <sz val="10"/>
      <name val="Arial"/>
      <family val="2"/>
      <charset val="163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0"/>
      <name val="VNtimes new roman"/>
    </font>
    <font>
      <b/>
      <sz val="10"/>
      <name val="Times New Roman"/>
      <family val="1"/>
    </font>
    <font>
      <sz val="10.5"/>
      <name val="Times New Roman"/>
      <family val="1"/>
      <charset val="163"/>
    </font>
    <font>
      <sz val="10"/>
      <name val="Times New Roman"/>
      <family val="1"/>
    </font>
    <font>
      <sz val="10"/>
      <name val="VNtimes new roman"/>
      <family val="2"/>
    </font>
    <font>
      <sz val="9"/>
      <name val="Times New Roman"/>
      <family val="1"/>
      <charset val="163"/>
    </font>
    <font>
      <b/>
      <sz val="10"/>
      <name val="VNtimes new roman"/>
      <family val="2"/>
      <charset val="163"/>
    </font>
    <font>
      <sz val="9"/>
      <color rgb="FFFF0000"/>
      <name val="Times New Roman"/>
      <family val="1"/>
      <charset val="163"/>
    </font>
    <font>
      <sz val="10"/>
      <name val="Calibri"/>
      <family val="2"/>
      <charset val="163"/>
    </font>
    <font>
      <sz val="12"/>
      <name val="VNtimes new roman"/>
      <family val="2"/>
    </font>
    <font>
      <sz val="9"/>
      <color rgb="FFFF0000"/>
      <name val="Times New Roman"/>
      <family val="1"/>
    </font>
    <font>
      <sz val="10"/>
      <name val="Calibri"/>
      <family val="2"/>
    </font>
    <font>
      <sz val="12"/>
      <name val=".VnTime"/>
      <family val="2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i/>
      <sz val="10"/>
      <name val="Times New Roman"/>
      <family val="1"/>
      <charset val="163"/>
    </font>
    <font>
      <vertAlign val="superscript"/>
      <sz val="10"/>
      <name val="Times New Roman"/>
      <family val="1"/>
    </font>
    <font>
      <b/>
      <sz val="9"/>
      <name val="Times New Roman"/>
      <family val="1"/>
      <charset val="163"/>
    </font>
    <font>
      <vertAlign val="subscript"/>
      <sz val="10"/>
      <name val="Times New Roman"/>
      <family val="1"/>
    </font>
    <font>
      <sz val="14"/>
      <name val="Times New Roman"/>
      <family val="1"/>
    </font>
    <font>
      <sz val="9"/>
      <color theme="1"/>
      <name val="Times New Roman"/>
      <family val="1"/>
      <charset val="163"/>
    </font>
    <font>
      <sz val="12"/>
      <color rgb="FFFF0000"/>
      <name val="Times New Roman"/>
      <family val="1"/>
    </font>
    <font>
      <sz val="10"/>
      <name val=".VnTime"/>
      <family val="2"/>
      <charset val="163"/>
    </font>
    <font>
      <b/>
      <sz val="10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sz val="10"/>
      <color theme="1"/>
      <name val="VNtimes new roman"/>
      <family val="2"/>
      <charset val="163"/>
    </font>
    <font>
      <sz val="10"/>
      <color theme="1"/>
      <name val="Times New Roman"/>
      <family val="1"/>
      <charset val="163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  <charset val="163"/>
    </font>
    <font>
      <sz val="14"/>
      <color theme="1"/>
      <name val="Times New Roman"/>
      <family val="1"/>
    </font>
    <font>
      <b/>
      <sz val="10"/>
      <name val="VNtimes new roman"/>
    </font>
    <font>
      <sz val="10.5"/>
      <color theme="1"/>
      <name val="Times New Roman"/>
      <family val="1"/>
      <charset val="163"/>
    </font>
    <font>
      <b/>
      <sz val="10"/>
      <color theme="1"/>
      <name val="VNtimes new roman"/>
      <family val="2"/>
    </font>
    <font>
      <sz val="10"/>
      <color theme="1"/>
      <name val="Calibri"/>
      <family val="2"/>
      <charset val="163"/>
    </font>
    <font>
      <sz val="10"/>
      <color rgb="FF000000"/>
      <name val="Times New Roman"/>
      <family val="1"/>
    </font>
    <font>
      <sz val="10"/>
      <color indexed="8"/>
      <name val="Times New Roman"/>
      <family val="1"/>
    </font>
    <font>
      <sz val="11"/>
      <name val="Times New Roman"/>
      <family val="1"/>
    </font>
    <font>
      <b/>
      <sz val="10"/>
      <color theme="1"/>
      <name val="VNtimes new roman"/>
      <charset val="163"/>
    </font>
    <font>
      <sz val="10.5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</xf>
    <xf numFmtId="0" fontId="1" fillId="0" borderId="0"/>
    <xf numFmtId="0" fontId="11" fillId="0" borderId="0"/>
    <xf numFmtId="43" fontId="10" fillId="0" borderId="0" applyFont="0" applyFill="0" applyBorder="0" applyAlignment="0" applyProtection="0"/>
    <xf numFmtId="0" fontId="12" fillId="0" borderId="0"/>
    <xf numFmtId="43" fontId="10" fillId="0" borderId="0" applyFont="0" applyFill="0" applyBorder="0" applyAlignment="0" applyProtection="0"/>
    <xf numFmtId="0" fontId="17" fillId="0" borderId="0"/>
    <xf numFmtId="43" fontId="21" fillId="0" borderId="0" applyFont="0" applyFill="0" applyBorder="0" applyAlignment="0" applyProtection="0"/>
    <xf numFmtId="0" fontId="26" fillId="0" borderId="0"/>
    <xf numFmtId="0" fontId="29" fillId="0" borderId="0"/>
    <xf numFmtId="0" fontId="29" fillId="0" borderId="0"/>
    <xf numFmtId="43" fontId="21" fillId="0" borderId="0" applyFont="0" applyFill="0" applyBorder="0" applyAlignment="0" applyProtection="0"/>
    <xf numFmtId="0" fontId="1" fillId="0" borderId="0"/>
    <xf numFmtId="0" fontId="21" fillId="0" borderId="0"/>
    <xf numFmtId="169" fontId="17" fillId="0" borderId="0" applyFont="0" applyFill="0" applyBorder="0" applyAlignment="0" applyProtection="0"/>
    <xf numFmtId="0" fontId="36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</xf>
  </cellStyleXfs>
  <cellXfs count="561">
    <xf numFmtId="0" fontId="0" fillId="0" borderId="0" xfId="0"/>
    <xf numFmtId="164" fontId="7" fillId="0" borderId="0" xfId="2" applyNumberFormat="1" applyFont="1" applyFill="1" applyAlignment="1">
      <alignment horizontal="center" vertical="center"/>
    </xf>
    <xf numFmtId="164" fontId="6" fillId="0" borderId="0" xfId="2" applyNumberFormat="1" applyFont="1" applyFill="1" applyBorder="1" applyAlignment="1">
      <alignment horizontal="center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/>
    <xf numFmtId="0" fontId="4" fillId="0" borderId="0" xfId="0" applyFont="1" applyFill="1" applyAlignment="1">
      <alignment horizontal="center" vertical="center"/>
    </xf>
    <xf numFmtId="0" fontId="5" fillId="0" borderId="0" xfId="0" applyFont="1" applyFill="1"/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wrapText="1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4" fillId="0" borderId="0" xfId="1" applyFont="1" applyFill="1" applyAlignment="1">
      <alignment horizontal="center" vertical="center" wrapText="1"/>
    </xf>
    <xf numFmtId="0" fontId="14" fillId="0" borderId="0" xfId="0" applyFont="1" applyFill="1" applyAlignment="1">
      <alignment vertical="center"/>
    </xf>
    <xf numFmtId="0" fontId="14" fillId="0" borderId="2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left" vertical="center" wrapText="1"/>
    </xf>
    <xf numFmtId="1" fontId="14" fillId="0" borderId="2" xfId="1" applyNumberFormat="1" applyFont="1" applyFill="1" applyBorder="1" applyAlignment="1">
      <alignment horizontal="center" vertical="center" wrapText="1"/>
    </xf>
    <xf numFmtId="3" fontId="14" fillId="0" borderId="2" xfId="1" applyNumberFormat="1" applyFont="1" applyFill="1" applyBorder="1" applyAlignment="1">
      <alignment horizontal="center" vertical="center" wrapText="1"/>
    </xf>
    <xf numFmtId="166" fontId="14" fillId="0" borderId="2" xfId="2" applyNumberFormat="1" applyFont="1" applyFill="1" applyBorder="1" applyAlignment="1">
      <alignment horizontal="right" vertical="center"/>
    </xf>
    <xf numFmtId="3" fontId="14" fillId="0" borderId="2" xfId="1" applyNumberFormat="1" applyFont="1" applyFill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vertical="center"/>
    </xf>
    <xf numFmtId="3" fontId="14" fillId="0" borderId="2" xfId="0" applyNumberFormat="1" applyFont="1" applyFill="1" applyBorder="1" applyAlignment="1">
      <alignment horizontal="right" vertical="center"/>
    </xf>
    <xf numFmtId="167" fontId="14" fillId="0" borderId="2" xfId="7" applyNumberFormat="1" applyFont="1" applyFill="1" applyBorder="1" applyAlignment="1">
      <alignment vertical="center"/>
    </xf>
    <xf numFmtId="0" fontId="14" fillId="0" borderId="2" xfId="1" quotePrefix="1" applyFont="1" applyFill="1" applyBorder="1" applyAlignment="1">
      <alignment horizontal="center" vertical="center" wrapText="1"/>
    </xf>
    <xf numFmtId="166" fontId="14" fillId="0" borderId="2" xfId="0" applyNumberFormat="1" applyFont="1" applyFill="1" applyBorder="1" applyAlignment="1">
      <alignment vertical="center"/>
    </xf>
    <xf numFmtId="166" fontId="14" fillId="0" borderId="2" xfId="6" applyNumberFormat="1" applyFont="1" applyFill="1" applyBorder="1" applyAlignment="1">
      <alignment horizontal="right" vertical="center" wrapText="1"/>
    </xf>
    <xf numFmtId="166" fontId="14" fillId="0" borderId="2" xfId="6" applyNumberFormat="1" applyFont="1" applyFill="1" applyBorder="1" applyAlignment="1">
      <alignment horizontal="right" vertical="center"/>
    </xf>
    <xf numFmtId="3" fontId="14" fillId="0" borderId="2" xfId="5" applyNumberFormat="1" applyFont="1" applyFill="1" applyBorder="1" applyAlignment="1">
      <alignment horizontal="right" vertical="center" wrapText="1"/>
    </xf>
    <xf numFmtId="166" fontId="14" fillId="0" borderId="2" xfId="6" applyNumberFormat="1" applyFont="1" applyFill="1" applyBorder="1" applyAlignment="1">
      <alignment vertical="center" wrapText="1"/>
    </xf>
    <xf numFmtId="166" fontId="14" fillId="0" borderId="2" xfId="6" applyNumberFormat="1" applyFont="1" applyFill="1" applyBorder="1" applyAlignment="1" applyProtection="1">
      <alignment horizontal="right" vertical="center" wrapText="1" shrinkToFit="1"/>
      <protection locked="0"/>
    </xf>
    <xf numFmtId="3" fontId="14" fillId="0" borderId="2" xfId="0" applyNumberFormat="1" applyFont="1" applyFill="1" applyBorder="1" applyAlignment="1">
      <alignment vertical="center" wrapText="1"/>
    </xf>
    <xf numFmtId="0" fontId="14" fillId="0" borderId="2" xfId="3" applyFont="1" applyFill="1" applyBorder="1" applyAlignment="1" applyProtection="1">
      <alignment vertical="center" wrapText="1" shrinkToFit="1"/>
      <protection locked="0"/>
    </xf>
    <xf numFmtId="0" fontId="14" fillId="0" borderId="2" xfId="3" applyFont="1" applyFill="1" applyBorder="1" applyAlignment="1" applyProtection="1">
      <alignment horizontal="center" vertical="center" wrapText="1" shrinkToFit="1"/>
      <protection locked="0"/>
    </xf>
    <xf numFmtId="3" fontId="14" fillId="0" borderId="2" xfId="3" applyNumberFormat="1" applyFont="1" applyFill="1" applyBorder="1" applyAlignment="1" applyProtection="1">
      <alignment horizontal="right" vertical="center" wrapText="1" shrinkToFit="1"/>
      <protection locked="0"/>
    </xf>
    <xf numFmtId="0" fontId="14" fillId="0" borderId="2" xfId="4" applyFont="1" applyFill="1" applyBorder="1" applyAlignment="1">
      <alignment horizontal="center" vertical="center" wrapText="1"/>
    </xf>
    <xf numFmtId="166" fontId="14" fillId="0" borderId="2" xfId="8" applyNumberFormat="1" applyFont="1" applyFill="1" applyBorder="1" applyAlignment="1" applyProtection="1">
      <alignment horizontal="right" vertical="center" wrapText="1" shrinkToFit="1"/>
      <protection locked="0"/>
    </xf>
    <xf numFmtId="0" fontId="14" fillId="0" borderId="2" xfId="1" applyFont="1" applyFill="1" applyBorder="1" applyAlignment="1">
      <alignment vertical="center" wrapText="1"/>
    </xf>
    <xf numFmtId="165" fontId="14" fillId="0" borderId="2" xfId="1" applyNumberFormat="1" applyFont="1" applyFill="1" applyBorder="1" applyAlignment="1">
      <alignment horizontal="center" vertical="center" wrapText="1"/>
    </xf>
    <xf numFmtId="0" fontId="14" fillId="0" borderId="2" xfId="5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vertical="center" wrapText="1"/>
    </xf>
    <xf numFmtId="166" fontId="14" fillId="0" borderId="0" xfId="6" applyNumberFormat="1" applyFont="1" applyFill="1" applyBorder="1" applyAlignment="1">
      <alignment horizontal="right" vertical="center" wrapText="1"/>
    </xf>
    <xf numFmtId="165" fontId="14" fillId="0" borderId="0" xfId="1" applyNumberFormat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center" vertical="center"/>
    </xf>
    <xf numFmtId="166" fontId="10" fillId="0" borderId="0" xfId="6" applyNumberFormat="1" applyFont="1" applyFill="1" applyBorder="1" applyAlignment="1">
      <alignment horizontal="right" vertical="center"/>
    </xf>
    <xf numFmtId="165" fontId="10" fillId="0" borderId="0" xfId="1" applyNumberFormat="1" applyFont="1" applyFill="1" applyBorder="1" applyAlignment="1">
      <alignment horizontal="center" vertical="center"/>
    </xf>
    <xf numFmtId="0" fontId="15" fillId="0" borderId="0" xfId="1" applyFont="1" applyFill="1" applyBorder="1" applyAlignment="1"/>
    <xf numFmtId="0" fontId="13" fillId="0" borderId="2" xfId="1" applyFont="1" applyFill="1" applyBorder="1" applyAlignment="1">
      <alignment vertical="center" wrapText="1"/>
    </xf>
    <xf numFmtId="168" fontId="14" fillId="0" borderId="2" xfId="2" applyNumberFormat="1" applyFont="1" applyFill="1" applyBorder="1" applyAlignment="1">
      <alignment horizontal="right" vertical="center" wrapText="1"/>
    </xf>
    <xf numFmtId="3" fontId="3" fillId="0" borderId="0" xfId="9" applyNumberFormat="1" applyFont="1" applyFill="1" applyAlignment="1">
      <alignment horizontal="right" vertical="center"/>
    </xf>
    <xf numFmtId="0" fontId="3" fillId="0" borderId="0" xfId="9" applyFont="1" applyFill="1" applyAlignment="1">
      <alignment vertical="center"/>
    </xf>
    <xf numFmtId="0" fontId="18" fillId="0" borderId="0" xfId="9" applyFont="1" applyFill="1" applyAlignment="1">
      <alignment vertical="center"/>
    </xf>
    <xf numFmtId="0" fontId="19" fillId="0" borderId="0" xfId="9" applyFont="1" applyFill="1"/>
    <xf numFmtId="0" fontId="20" fillId="0" borderId="0" xfId="9" applyFont="1" applyFill="1" applyAlignment="1">
      <alignment vertical="center"/>
    </xf>
    <xf numFmtId="0" fontId="6" fillId="0" borderId="0" xfId="9" applyFont="1" applyFill="1"/>
    <xf numFmtId="0" fontId="6" fillId="0" borderId="0" xfId="9" applyFont="1" applyFill="1" applyAlignment="1">
      <alignment horizontal="center" vertical="center"/>
    </xf>
    <xf numFmtId="0" fontId="19" fillId="0" borderId="0" xfId="9" applyFont="1" applyFill="1" applyAlignment="1">
      <alignment horizontal="center" vertical="center"/>
    </xf>
    <xf numFmtId="0" fontId="19" fillId="0" borderId="0" xfId="9" applyFont="1" applyFill="1" applyAlignment="1">
      <alignment vertical="center"/>
    </xf>
    <xf numFmtId="164" fontId="19" fillId="0" borderId="0" xfId="10" applyNumberFormat="1" applyFont="1" applyFill="1" applyBorder="1" applyAlignment="1">
      <alignment vertical="center"/>
    </xf>
    <xf numFmtId="164" fontId="20" fillId="0" borderId="0" xfId="10" applyNumberFormat="1" applyFont="1" applyFill="1" applyBorder="1" applyAlignment="1">
      <alignment vertical="center"/>
    </xf>
    <xf numFmtId="0" fontId="19" fillId="0" borderId="0" xfId="9" applyFont="1" applyFill="1" applyAlignment="1">
      <alignment wrapText="1"/>
    </xf>
    <xf numFmtId="0" fontId="19" fillId="0" borderId="0" xfId="9" applyFont="1" applyFill="1" applyAlignment="1">
      <alignment horizontal="center"/>
    </xf>
    <xf numFmtId="0" fontId="22" fillId="0" borderId="0" xfId="9" applyFont="1" applyFill="1"/>
    <xf numFmtId="0" fontId="22" fillId="0" borderId="0" xfId="9" applyFont="1" applyFill="1" applyAlignment="1">
      <alignment vertical="center"/>
    </xf>
    <xf numFmtId="0" fontId="14" fillId="0" borderId="2" xfId="9" applyFont="1" applyFill="1" applyBorder="1" applyAlignment="1">
      <alignment vertical="center" wrapText="1"/>
    </xf>
    <xf numFmtId="3" fontId="20" fillId="0" borderId="2" xfId="9" applyNumberFormat="1" applyFont="1" applyFill="1" applyBorder="1" applyAlignment="1">
      <alignment horizontal="center" vertical="center" wrapText="1"/>
    </xf>
    <xf numFmtId="0" fontId="14" fillId="0" borderId="2" xfId="9" applyFont="1" applyFill="1" applyBorder="1" applyAlignment="1">
      <alignment horizontal="left" vertical="center" wrapText="1"/>
    </xf>
    <xf numFmtId="0" fontId="24" fillId="0" borderId="0" xfId="9" applyFont="1" applyFill="1" applyAlignment="1">
      <alignment vertical="center"/>
    </xf>
    <xf numFmtId="3" fontId="14" fillId="0" borderId="2" xfId="9" applyNumberFormat="1" applyFont="1" applyFill="1" applyBorder="1" applyAlignment="1">
      <alignment horizontal="right" vertical="center" wrapText="1"/>
    </xf>
    <xf numFmtId="0" fontId="25" fillId="0" borderId="2" xfId="9" applyFont="1" applyFill="1" applyBorder="1" applyAlignment="1">
      <alignment horizontal="center" vertical="center" wrapText="1"/>
    </xf>
    <xf numFmtId="2" fontId="14" fillId="0" borderId="2" xfId="9" applyNumberFormat="1" applyFont="1" applyFill="1" applyBorder="1" applyAlignment="1">
      <alignment horizontal="left" vertical="center" wrapText="1"/>
    </xf>
    <xf numFmtId="1" fontId="14" fillId="0" borderId="2" xfId="9" applyNumberFormat="1" applyFont="1" applyFill="1" applyBorder="1" applyAlignment="1">
      <alignment horizontal="center" vertical="center" wrapText="1"/>
    </xf>
    <xf numFmtId="3" fontId="14" fillId="0" borderId="2" xfId="11" applyNumberFormat="1" applyFont="1" applyFill="1" applyBorder="1" applyAlignment="1">
      <alignment horizontal="right" vertical="center" wrapText="1"/>
    </xf>
    <xf numFmtId="0" fontId="14" fillId="0" borderId="2" xfId="11" applyFont="1" applyFill="1" applyBorder="1" applyAlignment="1">
      <alignment vertical="center" wrapText="1"/>
    </xf>
    <xf numFmtId="3" fontId="14" fillId="0" borderId="2" xfId="9" applyNumberFormat="1" applyFont="1" applyFill="1" applyBorder="1" applyAlignment="1">
      <alignment vertical="center" wrapText="1"/>
    </xf>
    <xf numFmtId="0" fontId="27" fillId="0" borderId="0" xfId="9" applyFont="1" applyFill="1" applyAlignment="1">
      <alignment vertical="center"/>
    </xf>
    <xf numFmtId="3" fontId="14" fillId="0" borderId="2" xfId="10" applyNumberFormat="1" applyFont="1" applyFill="1" applyBorder="1" applyAlignment="1">
      <alignment vertical="center" wrapText="1"/>
    </xf>
    <xf numFmtId="166" fontId="14" fillId="0" borderId="2" xfId="10" applyNumberFormat="1" applyFont="1" applyFill="1" applyBorder="1" applyAlignment="1">
      <alignment vertical="center" wrapText="1"/>
    </xf>
    <xf numFmtId="3" fontId="14" fillId="0" borderId="2" xfId="9" quotePrefix="1" applyNumberFormat="1" applyFont="1" applyFill="1" applyBorder="1" applyAlignment="1">
      <alignment horizontal="center" vertical="center" wrapText="1"/>
    </xf>
    <xf numFmtId="2" fontId="14" fillId="0" borderId="2" xfId="9" applyNumberFormat="1" applyFont="1" applyFill="1" applyBorder="1" applyAlignment="1">
      <alignment vertical="center" wrapText="1"/>
    </xf>
    <xf numFmtId="166" fontId="14" fillId="0" borderId="2" xfId="10" applyNumberFormat="1" applyFont="1" applyFill="1" applyBorder="1" applyAlignment="1">
      <alignment horizontal="center" vertical="center" wrapText="1"/>
    </xf>
    <xf numFmtId="3" fontId="20" fillId="0" borderId="2" xfId="9" applyNumberFormat="1" applyFont="1" applyFill="1" applyBorder="1" applyAlignment="1">
      <alignment horizontal="right" vertical="center" wrapText="1"/>
    </xf>
    <xf numFmtId="0" fontId="20" fillId="0" borderId="2" xfId="12" applyFont="1" applyFill="1" applyBorder="1" applyAlignment="1">
      <alignment horizontal="left" vertical="center" wrapText="1"/>
    </xf>
    <xf numFmtId="0" fontId="20" fillId="0" borderId="2" xfId="9" applyFont="1" applyFill="1" applyBorder="1" applyAlignment="1">
      <alignment horizontal="center" vertical="center" wrapText="1"/>
    </xf>
    <xf numFmtId="166" fontId="20" fillId="0" borderId="2" xfId="10" quotePrefix="1" applyNumberFormat="1" applyFont="1" applyFill="1" applyBorder="1" applyAlignment="1">
      <alignment horizontal="center" vertical="center" wrapText="1"/>
    </xf>
    <xf numFmtId="0" fontId="20" fillId="0" borderId="2" xfId="9" applyFont="1" applyFill="1" applyBorder="1" applyAlignment="1">
      <alignment horizontal="left" vertical="center" wrapText="1"/>
    </xf>
    <xf numFmtId="3" fontId="14" fillId="0" borderId="2" xfId="10" applyNumberFormat="1" applyFont="1" applyFill="1" applyBorder="1" applyAlignment="1">
      <alignment horizontal="center" vertical="center" wrapText="1"/>
    </xf>
    <xf numFmtId="0" fontId="14" fillId="0" borderId="2" xfId="11" applyFont="1" applyFill="1" applyBorder="1" applyAlignment="1">
      <alignment horizontal="left" vertical="center" wrapText="1"/>
    </xf>
    <xf numFmtId="0" fontId="14" fillId="0" borderId="2" xfId="11" applyFont="1" applyFill="1" applyBorder="1" applyAlignment="1">
      <alignment horizontal="center" vertical="center" wrapText="1"/>
    </xf>
    <xf numFmtId="3" fontId="14" fillId="0" borderId="2" xfId="13" applyNumberFormat="1" applyFont="1" applyFill="1" applyBorder="1" applyAlignment="1">
      <alignment horizontal="center" vertical="center" wrapText="1"/>
    </xf>
    <xf numFmtId="0" fontId="30" fillId="0" borderId="0" xfId="9" applyFont="1" applyFill="1" applyAlignment="1">
      <alignment horizontal="left" vertical="center"/>
    </xf>
    <xf numFmtId="0" fontId="27" fillId="2" borderId="0" xfId="9" applyFont="1" applyFill="1" applyAlignment="1">
      <alignment vertical="center"/>
    </xf>
    <xf numFmtId="166" fontId="14" fillId="0" borderId="2" xfId="10" applyNumberFormat="1" applyFont="1" applyFill="1" applyBorder="1" applyAlignment="1">
      <alignment horizontal="right" vertical="center" wrapText="1"/>
    </xf>
    <xf numFmtId="0" fontId="31" fillId="0" borderId="0" xfId="9" applyFont="1" applyFill="1" applyAlignment="1">
      <alignment vertical="center"/>
    </xf>
    <xf numFmtId="166" fontId="14" fillId="0" borderId="2" xfId="14" applyNumberFormat="1" applyFont="1" applyFill="1" applyBorder="1" applyAlignment="1">
      <alignment vertical="center" wrapText="1"/>
    </xf>
    <xf numFmtId="0" fontId="30" fillId="0" borderId="0" xfId="9" applyFont="1" applyFill="1" applyAlignment="1">
      <alignment vertical="center"/>
    </xf>
    <xf numFmtId="0" fontId="14" fillId="0" borderId="0" xfId="9" applyFont="1" applyFill="1" applyAlignment="1">
      <alignment vertical="center"/>
    </xf>
    <xf numFmtId="0" fontId="31" fillId="3" borderId="0" xfId="9" applyFont="1" applyFill="1" applyAlignment="1">
      <alignment vertical="center"/>
    </xf>
    <xf numFmtId="0" fontId="24" fillId="4" borderId="0" xfId="9" applyFont="1" applyFill="1" applyAlignment="1">
      <alignment vertical="center"/>
    </xf>
    <xf numFmtId="0" fontId="22" fillId="4" borderId="0" xfId="9" applyFont="1" applyFill="1" applyAlignment="1">
      <alignment vertical="center"/>
    </xf>
    <xf numFmtId="0" fontId="32" fillId="0" borderId="2" xfId="9" applyFont="1" applyFill="1" applyBorder="1" applyAlignment="1">
      <alignment vertical="center" wrapText="1"/>
    </xf>
    <xf numFmtId="0" fontId="22" fillId="0" borderId="0" xfId="9" applyFont="1" applyFill="1" applyAlignment="1">
      <alignment horizontal="left" vertical="center"/>
    </xf>
    <xf numFmtId="0" fontId="13" fillId="0" borderId="2" xfId="9" applyFont="1" applyFill="1" applyBorder="1" applyAlignment="1">
      <alignment vertical="center" wrapText="1"/>
    </xf>
    <xf numFmtId="166" fontId="14" fillId="0" borderId="2" xfId="10" quotePrefix="1" applyNumberFormat="1" applyFont="1" applyFill="1" applyBorder="1" applyAlignment="1">
      <alignment vertical="center" wrapText="1"/>
    </xf>
    <xf numFmtId="0" fontId="34" fillId="0" borderId="0" xfId="9" applyFont="1" applyFill="1" applyAlignment="1">
      <alignment vertical="center"/>
    </xf>
    <xf numFmtId="0" fontId="14" fillId="0" borderId="2" xfId="3" applyFont="1" applyFill="1" applyBorder="1" applyAlignment="1" applyProtection="1">
      <alignment horizontal="left" vertical="center" wrapText="1" shrinkToFit="1"/>
      <protection locked="0"/>
    </xf>
    <xf numFmtId="166" fontId="14" fillId="0" borderId="2" xfId="10" applyNumberFormat="1" applyFont="1" applyFill="1" applyBorder="1" applyAlignment="1" applyProtection="1">
      <alignment horizontal="right" vertical="center" wrapText="1" shrinkToFit="1"/>
      <protection locked="0"/>
    </xf>
    <xf numFmtId="0" fontId="14" fillId="0" borderId="2" xfId="3" applyNumberFormat="1" applyFont="1" applyFill="1" applyBorder="1" applyAlignment="1" applyProtection="1">
      <alignment horizontal="center" vertical="center" wrapText="1"/>
      <protection locked="0"/>
    </xf>
    <xf numFmtId="166" fontId="14" fillId="0" borderId="2" xfId="10" applyNumberFormat="1" applyFont="1" applyFill="1" applyBorder="1" applyAlignment="1" applyProtection="1">
      <alignment horizontal="right" vertical="center" wrapText="1"/>
      <protection locked="0"/>
    </xf>
    <xf numFmtId="0" fontId="14" fillId="0" borderId="2" xfId="15" applyFont="1" applyFill="1" applyBorder="1" applyAlignment="1" applyProtection="1">
      <alignment horizontal="left" vertical="center" wrapText="1" shrinkToFit="1"/>
      <protection locked="0"/>
    </xf>
    <xf numFmtId="0" fontId="14" fillId="0" borderId="2" xfId="15" applyFont="1" applyFill="1" applyBorder="1" applyAlignment="1" applyProtection="1">
      <alignment horizontal="center" vertical="center" wrapText="1" shrinkToFit="1"/>
      <protection locked="0"/>
    </xf>
    <xf numFmtId="0" fontId="14" fillId="0" borderId="2" xfId="16" applyFont="1" applyFill="1" applyBorder="1" applyAlignment="1">
      <alignment horizontal="left" vertical="center" wrapText="1"/>
    </xf>
    <xf numFmtId="0" fontId="14" fillId="0" borderId="2" xfId="16" applyFont="1" applyFill="1" applyBorder="1" applyAlignment="1">
      <alignment horizontal="center" vertical="center" wrapText="1"/>
    </xf>
    <xf numFmtId="0" fontId="14" fillId="0" borderId="2" xfId="10" applyNumberFormat="1" applyFont="1" applyFill="1" applyBorder="1" applyAlignment="1" applyProtection="1">
      <alignment horizontal="center" vertical="center" wrapText="1"/>
      <protection locked="0"/>
    </xf>
    <xf numFmtId="0" fontId="14" fillId="0" borderId="2" xfId="9" applyNumberFormat="1" applyFont="1" applyFill="1" applyBorder="1" applyAlignment="1">
      <alignment horizontal="center" vertical="center" wrapText="1"/>
    </xf>
    <xf numFmtId="0" fontId="14" fillId="0" borderId="2" xfId="10" applyNumberFormat="1" applyFont="1" applyFill="1" applyBorder="1" applyAlignment="1">
      <alignment horizontal="center" vertical="center" wrapText="1"/>
    </xf>
    <xf numFmtId="169" fontId="14" fillId="0" borderId="2" xfId="17" applyFont="1" applyFill="1" applyBorder="1" applyAlignment="1">
      <alignment horizontal="right" vertical="center" wrapText="1"/>
    </xf>
    <xf numFmtId="0" fontId="14" fillId="0" borderId="2" xfId="18" applyFont="1" applyFill="1" applyBorder="1" applyAlignment="1">
      <alignment horizontal="left" vertical="center" wrapText="1"/>
    </xf>
    <xf numFmtId="3" fontId="14" fillId="0" borderId="2" xfId="10" applyNumberFormat="1" applyFont="1" applyFill="1" applyBorder="1" applyAlignment="1">
      <alignment horizontal="right" vertical="center" wrapText="1"/>
    </xf>
    <xf numFmtId="170" fontId="14" fillId="0" borderId="2" xfId="10" applyNumberFormat="1" applyFont="1" applyFill="1" applyBorder="1" applyAlignment="1">
      <alignment horizontal="right" vertical="center" wrapText="1"/>
    </xf>
    <xf numFmtId="170" fontId="14" fillId="0" borderId="2" xfId="10" applyNumberFormat="1" applyFont="1" applyFill="1" applyBorder="1" applyAlignment="1">
      <alignment horizontal="center" vertical="center" wrapText="1"/>
    </xf>
    <xf numFmtId="166" fontId="14" fillId="0" borderId="2" xfId="10" quotePrefix="1" applyNumberFormat="1" applyFont="1" applyFill="1" applyBorder="1" applyAlignment="1">
      <alignment horizontal="center" vertical="center" wrapText="1"/>
    </xf>
    <xf numFmtId="166" fontId="14" fillId="0" borderId="2" xfId="9" applyNumberFormat="1" applyFont="1" applyFill="1" applyBorder="1" applyAlignment="1">
      <alignment horizontal="center" vertical="center" wrapText="1"/>
    </xf>
    <xf numFmtId="0" fontId="20" fillId="0" borderId="0" xfId="9" applyFont="1" applyFill="1" applyBorder="1" applyAlignment="1">
      <alignment horizontal="center" vertical="center" wrapText="1"/>
    </xf>
    <xf numFmtId="0" fontId="14" fillId="0" borderId="0" xfId="11" applyFont="1" applyFill="1" applyBorder="1" applyAlignment="1">
      <alignment vertical="center" wrapText="1"/>
    </xf>
    <xf numFmtId="0" fontId="14" fillId="0" borderId="0" xfId="9" applyFont="1" applyFill="1" applyBorder="1" applyAlignment="1">
      <alignment horizontal="center" vertical="center" wrapText="1"/>
    </xf>
    <xf numFmtId="3" fontId="14" fillId="0" borderId="0" xfId="9" applyNumberFormat="1" applyFont="1" applyFill="1" applyBorder="1" applyAlignment="1">
      <alignment horizontal="center" vertical="center" wrapText="1"/>
    </xf>
    <xf numFmtId="3" fontId="13" fillId="0" borderId="0" xfId="9" applyNumberFormat="1" applyFont="1" applyFill="1" applyBorder="1" applyAlignment="1">
      <alignment horizontal="center" vertical="center" wrapText="1"/>
    </xf>
    <xf numFmtId="0" fontId="14" fillId="0" borderId="0" xfId="9" applyFont="1" applyFill="1" applyBorder="1" applyAlignment="1">
      <alignment vertical="center" wrapText="1"/>
    </xf>
    <xf numFmtId="0" fontId="13" fillId="0" borderId="0" xfId="9" applyFont="1" applyFill="1" applyBorder="1" applyAlignment="1">
      <alignment horizontal="center" vertical="center" wrapText="1"/>
    </xf>
    <xf numFmtId="0" fontId="14" fillId="0" borderId="0" xfId="16" applyFont="1" applyFill="1" applyBorder="1" applyAlignment="1">
      <alignment horizontal="center" vertical="center" wrapText="1"/>
    </xf>
    <xf numFmtId="0" fontId="14" fillId="0" borderId="0" xfId="16" applyFont="1" applyFill="1" applyBorder="1" applyAlignment="1">
      <alignment vertical="center" wrapText="1"/>
    </xf>
    <xf numFmtId="0" fontId="14" fillId="0" borderId="0" xfId="16" applyFont="1" applyFill="1" applyAlignment="1">
      <alignment horizontal="center" vertical="center" wrapText="1"/>
    </xf>
    <xf numFmtId="0" fontId="10" fillId="0" borderId="0" xfId="16" applyFont="1" applyFill="1" applyBorder="1" applyAlignment="1">
      <alignment horizontal="center" vertical="center"/>
    </xf>
    <xf numFmtId="165" fontId="10" fillId="0" borderId="0" xfId="16" applyNumberFormat="1" applyFont="1" applyFill="1" applyBorder="1" applyAlignment="1">
      <alignment horizontal="center" vertical="center"/>
    </xf>
    <xf numFmtId="164" fontId="19" fillId="0" borderId="0" xfId="10" applyNumberFormat="1" applyFont="1" applyFill="1" applyAlignment="1">
      <alignment vertical="center"/>
    </xf>
    <xf numFmtId="164" fontId="20" fillId="0" borderId="0" xfId="10" applyNumberFormat="1" applyFont="1" applyFill="1" applyAlignment="1">
      <alignment vertical="center"/>
    </xf>
    <xf numFmtId="0" fontId="2" fillId="0" borderId="0" xfId="9" applyFont="1" applyFill="1" applyAlignment="1">
      <alignment vertical="center"/>
    </xf>
    <xf numFmtId="0" fontId="19" fillId="0" borderId="0" xfId="9" applyFont="1" applyAlignment="1">
      <alignment horizontal="center"/>
    </xf>
    <xf numFmtId="0" fontId="10" fillId="0" borderId="0" xfId="9" applyFont="1"/>
    <xf numFmtId="0" fontId="19" fillId="0" borderId="0" xfId="9" applyFont="1"/>
    <xf numFmtId="164" fontId="19" fillId="0" borderId="0" xfId="10" applyNumberFormat="1" applyFont="1" applyFill="1" applyBorder="1"/>
    <xf numFmtId="0" fontId="6" fillId="0" borderId="0" xfId="9" applyFont="1"/>
    <xf numFmtId="3" fontId="18" fillId="0" borderId="2" xfId="9" applyNumberFormat="1" applyFont="1" applyBorder="1" applyAlignment="1">
      <alignment horizontal="center" vertical="center" wrapText="1"/>
    </xf>
    <xf numFmtId="171" fontId="18" fillId="0" borderId="2" xfId="9" applyNumberFormat="1" applyFont="1" applyBorder="1" applyAlignment="1">
      <alignment horizontal="center" vertical="center" wrapText="1"/>
    </xf>
    <xf numFmtId="0" fontId="20" fillId="0" borderId="2" xfId="9" applyFont="1" applyFill="1" applyBorder="1" applyAlignment="1">
      <alignment vertical="center" wrapText="1"/>
    </xf>
    <xf numFmtId="0" fontId="38" fillId="0" borderId="0" xfId="9" applyFont="1" applyAlignment="1">
      <alignment vertical="center"/>
    </xf>
    <xf numFmtId="3" fontId="20" fillId="0" borderId="2" xfId="9" applyNumberFormat="1" applyFont="1" applyFill="1" applyBorder="1" applyAlignment="1">
      <alignment vertical="center" wrapText="1"/>
    </xf>
    <xf numFmtId="0" fontId="38" fillId="0" borderId="0" xfId="9" applyFont="1"/>
    <xf numFmtId="166" fontId="20" fillId="0" borderId="2" xfId="10" applyNumberFormat="1" applyFont="1" applyFill="1" applyBorder="1" applyAlignment="1">
      <alignment horizontal="center" vertical="center" wrapText="1"/>
    </xf>
    <xf numFmtId="166" fontId="20" fillId="0" borderId="2" xfId="10" applyNumberFormat="1" applyFont="1" applyFill="1" applyBorder="1" applyAlignment="1">
      <alignment horizontal="right" vertical="center" wrapText="1"/>
    </xf>
    <xf numFmtId="3" fontId="20" fillId="0" borderId="9" xfId="9" applyNumberFormat="1" applyFont="1" applyFill="1" applyBorder="1" applyAlignment="1">
      <alignment vertical="center" wrapText="1"/>
    </xf>
    <xf numFmtId="0" fontId="20" fillId="0" borderId="2" xfId="3" applyFont="1" applyFill="1" applyBorder="1" applyAlignment="1" applyProtection="1">
      <alignment horizontal="left" vertical="center" wrapText="1" shrinkToFit="1"/>
      <protection locked="0"/>
    </xf>
    <xf numFmtId="0" fontId="20" fillId="0" borderId="2" xfId="3" applyFont="1" applyFill="1" applyBorder="1" applyAlignment="1" applyProtection="1">
      <alignment horizontal="center" vertical="center" wrapText="1" shrinkToFit="1"/>
      <protection locked="0"/>
    </xf>
    <xf numFmtId="3" fontId="20" fillId="0" borderId="2" xfId="3" applyNumberFormat="1" applyFont="1" applyFill="1" applyBorder="1" applyAlignment="1" applyProtection="1">
      <alignment horizontal="right" vertical="center" wrapText="1" shrinkToFit="1"/>
      <protection locked="0"/>
    </xf>
    <xf numFmtId="3" fontId="20" fillId="0" borderId="2" xfId="9" quotePrefix="1" applyNumberFormat="1" applyFont="1" applyFill="1" applyBorder="1" applyAlignment="1">
      <alignment horizontal="center" vertical="center" wrapText="1"/>
    </xf>
    <xf numFmtId="166" fontId="20" fillId="0" borderId="2" xfId="10" applyNumberFormat="1" applyFont="1" applyFill="1" applyBorder="1" applyAlignment="1">
      <alignment vertical="center" wrapText="1"/>
    </xf>
    <xf numFmtId="0" fontId="10" fillId="0" borderId="0" xfId="9" applyFont="1" applyAlignment="1">
      <alignment vertical="center"/>
    </xf>
    <xf numFmtId="0" fontId="20" fillId="0" borderId="2" xfId="1" applyFont="1" applyFill="1" applyBorder="1" applyAlignment="1">
      <alignment vertical="center" wrapText="1"/>
    </xf>
    <xf numFmtId="0" fontId="20" fillId="0" borderId="2" xfId="1" applyFont="1" applyFill="1" applyBorder="1" applyAlignment="1">
      <alignment horizontal="center" vertical="center" wrapText="1"/>
    </xf>
    <xf numFmtId="0" fontId="20" fillId="0" borderId="2" xfId="1" applyFont="1" applyFill="1" applyBorder="1" applyAlignment="1">
      <alignment horizontal="left" vertical="center" wrapText="1"/>
    </xf>
    <xf numFmtId="0" fontId="20" fillId="0" borderId="0" xfId="3" applyFont="1" applyFill="1" applyBorder="1" applyAlignment="1" applyProtection="1">
      <alignment horizontal="center" vertical="center" wrapText="1" shrinkToFit="1"/>
      <protection locked="0"/>
    </xf>
    <xf numFmtId="0" fontId="20" fillId="0" borderId="0" xfId="3" applyFont="1" applyFill="1" applyBorder="1" applyAlignment="1" applyProtection="1">
      <alignment horizontal="left" vertical="center" wrapText="1" shrinkToFit="1"/>
      <protection locked="0"/>
    </xf>
    <xf numFmtId="3" fontId="18" fillId="0" borderId="0" xfId="9" quotePrefix="1" applyNumberFormat="1" applyFont="1" applyFill="1" applyBorder="1" applyAlignment="1">
      <alignment horizontal="center" vertical="center" wrapText="1"/>
    </xf>
    <xf numFmtId="3" fontId="20" fillId="0" borderId="0" xfId="3" applyNumberFormat="1" applyFont="1" applyFill="1" applyBorder="1" applyAlignment="1" applyProtection="1">
      <alignment horizontal="right" vertical="center" wrapText="1" shrinkToFit="1"/>
      <protection locked="0"/>
    </xf>
    <xf numFmtId="0" fontId="20" fillId="0" borderId="0" xfId="9" applyFont="1" applyFill="1" applyBorder="1" applyAlignment="1">
      <alignment horizontal="left" vertical="center" wrapText="1"/>
    </xf>
    <xf numFmtId="0" fontId="18" fillId="0" borderId="0" xfId="9" applyFont="1" applyFill="1" applyBorder="1" applyAlignment="1">
      <alignment horizontal="center" vertical="center" wrapText="1"/>
    </xf>
    <xf numFmtId="0" fontId="20" fillId="0" borderId="0" xfId="9" applyFont="1" applyFill="1" applyBorder="1" applyAlignment="1">
      <alignment vertical="center" wrapText="1"/>
    </xf>
    <xf numFmtId="0" fontId="6" fillId="0" borderId="0" xfId="9" applyFont="1" applyAlignment="1">
      <alignment horizontal="center"/>
    </xf>
    <xf numFmtId="164" fontId="6" fillId="0" borderId="0" xfId="10" applyNumberFormat="1" applyFont="1" applyFill="1"/>
    <xf numFmtId="0" fontId="3" fillId="0" borderId="0" xfId="9" applyFont="1" applyFill="1" applyAlignment="1">
      <alignment horizontal="center" vertical="center"/>
    </xf>
    <xf numFmtId="0" fontId="4" fillId="0" borderId="0" xfId="9" applyFont="1" applyFill="1" applyAlignment="1">
      <alignment horizontal="center" vertical="center"/>
    </xf>
    <xf numFmtId="0" fontId="5" fillId="0" borderId="0" xfId="9" applyFont="1" applyFill="1" applyAlignment="1"/>
    <xf numFmtId="0" fontId="7" fillId="0" borderId="0" xfId="9" applyFont="1" applyFill="1" applyAlignment="1">
      <alignment horizontal="center" vertical="center"/>
    </xf>
    <xf numFmtId="164" fontId="7" fillId="0" borderId="0" xfId="10" applyNumberFormat="1" applyFont="1" applyFill="1" applyAlignment="1">
      <alignment horizontal="center" vertical="center"/>
    </xf>
    <xf numFmtId="0" fontId="7" fillId="0" borderId="0" xfId="9" applyFont="1" applyFill="1" applyAlignment="1">
      <alignment horizontal="center"/>
    </xf>
    <xf numFmtId="0" fontId="7" fillId="0" borderId="0" xfId="9" applyFont="1" applyFill="1" applyAlignment="1">
      <alignment horizontal="center" wrapText="1"/>
    </xf>
    <xf numFmtId="0" fontId="6" fillId="0" borderId="0" xfId="9" applyFont="1" applyFill="1" applyAlignment="1">
      <alignment horizontal="center"/>
    </xf>
    <xf numFmtId="0" fontId="8" fillId="0" borderId="0" xfId="9" applyFont="1" applyFill="1" applyAlignment="1">
      <alignment horizontal="center" vertical="center"/>
    </xf>
    <xf numFmtId="0" fontId="7" fillId="0" borderId="0" xfId="9" applyFont="1" applyFill="1" applyAlignment="1">
      <alignment horizontal="right" vertical="center"/>
    </xf>
    <xf numFmtId="0" fontId="6" fillId="0" borderId="0" xfId="9" applyFont="1" applyFill="1" applyAlignment="1">
      <alignment horizontal="left"/>
    </xf>
    <xf numFmtId="0" fontId="6" fillId="0" borderId="0" xfId="9" applyFont="1" applyFill="1" applyAlignment="1">
      <alignment wrapText="1"/>
    </xf>
    <xf numFmtId="164" fontId="6" fillId="0" borderId="0" xfId="10" applyNumberFormat="1" applyFont="1" applyFill="1" applyBorder="1" applyAlignment="1">
      <alignment horizontal="center" vertical="center"/>
    </xf>
    <xf numFmtId="0" fontId="20" fillId="0" borderId="0" xfId="9" applyFont="1" applyAlignment="1">
      <alignment wrapText="1"/>
    </xf>
    <xf numFmtId="3" fontId="18" fillId="0" borderId="2" xfId="9" applyNumberFormat="1" applyFont="1" applyFill="1" applyBorder="1" applyAlignment="1">
      <alignment horizontal="center" vertical="center" wrapText="1"/>
    </xf>
    <xf numFmtId="0" fontId="18" fillId="0" borderId="4" xfId="9" applyFont="1" applyFill="1" applyBorder="1" applyAlignment="1">
      <alignment vertical="center" wrapText="1"/>
    </xf>
    <xf numFmtId="0" fontId="18" fillId="5" borderId="0" xfId="9" applyFont="1" applyFill="1" applyBorder="1" applyAlignment="1">
      <alignment vertical="center" wrapText="1"/>
    </xf>
    <xf numFmtId="0" fontId="20" fillId="0" borderId="3" xfId="9" applyFont="1" applyFill="1" applyBorder="1" applyAlignment="1">
      <alignment horizontal="center" vertical="center" wrapText="1"/>
    </xf>
    <xf numFmtId="172" fontId="20" fillId="0" borderId="2" xfId="19" quotePrefix="1" applyNumberFormat="1" applyFont="1" applyFill="1" applyBorder="1" applyAlignment="1">
      <alignment horizontal="center" vertical="center" wrapText="1"/>
    </xf>
    <xf numFmtId="3" fontId="20" fillId="0" borderId="1" xfId="9" applyNumberFormat="1" applyFont="1" applyFill="1" applyBorder="1" applyAlignment="1">
      <alignment horizontal="right" vertical="center" wrapText="1"/>
    </xf>
    <xf numFmtId="0" fontId="20" fillId="0" borderId="2" xfId="13" applyFont="1" applyFill="1" applyBorder="1" applyAlignment="1">
      <alignment horizontal="center" vertical="center" wrapText="1"/>
    </xf>
    <xf numFmtId="166" fontId="20" fillId="0" borderId="10" xfId="10" applyNumberFormat="1" applyFont="1" applyFill="1" applyBorder="1" applyAlignment="1">
      <alignment horizontal="right" vertical="center" wrapText="1"/>
    </xf>
    <xf numFmtId="0" fontId="20" fillId="0" borderId="2" xfId="13" applyFont="1" applyFill="1" applyBorder="1" applyAlignment="1">
      <alignment horizontal="left" vertical="center" wrapText="1"/>
    </xf>
    <xf numFmtId="3" fontId="20" fillId="0" borderId="3" xfId="9" applyNumberFormat="1" applyFont="1" applyFill="1" applyBorder="1" applyAlignment="1">
      <alignment horizontal="right" vertical="center" wrapText="1"/>
    </xf>
    <xf numFmtId="0" fontId="18" fillId="0" borderId="2" xfId="9" applyFont="1" applyFill="1" applyBorder="1" applyAlignment="1">
      <alignment vertical="center" wrapText="1"/>
    </xf>
    <xf numFmtId="172" fontId="20" fillId="0" borderId="2" xfId="19" quotePrefix="1" applyNumberFormat="1" applyFont="1" applyFill="1" applyBorder="1" applyAlignment="1">
      <alignment vertical="center" wrapText="1"/>
    </xf>
    <xf numFmtId="43" fontId="20" fillId="0" borderId="2" xfId="10" applyFont="1" applyFill="1" applyBorder="1" applyAlignment="1" applyProtection="1">
      <alignment horizontal="center" vertical="center" wrapText="1"/>
      <protection locked="0"/>
    </xf>
    <xf numFmtId="173" fontId="20" fillId="0" borderId="2" xfId="10" applyNumberFormat="1" applyFont="1" applyFill="1" applyBorder="1" applyAlignment="1" applyProtection="1">
      <alignment vertical="center" wrapText="1"/>
    </xf>
    <xf numFmtId="0" fontId="20" fillId="0" borderId="2" xfId="19" quotePrefix="1" applyNumberFormat="1" applyFont="1" applyFill="1" applyBorder="1" applyAlignment="1">
      <alignment horizontal="center" vertical="center" wrapText="1"/>
    </xf>
    <xf numFmtId="49" fontId="20" fillId="0" borderId="2" xfId="1" applyNumberFormat="1" applyFont="1" applyFill="1" applyBorder="1" applyAlignment="1">
      <alignment horizontal="left" vertical="center" wrapText="1"/>
    </xf>
    <xf numFmtId="166" fontId="20" fillId="0" borderId="2" xfId="10" applyNumberFormat="1" applyFont="1" applyFill="1" applyBorder="1" applyAlignment="1" applyProtection="1">
      <alignment horizontal="center" vertical="center" wrapText="1"/>
      <protection locked="0"/>
    </xf>
    <xf numFmtId="173" fontId="20" fillId="0" borderId="2" xfId="10" applyNumberFormat="1" applyFont="1" applyFill="1" applyBorder="1" applyAlignment="1" applyProtection="1">
      <alignment horizontal="center" vertical="center" wrapText="1"/>
    </xf>
    <xf numFmtId="0" fontId="20" fillId="0" borderId="4" xfId="9" applyFont="1" applyFill="1" applyBorder="1" applyAlignment="1">
      <alignment horizontal="center" vertical="center" wrapText="1"/>
    </xf>
    <xf numFmtId="0" fontId="20" fillId="0" borderId="3" xfId="9" applyFont="1" applyFill="1" applyBorder="1" applyAlignment="1">
      <alignment horizontal="center" wrapText="1"/>
    </xf>
    <xf numFmtId="0" fontId="18" fillId="0" borderId="8" xfId="11" applyFont="1" applyFill="1" applyBorder="1" applyAlignment="1">
      <alignment vertical="center" wrapText="1"/>
    </xf>
    <xf numFmtId="0" fontId="20" fillId="0" borderId="2" xfId="9" applyFont="1" applyFill="1" applyBorder="1" applyAlignment="1">
      <alignment horizontal="center" wrapText="1"/>
    </xf>
    <xf numFmtId="0" fontId="20" fillId="0" borderId="2" xfId="9" applyFont="1" applyFill="1" applyBorder="1" applyAlignment="1">
      <alignment horizontal="left" wrapText="1"/>
    </xf>
    <xf numFmtId="0" fontId="20" fillId="0" borderId="2" xfId="1" applyFont="1" applyFill="1" applyBorder="1" applyAlignment="1">
      <alignment horizontal="center" wrapText="1"/>
    </xf>
    <xf numFmtId="0" fontId="18" fillId="0" borderId="2" xfId="9" applyFont="1" applyFill="1" applyBorder="1" applyAlignment="1">
      <alignment horizontal="left" wrapText="1"/>
    </xf>
    <xf numFmtId="0" fontId="20" fillId="5" borderId="0" xfId="9" applyFont="1" applyFill="1" applyAlignment="1">
      <alignment wrapText="1"/>
    </xf>
    <xf numFmtId="0" fontId="20" fillId="0" borderId="2" xfId="13" applyFont="1" applyFill="1" applyBorder="1" applyAlignment="1">
      <alignment vertical="center" wrapText="1"/>
    </xf>
    <xf numFmtId="166" fontId="20" fillId="0" borderId="11" xfId="10" applyNumberFormat="1" applyFont="1" applyFill="1" applyBorder="1" applyAlignment="1">
      <alignment horizontal="right" vertical="center" wrapText="1"/>
    </xf>
    <xf numFmtId="43" fontId="20" fillId="0" borderId="2" xfId="10" applyFont="1" applyFill="1" applyBorder="1" applyAlignment="1" applyProtection="1">
      <alignment horizontal="right" vertical="center" wrapText="1"/>
      <protection locked="0"/>
    </xf>
    <xf numFmtId="0" fontId="20" fillId="0" borderId="0" xfId="9" applyFont="1" applyAlignment="1">
      <alignment horizontal="left" wrapText="1"/>
    </xf>
    <xf numFmtId="49" fontId="20" fillId="0" borderId="2" xfId="3" applyNumberFormat="1" applyFont="1" applyFill="1" applyBorder="1" applyAlignment="1" applyProtection="1">
      <alignment horizontal="center" vertical="center" wrapText="1" shrinkToFit="1"/>
      <protection locked="0"/>
    </xf>
    <xf numFmtId="0" fontId="20" fillId="0" borderId="2" xfId="21" applyFont="1" applyFill="1" applyBorder="1" applyAlignment="1" applyProtection="1">
      <alignment horizontal="left" vertical="center" wrapText="1" shrinkToFit="1"/>
      <protection locked="0"/>
    </xf>
    <xf numFmtId="0" fontId="20" fillId="0" borderId="2" xfId="4" applyFont="1" applyFill="1" applyBorder="1" applyAlignment="1" applyProtection="1">
      <alignment horizontal="center" vertical="center" wrapText="1" shrinkToFit="1"/>
      <protection locked="0"/>
    </xf>
    <xf numFmtId="0" fontId="20" fillId="0" borderId="2" xfId="21" applyFont="1" applyFill="1" applyBorder="1" applyAlignment="1" applyProtection="1">
      <alignment horizontal="center" vertical="center" wrapText="1" shrinkToFit="1"/>
      <protection locked="0"/>
    </xf>
    <xf numFmtId="0" fontId="20" fillId="0" borderId="2" xfId="3" applyNumberFormat="1" applyFont="1" applyFill="1" applyBorder="1" applyAlignment="1" applyProtection="1">
      <alignment horizontal="center" vertical="center" wrapText="1"/>
      <protection locked="0"/>
    </xf>
    <xf numFmtId="166" fontId="20" fillId="0" borderId="2" xfId="22" applyNumberFormat="1" applyFont="1" applyFill="1" applyBorder="1" applyAlignment="1" applyProtection="1">
      <alignment horizontal="right" vertical="center" wrapText="1"/>
      <protection locked="0"/>
    </xf>
    <xf numFmtId="0" fontId="18" fillId="0" borderId="2" xfId="21" applyFont="1" applyFill="1" applyBorder="1" applyAlignment="1" applyProtection="1">
      <alignment horizontal="left" vertical="center" wrapText="1" shrinkToFit="1"/>
      <protection locked="0"/>
    </xf>
    <xf numFmtId="0" fontId="20" fillId="0" borderId="2" xfId="23" applyNumberFormat="1" applyFont="1" applyFill="1" applyBorder="1" applyAlignment="1">
      <alignment horizontal="center" vertical="center" wrapText="1"/>
    </xf>
    <xf numFmtId="166" fontId="20" fillId="0" borderId="2" xfId="23" applyNumberFormat="1" applyFont="1" applyFill="1" applyBorder="1" applyAlignment="1">
      <alignment horizontal="right" vertical="center" wrapText="1"/>
    </xf>
    <xf numFmtId="0" fontId="20" fillId="0" borderId="0" xfId="1" applyFont="1" applyFill="1" applyBorder="1" applyAlignment="1">
      <alignment horizontal="left" vertical="center" wrapText="1"/>
    </xf>
    <xf numFmtId="0" fontId="20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23" applyNumberFormat="1" applyFont="1" applyFill="1" applyBorder="1" applyAlignment="1">
      <alignment horizontal="center" vertical="center" wrapText="1"/>
    </xf>
    <xf numFmtId="166" fontId="20" fillId="0" borderId="0" xfId="23" applyNumberFormat="1" applyFont="1" applyFill="1" applyBorder="1" applyAlignment="1">
      <alignment horizontal="right" vertical="center" wrapText="1"/>
    </xf>
    <xf numFmtId="0" fontId="20" fillId="5" borderId="2" xfId="9" applyFont="1" applyFill="1" applyBorder="1" applyAlignment="1">
      <alignment horizontal="center" vertical="center" wrapText="1"/>
    </xf>
    <xf numFmtId="0" fontId="20" fillId="0" borderId="2" xfId="9" applyFont="1" applyBorder="1" applyAlignment="1">
      <alignment horizontal="center" vertical="center" wrapText="1"/>
    </xf>
    <xf numFmtId="3" fontId="20" fillId="5" borderId="2" xfId="9" applyNumberFormat="1" applyFont="1" applyFill="1" applyBorder="1" applyAlignment="1">
      <alignment horizontal="center" vertical="center" wrapText="1"/>
    </xf>
    <xf numFmtId="0" fontId="20" fillId="0" borderId="2" xfId="9" applyFont="1" applyFill="1" applyBorder="1" applyAlignment="1">
      <alignment horizontal="center" vertical="center"/>
    </xf>
    <xf numFmtId="3" fontId="18" fillId="0" borderId="2" xfId="9" applyNumberFormat="1" applyFont="1" applyFill="1" applyBorder="1" applyAlignment="1">
      <alignment horizontal="center" vertical="center"/>
    </xf>
    <xf numFmtId="0" fontId="39" fillId="0" borderId="0" xfId="12" applyFont="1" applyFill="1" applyAlignment="1">
      <alignment vertical="center"/>
    </xf>
    <xf numFmtId="3" fontId="20" fillId="0" borderId="2" xfId="10" applyNumberFormat="1" applyFont="1" applyFill="1" applyBorder="1" applyAlignment="1">
      <alignment vertical="center" wrapText="1"/>
    </xf>
    <xf numFmtId="172" fontId="20" fillId="0" borderId="2" xfId="9" applyNumberFormat="1" applyFont="1" applyFill="1" applyBorder="1" applyAlignment="1">
      <alignment horizontal="right" vertical="center" wrapText="1"/>
    </xf>
    <xf numFmtId="0" fontId="20" fillId="0" borderId="2" xfId="9" applyFont="1" applyFill="1" applyBorder="1" applyAlignment="1">
      <alignment horizontal="right" vertical="center" wrapText="1"/>
    </xf>
    <xf numFmtId="9" fontId="20" fillId="0" borderId="2" xfId="9" applyNumberFormat="1" applyFont="1" applyFill="1" applyBorder="1" applyAlignment="1">
      <alignment horizontal="center" vertical="center" wrapText="1"/>
    </xf>
    <xf numFmtId="0" fontId="20" fillId="0" borderId="0" xfId="9" applyFont="1" applyFill="1"/>
    <xf numFmtId="3" fontId="20" fillId="0" borderId="2" xfId="10" applyNumberFormat="1" applyFont="1" applyFill="1" applyBorder="1" applyAlignment="1">
      <alignment horizontal="center" vertical="center" wrapText="1"/>
    </xf>
    <xf numFmtId="0" fontId="14" fillId="0" borderId="0" xfId="9" applyFont="1" applyFill="1"/>
    <xf numFmtId="166" fontId="20" fillId="0" borderId="2" xfId="10" quotePrefix="1" applyNumberFormat="1" applyFont="1" applyFill="1" applyBorder="1" applyAlignment="1">
      <alignment horizontal="right" vertical="center" wrapText="1"/>
    </xf>
    <xf numFmtId="0" fontId="20" fillId="0" borderId="2" xfId="9" applyFont="1" applyFill="1" applyBorder="1" applyAlignment="1">
      <alignment wrapText="1"/>
    </xf>
    <xf numFmtId="172" fontId="20" fillId="0" borderId="2" xfId="24" quotePrefix="1" applyNumberFormat="1" applyFont="1" applyFill="1" applyBorder="1" applyAlignment="1">
      <alignment horizontal="right" vertical="center" wrapText="1"/>
    </xf>
    <xf numFmtId="0" fontId="20" fillId="0" borderId="0" xfId="9" applyFont="1" applyFill="1" applyAlignment="1">
      <alignment horizontal="left" vertical="center"/>
    </xf>
    <xf numFmtId="0" fontId="20" fillId="0" borderId="2" xfId="25" applyFont="1" applyFill="1" applyBorder="1" applyAlignment="1">
      <alignment horizontal="center" vertical="center" wrapText="1"/>
    </xf>
    <xf numFmtId="0" fontId="20" fillId="0" borderId="2" xfId="25" applyFont="1" applyFill="1" applyBorder="1" applyAlignment="1">
      <alignment horizontal="left" vertical="center" wrapText="1"/>
    </xf>
    <xf numFmtId="3" fontId="20" fillId="0" borderId="2" xfId="10" applyNumberFormat="1" applyFont="1" applyFill="1" applyBorder="1" applyAlignment="1">
      <alignment horizontal="right" vertical="center" wrapText="1"/>
    </xf>
    <xf numFmtId="166" fontId="20" fillId="0" borderId="2" xfId="26" applyNumberFormat="1" applyFont="1" applyFill="1" applyBorder="1" applyAlignment="1">
      <alignment horizontal="right" vertical="center" wrapText="1"/>
    </xf>
    <xf numFmtId="0" fontId="20" fillId="0" borderId="0" xfId="25" applyFont="1" applyFill="1" applyBorder="1" applyAlignment="1">
      <alignment horizontal="center" vertical="center" wrapText="1"/>
    </xf>
    <xf numFmtId="3" fontId="20" fillId="0" borderId="0" xfId="9" applyNumberFormat="1" applyFont="1" applyFill="1" applyBorder="1" applyAlignment="1">
      <alignment horizontal="center" vertical="center" wrapText="1"/>
    </xf>
    <xf numFmtId="3" fontId="20" fillId="0" borderId="0" xfId="9" applyNumberFormat="1" applyFont="1" applyFill="1" applyBorder="1" applyAlignment="1">
      <alignment horizontal="right" vertical="center" wrapText="1"/>
    </xf>
    <xf numFmtId="3" fontId="20" fillId="0" borderId="0" xfId="10" applyNumberFormat="1" applyFont="1" applyFill="1" applyBorder="1" applyAlignment="1">
      <alignment horizontal="center" vertical="center" wrapText="1"/>
    </xf>
    <xf numFmtId="164" fontId="6" fillId="0" borderId="0" xfId="10" applyNumberFormat="1" applyFont="1" applyFill="1" applyBorder="1"/>
    <xf numFmtId="0" fontId="15" fillId="0" borderId="0" xfId="1" applyFont="1" applyFill="1" applyBorder="1" applyAlignment="1">
      <alignment horizontal="center"/>
    </xf>
    <xf numFmtId="0" fontId="15" fillId="0" borderId="0" xfId="1" quotePrefix="1" applyFont="1" applyFill="1" applyBorder="1" applyAlignment="1">
      <alignment horizontal="left"/>
    </xf>
    <xf numFmtId="166" fontId="15" fillId="0" borderId="0" xfId="6" applyNumberFormat="1" applyFont="1" applyFill="1" applyBorder="1" applyAlignment="1">
      <alignment horizontal="center"/>
    </xf>
    <xf numFmtId="0" fontId="13" fillId="0" borderId="2" xfId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0" borderId="0" xfId="9" applyFont="1" applyFill="1" applyAlignment="1">
      <alignment horizontal="left" vertical="center"/>
    </xf>
    <xf numFmtId="0" fontId="6" fillId="0" borderId="0" xfId="9" applyFont="1" applyFill="1" applyAlignment="1">
      <alignment vertical="center"/>
    </xf>
    <xf numFmtId="0" fontId="2" fillId="0" borderId="0" xfId="9" applyFont="1" applyFill="1" applyAlignment="1">
      <alignment horizontal="center" vertical="center"/>
    </xf>
    <xf numFmtId="0" fontId="14" fillId="0" borderId="2" xfId="9" applyFont="1" applyFill="1" applyBorder="1" applyAlignment="1">
      <alignment horizontal="center" vertical="center" wrapText="1"/>
    </xf>
    <xf numFmtId="3" fontId="13" fillId="0" borderId="2" xfId="9" applyNumberFormat="1" applyFont="1" applyFill="1" applyBorder="1" applyAlignment="1">
      <alignment horizontal="center" vertical="center" wrapText="1"/>
    </xf>
    <xf numFmtId="0" fontId="13" fillId="0" borderId="2" xfId="9" applyFont="1" applyFill="1" applyBorder="1" applyAlignment="1">
      <alignment horizontal="center" vertical="center" wrapText="1"/>
    </xf>
    <xf numFmtId="0" fontId="13" fillId="0" borderId="2" xfId="9" applyFont="1" applyFill="1" applyBorder="1" applyAlignment="1">
      <alignment horizontal="left" vertical="center" wrapText="1"/>
    </xf>
    <xf numFmtId="3" fontId="14" fillId="0" borderId="2" xfId="9" applyNumberFormat="1" applyFont="1" applyFill="1" applyBorder="1" applyAlignment="1">
      <alignment horizontal="center" vertical="center" wrapText="1"/>
    </xf>
    <xf numFmtId="0" fontId="18" fillId="0" borderId="2" xfId="9" applyFont="1" applyBorder="1" applyAlignment="1">
      <alignment horizontal="center" vertical="center" wrapText="1"/>
    </xf>
    <xf numFmtId="0" fontId="18" fillId="0" borderId="3" xfId="9" applyFont="1" applyFill="1" applyBorder="1" applyAlignment="1">
      <alignment horizontal="center" vertical="center" wrapText="1"/>
    </xf>
    <xf numFmtId="0" fontId="18" fillId="0" borderId="2" xfId="9" applyFont="1" applyFill="1" applyBorder="1" applyAlignment="1">
      <alignment horizontal="left" vertical="center" wrapText="1"/>
    </xf>
    <xf numFmtId="0" fontId="18" fillId="0" borderId="2" xfId="9" applyFont="1" applyFill="1" applyBorder="1" applyAlignment="1">
      <alignment horizontal="center" vertical="center" wrapText="1"/>
    </xf>
    <xf numFmtId="0" fontId="18" fillId="0" borderId="2" xfId="9" applyFont="1" applyFill="1" applyBorder="1" applyAlignment="1">
      <alignment horizontal="center" vertical="center"/>
    </xf>
    <xf numFmtId="3" fontId="3" fillId="0" borderId="0" xfId="9" applyNumberFormat="1" applyFont="1" applyAlignment="1">
      <alignment horizontal="right" vertical="center"/>
    </xf>
    <xf numFmtId="0" fontId="3" fillId="0" borderId="0" xfId="9" applyFont="1" applyAlignment="1">
      <alignment vertical="center"/>
    </xf>
    <xf numFmtId="0" fontId="2" fillId="0" borderId="0" xfId="9" applyFont="1" applyAlignment="1">
      <alignment vertical="center"/>
    </xf>
    <xf numFmtId="0" fontId="2" fillId="0" borderId="0" xfId="9" applyFont="1" applyAlignment="1">
      <alignment horizontal="center" vertical="center"/>
    </xf>
    <xf numFmtId="0" fontId="2" fillId="0" borderId="0" xfId="9" applyFont="1"/>
    <xf numFmtId="0" fontId="3" fillId="0" borderId="0" xfId="9" applyFont="1"/>
    <xf numFmtId="0" fontId="5" fillId="0" borderId="0" xfId="9" applyFont="1"/>
    <xf numFmtId="0" fontId="8" fillId="0" borderId="0" xfId="9" applyFont="1" applyAlignment="1">
      <alignment horizontal="center" vertical="center"/>
    </xf>
    <xf numFmtId="0" fontId="6" fillId="0" borderId="0" xfId="9" applyFont="1" applyAlignment="1">
      <alignment horizontal="left" vertical="center"/>
    </xf>
    <xf numFmtId="0" fontId="6" fillId="0" borderId="0" xfId="9" applyFont="1" applyAlignment="1">
      <alignment vertical="center"/>
    </xf>
    <xf numFmtId="0" fontId="6" fillId="0" borderId="0" xfId="9" applyFont="1" applyAlignment="1">
      <alignment horizontal="center" vertical="center"/>
    </xf>
    <xf numFmtId="0" fontId="6" fillId="0" borderId="0" xfId="9" applyFont="1" applyAlignment="1">
      <alignment wrapText="1"/>
    </xf>
    <xf numFmtId="0" fontId="40" fillId="5" borderId="2" xfId="9" applyFont="1" applyFill="1" applyBorder="1" applyAlignment="1">
      <alignment horizontal="center" vertical="center" wrapText="1"/>
    </xf>
    <xf numFmtId="0" fontId="41" fillId="5" borderId="0" xfId="9" applyFont="1" applyFill="1"/>
    <xf numFmtId="0" fontId="41" fillId="5" borderId="0" xfId="9" applyFont="1" applyFill="1" applyAlignment="1">
      <alignment vertical="center"/>
    </xf>
    <xf numFmtId="0" fontId="43" fillId="5" borderId="2" xfId="9" applyFont="1" applyFill="1" applyBorder="1" applyAlignment="1">
      <alignment horizontal="center" vertical="center" wrapText="1"/>
    </xf>
    <xf numFmtId="0" fontId="44" fillId="5" borderId="2" xfId="9" applyFont="1" applyFill="1" applyBorder="1" applyAlignment="1">
      <alignment horizontal="left" vertical="center" wrapText="1"/>
    </xf>
    <xf numFmtId="0" fontId="44" fillId="0" borderId="2" xfId="9" applyFont="1" applyFill="1" applyBorder="1" applyAlignment="1">
      <alignment horizontal="center" vertical="center" wrapText="1"/>
    </xf>
    <xf numFmtId="0" fontId="44" fillId="5" borderId="2" xfId="9" applyFont="1" applyFill="1" applyBorder="1" applyAlignment="1">
      <alignment horizontal="center" vertical="center" wrapText="1"/>
    </xf>
    <xf numFmtId="3" fontId="44" fillId="5" borderId="2" xfId="9" applyNumberFormat="1" applyFont="1" applyFill="1" applyBorder="1" applyAlignment="1">
      <alignment horizontal="center" vertical="center" wrapText="1"/>
    </xf>
    <xf numFmtId="166" fontId="43" fillId="5" borderId="2" xfId="10" applyNumberFormat="1" applyFont="1" applyFill="1" applyBorder="1" applyAlignment="1">
      <alignment horizontal="center" vertical="center" wrapText="1"/>
    </xf>
    <xf numFmtId="0" fontId="45" fillId="5" borderId="2" xfId="9" applyFont="1" applyFill="1" applyBorder="1" applyAlignment="1">
      <alignment horizontal="center" vertical="center" wrapText="1"/>
    </xf>
    <xf numFmtId="0" fontId="46" fillId="5" borderId="0" xfId="9" applyFont="1" applyFill="1"/>
    <xf numFmtId="0" fontId="46" fillId="5" borderId="0" xfId="11" applyFont="1" applyFill="1" applyAlignment="1">
      <alignment vertical="center" wrapText="1"/>
    </xf>
    <xf numFmtId="0" fontId="41" fillId="5" borderId="0" xfId="9" applyFont="1" applyFill="1" applyBorder="1" applyAlignment="1">
      <alignment horizontal="center"/>
    </xf>
    <xf numFmtId="0" fontId="41" fillId="5" borderId="0" xfId="9" applyFont="1" applyFill="1" applyBorder="1"/>
    <xf numFmtId="164" fontId="41" fillId="5" borderId="0" xfId="10" applyNumberFormat="1" applyFont="1" applyFill="1" applyBorder="1"/>
    <xf numFmtId="0" fontId="41" fillId="5" borderId="0" xfId="9" applyFont="1" applyFill="1" applyBorder="1" applyAlignment="1">
      <alignment horizontal="center" vertical="center"/>
    </xf>
    <xf numFmtId="0" fontId="41" fillId="5" borderId="0" xfId="9" applyFont="1" applyFill="1" applyBorder="1" applyAlignment="1">
      <alignment horizontal="left" wrapText="1"/>
    </xf>
    <xf numFmtId="0" fontId="44" fillId="0" borderId="0" xfId="1" applyFont="1" applyAlignment="1">
      <alignment horizontal="center" vertical="center" wrapText="1"/>
    </xf>
    <xf numFmtId="0" fontId="47" fillId="5" borderId="0" xfId="9" applyFont="1" applyFill="1"/>
    <xf numFmtId="0" fontId="47" fillId="5" borderId="0" xfId="11" applyFont="1" applyFill="1" applyAlignment="1">
      <alignment vertical="center" wrapText="1"/>
    </xf>
    <xf numFmtId="0" fontId="41" fillId="5" borderId="0" xfId="9" applyFont="1" applyFill="1" applyAlignment="1">
      <alignment horizontal="center"/>
    </xf>
    <xf numFmtId="164" fontId="41" fillId="5" borderId="0" xfId="10" applyNumberFormat="1" applyFont="1" applyFill="1"/>
    <xf numFmtId="0" fontId="41" fillId="5" borderId="0" xfId="9" applyFont="1" applyFill="1" applyAlignment="1">
      <alignment horizontal="center" vertical="center"/>
    </xf>
    <xf numFmtId="0" fontId="41" fillId="5" borderId="0" xfId="9" applyFont="1" applyFill="1" applyAlignment="1">
      <alignment horizontal="left" wrapText="1"/>
    </xf>
    <xf numFmtId="0" fontId="18" fillId="0" borderId="4" xfId="9" applyFont="1" applyBorder="1" applyAlignment="1">
      <alignment horizontal="center" vertical="center" wrapText="1"/>
    </xf>
    <xf numFmtId="3" fontId="18" fillId="0" borderId="4" xfId="9" applyNumberFormat="1" applyFont="1" applyBorder="1" applyAlignment="1">
      <alignment horizontal="center" vertical="center" wrapText="1"/>
    </xf>
    <xf numFmtId="0" fontId="49" fillId="5" borderId="0" xfId="9" applyFont="1" applyFill="1"/>
    <xf numFmtId="0" fontId="18" fillId="0" borderId="2" xfId="9" applyFont="1" applyBorder="1" applyAlignment="1">
      <alignment horizontal="center" vertical="center"/>
    </xf>
    <xf numFmtId="3" fontId="18" fillId="0" borderId="2" xfId="9" applyNumberFormat="1" applyFont="1" applyBorder="1" applyAlignment="1">
      <alignment horizontal="center" vertical="center"/>
    </xf>
    <xf numFmtId="0" fontId="18" fillId="5" borderId="4" xfId="9" applyFont="1" applyFill="1" applyBorder="1" applyAlignment="1">
      <alignment vertical="center"/>
    </xf>
    <xf numFmtId="0" fontId="20" fillId="0" borderId="2" xfId="9" applyFont="1" applyBorder="1" applyAlignment="1">
      <alignment horizontal="center" vertical="center"/>
    </xf>
    <xf numFmtId="0" fontId="20" fillId="5" borderId="2" xfId="7" applyFont="1" applyFill="1" applyBorder="1" applyAlignment="1">
      <alignment horizontal="left" vertical="center" wrapText="1"/>
    </xf>
    <xf numFmtId="3" fontId="20" fillId="0" borderId="2" xfId="9" applyNumberFormat="1" applyFont="1" applyBorder="1" applyAlignment="1">
      <alignment horizontal="center" vertical="center"/>
    </xf>
    <xf numFmtId="167" fontId="44" fillId="5" borderId="2" xfId="7" applyNumberFormat="1" applyFont="1" applyFill="1" applyBorder="1" applyAlignment="1">
      <alignment vertical="center"/>
    </xf>
    <xf numFmtId="0" fontId="20" fillId="0" borderId="2" xfId="9" applyFont="1" applyBorder="1" applyAlignment="1">
      <alignment horizontal="left" vertical="center" wrapText="1"/>
    </xf>
    <xf numFmtId="0" fontId="20" fillId="5" borderId="2" xfId="9" applyFont="1" applyFill="1" applyBorder="1" applyAlignment="1">
      <alignment horizontal="center" vertical="center"/>
    </xf>
    <xf numFmtId="0" fontId="10" fillId="5" borderId="0" xfId="9" applyFont="1" applyFill="1" applyAlignment="1">
      <alignment vertical="center"/>
    </xf>
    <xf numFmtId="0" fontId="44" fillId="5" borderId="2" xfId="1" applyFont="1" applyFill="1" applyBorder="1" applyAlignment="1">
      <alignment horizontal="center" vertical="center" wrapText="1"/>
    </xf>
    <xf numFmtId="0" fontId="44" fillId="5" borderId="2" xfId="1" applyFont="1" applyFill="1" applyBorder="1" applyAlignment="1">
      <alignment vertical="center" wrapText="1"/>
    </xf>
    <xf numFmtId="3" fontId="20" fillId="5" borderId="2" xfId="9" applyNumberFormat="1" applyFont="1" applyFill="1" applyBorder="1" applyAlignment="1">
      <alignment horizontal="center" vertical="center"/>
    </xf>
    <xf numFmtId="166" fontId="20" fillId="5" borderId="2" xfId="10" applyNumberFormat="1" applyFont="1" applyFill="1" applyBorder="1" applyAlignment="1">
      <alignment horizontal="right" vertical="center" wrapText="1"/>
    </xf>
    <xf numFmtId="0" fontId="46" fillId="5" borderId="0" xfId="9" applyFont="1" applyFill="1" applyAlignment="1">
      <alignment horizontal="center"/>
    </xf>
    <xf numFmtId="164" fontId="46" fillId="5" borderId="0" xfId="10" applyNumberFormat="1" applyFont="1" applyFill="1"/>
    <xf numFmtId="0" fontId="13" fillId="0" borderId="2" xfId="9" applyFont="1" applyBorder="1" applyAlignment="1">
      <alignment horizontal="center" vertical="center" wrapText="1"/>
    </xf>
    <xf numFmtId="3" fontId="13" fillId="0" borderId="2" xfId="9" applyNumberFormat="1" applyFont="1" applyBorder="1" applyAlignment="1">
      <alignment horizontal="center" vertical="center" wrapText="1"/>
    </xf>
    <xf numFmtId="0" fontId="37" fillId="5" borderId="0" xfId="9" applyFont="1" applyFill="1"/>
    <xf numFmtId="0" fontId="37" fillId="5" borderId="0" xfId="9" applyFont="1" applyFill="1" applyAlignment="1">
      <alignment vertical="center"/>
    </xf>
    <xf numFmtId="0" fontId="14" fillId="0" borderId="2" xfId="9" applyFont="1" applyBorder="1" applyAlignment="1">
      <alignment horizontal="center" vertical="center" wrapText="1"/>
    </xf>
    <xf numFmtId="0" fontId="14" fillId="0" borderId="2" xfId="9" applyFont="1" applyBorder="1" applyAlignment="1">
      <alignment vertical="center" wrapText="1"/>
    </xf>
    <xf numFmtId="3" fontId="14" fillId="5" borderId="2" xfId="9" applyNumberFormat="1" applyFont="1" applyFill="1" applyBorder="1" applyAlignment="1">
      <alignment horizontal="right" vertical="center" wrapText="1"/>
    </xf>
    <xf numFmtId="0" fontId="14" fillId="0" borderId="2" xfId="11" applyFont="1" applyBorder="1" applyAlignment="1">
      <alignment vertical="center" wrapText="1"/>
    </xf>
    <xf numFmtId="164" fontId="14" fillId="0" borderId="2" xfId="10" applyNumberFormat="1" applyFont="1" applyFill="1" applyBorder="1" applyAlignment="1">
      <alignment vertical="center" wrapText="1"/>
    </xf>
    <xf numFmtId="0" fontId="14" fillId="0" borderId="2" xfId="9" applyFont="1" applyBorder="1" applyAlignment="1">
      <alignment horizontal="left" vertical="center" wrapText="1"/>
    </xf>
    <xf numFmtId="3" fontId="14" fillId="5" borderId="2" xfId="9" applyNumberFormat="1" applyFont="1" applyFill="1" applyBorder="1" applyAlignment="1">
      <alignment vertical="center" wrapText="1"/>
    </xf>
    <xf numFmtId="0" fontId="14" fillId="5" borderId="2" xfId="9" applyFont="1" applyFill="1" applyBorder="1" applyAlignment="1">
      <alignment horizontal="center" vertical="center" wrapText="1"/>
    </xf>
    <xf numFmtId="0" fontId="14" fillId="5" borderId="2" xfId="9" applyFont="1" applyFill="1" applyBorder="1" applyAlignment="1">
      <alignment vertical="center" wrapText="1"/>
    </xf>
    <xf numFmtId="3" fontId="13" fillId="5" borderId="2" xfId="9" applyNumberFormat="1" applyFont="1" applyFill="1" applyBorder="1" applyAlignment="1">
      <alignment horizontal="center" vertical="center" wrapText="1"/>
    </xf>
    <xf numFmtId="166" fontId="14" fillId="5" borderId="2" xfId="10" applyNumberFormat="1" applyFont="1" applyFill="1" applyBorder="1" applyAlignment="1">
      <alignment vertical="center" wrapText="1"/>
    </xf>
    <xf numFmtId="3" fontId="14" fillId="0" borderId="2" xfId="9" applyNumberFormat="1" applyFont="1" applyBorder="1" applyAlignment="1">
      <alignment horizontal="right" vertical="center" wrapText="1"/>
    </xf>
    <xf numFmtId="166" fontId="14" fillId="5" borderId="2" xfId="10" applyNumberFormat="1" applyFont="1" applyFill="1" applyBorder="1" applyAlignment="1">
      <alignment horizontal="left" vertical="center" wrapText="1"/>
    </xf>
    <xf numFmtId="166" fontId="14" fillId="5" borderId="2" xfId="10" applyNumberFormat="1" applyFont="1" applyFill="1" applyBorder="1" applyAlignment="1">
      <alignment horizontal="center" vertical="center" wrapText="1"/>
    </xf>
    <xf numFmtId="0" fontId="24" fillId="5" borderId="0" xfId="9" applyFont="1" applyFill="1"/>
    <xf numFmtId="0" fontId="14" fillId="6" borderId="2" xfId="3" applyFont="1" applyFill="1" applyBorder="1" applyAlignment="1" applyProtection="1">
      <alignment horizontal="left" vertical="center" wrapText="1" shrinkToFit="1"/>
      <protection locked="0"/>
    </xf>
    <xf numFmtId="0" fontId="14" fillId="8" borderId="2" xfId="3" applyFont="1" applyFill="1" applyBorder="1" applyAlignment="1" applyProtection="1">
      <alignment horizontal="center" vertical="center" wrapText="1" shrinkToFit="1"/>
      <protection locked="0"/>
    </xf>
    <xf numFmtId="0" fontId="14" fillId="6" borderId="2" xfId="3" applyFont="1" applyFill="1" applyBorder="1" applyAlignment="1" applyProtection="1">
      <alignment horizontal="center" vertical="center" wrapText="1" shrinkToFit="1"/>
      <protection locked="0"/>
    </xf>
    <xf numFmtId="3" fontId="14" fillId="5" borderId="2" xfId="10" applyNumberFormat="1" applyFont="1" applyFill="1" applyBorder="1" applyAlignment="1">
      <alignment vertical="center" wrapText="1"/>
    </xf>
    <xf numFmtId="3" fontId="14" fillId="6" borderId="2" xfId="3" applyNumberFormat="1" applyFont="1" applyFill="1" applyBorder="1" applyAlignment="1" applyProtection="1">
      <alignment horizontal="right" vertical="center" wrapText="1" shrinkToFit="1"/>
      <protection locked="0"/>
    </xf>
    <xf numFmtId="0" fontId="14" fillId="5" borderId="2" xfId="9" applyFont="1" applyFill="1" applyBorder="1" applyAlignment="1">
      <alignment horizontal="left" vertical="center" wrapText="1"/>
    </xf>
    <xf numFmtId="3" fontId="14" fillId="5" borderId="2" xfId="9" applyNumberFormat="1" applyFont="1" applyFill="1" applyBorder="1" applyAlignment="1">
      <alignment horizontal="center" vertical="center" wrapText="1"/>
    </xf>
    <xf numFmtId="166" fontId="14" fillId="7" borderId="2" xfId="10" applyNumberFormat="1" applyFont="1" applyFill="1" applyBorder="1" applyAlignment="1">
      <alignment horizontal="right" vertical="center" wrapText="1"/>
    </xf>
    <xf numFmtId="0" fontId="13" fillId="5" borderId="2" xfId="9" applyFont="1" applyFill="1" applyBorder="1" applyAlignment="1">
      <alignment horizontal="center" vertical="center" wrapText="1"/>
    </xf>
    <xf numFmtId="171" fontId="13" fillId="5" borderId="2" xfId="9" applyNumberFormat="1" applyFont="1" applyFill="1" applyBorder="1" applyAlignment="1">
      <alignment horizontal="center" vertical="center" wrapText="1"/>
    </xf>
    <xf numFmtId="0" fontId="51" fillId="5" borderId="0" xfId="9" applyFont="1" applyFill="1" applyAlignment="1">
      <alignment horizontal="center"/>
    </xf>
    <xf numFmtId="0" fontId="51" fillId="5" borderId="0" xfId="9" applyFont="1" applyFill="1"/>
    <xf numFmtId="164" fontId="51" fillId="5" borderId="0" xfId="10" applyNumberFormat="1" applyFont="1" applyFill="1"/>
    <xf numFmtId="0" fontId="3" fillId="0" borderId="0" xfId="9" applyFont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7" fillId="0" borderId="0" xfId="9" applyFont="1" applyAlignment="1">
      <alignment horizontal="center"/>
    </xf>
    <xf numFmtId="0" fontId="7" fillId="0" borderId="0" xfId="9" applyFont="1" applyAlignment="1">
      <alignment horizontal="center" wrapText="1"/>
    </xf>
    <xf numFmtId="0" fontId="7" fillId="0" borderId="0" xfId="9" applyFont="1" applyAlignment="1">
      <alignment horizontal="right" vertical="center"/>
    </xf>
    <xf numFmtId="0" fontId="6" fillId="0" borderId="0" xfId="9" applyFont="1" applyAlignment="1">
      <alignment horizontal="left"/>
    </xf>
    <xf numFmtId="0" fontId="17" fillId="0" borderId="0" xfId="9"/>
    <xf numFmtId="0" fontId="43" fillId="0" borderId="2" xfId="9" applyFont="1" applyFill="1" applyBorder="1" applyAlignment="1">
      <alignment horizontal="center" vertical="center" wrapText="1"/>
    </xf>
    <xf numFmtId="3" fontId="44" fillId="0" borderId="2" xfId="9" applyNumberFormat="1" applyFont="1" applyFill="1" applyBorder="1" applyAlignment="1">
      <alignment horizontal="center" vertical="center" wrapText="1"/>
    </xf>
    <xf numFmtId="0" fontId="40" fillId="0" borderId="2" xfId="9" applyFont="1" applyFill="1" applyBorder="1" applyAlignment="1">
      <alignment horizontal="center" vertical="center" wrapText="1"/>
    </xf>
    <xf numFmtId="0" fontId="53" fillId="0" borderId="2" xfId="9" applyFont="1" applyFill="1" applyBorder="1" applyAlignment="1">
      <alignment horizontal="center" vertical="center" wrapText="1"/>
    </xf>
    <xf numFmtId="0" fontId="43" fillId="0" borderId="2" xfId="11" applyFont="1" applyFill="1" applyBorder="1" applyAlignment="1">
      <alignment horizontal="left" vertical="center" wrapText="1"/>
    </xf>
    <xf numFmtId="0" fontId="43" fillId="0" borderId="2" xfId="9" applyFont="1" applyFill="1" applyBorder="1" applyAlignment="1">
      <alignment horizontal="left" vertical="center" wrapText="1"/>
    </xf>
    <xf numFmtId="0" fontId="43" fillId="0" borderId="2" xfId="1" applyFont="1" applyFill="1" applyBorder="1" applyAlignment="1">
      <alignment horizontal="left" vertical="center" wrapText="1"/>
    </xf>
    <xf numFmtId="166" fontId="44" fillId="0" borderId="2" xfId="10" applyNumberFormat="1" applyFont="1" applyBorder="1" applyAlignment="1">
      <alignment vertical="center" wrapText="1"/>
    </xf>
    <xf numFmtId="166" fontId="44" fillId="0" borderId="2" xfId="10" applyNumberFormat="1" applyFont="1" applyBorder="1" applyAlignment="1">
      <alignment horizontal="right" vertical="center" wrapText="1"/>
    </xf>
    <xf numFmtId="0" fontId="54" fillId="0" borderId="2" xfId="9" applyFont="1" applyFill="1" applyBorder="1" applyAlignment="1">
      <alignment horizontal="left" vertical="center" wrapText="1"/>
    </xf>
    <xf numFmtId="0" fontId="54" fillId="0" borderId="2" xfId="9" applyFont="1" applyFill="1" applyBorder="1" applyAlignment="1">
      <alignment horizontal="center" vertical="center" wrapText="1"/>
    </xf>
    <xf numFmtId="3" fontId="44" fillId="0" borderId="2" xfId="9" applyNumberFormat="1" applyFont="1" applyFill="1" applyBorder="1" applyAlignment="1">
      <alignment horizontal="right" vertical="center" wrapText="1"/>
    </xf>
    <xf numFmtId="0" fontId="17" fillId="0" borderId="0" xfId="9" applyFill="1"/>
    <xf numFmtId="166" fontId="54" fillId="0" borderId="2" xfId="10" applyNumberFormat="1" applyFont="1" applyFill="1" applyBorder="1" applyAlignment="1">
      <alignment horizontal="right" vertical="center" wrapText="1"/>
    </xf>
    <xf numFmtId="166" fontId="55" fillId="0" borderId="2" xfId="10" applyNumberFormat="1" applyFont="1" applyFill="1" applyBorder="1" applyAlignment="1" applyProtection="1">
      <alignment horizontal="right" vertical="center" wrapText="1" shrinkToFit="1"/>
      <protection locked="0"/>
    </xf>
    <xf numFmtId="166" fontId="20" fillId="0" borderId="2" xfId="10" applyNumberFormat="1" applyFont="1" applyFill="1" applyBorder="1" applyAlignment="1" applyProtection="1">
      <alignment horizontal="right" vertical="center" wrapText="1" shrinkToFit="1"/>
      <protection locked="0"/>
    </xf>
    <xf numFmtId="166" fontId="44" fillId="0" borderId="2" xfId="10" applyNumberFormat="1" applyFont="1" applyFill="1" applyBorder="1" applyAlignment="1">
      <alignment horizontal="right" vertical="center" wrapText="1"/>
    </xf>
    <xf numFmtId="3" fontId="43" fillId="0" borderId="2" xfId="9" applyNumberFormat="1" applyFont="1" applyFill="1" applyBorder="1" applyAlignment="1">
      <alignment horizontal="center" vertical="center" wrapText="1"/>
    </xf>
    <xf numFmtId="0" fontId="43" fillId="0" borderId="0" xfId="9" applyFont="1" applyFill="1" applyBorder="1" applyAlignment="1">
      <alignment horizontal="center" vertical="center" wrapText="1"/>
    </xf>
    <xf numFmtId="0" fontId="43" fillId="0" borderId="0" xfId="11" applyFont="1" applyFill="1" applyBorder="1" applyAlignment="1">
      <alignment horizontal="left" vertical="center" wrapText="1"/>
    </xf>
    <xf numFmtId="3" fontId="43" fillId="0" borderId="0" xfId="9" applyNumberFormat="1" applyFont="1" applyFill="1" applyBorder="1" applyAlignment="1">
      <alignment horizontal="center" vertical="center" wrapText="1"/>
    </xf>
    <xf numFmtId="3" fontId="40" fillId="0" borderId="0" xfId="9" applyNumberFormat="1" applyFont="1" applyFill="1" applyBorder="1" applyAlignment="1">
      <alignment horizontal="center" vertical="center" wrapText="1"/>
    </xf>
    <xf numFmtId="0" fontId="40" fillId="0" borderId="0" xfId="9" applyFont="1" applyFill="1" applyBorder="1" applyAlignment="1">
      <alignment horizontal="center" vertical="center" wrapText="1"/>
    </xf>
    <xf numFmtId="0" fontId="2" fillId="0" borderId="0" xfId="9" applyFont="1" applyFill="1" applyAlignment="1"/>
    <xf numFmtId="0" fontId="48" fillId="5" borderId="0" xfId="9" applyFont="1" applyFill="1"/>
    <xf numFmtId="0" fontId="3" fillId="0" borderId="0" xfId="9" applyFont="1" applyFill="1" applyAlignment="1"/>
    <xf numFmtId="0" fontId="5" fillId="0" borderId="0" xfId="9" applyFont="1" applyFill="1" applyAlignment="1">
      <alignment wrapText="1"/>
    </xf>
    <xf numFmtId="0" fontId="48" fillId="5" borderId="0" xfId="9" applyFont="1" applyFill="1" applyAlignment="1">
      <alignment horizontal="center"/>
    </xf>
    <xf numFmtId="164" fontId="48" fillId="5" borderId="0" xfId="10" applyNumberFormat="1" applyFont="1" applyFill="1" applyBorder="1"/>
    <xf numFmtId="0" fontId="48" fillId="5" borderId="0" xfId="9" applyFont="1" applyFill="1" applyAlignment="1">
      <alignment horizontal="center" vertical="center"/>
    </xf>
    <xf numFmtId="0" fontId="48" fillId="5" borderId="0" xfId="9" applyFont="1" applyFill="1" applyAlignment="1">
      <alignment horizontal="left" wrapText="1"/>
    </xf>
    <xf numFmtId="3" fontId="40" fillId="5" borderId="2" xfId="9" applyNumberFormat="1" applyFont="1" applyFill="1" applyBorder="1" applyAlignment="1">
      <alignment horizontal="center" vertical="center" wrapText="1"/>
    </xf>
    <xf numFmtId="0" fontId="48" fillId="5" borderId="0" xfId="9" applyFont="1" applyFill="1" applyAlignment="1">
      <alignment vertical="center"/>
    </xf>
    <xf numFmtId="0" fontId="43" fillId="5" borderId="3" xfId="9" applyFont="1" applyFill="1" applyBorder="1" applyAlignment="1">
      <alignment horizontal="center" vertical="center" wrapText="1"/>
    </xf>
    <xf numFmtId="0" fontId="43" fillId="5" borderId="2" xfId="9" applyFont="1" applyFill="1" applyBorder="1" applyAlignment="1">
      <alignment vertical="center" wrapText="1"/>
    </xf>
    <xf numFmtId="0" fontId="43" fillId="5" borderId="2" xfId="9" applyFont="1" applyFill="1" applyBorder="1" applyAlignment="1">
      <alignment horizontal="left" vertical="center" wrapText="1"/>
    </xf>
    <xf numFmtId="3" fontId="43" fillId="5" borderId="2" xfId="10" applyNumberFormat="1" applyFont="1" applyFill="1" applyBorder="1" applyAlignment="1">
      <alignment horizontal="center" vertical="center" wrapText="1"/>
    </xf>
    <xf numFmtId="3" fontId="20" fillId="5" borderId="2" xfId="9" applyNumberFormat="1" applyFont="1" applyFill="1" applyBorder="1" applyAlignment="1">
      <alignment vertical="center" wrapText="1"/>
    </xf>
    <xf numFmtId="164" fontId="48" fillId="5" borderId="0" xfId="10" applyNumberFormat="1" applyFont="1" applyFill="1"/>
    <xf numFmtId="0" fontId="43" fillId="5" borderId="0" xfId="9" applyFont="1" applyFill="1" applyAlignment="1">
      <alignment horizontal="center" vertical="center"/>
    </xf>
    <xf numFmtId="164" fontId="43" fillId="5" borderId="0" xfId="10" applyNumberFormat="1" applyFont="1" applyFill="1" applyAlignment="1">
      <alignment horizontal="center" vertical="center"/>
    </xf>
    <xf numFmtId="0" fontId="43" fillId="5" borderId="0" xfId="9" applyFont="1" applyFill="1" applyAlignment="1">
      <alignment horizontal="center" vertical="center" wrapText="1"/>
    </xf>
    <xf numFmtId="0" fontId="20" fillId="5" borderId="2" xfId="9" applyFont="1" applyFill="1" applyBorder="1" applyAlignment="1">
      <alignment vertical="center" wrapText="1"/>
    </xf>
    <xf numFmtId="166" fontId="20" fillId="5" borderId="2" xfId="10" applyNumberFormat="1" applyFont="1" applyFill="1" applyBorder="1" applyAlignment="1">
      <alignment vertical="center" wrapText="1"/>
    </xf>
    <xf numFmtId="0" fontId="30" fillId="5" borderId="0" xfId="9" applyFont="1" applyFill="1" applyAlignment="1">
      <alignment horizontal="center" vertical="center"/>
    </xf>
    <xf numFmtId="0" fontId="20" fillId="8" borderId="2" xfId="27" applyFont="1" applyFill="1" applyBorder="1" applyAlignment="1" applyProtection="1">
      <alignment horizontal="left" vertical="center" wrapText="1" shrinkToFit="1"/>
      <protection locked="0"/>
    </xf>
    <xf numFmtId="0" fontId="20" fillId="8" borderId="2" xfId="27" applyFont="1" applyFill="1" applyBorder="1" applyAlignment="1" applyProtection="1">
      <alignment horizontal="center" vertical="center" wrapText="1" shrinkToFit="1"/>
      <protection locked="0"/>
    </xf>
    <xf numFmtId="0" fontId="20" fillId="0" borderId="1" xfId="1" applyFont="1" applyBorder="1" applyAlignment="1">
      <alignment horizontal="left" vertical="center" wrapText="1"/>
    </xf>
    <xf numFmtId="166" fontId="20" fillId="5" borderId="2" xfId="10" applyNumberFormat="1" applyFont="1" applyFill="1" applyBorder="1" applyAlignment="1">
      <alignment horizontal="center" vertical="center" wrapText="1"/>
    </xf>
    <xf numFmtId="3" fontId="20" fillId="5" borderId="2" xfId="9" applyNumberFormat="1" applyFont="1" applyFill="1" applyBorder="1" applyAlignment="1">
      <alignment horizontal="right" vertical="center" wrapText="1"/>
    </xf>
    <xf numFmtId="0" fontId="30" fillId="0" borderId="0" xfId="9" applyFont="1" applyFill="1" applyAlignment="1">
      <alignment horizontal="center" vertical="center"/>
    </xf>
    <xf numFmtId="0" fontId="20" fillId="5" borderId="2" xfId="25" applyFont="1" applyFill="1" applyBorder="1" applyAlignment="1">
      <alignment horizontal="left" vertical="center" wrapText="1"/>
    </xf>
    <xf numFmtId="0" fontId="20" fillId="5" borderId="2" xfId="25" applyFont="1" applyFill="1" applyBorder="1" applyAlignment="1">
      <alignment horizontal="center" vertical="center" wrapText="1"/>
    </xf>
    <xf numFmtId="0" fontId="20" fillId="0" borderId="0" xfId="9" applyFont="1" applyBorder="1" applyAlignment="1">
      <alignment horizontal="center" vertical="center" wrapText="1"/>
    </xf>
    <xf numFmtId="0" fontId="20" fillId="5" borderId="0" xfId="25" applyFont="1" applyFill="1" applyBorder="1" applyAlignment="1">
      <alignment horizontal="left" vertical="center" wrapText="1"/>
    </xf>
    <xf numFmtId="0" fontId="20" fillId="5" borderId="0" xfId="25" applyFont="1" applyFill="1" applyBorder="1" applyAlignment="1">
      <alignment horizontal="center" vertical="center" wrapText="1"/>
    </xf>
    <xf numFmtId="0" fontId="20" fillId="5" borderId="0" xfId="9" applyFont="1" applyFill="1" applyBorder="1" applyAlignment="1">
      <alignment horizontal="center" vertical="center" wrapText="1"/>
    </xf>
    <xf numFmtId="3" fontId="20" fillId="5" borderId="0" xfId="9" applyNumberFormat="1" applyFont="1" applyFill="1" applyBorder="1" applyAlignment="1">
      <alignment horizontal="center" vertical="center" wrapText="1"/>
    </xf>
    <xf numFmtId="166" fontId="20" fillId="5" borderId="0" xfId="10" applyNumberFormat="1" applyFont="1" applyFill="1" applyBorder="1" applyAlignment="1">
      <alignment vertical="center" wrapText="1"/>
    </xf>
    <xf numFmtId="0" fontId="45" fillId="5" borderId="4" xfId="9" applyFont="1" applyFill="1" applyBorder="1" applyAlignment="1">
      <alignment vertical="center" wrapText="1"/>
    </xf>
    <xf numFmtId="0" fontId="45" fillId="5" borderId="6" xfId="9" applyFont="1" applyFill="1" applyBorder="1" applyAlignment="1">
      <alignment vertical="center" wrapText="1"/>
    </xf>
    <xf numFmtId="0" fontId="45" fillId="5" borderId="5" xfId="9" applyFont="1" applyFill="1" applyBorder="1" applyAlignment="1">
      <alignment vertical="center" wrapText="1"/>
    </xf>
    <xf numFmtId="0" fontId="43" fillId="0" borderId="0" xfId="9" applyFont="1" applyFill="1" applyAlignment="1">
      <alignment horizontal="center" vertical="center"/>
    </xf>
    <xf numFmtId="0" fontId="53" fillId="5" borderId="2" xfId="9" applyFont="1" applyFill="1" applyBorder="1" applyAlignment="1">
      <alignment horizontal="center" vertical="center" wrapText="1"/>
    </xf>
    <xf numFmtId="0" fontId="31" fillId="5" borderId="2" xfId="9" applyFont="1" applyFill="1" applyBorder="1" applyAlignment="1">
      <alignment horizontal="center" vertical="center" wrapText="1"/>
    </xf>
    <xf numFmtId="0" fontId="18" fillId="0" borderId="2" xfId="9" applyFont="1" applyBorder="1" applyAlignment="1">
      <alignment vertical="center" wrapText="1"/>
    </xf>
    <xf numFmtId="0" fontId="20" fillId="5" borderId="2" xfId="1" applyFont="1" applyFill="1" applyBorder="1" applyAlignment="1">
      <alignment horizontal="left" vertical="center" wrapText="1"/>
    </xf>
    <xf numFmtId="0" fontId="20" fillId="5" borderId="2" xfId="1" applyFont="1" applyFill="1" applyBorder="1" applyAlignment="1">
      <alignment horizontal="center" vertical="center" wrapText="1"/>
    </xf>
    <xf numFmtId="166" fontId="44" fillId="5" borderId="2" xfId="10" applyNumberFormat="1" applyFont="1" applyFill="1" applyBorder="1" applyAlignment="1">
      <alignment horizontal="right" vertical="center" wrapText="1"/>
    </xf>
    <xf numFmtId="0" fontId="10" fillId="5" borderId="0" xfId="9" applyFont="1" applyFill="1"/>
    <xf numFmtId="0" fontId="58" fillId="0" borderId="12" xfId="9" applyFont="1" applyBorder="1" applyAlignment="1">
      <alignment horizontal="center"/>
    </xf>
    <xf numFmtId="0" fontId="58" fillId="0" borderId="13" xfId="9" applyFont="1" applyBorder="1"/>
    <xf numFmtId="0" fontId="58" fillId="0" borderId="13" xfId="9" applyFont="1" applyBorder="1" applyAlignment="1">
      <alignment horizontal="center"/>
    </xf>
    <xf numFmtId="164" fontId="58" fillId="0" borderId="13" xfId="10" applyNumberFormat="1" applyFont="1" applyFill="1" applyBorder="1"/>
    <xf numFmtId="0" fontId="58" fillId="0" borderId="0" xfId="9" applyFont="1"/>
    <xf numFmtId="0" fontId="18" fillId="0" borderId="4" xfId="9" applyFont="1" applyBorder="1" applyAlignment="1">
      <alignment horizontal="center" vertical="center"/>
    </xf>
    <xf numFmtId="0" fontId="20" fillId="0" borderId="2" xfId="9" applyFont="1" applyBorder="1" applyAlignment="1">
      <alignment vertical="center" wrapText="1"/>
    </xf>
    <xf numFmtId="0" fontId="20" fillId="0" borderId="4" xfId="9" applyFont="1" applyBorder="1" applyAlignment="1">
      <alignment horizontal="center" vertical="center" wrapText="1"/>
    </xf>
    <xf numFmtId="1" fontId="20" fillId="0" borderId="2" xfId="1" applyNumberFormat="1" applyFont="1" applyFill="1" applyBorder="1" applyAlignment="1">
      <alignment horizontal="center" vertical="center" wrapText="1"/>
    </xf>
    <xf numFmtId="3" fontId="20" fillId="0" borderId="2" xfId="1" applyNumberFormat="1" applyFont="1" applyFill="1" applyBorder="1" applyAlignment="1">
      <alignment horizontal="center" vertical="center" wrapText="1"/>
    </xf>
    <xf numFmtId="0" fontId="44" fillId="5" borderId="2" xfId="9" applyFont="1" applyFill="1" applyBorder="1" applyAlignment="1">
      <alignment horizontal="center" vertical="center"/>
    </xf>
    <xf numFmtId="0" fontId="44" fillId="5" borderId="2" xfId="9" applyFont="1" applyFill="1" applyBorder="1" applyAlignment="1">
      <alignment horizontal="right" vertical="center"/>
    </xf>
    <xf numFmtId="0" fontId="44" fillId="5" borderId="2" xfId="9" applyFont="1" applyFill="1" applyBorder="1" applyAlignment="1">
      <alignment vertical="center" wrapText="1"/>
    </xf>
    <xf numFmtId="166" fontId="44" fillId="5" borderId="2" xfId="10" applyNumberFormat="1" applyFont="1" applyFill="1" applyBorder="1" applyAlignment="1">
      <alignment vertical="center" wrapText="1"/>
    </xf>
    <xf numFmtId="166" fontId="20" fillId="0" borderId="2" xfId="20" applyNumberFormat="1" applyFont="1" applyFill="1" applyBorder="1" applyAlignment="1">
      <alignment horizontal="right" vertical="center" wrapText="1"/>
    </xf>
    <xf numFmtId="166" fontId="20" fillId="0" borderId="3" xfId="20" applyNumberFormat="1" applyFont="1" applyFill="1" applyBorder="1" applyAlignment="1">
      <alignment horizontal="right" vertical="center" wrapText="1"/>
    </xf>
    <xf numFmtId="172" fontId="20" fillId="0" borderId="2" xfId="19" quotePrefix="1" applyNumberFormat="1" applyFont="1" applyFill="1" applyBorder="1" applyAlignment="1">
      <alignment horizontal="right" vertical="center" wrapText="1"/>
    </xf>
    <xf numFmtId="0" fontId="18" fillId="0" borderId="2" xfId="9" applyFont="1" applyFill="1" applyBorder="1" applyAlignment="1">
      <alignment horizontal="right" vertical="center" wrapText="1"/>
    </xf>
    <xf numFmtId="166" fontId="20" fillId="0" borderId="2" xfId="10" quotePrefix="1" applyNumberFormat="1" applyFont="1" applyFill="1" applyBorder="1" applyAlignment="1">
      <alignment vertical="center" wrapText="1"/>
    </xf>
    <xf numFmtId="0" fontId="2" fillId="0" borderId="0" xfId="0" quotePrefix="1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wrapText="1"/>
    </xf>
    <xf numFmtId="0" fontId="6" fillId="0" borderId="0" xfId="0" quotePrefix="1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3" fillId="0" borderId="2" xfId="1" applyFont="1" applyFill="1" applyBorder="1" applyAlignment="1">
      <alignment horizontal="center" vertical="center" wrapText="1"/>
    </xf>
    <xf numFmtId="0" fontId="13" fillId="0" borderId="2" xfId="1" applyFont="1" applyFill="1" applyBorder="1" applyAlignment="1">
      <alignment horizontal="left" vertical="center" wrapText="1"/>
    </xf>
    <xf numFmtId="0" fontId="16" fillId="0" borderId="0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center"/>
    </xf>
    <xf numFmtId="166" fontId="15" fillId="0" borderId="0" xfId="6" applyNumberFormat="1" applyFont="1" applyFill="1" applyBorder="1" applyAlignment="1">
      <alignment horizontal="center"/>
    </xf>
    <xf numFmtId="0" fontId="15" fillId="0" borderId="0" xfId="1" quotePrefix="1" applyFont="1" applyFill="1" applyBorder="1" applyAlignment="1">
      <alignment horizontal="left"/>
    </xf>
    <xf numFmtId="0" fontId="6" fillId="0" borderId="0" xfId="9" applyFont="1" applyFill="1" applyAlignment="1">
      <alignment horizontal="left" vertical="center"/>
    </xf>
    <xf numFmtId="0" fontId="6" fillId="0" borderId="0" xfId="9" applyFont="1" applyFill="1" applyAlignment="1">
      <alignment vertical="center"/>
    </xf>
    <xf numFmtId="0" fontId="2" fillId="0" borderId="0" xfId="9" quotePrefix="1" applyFont="1" applyFill="1" applyAlignment="1">
      <alignment horizontal="left" vertical="center"/>
    </xf>
    <xf numFmtId="0" fontId="2" fillId="0" borderId="0" xfId="9" applyFont="1" applyFill="1" applyAlignment="1">
      <alignment horizontal="center" vertical="center"/>
    </xf>
    <xf numFmtId="0" fontId="5" fillId="0" borderId="0" xfId="9" applyFont="1" applyFill="1" applyAlignment="1">
      <alignment horizontal="center" wrapText="1"/>
    </xf>
    <xf numFmtId="0" fontId="6" fillId="0" borderId="0" xfId="9" quotePrefix="1" applyFont="1" applyFill="1" applyAlignment="1">
      <alignment horizontal="left" vertical="center"/>
    </xf>
    <xf numFmtId="0" fontId="14" fillId="0" borderId="2" xfId="9" applyFont="1" applyFill="1" applyBorder="1" applyAlignment="1">
      <alignment horizontal="center" vertical="center" wrapText="1"/>
    </xf>
    <xf numFmtId="3" fontId="13" fillId="0" borderId="2" xfId="9" applyNumberFormat="1" applyFont="1" applyFill="1" applyBorder="1" applyAlignment="1">
      <alignment horizontal="center" vertical="center" wrapText="1"/>
    </xf>
    <xf numFmtId="0" fontId="13" fillId="0" borderId="2" xfId="9" applyFont="1" applyFill="1" applyBorder="1" applyAlignment="1">
      <alignment horizontal="center" vertical="center" wrapText="1"/>
    </xf>
    <xf numFmtId="0" fontId="23" fillId="0" borderId="2" xfId="9" applyFont="1" applyFill="1" applyBorder="1" applyAlignment="1">
      <alignment wrapText="1"/>
    </xf>
    <xf numFmtId="0" fontId="23" fillId="0" borderId="2" xfId="9" applyFont="1" applyFill="1" applyBorder="1" applyAlignment="1">
      <alignment horizontal="center" vertical="center" wrapText="1"/>
    </xf>
    <xf numFmtId="0" fontId="13" fillId="0" borderId="2" xfId="9" applyFont="1" applyFill="1" applyBorder="1" applyAlignment="1">
      <alignment horizontal="left" vertical="center" wrapText="1"/>
    </xf>
    <xf numFmtId="3" fontId="14" fillId="0" borderId="2" xfId="9" applyNumberFormat="1" applyFont="1" applyFill="1" applyBorder="1" applyAlignment="1">
      <alignment horizontal="center" vertical="center" wrapText="1"/>
    </xf>
    <xf numFmtId="0" fontId="13" fillId="0" borderId="4" xfId="9" applyFont="1" applyFill="1" applyBorder="1" applyAlignment="1">
      <alignment horizontal="left" vertical="center" wrapText="1"/>
    </xf>
    <xf numFmtId="0" fontId="13" fillId="0" borderId="6" xfId="9" applyFont="1" applyFill="1" applyBorder="1" applyAlignment="1">
      <alignment horizontal="left" vertical="center" wrapText="1"/>
    </xf>
    <xf numFmtId="0" fontId="13" fillId="0" borderId="5" xfId="9" applyFont="1" applyFill="1" applyBorder="1" applyAlignment="1">
      <alignment horizontal="left" vertical="center" wrapText="1"/>
    </xf>
    <xf numFmtId="0" fontId="13" fillId="0" borderId="4" xfId="16" applyFont="1" applyFill="1" applyBorder="1" applyAlignment="1">
      <alignment horizontal="left" vertical="center" wrapText="1"/>
    </xf>
    <xf numFmtId="0" fontId="13" fillId="0" borderId="6" xfId="16" applyFont="1" applyFill="1" applyBorder="1" applyAlignment="1">
      <alignment horizontal="left" vertical="center" wrapText="1"/>
    </xf>
    <xf numFmtId="0" fontId="13" fillId="0" borderId="5" xfId="16" applyFont="1" applyFill="1" applyBorder="1" applyAlignment="1">
      <alignment horizontal="left" vertical="center" wrapText="1"/>
    </xf>
    <xf numFmtId="0" fontId="15" fillId="0" borderId="0" xfId="16" applyFont="1" applyFill="1" applyBorder="1" applyAlignment="1">
      <alignment horizontal="center"/>
    </xf>
    <xf numFmtId="0" fontId="16" fillId="0" borderId="0" xfId="16" applyFont="1" applyFill="1" applyBorder="1" applyAlignment="1">
      <alignment horizontal="center" vertical="center" wrapText="1"/>
    </xf>
    <xf numFmtId="0" fontId="15" fillId="0" borderId="0" xfId="16" applyFont="1" applyFill="1" applyBorder="1" applyAlignment="1">
      <alignment horizontal="left"/>
    </xf>
    <xf numFmtId="0" fontId="15" fillId="0" borderId="0" xfId="16" quotePrefix="1" applyFont="1" applyFill="1" applyBorder="1" applyAlignment="1">
      <alignment horizontal="left"/>
    </xf>
    <xf numFmtId="0" fontId="56" fillId="0" borderId="0" xfId="9" quotePrefix="1" applyFont="1" applyFill="1" applyBorder="1" applyAlignment="1">
      <alignment horizontal="left" vertical="center" wrapText="1"/>
    </xf>
    <xf numFmtId="0" fontId="18" fillId="0" borderId="2" xfId="9" applyFont="1" applyBorder="1" applyAlignment="1">
      <alignment horizontal="center" vertical="center" wrapText="1"/>
    </xf>
    <xf numFmtId="0" fontId="18" fillId="0" borderId="2" xfId="9" applyFont="1" applyBorder="1" applyAlignment="1">
      <alignment wrapText="1"/>
    </xf>
    <xf numFmtId="0" fontId="18" fillId="0" borderId="4" xfId="9" applyFont="1" applyFill="1" applyBorder="1" applyAlignment="1">
      <alignment horizontal="left" vertical="center" wrapText="1"/>
    </xf>
    <xf numFmtId="0" fontId="18" fillId="0" borderId="6" xfId="9" applyFont="1" applyFill="1" applyBorder="1" applyAlignment="1">
      <alignment horizontal="left" vertical="center" wrapText="1"/>
    </xf>
    <xf numFmtId="0" fontId="18" fillId="0" borderId="5" xfId="9" applyFont="1" applyFill="1" applyBorder="1" applyAlignment="1">
      <alignment horizontal="left" vertical="center" wrapText="1"/>
    </xf>
    <xf numFmtId="0" fontId="2" fillId="0" borderId="0" xfId="9" applyFont="1" applyFill="1" applyAlignment="1">
      <alignment horizontal="center"/>
    </xf>
    <xf numFmtId="0" fontId="3" fillId="0" borderId="0" xfId="9" applyFont="1" applyFill="1" applyAlignment="1">
      <alignment horizontal="center"/>
    </xf>
    <xf numFmtId="0" fontId="18" fillId="0" borderId="1" xfId="9" applyFont="1" applyFill="1" applyBorder="1" applyAlignment="1">
      <alignment horizontal="center" vertical="center" wrapText="1"/>
    </xf>
    <xf numFmtId="0" fontId="18" fillId="0" borderId="3" xfId="9" applyFont="1" applyFill="1" applyBorder="1" applyAlignment="1">
      <alignment horizontal="center" vertical="center" wrapText="1"/>
    </xf>
    <xf numFmtId="3" fontId="18" fillId="0" borderId="1" xfId="9" applyNumberFormat="1" applyFont="1" applyFill="1" applyBorder="1" applyAlignment="1">
      <alignment horizontal="center" vertical="center" wrapText="1"/>
    </xf>
    <xf numFmtId="3" fontId="18" fillId="0" borderId="3" xfId="9" applyNumberFormat="1" applyFont="1" applyFill="1" applyBorder="1" applyAlignment="1">
      <alignment horizontal="center" vertical="center" wrapText="1"/>
    </xf>
    <xf numFmtId="0" fontId="18" fillId="0" borderId="2" xfId="9" applyFont="1" applyFill="1" applyBorder="1" applyAlignment="1">
      <alignment horizontal="left" vertical="center" wrapText="1"/>
    </xf>
    <xf numFmtId="0" fontId="18" fillId="0" borderId="2" xfId="9" applyFont="1" applyFill="1" applyBorder="1" applyAlignment="1">
      <alignment horizontal="center" vertical="center" wrapText="1"/>
    </xf>
    <xf numFmtId="0" fontId="18" fillId="0" borderId="2" xfId="9" applyFont="1" applyFill="1" applyBorder="1"/>
    <xf numFmtId="0" fontId="18" fillId="0" borderId="2" xfId="9" applyFont="1" applyFill="1" applyBorder="1" applyAlignment="1">
      <alignment horizontal="center" vertical="center"/>
    </xf>
    <xf numFmtId="0" fontId="18" fillId="0" borderId="2" xfId="13" applyFont="1" applyFill="1" applyBorder="1" applyAlignment="1">
      <alignment horizontal="left" vertical="center" wrapText="1"/>
    </xf>
    <xf numFmtId="0" fontId="6" fillId="0" borderId="0" xfId="9" applyFont="1" applyAlignment="1">
      <alignment horizontal="left" vertical="center"/>
    </xf>
    <xf numFmtId="0" fontId="6" fillId="0" borderId="0" xfId="9" applyFont="1" applyAlignment="1">
      <alignment vertical="center"/>
    </xf>
    <xf numFmtId="0" fontId="2" fillId="0" borderId="0" xfId="9" quotePrefix="1" applyFont="1" applyAlignment="1">
      <alignment horizontal="left" vertical="center"/>
    </xf>
    <xf numFmtId="0" fontId="2" fillId="0" borderId="0" xfId="9" applyFont="1" applyAlignment="1">
      <alignment horizontal="center" vertical="center"/>
    </xf>
    <xf numFmtId="0" fontId="5" fillId="0" borderId="0" xfId="9" applyFont="1" applyAlignment="1">
      <alignment horizontal="center" wrapText="1"/>
    </xf>
    <xf numFmtId="0" fontId="6" fillId="0" borderId="0" xfId="9" quotePrefix="1" applyFont="1" applyAlignment="1">
      <alignment horizontal="left" vertical="center"/>
    </xf>
    <xf numFmtId="0" fontId="40" fillId="5" borderId="1" xfId="9" applyFont="1" applyFill="1" applyBorder="1" applyAlignment="1">
      <alignment horizontal="center" vertical="center" wrapText="1"/>
    </xf>
    <xf numFmtId="0" fontId="40" fillId="5" borderId="8" xfId="9" applyFont="1" applyFill="1" applyBorder="1" applyAlignment="1">
      <alignment horizontal="center" vertical="center" wrapText="1"/>
    </xf>
    <xf numFmtId="0" fontId="40" fillId="5" borderId="3" xfId="9" applyFont="1" applyFill="1" applyBorder="1" applyAlignment="1">
      <alignment horizontal="center" vertical="center" wrapText="1"/>
    </xf>
    <xf numFmtId="3" fontId="40" fillId="5" borderId="1" xfId="9" applyNumberFormat="1" applyFont="1" applyFill="1" applyBorder="1" applyAlignment="1">
      <alignment horizontal="center" vertical="center" wrapText="1"/>
    </xf>
    <xf numFmtId="3" fontId="40" fillId="5" borderId="8" xfId="9" applyNumberFormat="1" applyFont="1" applyFill="1" applyBorder="1" applyAlignment="1">
      <alignment horizontal="center" vertical="center" wrapText="1"/>
    </xf>
    <xf numFmtId="3" fontId="40" fillId="5" borderId="3" xfId="9" applyNumberFormat="1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horizontal="center" wrapText="1"/>
    </xf>
    <xf numFmtId="0" fontId="40" fillId="5" borderId="2" xfId="9" applyFont="1" applyFill="1" applyBorder="1" applyAlignment="1">
      <alignment horizontal="center" vertical="center" wrapText="1"/>
    </xf>
    <xf numFmtId="0" fontId="42" fillId="5" borderId="2" xfId="9" applyFont="1" applyFill="1" applyBorder="1" applyAlignment="1">
      <alignment horizontal="center" wrapText="1"/>
    </xf>
    <xf numFmtId="0" fontId="18" fillId="0" borderId="2" xfId="9" applyFont="1" applyBorder="1" applyAlignment="1">
      <alignment horizontal="center" vertical="center"/>
    </xf>
    <xf numFmtId="0" fontId="50" fillId="0" borderId="2" xfId="9" applyFont="1" applyBorder="1"/>
    <xf numFmtId="0" fontId="18" fillId="5" borderId="4" xfId="9" applyFont="1" applyFill="1" applyBorder="1" applyAlignment="1">
      <alignment horizontal="left" vertical="center"/>
    </xf>
    <xf numFmtId="0" fontId="18" fillId="5" borderId="6" xfId="9" applyFont="1" applyFill="1" applyBorder="1" applyAlignment="1">
      <alignment horizontal="left" vertical="center"/>
    </xf>
    <xf numFmtId="0" fontId="18" fillId="5" borderId="5" xfId="9" applyFont="1" applyFill="1" applyBorder="1" applyAlignment="1">
      <alignment horizontal="left" vertical="center"/>
    </xf>
    <xf numFmtId="0" fontId="13" fillId="0" borderId="2" xfId="9" applyFont="1" applyBorder="1" applyAlignment="1">
      <alignment horizontal="center" vertical="center" wrapText="1"/>
    </xf>
    <xf numFmtId="0" fontId="3" fillId="0" borderId="0" xfId="9" applyFont="1" applyAlignment="1">
      <alignment horizontal="center"/>
    </xf>
    <xf numFmtId="0" fontId="52" fillId="5" borderId="2" xfId="9" applyFont="1" applyFill="1" applyBorder="1" applyAlignment="1">
      <alignment horizontal="center" wrapText="1"/>
    </xf>
    <xf numFmtId="0" fontId="52" fillId="5" borderId="2" xfId="9" applyFont="1" applyFill="1" applyBorder="1" applyAlignment="1">
      <alignment wrapText="1"/>
    </xf>
    <xf numFmtId="0" fontId="40" fillId="0" borderId="2" xfId="11" applyFont="1" applyFill="1" applyBorder="1" applyAlignment="1">
      <alignment horizontal="left" vertical="center" wrapText="1"/>
    </xf>
    <xf numFmtId="3" fontId="40" fillId="5" borderId="2" xfId="9" applyNumberFormat="1" applyFont="1" applyFill="1" applyBorder="1" applyAlignment="1">
      <alignment horizontal="center" vertical="center" wrapText="1"/>
    </xf>
    <xf numFmtId="0" fontId="52" fillId="5" borderId="2" xfId="9" applyFont="1" applyFill="1" applyBorder="1" applyAlignment="1">
      <alignment horizontal="center" vertical="center" wrapText="1"/>
    </xf>
    <xf numFmtId="0" fontId="18" fillId="5" borderId="4" xfId="9" applyFont="1" applyFill="1" applyBorder="1" applyAlignment="1">
      <alignment horizontal="left" vertical="center" wrapText="1"/>
    </xf>
    <xf numFmtId="0" fontId="18" fillId="5" borderId="6" xfId="9" applyFont="1" applyFill="1" applyBorder="1" applyAlignment="1">
      <alignment horizontal="left" vertical="center" wrapText="1"/>
    </xf>
    <xf numFmtId="0" fontId="18" fillId="5" borderId="5" xfId="9" applyFont="1" applyFill="1" applyBorder="1" applyAlignment="1">
      <alignment horizontal="left" vertical="center" wrapText="1"/>
    </xf>
    <xf numFmtId="0" fontId="57" fillId="5" borderId="2" xfId="9" applyFont="1" applyFill="1" applyBorder="1" applyAlignment="1">
      <alignment horizontal="center" vertical="center" wrapText="1"/>
    </xf>
    <xf numFmtId="0" fontId="18" fillId="0" borderId="4" xfId="9" applyFont="1" applyBorder="1" applyAlignment="1">
      <alignment horizontal="left" vertical="center" wrapText="1"/>
    </xf>
    <xf numFmtId="0" fontId="18" fillId="0" borderId="6" xfId="9" applyFont="1" applyBorder="1" applyAlignment="1">
      <alignment horizontal="left" vertical="center" wrapText="1"/>
    </xf>
    <xf numFmtId="0" fontId="18" fillId="0" borderId="5" xfId="9" applyFont="1" applyBorder="1" applyAlignment="1">
      <alignment horizontal="left" vertical="center" wrapText="1"/>
    </xf>
    <xf numFmtId="0" fontId="18" fillId="0" borderId="1" xfId="9" applyFont="1" applyBorder="1" applyAlignment="1">
      <alignment horizontal="center" vertical="center" wrapText="1"/>
    </xf>
    <xf numFmtId="0" fontId="18" fillId="0" borderId="8" xfId="9" applyFont="1" applyBorder="1" applyAlignment="1">
      <alignment horizontal="center" vertical="center" wrapText="1"/>
    </xf>
    <xf numFmtId="0" fontId="18" fillId="0" borderId="3" xfId="9" applyFont="1" applyBorder="1" applyAlignment="1">
      <alignment horizontal="center" vertical="center" wrapText="1"/>
    </xf>
    <xf numFmtId="0" fontId="18" fillId="0" borderId="8" xfId="9" applyFont="1" applyBorder="1" applyAlignment="1">
      <alignment horizontal="center" vertical="center"/>
    </xf>
    <xf numFmtId="0" fontId="18" fillId="0" borderId="3" xfId="9" applyFont="1" applyBorder="1" applyAlignment="1">
      <alignment horizontal="center" vertical="center"/>
    </xf>
    <xf numFmtId="0" fontId="18" fillId="0" borderId="9" xfId="9" applyFont="1" applyBorder="1" applyAlignment="1">
      <alignment horizontal="center" vertical="center" wrapText="1"/>
    </xf>
    <xf numFmtId="0" fontId="18" fillId="0" borderId="7" xfId="9" applyFont="1" applyBorder="1" applyAlignment="1">
      <alignment horizontal="center" vertical="center" wrapText="1"/>
    </xf>
    <xf numFmtId="0" fontId="18" fillId="0" borderId="12" xfId="9" applyFont="1" applyBorder="1" applyAlignment="1">
      <alignment horizontal="center" vertical="center" wrapText="1"/>
    </xf>
  </cellXfs>
  <cellStyles count="28">
    <cellStyle name="Comma" xfId="2" builtinId="3"/>
    <cellStyle name="Comma [0] 2" xfId="17"/>
    <cellStyle name="Comma 2" xfId="10"/>
    <cellStyle name="Comma 2 10" xfId="14"/>
    <cellStyle name="Comma 2 10 2" xfId="20"/>
    <cellStyle name="Comma 4 2" xfId="26"/>
    <cellStyle name="Comma 6" xfId="6"/>
    <cellStyle name="Comma 7" xfId="8"/>
    <cellStyle name="Comma 7 2" xfId="23"/>
    <cellStyle name="Comma 8" xfId="22"/>
    <cellStyle name="Normal" xfId="0" builtinId="0"/>
    <cellStyle name="Normal 2" xfId="1"/>
    <cellStyle name="Normal 2 2" xfId="16"/>
    <cellStyle name="Normal 2 3" xfId="25"/>
    <cellStyle name="Normal 2 4" xfId="15"/>
    <cellStyle name="Normal 2 4 2" xfId="21"/>
    <cellStyle name="Normal 3" xfId="9"/>
    <cellStyle name="Normal 5 2" xfId="3"/>
    <cellStyle name="Normal 5 2 2" xfId="27"/>
    <cellStyle name="Normal 8" xfId="5"/>
    <cellStyle name="Normal 9" xfId="4"/>
    <cellStyle name="Normal_Cong cu dung cu du an LG" xfId="13"/>
    <cellStyle name="Normal_Sheet1" xfId="11"/>
    <cellStyle name="Normal_Tai san 2016" xfId="7"/>
    <cellStyle name="Normal_Tai san Du an LGap" xfId="12"/>
    <cellStyle name="Normal_VS-DD" xfId="18"/>
    <cellStyle name="Percent 2" xfId="19"/>
    <cellStyle name="Percent 2 2" xf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32"/>
  <sheetViews>
    <sheetView topLeftCell="A516" zoomScaleNormal="100" workbookViewId="0">
      <selection activeCell="D536" sqref="D536"/>
    </sheetView>
  </sheetViews>
  <sheetFormatPr defaultColWidth="14.42578125" defaultRowHeight="12.75"/>
  <cols>
    <col min="1" max="1" width="4.5703125" style="20" customWidth="1"/>
    <col min="2" max="2" width="22.7109375" style="20" customWidth="1"/>
    <col min="3" max="3" width="9.42578125" style="20" customWidth="1"/>
    <col min="4" max="4" width="6.42578125" style="20" customWidth="1"/>
    <col min="5" max="6" width="5.85546875" style="20" bestFit="1" customWidth="1"/>
    <col min="7" max="7" width="6" style="20" customWidth="1"/>
    <col min="8" max="9" width="13.140625" style="20" customWidth="1"/>
    <col min="10" max="10" width="8" style="20" customWidth="1"/>
    <col min="11" max="11" width="10.7109375" style="20" customWidth="1"/>
    <col min="12" max="12" width="9.7109375" style="20" customWidth="1"/>
    <col min="13" max="13" width="9" style="20" customWidth="1"/>
    <col min="14" max="14" width="13" style="20" customWidth="1"/>
    <col min="15" max="25" width="8.7109375" style="20" customWidth="1"/>
    <col min="26" max="16384" width="14.42578125" style="20"/>
  </cols>
  <sheetData>
    <row r="1" spans="1:36" ht="15">
      <c r="A1" s="465" t="s">
        <v>818</v>
      </c>
      <c r="B1" s="465"/>
      <c r="C1" s="465"/>
      <c r="D1" s="465"/>
      <c r="E1" s="465"/>
      <c r="F1" s="3"/>
      <c r="G1" s="4"/>
      <c r="H1" s="19"/>
      <c r="I1" s="19"/>
      <c r="J1" s="265"/>
      <c r="K1" s="466" t="s">
        <v>819</v>
      </c>
      <c r="L1" s="466"/>
      <c r="M1" s="466"/>
      <c r="N1" s="466"/>
      <c r="O1" s="4"/>
      <c r="P1" s="265"/>
      <c r="Q1" s="265"/>
      <c r="R1" s="265"/>
      <c r="S1" s="265"/>
      <c r="T1" s="265"/>
      <c r="U1" s="265"/>
      <c r="V1" s="265"/>
      <c r="W1" s="265"/>
      <c r="X1" s="5"/>
      <c r="Y1" s="4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5">
      <c r="A2" s="465" t="s">
        <v>820</v>
      </c>
      <c r="B2" s="465"/>
      <c r="C2" s="465"/>
      <c r="D2" s="465"/>
      <c r="E2" s="465"/>
      <c r="F2" s="3"/>
      <c r="G2" s="4"/>
      <c r="H2" s="21"/>
      <c r="I2" s="21"/>
      <c r="J2" s="4"/>
      <c r="K2" s="4"/>
      <c r="L2" s="4"/>
      <c r="M2" s="4"/>
      <c r="N2" s="4"/>
      <c r="O2" s="7"/>
      <c r="P2" s="7"/>
      <c r="Q2" s="7"/>
      <c r="R2" s="7"/>
      <c r="S2" s="7"/>
      <c r="T2" s="7"/>
      <c r="U2" s="7"/>
      <c r="V2" s="7"/>
      <c r="W2" s="7"/>
      <c r="X2" s="5"/>
      <c r="Y2" s="4"/>
      <c r="Z2" s="467"/>
      <c r="AA2" s="467"/>
      <c r="AB2" s="467"/>
      <c r="AC2" s="467"/>
      <c r="AD2" s="467"/>
      <c r="AE2" s="467"/>
      <c r="AF2" s="467"/>
      <c r="AG2" s="467"/>
      <c r="AH2" s="467"/>
      <c r="AI2" s="467"/>
      <c r="AJ2" s="467"/>
    </row>
    <row r="3" spans="1:36" ht="45.75" customHeight="1">
      <c r="A3" s="468" t="s">
        <v>960</v>
      </c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15.75">
      <c r="A4" s="469" t="s">
        <v>964</v>
      </c>
      <c r="B4" s="469"/>
      <c r="C4" s="469"/>
      <c r="D4" s="469"/>
      <c r="E4" s="469"/>
      <c r="F4" s="469"/>
      <c r="G4" s="469"/>
      <c r="H4" s="469"/>
      <c r="I4" s="469"/>
      <c r="J4" s="469"/>
      <c r="K4" s="469"/>
      <c r="L4" s="469"/>
      <c r="M4" s="469"/>
      <c r="N4" s="46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"/>
      <c r="AB4" s="10"/>
      <c r="AC4" s="10"/>
      <c r="AD4" s="10"/>
      <c r="AE4" s="10"/>
      <c r="AF4" s="11"/>
      <c r="AG4" s="12"/>
      <c r="AH4" s="12"/>
      <c r="AI4" s="13"/>
      <c r="AJ4" s="14"/>
    </row>
    <row r="5" spans="1:36" ht="15.75">
      <c r="A5" s="470" t="s">
        <v>821</v>
      </c>
      <c r="B5" s="470"/>
      <c r="C5" s="470"/>
      <c r="D5" s="267"/>
      <c r="E5" s="471" t="s">
        <v>822</v>
      </c>
      <c r="F5" s="471"/>
      <c r="G5" s="471"/>
      <c r="H5" s="471"/>
      <c r="I5" s="471"/>
      <c r="J5" s="266"/>
      <c r="K5" s="470" t="s">
        <v>829</v>
      </c>
      <c r="L5" s="470"/>
      <c r="M5" s="470"/>
      <c r="N5" s="266"/>
      <c r="O5" s="266"/>
      <c r="P5" s="266"/>
      <c r="Q5" s="266"/>
      <c r="R5" s="266"/>
      <c r="S5" s="267"/>
      <c r="T5" s="15"/>
      <c r="U5" s="266"/>
      <c r="V5" s="266"/>
      <c r="W5" s="1"/>
      <c r="X5" s="9"/>
      <c r="Y5" s="266"/>
      <c r="Z5" s="9"/>
      <c r="AA5" s="9"/>
      <c r="AB5" s="16"/>
      <c r="AC5" s="12"/>
      <c r="AD5" s="12"/>
      <c r="AE5" s="12"/>
      <c r="AF5" s="17"/>
      <c r="AG5" s="16"/>
      <c r="AH5" s="12"/>
      <c r="AI5" s="13"/>
      <c r="AJ5" s="14"/>
    </row>
    <row r="6" spans="1:36" ht="15.75">
      <c r="A6" s="470" t="s">
        <v>949</v>
      </c>
      <c r="B6" s="470"/>
      <c r="C6" s="470"/>
      <c r="D6" s="267"/>
      <c r="E6" s="471" t="s">
        <v>824</v>
      </c>
      <c r="F6" s="471"/>
      <c r="G6" s="471"/>
      <c r="H6" s="471"/>
      <c r="I6" s="471"/>
      <c r="J6" s="266"/>
      <c r="K6" s="470" t="s">
        <v>823</v>
      </c>
      <c r="L6" s="470"/>
      <c r="M6" s="470"/>
      <c r="N6" s="266"/>
      <c r="O6" s="266"/>
      <c r="P6" s="266"/>
      <c r="Q6" s="266"/>
      <c r="R6" s="266"/>
      <c r="S6" s="267"/>
      <c r="T6" s="15"/>
      <c r="U6" s="266"/>
      <c r="V6" s="266"/>
      <c r="W6" s="1"/>
      <c r="X6" s="9"/>
      <c r="Y6" s="266"/>
      <c r="Z6" s="9"/>
      <c r="AA6" s="9"/>
      <c r="AB6" s="16"/>
      <c r="AC6" s="12"/>
      <c r="AD6" s="12"/>
      <c r="AE6" s="12"/>
      <c r="AF6" s="17"/>
      <c r="AG6" s="12"/>
      <c r="AH6" s="12"/>
      <c r="AI6" s="13"/>
      <c r="AJ6" s="14"/>
    </row>
    <row r="7" spans="1:36" ht="15.75">
      <c r="A7" s="470" t="s">
        <v>950</v>
      </c>
      <c r="B7" s="470"/>
      <c r="C7" s="470"/>
      <c r="D7" s="267"/>
      <c r="E7" s="471" t="s">
        <v>825</v>
      </c>
      <c r="F7" s="471"/>
      <c r="G7" s="471"/>
      <c r="H7" s="471"/>
      <c r="I7" s="471"/>
      <c r="J7" s="266"/>
      <c r="K7" s="470" t="s">
        <v>826</v>
      </c>
      <c r="L7" s="470"/>
      <c r="M7" s="470"/>
      <c r="N7" s="266"/>
      <c r="O7" s="266"/>
      <c r="P7" s="266"/>
      <c r="Q7" s="266"/>
      <c r="R7" s="266"/>
      <c r="S7" s="267"/>
      <c r="T7" s="15"/>
      <c r="U7" s="266"/>
      <c r="V7" s="266"/>
      <c r="W7" s="1"/>
      <c r="X7" s="9"/>
      <c r="Y7" s="266"/>
      <c r="Z7" s="9"/>
      <c r="AA7" s="9"/>
      <c r="AB7" s="16"/>
      <c r="AC7" s="12"/>
      <c r="AD7" s="12"/>
      <c r="AE7" s="12"/>
      <c r="AF7" s="17"/>
      <c r="AG7" s="12"/>
      <c r="AH7" s="12"/>
      <c r="AI7" s="13"/>
      <c r="AJ7" s="14"/>
    </row>
    <row r="8" spans="1:36" ht="15.75">
      <c r="A8" s="470" t="s">
        <v>951</v>
      </c>
      <c r="B8" s="470"/>
      <c r="C8" s="470"/>
      <c r="D8" s="267"/>
      <c r="E8" s="471" t="s">
        <v>828</v>
      </c>
      <c r="F8" s="471"/>
      <c r="G8" s="471"/>
      <c r="H8" s="471"/>
      <c r="I8" s="471"/>
      <c r="J8" s="266"/>
      <c r="K8" s="470" t="s">
        <v>830</v>
      </c>
      <c r="L8" s="470"/>
      <c r="M8" s="470"/>
      <c r="N8" s="266"/>
      <c r="O8" s="266"/>
      <c r="P8" s="266"/>
      <c r="Q8" s="266"/>
      <c r="R8" s="266"/>
      <c r="S8" s="266"/>
      <c r="T8" s="266"/>
      <c r="U8" s="266"/>
      <c r="V8" s="266"/>
      <c r="W8" s="266"/>
      <c r="X8" s="266"/>
      <c r="Y8" s="266"/>
      <c r="Z8" s="266"/>
      <c r="AA8" s="266"/>
      <c r="AB8" s="12"/>
      <c r="AC8" s="12"/>
      <c r="AD8" s="12"/>
      <c r="AE8" s="12"/>
      <c r="AF8" s="17"/>
      <c r="AG8" s="12"/>
      <c r="AH8" s="12"/>
      <c r="AI8" s="13"/>
      <c r="AJ8" s="18"/>
    </row>
    <row r="9" spans="1:36" ht="15.75">
      <c r="A9" s="470" t="s">
        <v>952</v>
      </c>
      <c r="B9" s="470"/>
      <c r="C9" s="470"/>
      <c r="D9" s="18"/>
      <c r="E9" s="18"/>
      <c r="F9" s="266"/>
      <c r="G9" s="266"/>
      <c r="H9" s="21"/>
      <c r="I9" s="21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12"/>
      <c r="AC9" s="12"/>
      <c r="AD9" s="12"/>
      <c r="AE9" s="12"/>
      <c r="AF9" s="17"/>
      <c r="AG9" s="12"/>
      <c r="AH9" s="12"/>
      <c r="AI9" s="13"/>
      <c r="AJ9" s="18"/>
    </row>
    <row r="10" spans="1:36" ht="15.75">
      <c r="A10" s="470" t="s">
        <v>827</v>
      </c>
      <c r="B10" s="470"/>
      <c r="C10" s="470"/>
      <c r="D10" s="470"/>
      <c r="E10" s="470"/>
      <c r="F10" s="470"/>
      <c r="G10" s="470"/>
      <c r="H10" s="470"/>
      <c r="I10" s="470"/>
      <c r="J10" s="470"/>
      <c r="K10" s="470"/>
      <c r="L10" s="470"/>
      <c r="M10" s="470"/>
      <c r="N10" s="470"/>
      <c r="O10" s="266"/>
      <c r="P10" s="266"/>
      <c r="Q10" s="266"/>
      <c r="R10" s="266"/>
      <c r="S10" s="266"/>
      <c r="T10" s="266"/>
      <c r="U10" s="266"/>
      <c r="V10" s="266"/>
      <c r="W10" s="266"/>
      <c r="X10" s="18"/>
      <c r="Y10" s="266"/>
      <c r="Z10" s="266"/>
      <c r="AA10" s="2"/>
      <c r="AB10" s="12"/>
      <c r="AC10" s="12"/>
      <c r="AD10" s="12"/>
      <c r="AE10" s="12"/>
      <c r="AF10" s="17"/>
      <c r="AG10" s="12"/>
      <c r="AH10" s="12"/>
      <c r="AI10" s="13"/>
      <c r="AJ10" s="14"/>
    </row>
    <row r="12" spans="1:36" ht="38.25">
      <c r="A12" s="472" t="s">
        <v>0</v>
      </c>
      <c r="B12" s="472" t="s">
        <v>1</v>
      </c>
      <c r="C12" s="472" t="s">
        <v>2</v>
      </c>
      <c r="D12" s="472" t="s">
        <v>3</v>
      </c>
      <c r="E12" s="264" t="s">
        <v>4</v>
      </c>
      <c r="F12" s="264" t="s">
        <v>5</v>
      </c>
      <c r="G12" s="264" t="s">
        <v>6</v>
      </c>
      <c r="H12" s="472" t="s">
        <v>7</v>
      </c>
      <c r="I12" s="472" t="s">
        <v>8</v>
      </c>
      <c r="J12" s="472" t="s">
        <v>9</v>
      </c>
      <c r="K12" s="472" t="s">
        <v>10</v>
      </c>
      <c r="L12" s="472" t="s">
        <v>11</v>
      </c>
      <c r="M12" s="472" t="s">
        <v>12</v>
      </c>
      <c r="N12" s="472" t="s">
        <v>13</v>
      </c>
    </row>
    <row r="13" spans="1:36" ht="25.5">
      <c r="A13" s="472"/>
      <c r="B13" s="472"/>
      <c r="C13" s="472"/>
      <c r="D13" s="472"/>
      <c r="E13" s="264" t="s">
        <v>14</v>
      </c>
      <c r="F13" s="264" t="s">
        <v>14</v>
      </c>
      <c r="G13" s="264" t="s">
        <v>14</v>
      </c>
      <c r="H13" s="472"/>
      <c r="I13" s="472"/>
      <c r="J13" s="472"/>
      <c r="K13" s="472"/>
      <c r="L13" s="472"/>
      <c r="M13" s="472"/>
      <c r="N13" s="472"/>
    </row>
    <row r="14" spans="1:36">
      <c r="A14" s="264" t="s">
        <v>15</v>
      </c>
      <c r="B14" s="264" t="s">
        <v>16</v>
      </c>
      <c r="C14" s="264" t="s">
        <v>17</v>
      </c>
      <c r="D14" s="264" t="s">
        <v>18</v>
      </c>
      <c r="E14" s="264">
        <v>1</v>
      </c>
      <c r="F14" s="264">
        <v>2</v>
      </c>
      <c r="G14" s="264">
        <v>3</v>
      </c>
      <c r="H14" s="264">
        <v>4</v>
      </c>
      <c r="I14" s="264">
        <v>5</v>
      </c>
      <c r="J14" s="264">
        <v>6</v>
      </c>
      <c r="K14" s="264">
        <v>7</v>
      </c>
      <c r="L14" s="264">
        <v>8</v>
      </c>
      <c r="M14" s="264">
        <v>9</v>
      </c>
      <c r="N14" s="264">
        <v>10</v>
      </c>
    </row>
    <row r="15" spans="1:36">
      <c r="A15" s="264"/>
      <c r="B15" s="473" t="s">
        <v>773</v>
      </c>
      <c r="C15" s="473"/>
      <c r="D15" s="473"/>
      <c r="E15" s="473"/>
      <c r="F15" s="473"/>
      <c r="G15" s="473"/>
      <c r="H15" s="473"/>
      <c r="I15" s="473"/>
      <c r="J15" s="473"/>
      <c r="K15" s="473"/>
      <c r="L15" s="473"/>
      <c r="M15" s="473"/>
      <c r="N15" s="473"/>
    </row>
    <row r="16" spans="1:36">
      <c r="A16" s="22"/>
      <c r="B16" s="473" t="s">
        <v>774</v>
      </c>
      <c r="C16" s="473"/>
      <c r="D16" s="473"/>
      <c r="E16" s="473"/>
      <c r="F16" s="473"/>
      <c r="G16" s="473"/>
      <c r="H16" s="473"/>
      <c r="I16" s="473"/>
      <c r="J16" s="473"/>
      <c r="K16" s="473"/>
      <c r="L16" s="473"/>
      <c r="M16" s="473"/>
      <c r="N16" s="473"/>
    </row>
    <row r="17" spans="1:14">
      <c r="A17" s="22"/>
      <c r="B17" s="473" t="s">
        <v>775</v>
      </c>
      <c r="C17" s="473"/>
      <c r="D17" s="473"/>
      <c r="E17" s="473"/>
      <c r="F17" s="473"/>
      <c r="G17" s="473"/>
      <c r="H17" s="473"/>
      <c r="I17" s="473"/>
      <c r="J17" s="473"/>
      <c r="K17" s="473"/>
      <c r="L17" s="473"/>
      <c r="M17" s="473"/>
      <c r="N17" s="473"/>
    </row>
    <row r="18" spans="1:14" ht="38.25">
      <c r="A18" s="22">
        <v>1</v>
      </c>
      <c r="B18" s="23" t="s">
        <v>43</v>
      </c>
      <c r="C18" s="22" t="s">
        <v>44</v>
      </c>
      <c r="D18" s="24">
        <v>2015</v>
      </c>
      <c r="E18" s="25">
        <v>1</v>
      </c>
      <c r="F18" s="25">
        <v>1</v>
      </c>
      <c r="G18" s="25">
        <f t="shared" ref="G18:G100" si="0">F18-E18</f>
        <v>0</v>
      </c>
      <c r="H18" s="25"/>
      <c r="I18" s="25"/>
      <c r="J18" s="22" t="s">
        <v>21</v>
      </c>
      <c r="K18" s="22" t="s">
        <v>20</v>
      </c>
      <c r="L18" s="22" t="s">
        <v>24</v>
      </c>
      <c r="M18" s="22" t="s">
        <v>46</v>
      </c>
      <c r="N18" s="22"/>
    </row>
    <row r="19" spans="1:14" ht="25.5">
      <c r="A19" s="22">
        <v>2</v>
      </c>
      <c r="B19" s="23" t="s">
        <v>47</v>
      </c>
      <c r="C19" s="22" t="s">
        <v>48</v>
      </c>
      <c r="D19" s="24"/>
      <c r="E19" s="25">
        <v>1</v>
      </c>
      <c r="F19" s="25">
        <v>1</v>
      </c>
      <c r="G19" s="25">
        <f t="shared" si="0"/>
        <v>0</v>
      </c>
      <c r="H19" s="25"/>
      <c r="I19" s="25"/>
      <c r="J19" s="22" t="s">
        <v>21</v>
      </c>
      <c r="K19" s="22" t="s">
        <v>20</v>
      </c>
      <c r="L19" s="22" t="s">
        <v>24</v>
      </c>
      <c r="M19" s="22"/>
      <c r="N19" s="22"/>
    </row>
    <row r="20" spans="1:14" ht="25.5">
      <c r="A20" s="22">
        <v>3</v>
      </c>
      <c r="B20" s="23" t="s">
        <v>22</v>
      </c>
      <c r="C20" s="22" t="s">
        <v>23</v>
      </c>
      <c r="D20" s="24"/>
      <c r="E20" s="25">
        <v>1</v>
      </c>
      <c r="F20" s="25">
        <v>1</v>
      </c>
      <c r="G20" s="25">
        <f t="shared" si="0"/>
        <v>0</v>
      </c>
      <c r="H20" s="25"/>
      <c r="I20" s="25"/>
      <c r="J20" s="22" t="s">
        <v>21</v>
      </c>
      <c r="K20" s="22" t="s">
        <v>20</v>
      </c>
      <c r="L20" s="22" t="s">
        <v>24</v>
      </c>
      <c r="M20" s="22" t="s">
        <v>25</v>
      </c>
      <c r="N20" s="22" t="s">
        <v>26</v>
      </c>
    </row>
    <row r="21" spans="1:14" ht="38.25">
      <c r="A21" s="22">
        <v>4</v>
      </c>
      <c r="B21" s="23" t="s">
        <v>27</v>
      </c>
      <c r="C21" s="22" t="s">
        <v>28</v>
      </c>
      <c r="D21" s="24">
        <v>2024</v>
      </c>
      <c r="E21" s="25">
        <v>1</v>
      </c>
      <c r="F21" s="25">
        <v>1</v>
      </c>
      <c r="G21" s="25">
        <f t="shared" si="0"/>
        <v>0</v>
      </c>
      <c r="H21" s="26">
        <v>950000</v>
      </c>
      <c r="I21" s="26">
        <v>950000</v>
      </c>
      <c r="J21" s="22" t="s">
        <v>21</v>
      </c>
      <c r="K21" s="22" t="s">
        <v>20</v>
      </c>
      <c r="L21" s="22" t="s">
        <v>24</v>
      </c>
      <c r="M21" s="22"/>
      <c r="N21" s="22" t="s">
        <v>29</v>
      </c>
    </row>
    <row r="22" spans="1:14" ht="38.25">
      <c r="A22" s="22">
        <v>5</v>
      </c>
      <c r="B22" s="23" t="s">
        <v>27</v>
      </c>
      <c r="C22" s="22" t="s">
        <v>30</v>
      </c>
      <c r="D22" s="24">
        <v>2024</v>
      </c>
      <c r="E22" s="25">
        <v>1</v>
      </c>
      <c r="F22" s="25">
        <v>1</v>
      </c>
      <c r="G22" s="25">
        <f t="shared" si="0"/>
        <v>0</v>
      </c>
      <c r="H22" s="26">
        <v>950000</v>
      </c>
      <c r="I22" s="26">
        <v>950000</v>
      </c>
      <c r="J22" s="22" t="s">
        <v>21</v>
      </c>
      <c r="K22" s="22" t="s">
        <v>20</v>
      </c>
      <c r="L22" s="22" t="s">
        <v>24</v>
      </c>
      <c r="M22" s="22"/>
      <c r="N22" s="22" t="s">
        <v>29</v>
      </c>
    </row>
    <row r="23" spans="1:14" ht="38.25">
      <c r="A23" s="22">
        <v>6</v>
      </c>
      <c r="B23" s="23" t="s">
        <v>31</v>
      </c>
      <c r="C23" s="22" t="s">
        <v>32</v>
      </c>
      <c r="D23" s="24">
        <v>2022</v>
      </c>
      <c r="E23" s="25">
        <v>1</v>
      </c>
      <c r="F23" s="25">
        <v>1</v>
      </c>
      <c r="G23" s="25">
        <f t="shared" si="0"/>
        <v>0</v>
      </c>
      <c r="H23" s="25"/>
      <c r="I23" s="25"/>
      <c r="J23" s="22" t="s">
        <v>21</v>
      </c>
      <c r="K23" s="22" t="s">
        <v>20</v>
      </c>
      <c r="L23" s="22" t="s">
        <v>24</v>
      </c>
      <c r="M23" s="22" t="s">
        <v>33</v>
      </c>
      <c r="N23" s="22" t="s">
        <v>34</v>
      </c>
    </row>
    <row r="24" spans="1:14" ht="38.25">
      <c r="A24" s="22">
        <v>7</v>
      </c>
      <c r="B24" s="23" t="s">
        <v>31</v>
      </c>
      <c r="C24" s="22" t="s">
        <v>35</v>
      </c>
      <c r="D24" s="24">
        <v>2022</v>
      </c>
      <c r="E24" s="25">
        <v>1</v>
      </c>
      <c r="F24" s="25">
        <v>1</v>
      </c>
      <c r="G24" s="25">
        <f t="shared" si="0"/>
        <v>0</v>
      </c>
      <c r="H24" s="25"/>
      <c r="I24" s="25"/>
      <c r="J24" s="22" t="s">
        <v>21</v>
      </c>
      <c r="K24" s="22" t="s">
        <v>20</v>
      </c>
      <c r="L24" s="22" t="s">
        <v>24</v>
      </c>
      <c r="M24" s="22" t="s">
        <v>33</v>
      </c>
      <c r="N24" s="22" t="s">
        <v>34</v>
      </c>
    </row>
    <row r="25" spans="1:14" ht="51">
      <c r="A25" s="22">
        <v>8</v>
      </c>
      <c r="B25" s="23" t="s">
        <v>36</v>
      </c>
      <c r="C25" s="22" t="s">
        <v>37</v>
      </c>
      <c r="D25" s="24">
        <v>2025</v>
      </c>
      <c r="E25" s="25"/>
      <c r="F25" s="25">
        <v>3</v>
      </c>
      <c r="G25" s="25">
        <f t="shared" si="0"/>
        <v>3</v>
      </c>
      <c r="H25" s="27">
        <v>896886</v>
      </c>
      <c r="I25" s="27">
        <v>2690658</v>
      </c>
      <c r="J25" s="22" t="s">
        <v>21</v>
      </c>
      <c r="K25" s="22" t="s">
        <v>20</v>
      </c>
      <c r="L25" s="22" t="s">
        <v>24</v>
      </c>
      <c r="M25" s="22"/>
      <c r="N25" s="22" t="s">
        <v>38</v>
      </c>
    </row>
    <row r="26" spans="1:14" ht="38.25">
      <c r="A26" s="22">
        <v>9</v>
      </c>
      <c r="B26" s="23" t="s">
        <v>39</v>
      </c>
      <c r="C26" s="22" t="s">
        <v>40</v>
      </c>
      <c r="D26" s="24">
        <v>2025</v>
      </c>
      <c r="E26" s="25"/>
      <c r="F26" s="25">
        <v>3</v>
      </c>
      <c r="G26" s="25">
        <f t="shared" si="0"/>
        <v>3</v>
      </c>
      <c r="H26" s="27">
        <v>281886</v>
      </c>
      <c r="I26" s="27">
        <v>845658</v>
      </c>
      <c r="J26" s="22" t="s">
        <v>21</v>
      </c>
      <c r="K26" s="22" t="s">
        <v>20</v>
      </c>
      <c r="L26" s="22" t="s">
        <v>24</v>
      </c>
      <c r="M26" s="22"/>
      <c r="N26" s="22" t="s">
        <v>38</v>
      </c>
    </row>
    <row r="27" spans="1:14" ht="51">
      <c r="A27" s="22">
        <v>10</v>
      </c>
      <c r="B27" s="23" t="s">
        <v>41</v>
      </c>
      <c r="C27" s="22" t="s">
        <v>42</v>
      </c>
      <c r="D27" s="24">
        <v>2025</v>
      </c>
      <c r="E27" s="25"/>
      <c r="F27" s="25">
        <v>2</v>
      </c>
      <c r="G27" s="25">
        <f t="shared" si="0"/>
        <v>2</v>
      </c>
      <c r="H27" s="27">
        <v>928886</v>
      </c>
      <c r="I27" s="27">
        <v>1857772</v>
      </c>
      <c r="J27" s="22" t="s">
        <v>21</v>
      </c>
      <c r="K27" s="22" t="s">
        <v>20</v>
      </c>
      <c r="L27" s="22" t="s">
        <v>24</v>
      </c>
      <c r="M27" s="22"/>
      <c r="N27" s="22" t="s">
        <v>38</v>
      </c>
    </row>
    <row r="28" spans="1:14">
      <c r="A28" s="22"/>
      <c r="B28" s="473" t="s">
        <v>776</v>
      </c>
      <c r="C28" s="473"/>
      <c r="D28" s="473"/>
      <c r="E28" s="473"/>
      <c r="F28" s="473"/>
      <c r="G28" s="473"/>
      <c r="H28" s="473"/>
      <c r="I28" s="473"/>
      <c r="J28" s="473"/>
      <c r="K28" s="473"/>
      <c r="L28" s="473"/>
      <c r="M28" s="473"/>
      <c r="N28" s="473"/>
    </row>
    <row r="29" spans="1:14" ht="76.5">
      <c r="A29" s="22">
        <v>1</v>
      </c>
      <c r="B29" s="23" t="s">
        <v>49</v>
      </c>
      <c r="C29" s="22" t="s">
        <v>50</v>
      </c>
      <c r="D29" s="24">
        <v>2022</v>
      </c>
      <c r="E29" s="25">
        <v>2</v>
      </c>
      <c r="F29" s="25">
        <v>2</v>
      </c>
      <c r="G29" s="25">
        <f t="shared" si="0"/>
        <v>0</v>
      </c>
      <c r="H29" s="25"/>
      <c r="I29" s="25"/>
      <c r="J29" s="22" t="s">
        <v>45</v>
      </c>
      <c r="K29" s="22" t="s">
        <v>20</v>
      </c>
      <c r="L29" s="22" t="s">
        <v>24</v>
      </c>
      <c r="M29" s="22" t="s">
        <v>51</v>
      </c>
      <c r="N29" s="22" t="s">
        <v>755</v>
      </c>
    </row>
    <row r="30" spans="1:14" ht="25.5">
      <c r="A30" s="22">
        <v>2</v>
      </c>
      <c r="B30" s="23" t="s">
        <v>52</v>
      </c>
      <c r="C30" s="22" t="s">
        <v>53</v>
      </c>
      <c r="D30" s="24">
        <v>2010</v>
      </c>
      <c r="E30" s="25">
        <v>1</v>
      </c>
      <c r="F30" s="25">
        <v>1</v>
      </c>
      <c r="G30" s="25">
        <f t="shared" si="0"/>
        <v>0</v>
      </c>
      <c r="H30" s="25"/>
      <c r="I30" s="25"/>
      <c r="J30" s="22" t="s">
        <v>45</v>
      </c>
      <c r="K30" s="22" t="s">
        <v>20</v>
      </c>
      <c r="L30" s="22" t="s">
        <v>24</v>
      </c>
      <c r="M30" s="22" t="s">
        <v>54</v>
      </c>
      <c r="N30" s="22"/>
    </row>
    <row r="31" spans="1:14" ht="25.5">
      <c r="A31" s="22">
        <v>3</v>
      </c>
      <c r="B31" s="23" t="s">
        <v>55</v>
      </c>
      <c r="C31" s="22" t="s">
        <v>56</v>
      </c>
      <c r="D31" s="24">
        <v>2014</v>
      </c>
      <c r="E31" s="25">
        <v>1</v>
      </c>
      <c r="F31" s="25">
        <v>1</v>
      </c>
      <c r="G31" s="25">
        <f t="shared" si="0"/>
        <v>0</v>
      </c>
      <c r="H31" s="25"/>
      <c r="I31" s="25"/>
      <c r="J31" s="22" t="s">
        <v>45</v>
      </c>
      <c r="K31" s="22" t="s">
        <v>20</v>
      </c>
      <c r="L31" s="22" t="s">
        <v>24</v>
      </c>
      <c r="M31" s="22" t="s">
        <v>54</v>
      </c>
      <c r="N31" s="22"/>
    </row>
    <row r="32" spans="1:14" ht="25.5">
      <c r="A32" s="22">
        <v>4</v>
      </c>
      <c r="B32" s="23" t="s">
        <v>57</v>
      </c>
      <c r="C32" s="22" t="s">
        <v>58</v>
      </c>
      <c r="D32" s="24">
        <v>2013</v>
      </c>
      <c r="E32" s="25">
        <v>1</v>
      </c>
      <c r="F32" s="25">
        <v>1</v>
      </c>
      <c r="G32" s="25">
        <f t="shared" si="0"/>
        <v>0</v>
      </c>
      <c r="H32" s="25"/>
      <c r="I32" s="25"/>
      <c r="J32" s="22" t="s">
        <v>45</v>
      </c>
      <c r="K32" s="22" t="s">
        <v>20</v>
      </c>
      <c r="L32" s="22" t="s">
        <v>24</v>
      </c>
      <c r="M32" s="22" t="s">
        <v>54</v>
      </c>
      <c r="N32" s="22"/>
    </row>
    <row r="33" spans="1:14" ht="25.5">
      <c r="A33" s="22">
        <v>5</v>
      </c>
      <c r="B33" s="23" t="s">
        <v>59</v>
      </c>
      <c r="C33" s="22" t="s">
        <v>60</v>
      </c>
      <c r="D33" s="24">
        <v>2017</v>
      </c>
      <c r="E33" s="25">
        <v>1</v>
      </c>
      <c r="F33" s="25">
        <v>1</v>
      </c>
      <c r="G33" s="25">
        <f t="shared" si="0"/>
        <v>0</v>
      </c>
      <c r="H33" s="25"/>
      <c r="I33" s="25"/>
      <c r="J33" s="22" t="s">
        <v>45</v>
      </c>
      <c r="K33" s="22" t="s">
        <v>20</v>
      </c>
      <c r="L33" s="22" t="s">
        <v>24</v>
      </c>
      <c r="M33" s="22"/>
      <c r="N33" s="22"/>
    </row>
    <row r="34" spans="1:14" ht="25.5">
      <c r="A34" s="22">
        <v>6</v>
      </c>
      <c r="B34" s="23" t="s">
        <v>61</v>
      </c>
      <c r="C34" s="22" t="s">
        <v>62</v>
      </c>
      <c r="D34" s="24">
        <v>2019</v>
      </c>
      <c r="E34" s="25">
        <v>1</v>
      </c>
      <c r="F34" s="25">
        <v>1</v>
      </c>
      <c r="G34" s="25">
        <f t="shared" si="0"/>
        <v>0</v>
      </c>
      <c r="H34" s="28">
        <v>19500000</v>
      </c>
      <c r="I34" s="28">
        <v>19500000</v>
      </c>
      <c r="J34" s="22" t="s">
        <v>45</v>
      </c>
      <c r="K34" s="22" t="s">
        <v>20</v>
      </c>
      <c r="L34" s="22" t="s">
        <v>24</v>
      </c>
      <c r="M34" s="22"/>
      <c r="N34" s="22" t="s">
        <v>63</v>
      </c>
    </row>
    <row r="35" spans="1:14">
      <c r="A35" s="22"/>
      <c r="B35" s="473" t="s">
        <v>775</v>
      </c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</row>
    <row r="36" spans="1:14" ht="25.5">
      <c r="A36" s="22">
        <v>1</v>
      </c>
      <c r="B36" s="23" t="s">
        <v>64</v>
      </c>
      <c r="C36" s="22" t="s">
        <v>65</v>
      </c>
      <c r="D36" s="24">
        <v>2015</v>
      </c>
      <c r="E36" s="25">
        <v>1</v>
      </c>
      <c r="F36" s="25">
        <v>1</v>
      </c>
      <c r="G36" s="25">
        <f t="shared" si="0"/>
        <v>0</v>
      </c>
      <c r="H36" s="28">
        <v>2380952</v>
      </c>
      <c r="I36" s="28">
        <v>2380952</v>
      </c>
      <c r="J36" s="22" t="s">
        <v>45</v>
      </c>
      <c r="K36" s="22" t="s">
        <v>20</v>
      </c>
      <c r="L36" s="22" t="s">
        <v>24</v>
      </c>
      <c r="M36" s="22" t="s">
        <v>54</v>
      </c>
      <c r="N36" s="22"/>
    </row>
    <row r="37" spans="1:14" ht="25.5">
      <c r="A37" s="22">
        <v>2</v>
      </c>
      <c r="B37" s="23" t="s">
        <v>66</v>
      </c>
      <c r="C37" s="22" t="s">
        <v>67</v>
      </c>
      <c r="D37" s="24">
        <v>2011</v>
      </c>
      <c r="E37" s="25">
        <v>1</v>
      </c>
      <c r="F37" s="25">
        <v>1</v>
      </c>
      <c r="G37" s="25">
        <f t="shared" si="0"/>
        <v>0</v>
      </c>
      <c r="H37" s="28">
        <v>1400000</v>
      </c>
      <c r="I37" s="28">
        <v>1400000</v>
      </c>
      <c r="J37" s="22" t="s">
        <v>45</v>
      </c>
      <c r="K37" s="22" t="s">
        <v>20</v>
      </c>
      <c r="L37" s="22" t="s">
        <v>24</v>
      </c>
      <c r="M37" s="22" t="s">
        <v>54</v>
      </c>
      <c r="N37" s="22"/>
    </row>
    <row r="38" spans="1:14" ht="25.5">
      <c r="A38" s="22">
        <v>3</v>
      </c>
      <c r="B38" s="23" t="s">
        <v>66</v>
      </c>
      <c r="C38" s="22" t="s">
        <v>68</v>
      </c>
      <c r="D38" s="24">
        <v>2017</v>
      </c>
      <c r="E38" s="25">
        <v>2</v>
      </c>
      <c r="F38" s="25">
        <v>2</v>
      </c>
      <c r="G38" s="25">
        <f t="shared" si="0"/>
        <v>0</v>
      </c>
      <c r="H38" s="25"/>
      <c r="I38" s="25"/>
      <c r="J38" s="22" t="s">
        <v>45</v>
      </c>
      <c r="K38" s="22" t="s">
        <v>20</v>
      </c>
      <c r="L38" s="22" t="s">
        <v>24</v>
      </c>
      <c r="M38" s="22"/>
      <c r="N38" s="22" t="s">
        <v>756</v>
      </c>
    </row>
    <row r="39" spans="1:14" ht="51">
      <c r="A39" s="22">
        <v>4</v>
      </c>
      <c r="B39" s="23" t="s">
        <v>69</v>
      </c>
      <c r="C39" s="22" t="s">
        <v>70</v>
      </c>
      <c r="D39" s="24"/>
      <c r="E39" s="25">
        <v>1</v>
      </c>
      <c r="F39" s="25">
        <v>11</v>
      </c>
      <c r="G39" s="25">
        <f t="shared" si="0"/>
        <v>10</v>
      </c>
      <c r="H39" s="25"/>
      <c r="I39" s="25"/>
      <c r="J39" s="22" t="s">
        <v>45</v>
      </c>
      <c r="K39" s="22" t="s">
        <v>735</v>
      </c>
      <c r="L39" s="22" t="s">
        <v>24</v>
      </c>
      <c r="M39" s="22" t="s">
        <v>71</v>
      </c>
      <c r="N39" s="22" t="s">
        <v>72</v>
      </c>
    </row>
    <row r="40" spans="1:14" ht="63.75">
      <c r="A40" s="22">
        <v>5</v>
      </c>
      <c r="B40" s="23" t="s">
        <v>73</v>
      </c>
      <c r="C40" s="22" t="s">
        <v>74</v>
      </c>
      <c r="D40" s="24"/>
      <c r="E40" s="25">
        <v>1</v>
      </c>
      <c r="F40" s="25">
        <v>2</v>
      </c>
      <c r="G40" s="25">
        <f t="shared" si="0"/>
        <v>1</v>
      </c>
      <c r="H40" s="25"/>
      <c r="I40" s="25"/>
      <c r="J40" s="22" t="s">
        <v>45</v>
      </c>
      <c r="K40" s="22" t="s">
        <v>736</v>
      </c>
      <c r="L40" s="22" t="s">
        <v>24</v>
      </c>
      <c r="M40" s="22"/>
      <c r="N40" s="22" t="s">
        <v>75</v>
      </c>
    </row>
    <row r="41" spans="1:14">
      <c r="A41" s="22"/>
      <c r="B41" s="473" t="s">
        <v>777</v>
      </c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473"/>
      <c r="N41" s="473"/>
    </row>
    <row r="42" spans="1:14" ht="51">
      <c r="A42" s="22">
        <v>1</v>
      </c>
      <c r="B42" s="23" t="s">
        <v>76</v>
      </c>
      <c r="C42" s="22" t="s">
        <v>77</v>
      </c>
      <c r="D42" s="24">
        <v>2022</v>
      </c>
      <c r="E42" s="25">
        <v>1</v>
      </c>
      <c r="F42" s="25">
        <v>1</v>
      </c>
      <c r="G42" s="25">
        <f t="shared" si="0"/>
        <v>0</v>
      </c>
      <c r="H42" s="25"/>
      <c r="I42" s="25"/>
      <c r="J42" s="22" t="s">
        <v>80</v>
      </c>
      <c r="K42" s="22" t="s">
        <v>20</v>
      </c>
      <c r="L42" s="22" t="s">
        <v>24</v>
      </c>
      <c r="M42" s="22"/>
      <c r="N42" s="22"/>
    </row>
    <row r="43" spans="1:14">
      <c r="A43" s="22"/>
      <c r="B43" s="473" t="s">
        <v>775</v>
      </c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</row>
    <row r="44" spans="1:14" ht="38.25">
      <c r="A44" s="22">
        <v>1</v>
      </c>
      <c r="B44" s="23" t="s">
        <v>78</v>
      </c>
      <c r="C44" s="22" t="s">
        <v>79</v>
      </c>
      <c r="D44" s="24"/>
      <c r="E44" s="25">
        <v>2</v>
      </c>
      <c r="F44" s="25">
        <v>2</v>
      </c>
      <c r="G44" s="25">
        <f t="shared" si="0"/>
        <v>0</v>
      </c>
      <c r="H44" s="25"/>
      <c r="I44" s="25"/>
      <c r="J44" s="22" t="s">
        <v>80</v>
      </c>
      <c r="K44" s="22" t="s">
        <v>81</v>
      </c>
      <c r="L44" s="22" t="s">
        <v>24</v>
      </c>
      <c r="M44" s="22" t="s">
        <v>71</v>
      </c>
      <c r="N44" s="22" t="s">
        <v>82</v>
      </c>
    </row>
    <row r="45" spans="1:14" ht="38.25">
      <c r="A45" s="22">
        <v>2</v>
      </c>
      <c r="B45" s="23" t="s">
        <v>83</v>
      </c>
      <c r="C45" s="22" t="s">
        <v>84</v>
      </c>
      <c r="D45" s="24"/>
      <c r="E45" s="25">
        <v>1</v>
      </c>
      <c r="F45" s="25">
        <v>1</v>
      </c>
      <c r="G45" s="25">
        <f t="shared" si="0"/>
        <v>0</v>
      </c>
      <c r="H45" s="25"/>
      <c r="I45" s="25"/>
      <c r="J45" s="22" t="s">
        <v>737</v>
      </c>
      <c r="K45" s="22" t="s">
        <v>81</v>
      </c>
      <c r="L45" s="22" t="s">
        <v>24</v>
      </c>
      <c r="M45" s="22" t="s">
        <v>71</v>
      </c>
      <c r="N45" s="22"/>
    </row>
    <row r="46" spans="1:14" ht="38.25">
      <c r="A46" s="22">
        <v>3</v>
      </c>
      <c r="B46" s="23" t="s">
        <v>85</v>
      </c>
      <c r="C46" s="22" t="s">
        <v>86</v>
      </c>
      <c r="D46" s="24">
        <v>2017</v>
      </c>
      <c r="E46" s="25">
        <v>1</v>
      </c>
      <c r="F46" s="25">
        <v>1</v>
      </c>
      <c r="G46" s="25">
        <f t="shared" si="0"/>
        <v>0</v>
      </c>
      <c r="H46" s="28">
        <v>750000</v>
      </c>
      <c r="I46" s="28">
        <v>750000</v>
      </c>
      <c r="J46" s="22" t="s">
        <v>80</v>
      </c>
      <c r="K46" s="22" t="s">
        <v>20</v>
      </c>
      <c r="L46" s="22" t="s">
        <v>24</v>
      </c>
      <c r="M46" s="22" t="s">
        <v>54</v>
      </c>
      <c r="N46" s="22"/>
    </row>
    <row r="47" spans="1:14">
      <c r="A47" s="22"/>
      <c r="B47" s="473" t="s">
        <v>778</v>
      </c>
      <c r="C47" s="473"/>
      <c r="D47" s="473"/>
      <c r="E47" s="473"/>
      <c r="F47" s="473"/>
      <c r="G47" s="473"/>
      <c r="H47" s="473"/>
      <c r="I47" s="473"/>
      <c r="J47" s="473"/>
      <c r="K47" s="473"/>
      <c r="L47" s="473"/>
      <c r="M47" s="473"/>
      <c r="N47" s="473"/>
    </row>
    <row r="48" spans="1:14" ht="51">
      <c r="A48" s="22">
        <v>1</v>
      </c>
      <c r="B48" s="23" t="s">
        <v>76</v>
      </c>
      <c r="C48" s="22" t="s">
        <v>77</v>
      </c>
      <c r="D48" s="24">
        <v>2022</v>
      </c>
      <c r="E48" s="25">
        <v>1</v>
      </c>
      <c r="F48" s="25">
        <v>1</v>
      </c>
      <c r="G48" s="25">
        <f t="shared" ref="G48:G49" si="1">F48-E48</f>
        <v>0</v>
      </c>
      <c r="H48" s="25"/>
      <c r="I48" s="25"/>
      <c r="J48" s="22" t="s">
        <v>779</v>
      </c>
      <c r="K48" s="22" t="s">
        <v>20</v>
      </c>
      <c r="L48" s="22" t="s">
        <v>24</v>
      </c>
      <c r="M48" s="22"/>
      <c r="N48" s="22"/>
    </row>
    <row r="49" spans="1:14" ht="51">
      <c r="A49" s="22">
        <v>2</v>
      </c>
      <c r="B49" s="23" t="s">
        <v>76</v>
      </c>
      <c r="C49" s="22" t="s">
        <v>87</v>
      </c>
      <c r="D49" s="24">
        <v>2022</v>
      </c>
      <c r="E49" s="25">
        <v>4</v>
      </c>
      <c r="F49" s="25">
        <v>4</v>
      </c>
      <c r="G49" s="25">
        <f t="shared" si="1"/>
        <v>0</v>
      </c>
      <c r="H49" s="25"/>
      <c r="I49" s="25"/>
      <c r="J49" s="22" t="s">
        <v>779</v>
      </c>
      <c r="K49" s="22" t="s">
        <v>20</v>
      </c>
      <c r="L49" s="22" t="s">
        <v>24</v>
      </c>
      <c r="M49" s="22"/>
      <c r="N49" s="22"/>
    </row>
    <row r="50" spans="1:14">
      <c r="A50" s="22"/>
      <c r="B50" s="473" t="s">
        <v>775</v>
      </c>
      <c r="C50" s="473"/>
      <c r="D50" s="473"/>
      <c r="E50" s="473"/>
      <c r="F50" s="473"/>
      <c r="G50" s="473"/>
      <c r="H50" s="473"/>
      <c r="I50" s="473"/>
      <c r="J50" s="473"/>
      <c r="K50" s="473"/>
      <c r="L50" s="473"/>
      <c r="M50" s="473"/>
      <c r="N50" s="473"/>
    </row>
    <row r="51" spans="1:14" ht="25.5">
      <c r="A51" s="22">
        <v>1</v>
      </c>
      <c r="B51" s="23" t="s">
        <v>88</v>
      </c>
      <c r="C51" s="22" t="s">
        <v>89</v>
      </c>
      <c r="D51" s="22">
        <v>2017</v>
      </c>
      <c r="E51" s="22">
        <v>1</v>
      </c>
      <c r="F51" s="22">
        <v>1</v>
      </c>
      <c r="G51" s="25">
        <f t="shared" si="0"/>
        <v>0</v>
      </c>
      <c r="H51" s="22"/>
      <c r="I51" s="22"/>
      <c r="J51" s="22" t="s">
        <v>779</v>
      </c>
      <c r="K51" s="22" t="s">
        <v>20</v>
      </c>
      <c r="L51" s="22" t="s">
        <v>24</v>
      </c>
      <c r="M51" s="22" t="s">
        <v>780</v>
      </c>
      <c r="N51" s="23"/>
    </row>
    <row r="52" spans="1:14">
      <c r="A52" s="22"/>
      <c r="B52" s="473" t="s">
        <v>781</v>
      </c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</row>
    <row r="53" spans="1:14">
      <c r="A53" s="22"/>
      <c r="B53" s="473" t="s">
        <v>782</v>
      </c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473"/>
      <c r="N53" s="473"/>
    </row>
    <row r="54" spans="1:14" ht="76.5">
      <c r="A54" s="22">
        <v>1</v>
      </c>
      <c r="B54" s="23" t="s">
        <v>90</v>
      </c>
      <c r="C54" s="22" t="s">
        <v>91</v>
      </c>
      <c r="D54" s="24">
        <v>2022</v>
      </c>
      <c r="E54" s="25">
        <v>2</v>
      </c>
      <c r="F54" s="25">
        <v>2</v>
      </c>
      <c r="G54" s="25">
        <f t="shared" ref="G54:G55" si="2">F54-E54</f>
        <v>0</v>
      </c>
      <c r="H54" s="25"/>
      <c r="I54" s="25"/>
      <c r="J54" s="22" t="s">
        <v>783</v>
      </c>
      <c r="K54" s="22" t="s">
        <v>20</v>
      </c>
      <c r="L54" s="22" t="s">
        <v>24</v>
      </c>
      <c r="M54" s="22" t="s">
        <v>71</v>
      </c>
      <c r="N54" s="22"/>
    </row>
    <row r="55" spans="1:14" ht="76.5">
      <c r="A55" s="22">
        <v>2</v>
      </c>
      <c r="B55" s="23" t="s">
        <v>49</v>
      </c>
      <c r="C55" s="22" t="s">
        <v>50</v>
      </c>
      <c r="D55" s="24">
        <v>2022</v>
      </c>
      <c r="E55" s="25">
        <v>1</v>
      </c>
      <c r="F55" s="25">
        <v>1</v>
      </c>
      <c r="G55" s="25">
        <f t="shared" si="2"/>
        <v>0</v>
      </c>
      <c r="H55" s="25"/>
      <c r="I55" s="25"/>
      <c r="J55" s="22" t="s">
        <v>783</v>
      </c>
      <c r="K55" s="22" t="s">
        <v>20</v>
      </c>
      <c r="L55" s="22" t="s">
        <v>24</v>
      </c>
      <c r="M55" s="22" t="s">
        <v>51</v>
      </c>
      <c r="N55" s="22"/>
    </row>
    <row r="56" spans="1:14">
      <c r="A56" s="22"/>
      <c r="B56" s="473" t="s">
        <v>784</v>
      </c>
      <c r="C56" s="473"/>
      <c r="D56" s="473"/>
      <c r="E56" s="473"/>
      <c r="F56" s="473"/>
      <c r="G56" s="473"/>
      <c r="H56" s="473"/>
      <c r="I56" s="473"/>
      <c r="J56" s="473"/>
      <c r="K56" s="473"/>
      <c r="L56" s="473"/>
      <c r="M56" s="473"/>
      <c r="N56" s="473"/>
    </row>
    <row r="57" spans="1:14" ht="76.5">
      <c r="A57" s="22">
        <v>1</v>
      </c>
      <c r="B57" s="23" t="s">
        <v>90</v>
      </c>
      <c r="C57" s="22" t="s">
        <v>97</v>
      </c>
      <c r="D57" s="24">
        <v>2022</v>
      </c>
      <c r="E57" s="25">
        <v>2</v>
      </c>
      <c r="F57" s="25">
        <v>2</v>
      </c>
      <c r="G57" s="25">
        <f t="shared" si="0"/>
        <v>0</v>
      </c>
      <c r="H57" s="25"/>
      <c r="I57" s="25"/>
      <c r="J57" s="22" t="s">
        <v>738</v>
      </c>
      <c r="K57" s="22" t="s">
        <v>20</v>
      </c>
      <c r="L57" s="22" t="s">
        <v>24</v>
      </c>
      <c r="M57" s="22" t="s">
        <v>71</v>
      </c>
      <c r="N57" s="22"/>
    </row>
    <row r="58" spans="1:14">
      <c r="A58" s="22"/>
      <c r="B58" s="473" t="s">
        <v>785</v>
      </c>
      <c r="C58" s="473"/>
      <c r="D58" s="473"/>
      <c r="E58" s="473"/>
      <c r="F58" s="473"/>
      <c r="G58" s="473"/>
      <c r="H58" s="473"/>
      <c r="I58" s="473"/>
      <c r="J58" s="473"/>
      <c r="K58" s="473"/>
      <c r="L58" s="473"/>
      <c r="M58" s="473"/>
      <c r="N58" s="473"/>
    </row>
    <row r="59" spans="1:14" ht="76.5">
      <c r="A59" s="22">
        <v>1</v>
      </c>
      <c r="B59" s="23" t="s">
        <v>90</v>
      </c>
      <c r="C59" s="22" t="s">
        <v>98</v>
      </c>
      <c r="D59" s="24">
        <v>2022</v>
      </c>
      <c r="E59" s="25">
        <v>2</v>
      </c>
      <c r="F59" s="25">
        <v>2</v>
      </c>
      <c r="G59" s="25">
        <f t="shared" ref="G59" si="3">F59-E59</f>
        <v>0</v>
      </c>
      <c r="H59" s="25"/>
      <c r="I59" s="25"/>
      <c r="J59" s="22" t="s">
        <v>786</v>
      </c>
      <c r="K59" s="22" t="s">
        <v>20</v>
      </c>
      <c r="L59" s="22" t="s">
        <v>24</v>
      </c>
      <c r="M59" s="22" t="s">
        <v>71</v>
      </c>
      <c r="N59" s="22"/>
    </row>
    <row r="60" spans="1:14">
      <c r="A60" s="22"/>
      <c r="B60" s="473" t="s">
        <v>787</v>
      </c>
      <c r="C60" s="473"/>
      <c r="D60" s="473"/>
      <c r="E60" s="473"/>
      <c r="F60" s="473"/>
      <c r="G60" s="473"/>
      <c r="H60" s="473"/>
      <c r="I60" s="473"/>
      <c r="J60" s="473"/>
      <c r="K60" s="473"/>
      <c r="L60" s="473"/>
      <c r="M60" s="473"/>
      <c r="N60" s="473"/>
    </row>
    <row r="61" spans="1:14" ht="76.5">
      <c r="A61" s="22">
        <v>1</v>
      </c>
      <c r="B61" s="23" t="s">
        <v>90</v>
      </c>
      <c r="C61" s="22" t="s">
        <v>99</v>
      </c>
      <c r="D61" s="24">
        <v>2022</v>
      </c>
      <c r="E61" s="25">
        <v>2</v>
      </c>
      <c r="F61" s="25">
        <v>2</v>
      </c>
      <c r="G61" s="25">
        <f t="shared" si="0"/>
        <v>0</v>
      </c>
      <c r="H61" s="25"/>
      <c r="I61" s="25"/>
      <c r="J61" s="22" t="s">
        <v>739</v>
      </c>
      <c r="K61" s="22" t="s">
        <v>740</v>
      </c>
      <c r="L61" s="22" t="s">
        <v>24</v>
      </c>
      <c r="M61" s="22" t="s">
        <v>71</v>
      </c>
      <c r="N61" s="22"/>
    </row>
    <row r="62" spans="1:14" ht="63.75">
      <c r="A62" s="22">
        <v>2</v>
      </c>
      <c r="B62" s="23" t="s">
        <v>100</v>
      </c>
      <c r="C62" s="22" t="s">
        <v>101</v>
      </c>
      <c r="D62" s="24">
        <v>2024</v>
      </c>
      <c r="E62" s="25">
        <v>1</v>
      </c>
      <c r="F62" s="25">
        <v>1</v>
      </c>
      <c r="G62" s="25">
        <f t="shared" si="0"/>
        <v>0</v>
      </c>
      <c r="H62" s="29">
        <v>210000000</v>
      </c>
      <c r="I62" s="29">
        <v>210000000</v>
      </c>
      <c r="J62" s="22" t="s">
        <v>739</v>
      </c>
      <c r="K62" s="22" t="s">
        <v>741</v>
      </c>
      <c r="L62" s="22" t="s">
        <v>24</v>
      </c>
      <c r="M62" s="22" t="s">
        <v>71</v>
      </c>
      <c r="N62" s="22" t="s">
        <v>102</v>
      </c>
    </row>
    <row r="63" spans="1:14" ht="76.5">
      <c r="A63" s="22">
        <v>3</v>
      </c>
      <c r="B63" s="23" t="s">
        <v>103</v>
      </c>
      <c r="C63" s="22" t="s">
        <v>104</v>
      </c>
      <c r="D63" s="24">
        <v>2024</v>
      </c>
      <c r="E63" s="25">
        <v>1</v>
      </c>
      <c r="F63" s="25">
        <v>1</v>
      </c>
      <c r="G63" s="25">
        <f t="shared" si="0"/>
        <v>0</v>
      </c>
      <c r="H63" s="29">
        <v>156000000</v>
      </c>
      <c r="I63" s="29">
        <v>156000000</v>
      </c>
      <c r="J63" s="22" t="s">
        <v>739</v>
      </c>
      <c r="K63" s="22" t="s">
        <v>741</v>
      </c>
      <c r="L63" s="22" t="s">
        <v>24</v>
      </c>
      <c r="M63" s="22" t="s">
        <v>71</v>
      </c>
      <c r="N63" s="22" t="s">
        <v>102</v>
      </c>
    </row>
    <row r="64" spans="1:14" ht="51">
      <c r="A64" s="22">
        <v>4</v>
      </c>
      <c r="B64" s="23" t="s">
        <v>105</v>
      </c>
      <c r="C64" s="22" t="s">
        <v>106</v>
      </c>
      <c r="D64" s="24">
        <v>2003</v>
      </c>
      <c r="E64" s="25">
        <v>1</v>
      </c>
      <c r="F64" s="25">
        <v>1</v>
      </c>
      <c r="G64" s="25">
        <f t="shared" si="0"/>
        <v>0</v>
      </c>
      <c r="H64" s="29">
        <v>166600000</v>
      </c>
      <c r="I64" s="29">
        <v>166600000</v>
      </c>
      <c r="J64" s="22" t="s">
        <v>739</v>
      </c>
      <c r="K64" s="22" t="s">
        <v>741</v>
      </c>
      <c r="L64" s="22" t="s">
        <v>24</v>
      </c>
      <c r="M64" s="22" t="s">
        <v>107</v>
      </c>
      <c r="N64" s="22" t="s">
        <v>108</v>
      </c>
    </row>
    <row r="65" spans="1:14" ht="51">
      <c r="A65" s="22">
        <v>5</v>
      </c>
      <c r="B65" s="23" t="s">
        <v>109</v>
      </c>
      <c r="C65" s="22" t="s">
        <v>110</v>
      </c>
      <c r="D65" s="24">
        <v>2011</v>
      </c>
      <c r="E65" s="25">
        <v>1</v>
      </c>
      <c r="F65" s="25">
        <v>1</v>
      </c>
      <c r="G65" s="25">
        <f t="shared" si="0"/>
        <v>0</v>
      </c>
      <c r="H65" s="29">
        <v>3080000</v>
      </c>
      <c r="I65" s="29">
        <v>3080000</v>
      </c>
      <c r="J65" s="22" t="s">
        <v>739</v>
      </c>
      <c r="K65" s="22" t="s">
        <v>741</v>
      </c>
      <c r="L65" s="22" t="s">
        <v>24</v>
      </c>
      <c r="M65" s="22" t="s">
        <v>107</v>
      </c>
      <c r="N65" s="22" t="s">
        <v>108</v>
      </c>
    </row>
    <row r="66" spans="1:14" ht="51">
      <c r="A66" s="22">
        <v>6</v>
      </c>
      <c r="B66" s="23" t="s">
        <v>111</v>
      </c>
      <c r="C66" s="22" t="s">
        <v>112</v>
      </c>
      <c r="D66" s="24">
        <v>2020</v>
      </c>
      <c r="E66" s="25">
        <v>2</v>
      </c>
      <c r="F66" s="25">
        <v>2</v>
      </c>
      <c r="G66" s="25">
        <f t="shared" si="0"/>
        <v>0</v>
      </c>
      <c r="H66" s="28">
        <v>14260000</v>
      </c>
      <c r="I66" s="28">
        <v>28520000</v>
      </c>
      <c r="J66" s="22" t="s">
        <v>739</v>
      </c>
      <c r="K66" s="22" t="s">
        <v>741</v>
      </c>
      <c r="L66" s="22" t="s">
        <v>24</v>
      </c>
      <c r="M66" s="22" t="s">
        <v>107</v>
      </c>
      <c r="N66" s="22" t="s">
        <v>108</v>
      </c>
    </row>
    <row r="67" spans="1:14" ht="51">
      <c r="A67" s="22">
        <v>7</v>
      </c>
      <c r="B67" s="23" t="s">
        <v>113</v>
      </c>
      <c r="C67" s="22" t="s">
        <v>114</v>
      </c>
      <c r="D67" s="24">
        <v>2004</v>
      </c>
      <c r="E67" s="25">
        <v>1</v>
      </c>
      <c r="F67" s="25">
        <v>1</v>
      </c>
      <c r="G67" s="25">
        <f t="shared" si="0"/>
        <v>0</v>
      </c>
      <c r="H67" s="25"/>
      <c r="I67" s="25"/>
      <c r="J67" s="22" t="s">
        <v>739</v>
      </c>
      <c r="K67" s="22" t="s">
        <v>741</v>
      </c>
      <c r="L67" s="22" t="s">
        <v>24</v>
      </c>
      <c r="M67" s="22" t="s">
        <v>107</v>
      </c>
      <c r="N67" s="22" t="s">
        <v>108</v>
      </c>
    </row>
    <row r="68" spans="1:14">
      <c r="A68" s="22"/>
      <c r="B68" s="473" t="s">
        <v>788</v>
      </c>
      <c r="C68" s="473"/>
      <c r="D68" s="473"/>
      <c r="E68" s="473"/>
      <c r="F68" s="473"/>
      <c r="G68" s="473"/>
      <c r="H68" s="473"/>
      <c r="I68" s="473"/>
      <c r="J68" s="473"/>
      <c r="K68" s="473"/>
      <c r="L68" s="473"/>
      <c r="M68" s="473"/>
      <c r="N68" s="473"/>
    </row>
    <row r="69" spans="1:14" ht="76.5">
      <c r="A69" s="22">
        <v>1</v>
      </c>
      <c r="B69" s="23" t="s">
        <v>90</v>
      </c>
      <c r="C69" s="22" t="s">
        <v>115</v>
      </c>
      <c r="D69" s="24">
        <v>2022</v>
      </c>
      <c r="E69" s="25">
        <v>2</v>
      </c>
      <c r="F69" s="25">
        <v>2</v>
      </c>
      <c r="G69" s="25">
        <f t="shared" si="0"/>
        <v>0</v>
      </c>
      <c r="H69" s="25"/>
      <c r="I69" s="25"/>
      <c r="J69" s="22" t="s">
        <v>742</v>
      </c>
      <c r="K69" s="22" t="s">
        <v>743</v>
      </c>
      <c r="L69" s="22" t="s">
        <v>24</v>
      </c>
      <c r="M69" s="22" t="s">
        <v>71</v>
      </c>
      <c r="N69" s="22"/>
    </row>
    <row r="70" spans="1:14">
      <c r="A70" s="22"/>
      <c r="B70" s="473" t="s">
        <v>789</v>
      </c>
      <c r="C70" s="473"/>
      <c r="D70" s="473"/>
      <c r="E70" s="473"/>
      <c r="F70" s="473"/>
      <c r="G70" s="473"/>
      <c r="H70" s="473"/>
      <c r="I70" s="473"/>
      <c r="J70" s="473"/>
      <c r="K70" s="473"/>
      <c r="L70" s="473"/>
      <c r="M70" s="473"/>
      <c r="N70" s="473"/>
    </row>
    <row r="71" spans="1:14" ht="76.5">
      <c r="A71" s="22">
        <v>1</v>
      </c>
      <c r="B71" s="23" t="s">
        <v>90</v>
      </c>
      <c r="C71" s="22" t="s">
        <v>116</v>
      </c>
      <c r="D71" s="24">
        <v>2022</v>
      </c>
      <c r="E71" s="25">
        <v>2</v>
      </c>
      <c r="F71" s="25">
        <v>2</v>
      </c>
      <c r="G71" s="25">
        <f t="shared" si="0"/>
        <v>0</v>
      </c>
      <c r="H71" s="25"/>
      <c r="I71" s="25"/>
      <c r="J71" s="22" t="s">
        <v>744</v>
      </c>
      <c r="K71" s="22" t="s">
        <v>745</v>
      </c>
      <c r="L71" s="22" t="s">
        <v>24</v>
      </c>
      <c r="M71" s="22" t="s">
        <v>71</v>
      </c>
      <c r="N71" s="22"/>
    </row>
    <row r="72" spans="1:14" ht="51">
      <c r="A72" s="22">
        <v>2</v>
      </c>
      <c r="B72" s="23" t="s">
        <v>117</v>
      </c>
      <c r="C72" s="22" t="s">
        <v>118</v>
      </c>
      <c r="D72" s="24"/>
      <c r="E72" s="25">
        <v>1</v>
      </c>
      <c r="F72" s="25">
        <v>1</v>
      </c>
      <c r="G72" s="25">
        <f t="shared" si="0"/>
        <v>0</v>
      </c>
      <c r="H72" s="25"/>
      <c r="I72" s="25"/>
      <c r="J72" s="22" t="s">
        <v>744</v>
      </c>
      <c r="K72" s="22" t="s">
        <v>745</v>
      </c>
      <c r="L72" s="22" t="s">
        <v>24</v>
      </c>
      <c r="M72" s="22" t="s">
        <v>71</v>
      </c>
      <c r="N72" s="22" t="s">
        <v>119</v>
      </c>
    </row>
    <row r="73" spans="1:14" ht="51">
      <c r="A73" s="22">
        <v>3</v>
      </c>
      <c r="B73" s="23" t="s">
        <v>120</v>
      </c>
      <c r="C73" s="22" t="s">
        <v>121</v>
      </c>
      <c r="D73" s="24"/>
      <c r="E73" s="25">
        <v>1</v>
      </c>
      <c r="F73" s="25">
        <v>1</v>
      </c>
      <c r="G73" s="25">
        <f t="shared" si="0"/>
        <v>0</v>
      </c>
      <c r="H73" s="25"/>
      <c r="I73" s="25"/>
      <c r="J73" s="22" t="s">
        <v>744</v>
      </c>
      <c r="K73" s="22" t="s">
        <v>745</v>
      </c>
      <c r="L73" s="22" t="s">
        <v>24</v>
      </c>
      <c r="M73" s="22" t="s">
        <v>71</v>
      </c>
      <c r="N73" s="22"/>
    </row>
    <row r="74" spans="1:14">
      <c r="A74" s="22"/>
      <c r="B74" s="473" t="s">
        <v>790</v>
      </c>
      <c r="C74" s="473"/>
      <c r="D74" s="473"/>
      <c r="E74" s="473"/>
      <c r="F74" s="473"/>
      <c r="G74" s="473"/>
      <c r="H74" s="473"/>
      <c r="I74" s="473"/>
      <c r="J74" s="473"/>
      <c r="K74" s="473"/>
      <c r="L74" s="473"/>
      <c r="M74" s="473"/>
      <c r="N74" s="473"/>
    </row>
    <row r="75" spans="1:14" ht="76.5">
      <c r="A75" s="22">
        <v>1</v>
      </c>
      <c r="B75" s="23" t="s">
        <v>49</v>
      </c>
      <c r="C75" s="22" t="s">
        <v>122</v>
      </c>
      <c r="D75" s="24">
        <v>2022</v>
      </c>
      <c r="E75" s="25">
        <v>1</v>
      </c>
      <c r="F75" s="25">
        <v>1</v>
      </c>
      <c r="G75" s="25">
        <f t="shared" si="0"/>
        <v>0</v>
      </c>
      <c r="H75" s="25"/>
      <c r="I75" s="25"/>
      <c r="J75" s="22" t="s">
        <v>123</v>
      </c>
      <c r="K75" s="22" t="s">
        <v>746</v>
      </c>
      <c r="L75" s="22" t="s">
        <v>24</v>
      </c>
      <c r="M75" s="22" t="s">
        <v>71</v>
      </c>
      <c r="N75" s="22"/>
    </row>
    <row r="76" spans="1:14" ht="51">
      <c r="A76" s="22">
        <v>2</v>
      </c>
      <c r="B76" s="23" t="s">
        <v>124</v>
      </c>
      <c r="C76" s="22" t="s">
        <v>125</v>
      </c>
      <c r="D76" s="24">
        <v>2020</v>
      </c>
      <c r="E76" s="25">
        <v>1</v>
      </c>
      <c r="F76" s="25">
        <v>1</v>
      </c>
      <c r="G76" s="25">
        <f t="shared" si="0"/>
        <v>0</v>
      </c>
      <c r="H76" s="28">
        <v>279500000</v>
      </c>
      <c r="I76" s="28">
        <v>279500000</v>
      </c>
      <c r="J76" s="22" t="s">
        <v>123</v>
      </c>
      <c r="K76" s="22" t="s">
        <v>126</v>
      </c>
      <c r="L76" s="22" t="s">
        <v>24</v>
      </c>
      <c r="M76" s="22" t="s">
        <v>71</v>
      </c>
      <c r="N76" s="22" t="s">
        <v>127</v>
      </c>
    </row>
    <row r="77" spans="1:14" ht="38.25">
      <c r="A77" s="22">
        <v>3</v>
      </c>
      <c r="B77" s="23" t="s">
        <v>128</v>
      </c>
      <c r="C77" s="22" t="s">
        <v>87</v>
      </c>
      <c r="D77" s="24">
        <v>2022</v>
      </c>
      <c r="E77" s="25">
        <v>1</v>
      </c>
      <c r="F77" s="25">
        <v>1</v>
      </c>
      <c r="G77" s="25">
        <f t="shared" si="0"/>
        <v>0</v>
      </c>
      <c r="H77" s="25"/>
      <c r="I77" s="25"/>
      <c r="J77" s="22" t="s">
        <v>123</v>
      </c>
      <c r="K77" s="22"/>
      <c r="L77" s="22" t="s">
        <v>24</v>
      </c>
      <c r="M77" s="22" t="s">
        <v>71</v>
      </c>
      <c r="N77" s="22" t="s">
        <v>129</v>
      </c>
    </row>
    <row r="78" spans="1:14" ht="38.25">
      <c r="A78" s="22">
        <v>4</v>
      </c>
      <c r="B78" s="23" t="s">
        <v>130</v>
      </c>
      <c r="C78" s="22" t="s">
        <v>131</v>
      </c>
      <c r="D78" s="24">
        <v>2022</v>
      </c>
      <c r="E78" s="25">
        <v>1</v>
      </c>
      <c r="F78" s="25">
        <v>1</v>
      </c>
      <c r="G78" s="25">
        <f t="shared" si="0"/>
        <v>0</v>
      </c>
      <c r="H78" s="25"/>
      <c r="I78" s="25"/>
      <c r="J78" s="22" t="s">
        <v>123</v>
      </c>
      <c r="K78" s="22"/>
      <c r="L78" s="22" t="s">
        <v>24</v>
      </c>
      <c r="M78" s="22" t="s">
        <v>71</v>
      </c>
      <c r="N78" s="22" t="s">
        <v>129</v>
      </c>
    </row>
    <row r="79" spans="1:14" ht="38.25">
      <c r="A79" s="22">
        <v>5</v>
      </c>
      <c r="B79" s="23" t="s">
        <v>132</v>
      </c>
      <c r="C79" s="22" t="s">
        <v>133</v>
      </c>
      <c r="D79" s="24"/>
      <c r="E79" s="25">
        <v>3</v>
      </c>
      <c r="F79" s="25">
        <v>3</v>
      </c>
      <c r="G79" s="25">
        <f t="shared" si="0"/>
        <v>0</v>
      </c>
      <c r="H79" s="25"/>
      <c r="I79" s="25"/>
      <c r="J79" s="22" t="s">
        <v>123</v>
      </c>
      <c r="K79" s="22" t="s">
        <v>20</v>
      </c>
      <c r="L79" s="22" t="s">
        <v>24</v>
      </c>
      <c r="M79" s="22" t="s">
        <v>71</v>
      </c>
      <c r="N79" s="22" t="s">
        <v>134</v>
      </c>
    </row>
    <row r="80" spans="1:14" ht="38.25">
      <c r="A80" s="22">
        <v>6</v>
      </c>
      <c r="B80" s="23" t="s">
        <v>135</v>
      </c>
      <c r="C80" s="22" t="s">
        <v>136</v>
      </c>
      <c r="D80" s="24"/>
      <c r="E80" s="25">
        <v>3</v>
      </c>
      <c r="F80" s="25">
        <v>3</v>
      </c>
      <c r="G80" s="25">
        <f t="shared" si="0"/>
        <v>0</v>
      </c>
      <c r="H80" s="25"/>
      <c r="I80" s="25"/>
      <c r="J80" s="22" t="s">
        <v>123</v>
      </c>
      <c r="K80" s="22" t="s">
        <v>747</v>
      </c>
      <c r="L80" s="22" t="s">
        <v>24</v>
      </c>
      <c r="M80" s="22" t="s">
        <v>71</v>
      </c>
      <c r="N80" s="22"/>
    </row>
    <row r="81" spans="1:14" ht="38.25">
      <c r="A81" s="22">
        <v>7</v>
      </c>
      <c r="B81" s="23" t="s">
        <v>137</v>
      </c>
      <c r="C81" s="22" t="s">
        <v>138</v>
      </c>
      <c r="D81" s="24"/>
      <c r="E81" s="25">
        <v>2</v>
      </c>
      <c r="F81" s="25">
        <v>2</v>
      </c>
      <c r="G81" s="25">
        <f t="shared" si="0"/>
        <v>0</v>
      </c>
      <c r="H81" s="25"/>
      <c r="I81" s="25"/>
      <c r="J81" s="22" t="s">
        <v>123</v>
      </c>
      <c r="K81" s="22" t="s">
        <v>748</v>
      </c>
      <c r="L81" s="22" t="s">
        <v>24</v>
      </c>
      <c r="M81" s="22" t="s">
        <v>71</v>
      </c>
      <c r="N81" s="22"/>
    </row>
    <row r="82" spans="1:14" ht="38.25">
      <c r="A82" s="22">
        <v>8</v>
      </c>
      <c r="B82" s="23" t="s">
        <v>142</v>
      </c>
      <c r="C82" s="22" t="s">
        <v>143</v>
      </c>
      <c r="D82" s="24"/>
      <c r="E82" s="25">
        <v>1</v>
      </c>
      <c r="F82" s="25">
        <v>1</v>
      </c>
      <c r="G82" s="25">
        <f t="shared" si="0"/>
        <v>0</v>
      </c>
      <c r="H82" s="25"/>
      <c r="I82" s="25"/>
      <c r="J82" s="22" t="s">
        <v>123</v>
      </c>
      <c r="K82" s="22" t="s">
        <v>144</v>
      </c>
      <c r="L82" s="22" t="s">
        <v>24</v>
      </c>
      <c r="M82" s="22" t="s">
        <v>71</v>
      </c>
      <c r="N82" s="22"/>
    </row>
    <row r="83" spans="1:14">
      <c r="A83" s="22"/>
      <c r="B83" s="473" t="s">
        <v>791</v>
      </c>
      <c r="C83" s="473"/>
      <c r="D83" s="473"/>
      <c r="E83" s="473"/>
      <c r="F83" s="473"/>
      <c r="G83" s="473"/>
      <c r="H83" s="473"/>
      <c r="I83" s="473"/>
      <c r="J83" s="473"/>
      <c r="K83" s="473"/>
      <c r="L83" s="473"/>
      <c r="M83" s="473"/>
      <c r="N83" s="473"/>
    </row>
    <row r="84" spans="1:14" ht="51">
      <c r="A84" s="22">
        <v>1</v>
      </c>
      <c r="B84" s="23" t="s">
        <v>76</v>
      </c>
      <c r="C84" s="22" t="s">
        <v>145</v>
      </c>
      <c r="D84" s="24">
        <v>2022</v>
      </c>
      <c r="E84" s="25">
        <v>1</v>
      </c>
      <c r="F84" s="25">
        <v>1</v>
      </c>
      <c r="G84" s="25">
        <f t="shared" si="0"/>
        <v>0</v>
      </c>
      <c r="H84" s="25"/>
      <c r="I84" s="25"/>
      <c r="J84" s="22" t="s">
        <v>146</v>
      </c>
      <c r="K84" s="22" t="s">
        <v>749</v>
      </c>
      <c r="L84" s="22" t="s">
        <v>24</v>
      </c>
      <c r="M84" s="22" t="s">
        <v>51</v>
      </c>
      <c r="N84" s="22"/>
    </row>
    <row r="85" spans="1:14" ht="51">
      <c r="A85" s="22">
        <v>2</v>
      </c>
      <c r="B85" s="23" t="s">
        <v>147</v>
      </c>
      <c r="C85" s="22" t="s">
        <v>148</v>
      </c>
      <c r="D85" s="24">
        <v>2022</v>
      </c>
      <c r="E85" s="25">
        <v>1</v>
      </c>
      <c r="F85" s="25">
        <v>1</v>
      </c>
      <c r="G85" s="25">
        <f t="shared" si="0"/>
        <v>0</v>
      </c>
      <c r="H85" s="25"/>
      <c r="I85" s="25"/>
      <c r="J85" s="22" t="s">
        <v>146</v>
      </c>
      <c r="K85" s="22" t="s">
        <v>750</v>
      </c>
      <c r="L85" s="22" t="s">
        <v>24</v>
      </c>
      <c r="M85" s="22" t="s">
        <v>51</v>
      </c>
      <c r="N85" s="22"/>
    </row>
    <row r="86" spans="1:14" ht="76.5">
      <c r="A86" s="22">
        <v>3</v>
      </c>
      <c r="B86" s="23" t="s">
        <v>90</v>
      </c>
      <c r="C86" s="22" t="s">
        <v>734</v>
      </c>
      <c r="D86" s="24">
        <v>2022</v>
      </c>
      <c r="E86" s="25">
        <v>2</v>
      </c>
      <c r="F86" s="25">
        <v>2</v>
      </c>
      <c r="G86" s="25">
        <f t="shared" si="0"/>
        <v>0</v>
      </c>
      <c r="H86" s="25"/>
      <c r="I86" s="25"/>
      <c r="J86" s="22" t="s">
        <v>146</v>
      </c>
      <c r="K86" s="22" t="s">
        <v>751</v>
      </c>
      <c r="L86" s="22" t="s">
        <v>24</v>
      </c>
      <c r="M86" s="22" t="s">
        <v>51</v>
      </c>
      <c r="N86" s="22" t="s">
        <v>149</v>
      </c>
    </row>
    <row r="87" spans="1:14" ht="25.5">
      <c r="A87" s="22">
        <v>4</v>
      </c>
      <c r="B87" s="23" t="s">
        <v>151</v>
      </c>
      <c r="C87" s="22" t="s">
        <v>152</v>
      </c>
      <c r="D87" s="24">
        <v>1998</v>
      </c>
      <c r="E87" s="25">
        <v>1</v>
      </c>
      <c r="F87" s="25">
        <v>1</v>
      </c>
      <c r="G87" s="25">
        <f t="shared" si="0"/>
        <v>0</v>
      </c>
      <c r="H87" s="25"/>
      <c r="I87" s="25"/>
      <c r="J87" s="22" t="s">
        <v>752</v>
      </c>
      <c r="K87" s="22" t="s">
        <v>20</v>
      </c>
      <c r="L87" s="22" t="s">
        <v>24</v>
      </c>
      <c r="M87" s="22" t="s">
        <v>71</v>
      </c>
      <c r="N87" s="22" t="s">
        <v>733</v>
      </c>
    </row>
    <row r="88" spans="1:14">
      <c r="A88" s="22"/>
      <c r="B88" s="473" t="s">
        <v>775</v>
      </c>
      <c r="C88" s="473"/>
      <c r="D88" s="473"/>
      <c r="E88" s="473"/>
      <c r="F88" s="473"/>
      <c r="G88" s="473"/>
      <c r="H88" s="473"/>
      <c r="I88" s="473"/>
      <c r="J88" s="473"/>
      <c r="K88" s="473"/>
      <c r="L88" s="473"/>
      <c r="M88" s="473"/>
      <c r="N88" s="473"/>
    </row>
    <row r="89" spans="1:14" ht="25.5">
      <c r="A89" s="22">
        <v>1</v>
      </c>
      <c r="B89" s="23" t="s">
        <v>153</v>
      </c>
      <c r="C89" s="22" t="s">
        <v>154</v>
      </c>
      <c r="D89" s="24"/>
      <c r="E89" s="25">
        <v>1</v>
      </c>
      <c r="F89" s="25">
        <v>1</v>
      </c>
      <c r="G89" s="25">
        <f t="shared" si="0"/>
        <v>0</v>
      </c>
      <c r="H89" s="25"/>
      <c r="I89" s="25"/>
      <c r="J89" s="22" t="s">
        <v>146</v>
      </c>
      <c r="K89" s="22" t="s">
        <v>753</v>
      </c>
      <c r="L89" s="22" t="s">
        <v>24</v>
      </c>
      <c r="M89" s="22" t="s">
        <v>71</v>
      </c>
      <c r="N89" s="22" t="s">
        <v>155</v>
      </c>
    </row>
    <row r="90" spans="1:14" ht="25.5">
      <c r="A90" s="22">
        <v>2</v>
      </c>
      <c r="B90" s="23" t="s">
        <v>156</v>
      </c>
      <c r="C90" s="22" t="s">
        <v>157</v>
      </c>
      <c r="D90" s="24"/>
      <c r="E90" s="25">
        <v>1</v>
      </c>
      <c r="F90" s="25">
        <v>1</v>
      </c>
      <c r="G90" s="25">
        <f t="shared" si="0"/>
        <v>0</v>
      </c>
      <c r="H90" s="25"/>
      <c r="I90" s="25"/>
      <c r="J90" s="22" t="s">
        <v>754</v>
      </c>
      <c r="K90" s="22"/>
      <c r="L90" s="22" t="s">
        <v>95</v>
      </c>
      <c r="M90" s="22" t="s">
        <v>71</v>
      </c>
      <c r="N90" s="22" t="s">
        <v>158</v>
      </c>
    </row>
    <row r="91" spans="1:14" ht="25.5">
      <c r="A91" s="22">
        <v>3</v>
      </c>
      <c r="B91" s="23" t="s">
        <v>137</v>
      </c>
      <c r="C91" s="22" t="s">
        <v>159</v>
      </c>
      <c r="D91" s="24"/>
      <c r="E91" s="25">
        <v>1</v>
      </c>
      <c r="F91" s="25">
        <v>1</v>
      </c>
      <c r="G91" s="25">
        <f t="shared" si="0"/>
        <v>0</v>
      </c>
      <c r="H91" s="25"/>
      <c r="I91" s="25"/>
      <c r="J91" s="22" t="s">
        <v>146</v>
      </c>
      <c r="K91" s="22"/>
      <c r="L91" s="22" t="s">
        <v>24</v>
      </c>
      <c r="M91" s="22" t="s">
        <v>71</v>
      </c>
      <c r="N91" s="22"/>
    </row>
    <row r="92" spans="1:14">
      <c r="A92" s="22"/>
      <c r="B92" s="473" t="s">
        <v>792</v>
      </c>
      <c r="C92" s="473"/>
      <c r="D92" s="473"/>
      <c r="E92" s="473"/>
      <c r="F92" s="473"/>
      <c r="G92" s="473"/>
      <c r="H92" s="473"/>
      <c r="I92" s="473"/>
      <c r="J92" s="473"/>
      <c r="K92" s="473"/>
      <c r="L92" s="473"/>
      <c r="M92" s="473"/>
      <c r="N92" s="473"/>
    </row>
    <row r="93" spans="1:14" ht="76.5">
      <c r="A93" s="22">
        <v>1</v>
      </c>
      <c r="B93" s="23" t="s">
        <v>90</v>
      </c>
      <c r="C93" s="22" t="s">
        <v>221</v>
      </c>
      <c r="D93" s="24">
        <v>2022</v>
      </c>
      <c r="E93" s="25">
        <v>1</v>
      </c>
      <c r="F93" s="25">
        <v>1</v>
      </c>
      <c r="G93" s="25">
        <f t="shared" si="0"/>
        <v>0</v>
      </c>
      <c r="H93" s="25"/>
      <c r="I93" s="25"/>
      <c r="J93" s="22" t="s">
        <v>161</v>
      </c>
      <c r="K93" s="22" t="s">
        <v>162</v>
      </c>
      <c r="L93" s="22" t="s">
        <v>24</v>
      </c>
      <c r="M93" s="22" t="s">
        <v>51</v>
      </c>
      <c r="N93" s="22" t="s">
        <v>793</v>
      </c>
    </row>
    <row r="94" spans="1:14" ht="51">
      <c r="A94" s="22">
        <v>2</v>
      </c>
      <c r="B94" s="23" t="s">
        <v>76</v>
      </c>
      <c r="C94" s="22" t="s">
        <v>160</v>
      </c>
      <c r="D94" s="24">
        <v>2022</v>
      </c>
      <c r="E94" s="25">
        <v>1</v>
      </c>
      <c r="F94" s="25">
        <v>1</v>
      </c>
      <c r="G94" s="25">
        <f t="shared" si="0"/>
        <v>0</v>
      </c>
      <c r="H94" s="25"/>
      <c r="I94" s="25"/>
      <c r="J94" s="22" t="s">
        <v>161</v>
      </c>
      <c r="K94" s="22" t="s">
        <v>162</v>
      </c>
      <c r="L94" s="22" t="s">
        <v>24</v>
      </c>
      <c r="M94" s="22" t="s">
        <v>51</v>
      </c>
      <c r="N94" s="22"/>
    </row>
    <row r="95" spans="1:14" ht="51">
      <c r="A95" s="22">
        <v>3</v>
      </c>
      <c r="B95" s="23" t="s">
        <v>147</v>
      </c>
      <c r="C95" s="22" t="s">
        <v>163</v>
      </c>
      <c r="D95" s="24">
        <v>2022</v>
      </c>
      <c r="E95" s="25">
        <v>1</v>
      </c>
      <c r="F95" s="25">
        <v>1</v>
      </c>
      <c r="G95" s="25">
        <f t="shared" si="0"/>
        <v>0</v>
      </c>
      <c r="H95" s="25"/>
      <c r="I95" s="25"/>
      <c r="J95" s="22" t="s">
        <v>161</v>
      </c>
      <c r="K95" s="22" t="s">
        <v>162</v>
      </c>
      <c r="L95" s="22" t="s">
        <v>24</v>
      </c>
      <c r="M95" s="22" t="s">
        <v>51</v>
      </c>
      <c r="N95" s="22"/>
    </row>
    <row r="96" spans="1:14" ht="76.5">
      <c r="A96" s="22">
        <v>4</v>
      </c>
      <c r="B96" s="23" t="s">
        <v>90</v>
      </c>
      <c r="C96" s="22" t="s">
        <v>164</v>
      </c>
      <c r="D96" s="24">
        <v>2022</v>
      </c>
      <c r="E96" s="25">
        <v>2</v>
      </c>
      <c r="F96" s="25">
        <v>2</v>
      </c>
      <c r="G96" s="25">
        <f t="shared" si="0"/>
        <v>0</v>
      </c>
      <c r="H96" s="25"/>
      <c r="I96" s="25"/>
      <c r="J96" s="22" t="s">
        <v>161</v>
      </c>
      <c r="K96" s="22" t="s">
        <v>162</v>
      </c>
      <c r="L96" s="22" t="s">
        <v>24</v>
      </c>
      <c r="M96" s="22" t="s">
        <v>51</v>
      </c>
      <c r="N96" s="22"/>
    </row>
    <row r="97" spans="1:14">
      <c r="A97" s="22"/>
      <c r="B97" s="473" t="s">
        <v>794</v>
      </c>
      <c r="C97" s="473"/>
      <c r="D97" s="473"/>
      <c r="E97" s="473"/>
      <c r="F97" s="473"/>
      <c r="G97" s="473"/>
      <c r="H97" s="473"/>
      <c r="I97" s="473"/>
      <c r="J97" s="473"/>
      <c r="K97" s="473"/>
      <c r="L97" s="473"/>
      <c r="M97" s="473"/>
      <c r="N97" s="473"/>
    </row>
    <row r="98" spans="1:14" ht="51">
      <c r="A98" s="22">
        <v>1</v>
      </c>
      <c r="B98" s="23" t="s">
        <v>76</v>
      </c>
      <c r="C98" s="22" t="s">
        <v>165</v>
      </c>
      <c r="D98" s="24">
        <v>2022</v>
      </c>
      <c r="E98" s="25">
        <v>1</v>
      </c>
      <c r="F98" s="25">
        <v>1</v>
      </c>
      <c r="G98" s="25">
        <f t="shared" si="0"/>
        <v>0</v>
      </c>
      <c r="H98" s="25"/>
      <c r="I98" s="25"/>
      <c r="J98" s="22" t="s">
        <v>166</v>
      </c>
      <c r="K98" s="22" t="s">
        <v>167</v>
      </c>
      <c r="L98" s="22" t="s">
        <v>24</v>
      </c>
      <c r="M98" s="22" t="s">
        <v>51</v>
      </c>
      <c r="N98" s="22"/>
    </row>
    <row r="99" spans="1:14" ht="51">
      <c r="A99" s="22">
        <v>2</v>
      </c>
      <c r="B99" s="23" t="s">
        <v>147</v>
      </c>
      <c r="C99" s="22" t="s">
        <v>168</v>
      </c>
      <c r="D99" s="24">
        <v>2022</v>
      </c>
      <c r="E99" s="25">
        <v>1</v>
      </c>
      <c r="F99" s="25">
        <v>1</v>
      </c>
      <c r="G99" s="25">
        <f t="shared" si="0"/>
        <v>0</v>
      </c>
      <c r="H99" s="25"/>
      <c r="I99" s="25"/>
      <c r="J99" s="22" t="s">
        <v>166</v>
      </c>
      <c r="K99" s="22" t="s">
        <v>169</v>
      </c>
      <c r="L99" s="22" t="s">
        <v>24</v>
      </c>
      <c r="M99" s="22" t="s">
        <v>51</v>
      </c>
      <c r="N99" s="22"/>
    </row>
    <row r="100" spans="1:14" ht="38.25">
      <c r="A100" s="22">
        <v>3</v>
      </c>
      <c r="B100" s="23" t="s">
        <v>128</v>
      </c>
      <c r="C100" s="22" t="s">
        <v>87</v>
      </c>
      <c r="D100" s="24">
        <v>2022</v>
      </c>
      <c r="E100" s="25">
        <v>1</v>
      </c>
      <c r="F100" s="25">
        <v>1</v>
      </c>
      <c r="G100" s="25">
        <f t="shared" si="0"/>
        <v>0</v>
      </c>
      <c r="H100" s="25"/>
      <c r="I100" s="25"/>
      <c r="J100" s="22" t="s">
        <v>170</v>
      </c>
      <c r="K100" s="22"/>
      <c r="L100" s="22" t="s">
        <v>24</v>
      </c>
      <c r="M100" s="22" t="s">
        <v>150</v>
      </c>
      <c r="N100" s="22" t="s">
        <v>129</v>
      </c>
    </row>
    <row r="101" spans="1:14" ht="25.5">
      <c r="A101" s="22">
        <v>4</v>
      </c>
      <c r="B101" s="23" t="s">
        <v>130</v>
      </c>
      <c r="C101" s="22" t="s">
        <v>131</v>
      </c>
      <c r="D101" s="24">
        <v>2022</v>
      </c>
      <c r="E101" s="25">
        <v>1</v>
      </c>
      <c r="F101" s="25">
        <v>1</v>
      </c>
      <c r="G101" s="25">
        <f t="shared" ref="G101:G180" si="4">F101-E101</f>
        <v>0</v>
      </c>
      <c r="H101" s="25"/>
      <c r="I101" s="25"/>
      <c r="J101" s="22" t="s">
        <v>171</v>
      </c>
      <c r="K101" s="22"/>
      <c r="L101" s="22" t="s">
        <v>24</v>
      </c>
      <c r="M101" s="22"/>
      <c r="N101" s="22" t="s">
        <v>129</v>
      </c>
    </row>
    <row r="102" spans="1:14">
      <c r="A102" s="22"/>
      <c r="B102" s="473" t="s">
        <v>775</v>
      </c>
      <c r="C102" s="473"/>
      <c r="D102" s="473"/>
      <c r="E102" s="473"/>
      <c r="F102" s="473"/>
      <c r="G102" s="473"/>
      <c r="H102" s="473"/>
      <c r="I102" s="473"/>
      <c r="J102" s="473"/>
      <c r="K102" s="473"/>
      <c r="L102" s="473"/>
      <c r="M102" s="473"/>
      <c r="N102" s="473"/>
    </row>
    <row r="103" spans="1:14" ht="25.5">
      <c r="A103" s="22">
        <v>1</v>
      </c>
      <c r="B103" s="23" t="s">
        <v>132</v>
      </c>
      <c r="C103" s="22" t="s">
        <v>133</v>
      </c>
      <c r="D103" s="24"/>
      <c r="E103" s="25">
        <v>1</v>
      </c>
      <c r="F103" s="25">
        <v>1</v>
      </c>
      <c r="G103" s="25">
        <f t="shared" si="4"/>
        <v>0</v>
      </c>
      <c r="H103" s="25"/>
      <c r="I103" s="25"/>
      <c r="J103" s="22" t="s">
        <v>171</v>
      </c>
      <c r="K103" s="22" t="s">
        <v>20</v>
      </c>
      <c r="L103" s="22" t="s">
        <v>24</v>
      </c>
      <c r="M103" s="22" t="s">
        <v>71</v>
      </c>
      <c r="N103" s="22"/>
    </row>
    <row r="104" spans="1:14" ht="25.5">
      <c r="A104" s="22">
        <v>2</v>
      </c>
      <c r="B104" s="23" t="s">
        <v>172</v>
      </c>
      <c r="C104" s="22" t="s">
        <v>173</v>
      </c>
      <c r="D104" s="24"/>
      <c r="E104" s="25">
        <v>1</v>
      </c>
      <c r="F104" s="25">
        <v>1</v>
      </c>
      <c r="G104" s="25">
        <f t="shared" si="4"/>
        <v>0</v>
      </c>
      <c r="H104" s="25"/>
      <c r="I104" s="25"/>
      <c r="J104" s="22" t="s">
        <v>166</v>
      </c>
      <c r="K104" s="22" t="s">
        <v>174</v>
      </c>
      <c r="L104" s="22" t="s">
        <v>24</v>
      </c>
      <c r="M104" s="22" t="s">
        <v>71</v>
      </c>
      <c r="N104" s="22"/>
    </row>
    <row r="105" spans="1:14" ht="25.5">
      <c r="A105" s="22">
        <v>3</v>
      </c>
      <c r="B105" s="23" t="s">
        <v>175</v>
      </c>
      <c r="C105" s="22" t="s">
        <v>176</v>
      </c>
      <c r="D105" s="24"/>
      <c r="E105" s="25">
        <v>2</v>
      </c>
      <c r="F105" s="25">
        <v>2</v>
      </c>
      <c r="G105" s="25">
        <f t="shared" si="4"/>
        <v>0</v>
      </c>
      <c r="H105" s="25"/>
      <c r="I105" s="25"/>
      <c r="J105" s="22" t="s">
        <v>166</v>
      </c>
      <c r="K105" s="22" t="s">
        <v>144</v>
      </c>
      <c r="L105" s="22" t="s">
        <v>24</v>
      </c>
      <c r="M105" s="22" t="s">
        <v>71</v>
      </c>
      <c r="N105" s="22"/>
    </row>
    <row r="106" spans="1:14" ht="25.5">
      <c r="A106" s="22">
        <v>4</v>
      </c>
      <c r="B106" s="23" t="s">
        <v>177</v>
      </c>
      <c r="C106" s="22" t="s">
        <v>178</v>
      </c>
      <c r="D106" s="24"/>
      <c r="E106" s="25">
        <v>1</v>
      </c>
      <c r="F106" s="25">
        <v>1</v>
      </c>
      <c r="G106" s="25">
        <f t="shared" si="4"/>
        <v>0</v>
      </c>
      <c r="H106" s="25"/>
      <c r="I106" s="25"/>
      <c r="J106" s="22" t="s">
        <v>166</v>
      </c>
      <c r="K106" s="22" t="s">
        <v>144</v>
      </c>
      <c r="L106" s="22" t="s">
        <v>24</v>
      </c>
      <c r="M106" s="22" t="s">
        <v>71</v>
      </c>
      <c r="N106" s="22"/>
    </row>
    <row r="107" spans="1:14" ht="25.5">
      <c r="A107" s="22">
        <v>5</v>
      </c>
      <c r="B107" s="23" t="s">
        <v>179</v>
      </c>
      <c r="C107" s="22" t="s">
        <v>180</v>
      </c>
      <c r="D107" s="24"/>
      <c r="E107" s="25">
        <v>1</v>
      </c>
      <c r="F107" s="25">
        <v>1</v>
      </c>
      <c r="G107" s="25">
        <f t="shared" si="4"/>
        <v>0</v>
      </c>
      <c r="H107" s="25"/>
      <c r="I107" s="25"/>
      <c r="J107" s="22" t="s">
        <v>166</v>
      </c>
      <c r="K107" s="22" t="s">
        <v>181</v>
      </c>
      <c r="L107" s="22" t="s">
        <v>24</v>
      </c>
      <c r="M107" s="22" t="s">
        <v>71</v>
      </c>
      <c r="N107" s="22"/>
    </row>
    <row r="108" spans="1:14">
      <c r="A108" s="22"/>
      <c r="B108" s="473" t="s">
        <v>795</v>
      </c>
      <c r="C108" s="473"/>
      <c r="D108" s="473"/>
      <c r="E108" s="473"/>
      <c r="F108" s="473"/>
      <c r="G108" s="473"/>
      <c r="H108" s="473"/>
      <c r="I108" s="473"/>
      <c r="J108" s="473"/>
      <c r="K108" s="473"/>
      <c r="L108" s="473"/>
      <c r="M108" s="473"/>
      <c r="N108" s="473"/>
    </row>
    <row r="109" spans="1:14" ht="51">
      <c r="A109" s="22">
        <v>1</v>
      </c>
      <c r="B109" s="23" t="s">
        <v>76</v>
      </c>
      <c r="C109" s="22" t="s">
        <v>182</v>
      </c>
      <c r="D109" s="24">
        <v>2022</v>
      </c>
      <c r="E109" s="25">
        <v>1</v>
      </c>
      <c r="F109" s="25">
        <v>1</v>
      </c>
      <c r="G109" s="25">
        <f t="shared" si="4"/>
        <v>0</v>
      </c>
      <c r="H109" s="25"/>
      <c r="I109" s="25"/>
      <c r="J109" s="22" t="s">
        <v>183</v>
      </c>
      <c r="K109" s="22" t="s">
        <v>184</v>
      </c>
      <c r="L109" s="22" t="s">
        <v>24</v>
      </c>
      <c r="M109" s="22" t="s">
        <v>51</v>
      </c>
      <c r="N109" s="22"/>
    </row>
    <row r="110" spans="1:14" ht="51">
      <c r="A110" s="22">
        <v>2</v>
      </c>
      <c r="B110" s="23" t="s">
        <v>147</v>
      </c>
      <c r="C110" s="22" t="s">
        <v>185</v>
      </c>
      <c r="D110" s="24">
        <v>2022</v>
      </c>
      <c r="E110" s="25">
        <v>1</v>
      </c>
      <c r="F110" s="25">
        <v>1</v>
      </c>
      <c r="G110" s="25">
        <f t="shared" si="4"/>
        <v>0</v>
      </c>
      <c r="H110" s="25"/>
      <c r="I110" s="25"/>
      <c r="J110" s="22" t="s">
        <v>183</v>
      </c>
      <c r="K110" s="22" t="s">
        <v>184</v>
      </c>
      <c r="L110" s="22" t="s">
        <v>24</v>
      </c>
      <c r="M110" s="22" t="s">
        <v>51</v>
      </c>
      <c r="N110" s="22"/>
    </row>
    <row r="111" spans="1:14" ht="38.25">
      <c r="A111" s="22">
        <v>3</v>
      </c>
      <c r="B111" s="23" t="s">
        <v>186</v>
      </c>
      <c r="C111" s="22" t="s">
        <v>187</v>
      </c>
      <c r="D111" s="24">
        <v>2012</v>
      </c>
      <c r="E111" s="25">
        <v>1</v>
      </c>
      <c r="F111" s="25">
        <v>1</v>
      </c>
      <c r="G111" s="25">
        <f t="shared" si="4"/>
        <v>0</v>
      </c>
      <c r="H111" s="30">
        <v>239000000</v>
      </c>
      <c r="I111" s="30">
        <v>239000000</v>
      </c>
      <c r="J111" s="22" t="s">
        <v>183</v>
      </c>
      <c r="K111" s="22" t="s">
        <v>20</v>
      </c>
      <c r="L111" s="22" t="s">
        <v>95</v>
      </c>
      <c r="M111" s="22" t="s">
        <v>71</v>
      </c>
      <c r="N111" s="22" t="s">
        <v>188</v>
      </c>
    </row>
    <row r="112" spans="1:14" ht="51">
      <c r="A112" s="22">
        <v>4</v>
      </c>
      <c r="B112" s="23" t="s">
        <v>189</v>
      </c>
      <c r="C112" s="22" t="s">
        <v>190</v>
      </c>
      <c r="D112" s="24">
        <v>2020</v>
      </c>
      <c r="E112" s="25">
        <v>1</v>
      </c>
      <c r="F112" s="25">
        <v>1</v>
      </c>
      <c r="G112" s="25">
        <f t="shared" si="4"/>
        <v>0</v>
      </c>
      <c r="H112" s="28">
        <v>108700000</v>
      </c>
      <c r="I112" s="28">
        <v>108700000</v>
      </c>
      <c r="J112" s="22" t="s">
        <v>183</v>
      </c>
      <c r="K112" s="22" t="s">
        <v>126</v>
      </c>
      <c r="L112" s="22" t="s">
        <v>24</v>
      </c>
      <c r="M112" s="22" t="s">
        <v>191</v>
      </c>
      <c r="N112" s="22"/>
    </row>
    <row r="113" spans="1:14" ht="25.5">
      <c r="A113" s="22">
        <v>5</v>
      </c>
      <c r="B113" s="23" t="s">
        <v>130</v>
      </c>
      <c r="C113" s="22" t="s">
        <v>192</v>
      </c>
      <c r="D113" s="24"/>
      <c r="E113" s="25">
        <v>1</v>
      </c>
      <c r="F113" s="25">
        <v>1</v>
      </c>
      <c r="G113" s="25">
        <f t="shared" si="4"/>
        <v>0</v>
      </c>
      <c r="H113" s="25"/>
      <c r="I113" s="25"/>
      <c r="J113" s="22" t="s">
        <v>183</v>
      </c>
      <c r="K113" s="22" t="s">
        <v>193</v>
      </c>
      <c r="L113" s="22" t="s">
        <v>24</v>
      </c>
      <c r="M113" s="22" t="s">
        <v>71</v>
      </c>
      <c r="N113" s="22"/>
    </row>
    <row r="114" spans="1:14">
      <c r="A114" s="22"/>
      <c r="B114" s="473" t="s">
        <v>775</v>
      </c>
      <c r="C114" s="473"/>
      <c r="D114" s="473"/>
      <c r="E114" s="473"/>
      <c r="F114" s="473"/>
      <c r="G114" s="473"/>
      <c r="H114" s="473"/>
      <c r="I114" s="473"/>
      <c r="J114" s="473"/>
      <c r="K114" s="473"/>
      <c r="L114" s="473"/>
      <c r="M114" s="473"/>
      <c r="N114" s="473"/>
    </row>
    <row r="115" spans="1:14" ht="25.5">
      <c r="A115" s="22">
        <v>1</v>
      </c>
      <c r="B115" s="23" t="s">
        <v>132</v>
      </c>
      <c r="C115" s="22" t="s">
        <v>194</v>
      </c>
      <c r="D115" s="24"/>
      <c r="E115" s="25">
        <v>1</v>
      </c>
      <c r="F115" s="25">
        <v>1</v>
      </c>
      <c r="G115" s="25">
        <f t="shared" si="4"/>
        <v>0</v>
      </c>
      <c r="H115" s="25"/>
      <c r="I115" s="25"/>
      <c r="J115" s="22" t="s">
        <v>183</v>
      </c>
      <c r="K115" s="22" t="s">
        <v>195</v>
      </c>
      <c r="L115" s="22" t="s">
        <v>24</v>
      </c>
      <c r="M115" s="22" t="s">
        <v>71</v>
      </c>
      <c r="N115" s="22"/>
    </row>
    <row r="116" spans="1:14" ht="25.5">
      <c r="A116" s="22">
        <v>2</v>
      </c>
      <c r="B116" s="23" t="s">
        <v>196</v>
      </c>
      <c r="C116" s="22" t="s">
        <v>197</v>
      </c>
      <c r="D116" s="24"/>
      <c r="E116" s="25">
        <v>1</v>
      </c>
      <c r="F116" s="25">
        <v>1</v>
      </c>
      <c r="G116" s="25">
        <f t="shared" si="4"/>
        <v>0</v>
      </c>
      <c r="H116" s="25"/>
      <c r="I116" s="25"/>
      <c r="J116" s="22" t="s">
        <v>183</v>
      </c>
      <c r="K116" s="22" t="s">
        <v>195</v>
      </c>
      <c r="L116" s="22" t="s">
        <v>24</v>
      </c>
      <c r="M116" s="22" t="s">
        <v>71</v>
      </c>
      <c r="N116" s="22"/>
    </row>
    <row r="117" spans="1:14" ht="25.5">
      <c r="A117" s="22">
        <v>3</v>
      </c>
      <c r="B117" s="23" t="s">
        <v>139</v>
      </c>
      <c r="C117" s="22" t="s">
        <v>198</v>
      </c>
      <c r="D117" s="24"/>
      <c r="E117" s="25">
        <v>1</v>
      </c>
      <c r="F117" s="25">
        <v>1</v>
      </c>
      <c r="G117" s="25">
        <f t="shared" si="4"/>
        <v>0</v>
      </c>
      <c r="H117" s="25"/>
      <c r="I117" s="25"/>
      <c r="J117" s="22" t="s">
        <v>183</v>
      </c>
      <c r="K117" s="22" t="s">
        <v>195</v>
      </c>
      <c r="L117" s="22" t="s">
        <v>24</v>
      </c>
      <c r="M117" s="22" t="s">
        <v>71</v>
      </c>
      <c r="N117" s="22"/>
    </row>
    <row r="118" spans="1:14" ht="25.5">
      <c r="A118" s="22">
        <v>4</v>
      </c>
      <c r="B118" s="23" t="s">
        <v>175</v>
      </c>
      <c r="C118" s="22" t="s">
        <v>199</v>
      </c>
      <c r="D118" s="24"/>
      <c r="E118" s="25">
        <v>2</v>
      </c>
      <c r="F118" s="25">
        <v>2</v>
      </c>
      <c r="G118" s="25">
        <f t="shared" si="4"/>
        <v>0</v>
      </c>
      <c r="H118" s="25"/>
      <c r="I118" s="25"/>
      <c r="J118" s="22" t="s">
        <v>183</v>
      </c>
      <c r="K118" s="22" t="s">
        <v>195</v>
      </c>
      <c r="L118" s="22" t="s">
        <v>24</v>
      </c>
      <c r="M118" s="22" t="s">
        <v>71</v>
      </c>
      <c r="N118" s="22"/>
    </row>
    <row r="119" spans="1:14" ht="25.5">
      <c r="A119" s="22">
        <v>5</v>
      </c>
      <c r="B119" s="23" t="s">
        <v>200</v>
      </c>
      <c r="C119" s="22" t="s">
        <v>201</v>
      </c>
      <c r="D119" s="24"/>
      <c r="E119" s="25">
        <v>2</v>
      </c>
      <c r="F119" s="25">
        <v>2</v>
      </c>
      <c r="G119" s="25">
        <f t="shared" si="4"/>
        <v>0</v>
      </c>
      <c r="H119" s="25"/>
      <c r="I119" s="25"/>
      <c r="J119" s="22" t="s">
        <v>183</v>
      </c>
      <c r="K119" s="22" t="s">
        <v>195</v>
      </c>
      <c r="L119" s="22" t="s">
        <v>945</v>
      </c>
      <c r="M119" s="22" t="s">
        <v>71</v>
      </c>
      <c r="N119" s="22" t="s">
        <v>202</v>
      </c>
    </row>
    <row r="120" spans="1:14">
      <c r="A120" s="22"/>
      <c r="B120" s="473" t="s">
        <v>796</v>
      </c>
      <c r="C120" s="473"/>
      <c r="D120" s="473"/>
      <c r="E120" s="473"/>
      <c r="F120" s="473"/>
      <c r="G120" s="473"/>
      <c r="H120" s="473"/>
      <c r="I120" s="473"/>
      <c r="J120" s="473"/>
      <c r="K120" s="473"/>
      <c r="L120" s="473"/>
      <c r="M120" s="473"/>
      <c r="N120" s="473"/>
    </row>
    <row r="121" spans="1:14" ht="76.5">
      <c r="A121" s="22">
        <v>1</v>
      </c>
      <c r="B121" s="23" t="s">
        <v>49</v>
      </c>
      <c r="C121" s="22" t="s">
        <v>122</v>
      </c>
      <c r="D121" s="24">
        <v>2022</v>
      </c>
      <c r="E121" s="25">
        <v>1</v>
      </c>
      <c r="F121" s="25">
        <v>1</v>
      </c>
      <c r="G121" s="25">
        <f t="shared" si="4"/>
        <v>0</v>
      </c>
      <c r="H121" s="25"/>
      <c r="I121" s="25"/>
      <c r="J121" s="22" t="s">
        <v>203</v>
      </c>
      <c r="K121" s="22" t="s">
        <v>204</v>
      </c>
      <c r="L121" s="22" t="s">
        <v>24</v>
      </c>
      <c r="M121" s="22" t="s">
        <v>51</v>
      </c>
      <c r="N121" s="22"/>
    </row>
    <row r="122" spans="1:14" ht="51">
      <c r="A122" s="22">
        <v>2</v>
      </c>
      <c r="B122" s="23" t="s">
        <v>147</v>
      </c>
      <c r="C122" s="22" t="s">
        <v>205</v>
      </c>
      <c r="D122" s="24">
        <v>2022</v>
      </c>
      <c r="E122" s="25">
        <v>1</v>
      </c>
      <c r="F122" s="25">
        <v>1</v>
      </c>
      <c r="G122" s="25">
        <f t="shared" si="4"/>
        <v>0</v>
      </c>
      <c r="H122" s="25"/>
      <c r="I122" s="25"/>
      <c r="J122" s="22" t="s">
        <v>203</v>
      </c>
      <c r="K122" s="22" t="s">
        <v>204</v>
      </c>
      <c r="L122" s="22" t="s">
        <v>24</v>
      </c>
      <c r="M122" s="22" t="s">
        <v>51</v>
      </c>
      <c r="N122" s="22"/>
    </row>
    <row r="123" spans="1:14" ht="25.5">
      <c r="A123" s="22">
        <v>3</v>
      </c>
      <c r="B123" s="23" t="s">
        <v>206</v>
      </c>
      <c r="C123" s="22" t="s">
        <v>207</v>
      </c>
      <c r="D123" s="24"/>
      <c r="E123" s="25">
        <v>1</v>
      </c>
      <c r="F123" s="25">
        <v>1</v>
      </c>
      <c r="G123" s="25">
        <f t="shared" si="4"/>
        <v>0</v>
      </c>
      <c r="H123" s="30">
        <v>8000000</v>
      </c>
      <c r="I123" s="30">
        <v>8000000</v>
      </c>
      <c r="J123" s="22" t="s">
        <v>203</v>
      </c>
      <c r="K123" s="22" t="s">
        <v>20</v>
      </c>
      <c r="L123" s="22" t="s">
        <v>24</v>
      </c>
      <c r="M123" s="22" t="s">
        <v>71</v>
      </c>
      <c r="N123" s="22"/>
    </row>
    <row r="124" spans="1:14">
      <c r="A124" s="22"/>
      <c r="B124" s="473" t="s">
        <v>775</v>
      </c>
      <c r="C124" s="473"/>
      <c r="D124" s="473"/>
      <c r="E124" s="473"/>
      <c r="F124" s="473"/>
      <c r="G124" s="473"/>
      <c r="H124" s="473"/>
      <c r="I124" s="473"/>
      <c r="J124" s="473"/>
      <c r="K124" s="473"/>
      <c r="L124" s="473"/>
      <c r="M124" s="473"/>
      <c r="N124" s="473"/>
    </row>
    <row r="125" spans="1:14" ht="38.25">
      <c r="A125" s="22">
        <v>1</v>
      </c>
      <c r="B125" s="23" t="s">
        <v>128</v>
      </c>
      <c r="C125" s="22" t="s">
        <v>87</v>
      </c>
      <c r="D125" s="24">
        <v>2022</v>
      </c>
      <c r="E125" s="25">
        <v>1</v>
      </c>
      <c r="F125" s="25">
        <v>1</v>
      </c>
      <c r="G125" s="25">
        <f t="shared" si="4"/>
        <v>0</v>
      </c>
      <c r="H125" s="25"/>
      <c r="I125" s="25"/>
      <c r="J125" s="22" t="s">
        <v>208</v>
      </c>
      <c r="K125" s="22"/>
      <c r="L125" s="22" t="s">
        <v>24</v>
      </c>
      <c r="M125" s="22" t="s">
        <v>150</v>
      </c>
      <c r="N125" s="22" t="s">
        <v>129</v>
      </c>
    </row>
    <row r="126" spans="1:14" ht="25.5">
      <c r="A126" s="22">
        <v>2</v>
      </c>
      <c r="B126" s="23" t="s">
        <v>179</v>
      </c>
      <c r="C126" s="22" t="s">
        <v>209</v>
      </c>
      <c r="D126" s="24"/>
      <c r="E126" s="25">
        <v>1</v>
      </c>
      <c r="F126" s="25">
        <v>1</v>
      </c>
      <c r="G126" s="25">
        <f t="shared" si="4"/>
        <v>0</v>
      </c>
      <c r="H126" s="25"/>
      <c r="I126" s="25"/>
      <c r="J126" s="22" t="s">
        <v>203</v>
      </c>
      <c r="K126" s="22"/>
      <c r="L126" s="22" t="s">
        <v>95</v>
      </c>
      <c r="M126" s="22" t="s">
        <v>71</v>
      </c>
      <c r="N126" s="22" t="s">
        <v>946</v>
      </c>
    </row>
    <row r="127" spans="1:14" ht="25.5">
      <c r="A127" s="22">
        <v>3</v>
      </c>
      <c r="B127" s="23" t="s">
        <v>175</v>
      </c>
      <c r="C127" s="22" t="s">
        <v>210</v>
      </c>
      <c r="D127" s="24"/>
      <c r="E127" s="25">
        <v>3</v>
      </c>
      <c r="F127" s="25">
        <v>3</v>
      </c>
      <c r="G127" s="25">
        <f t="shared" si="4"/>
        <v>0</v>
      </c>
      <c r="H127" s="25"/>
      <c r="I127" s="25"/>
      <c r="J127" s="22" t="s">
        <v>203</v>
      </c>
      <c r="K127" s="22"/>
      <c r="L127" s="22" t="s">
        <v>24</v>
      </c>
      <c r="M127" s="22" t="s">
        <v>71</v>
      </c>
      <c r="N127" s="22"/>
    </row>
    <row r="128" spans="1:14" ht="51">
      <c r="A128" s="22">
        <v>4</v>
      </c>
      <c r="B128" s="23" t="s">
        <v>132</v>
      </c>
      <c r="C128" s="22" t="s">
        <v>211</v>
      </c>
      <c r="D128" s="24"/>
      <c r="E128" s="25">
        <v>2</v>
      </c>
      <c r="F128" s="25">
        <v>2</v>
      </c>
      <c r="G128" s="25">
        <f t="shared" si="4"/>
        <v>0</v>
      </c>
      <c r="H128" s="25"/>
      <c r="I128" s="25"/>
      <c r="J128" s="22" t="s">
        <v>203</v>
      </c>
      <c r="K128" s="22"/>
      <c r="L128" s="22" t="s">
        <v>24</v>
      </c>
      <c r="M128" s="22" t="s">
        <v>71</v>
      </c>
      <c r="N128" s="22" t="s">
        <v>757</v>
      </c>
    </row>
    <row r="129" spans="1:15" ht="51">
      <c r="A129" s="22">
        <v>5</v>
      </c>
      <c r="B129" s="23" t="s">
        <v>135</v>
      </c>
      <c r="C129" s="22" t="s">
        <v>212</v>
      </c>
      <c r="D129" s="24"/>
      <c r="E129" s="25">
        <v>2</v>
      </c>
      <c r="F129" s="25">
        <v>2</v>
      </c>
      <c r="G129" s="25">
        <f t="shared" si="4"/>
        <v>0</v>
      </c>
      <c r="H129" s="25"/>
      <c r="I129" s="25"/>
      <c r="J129" s="22" t="s">
        <v>203</v>
      </c>
      <c r="K129" s="22"/>
      <c r="L129" s="22" t="s">
        <v>24</v>
      </c>
      <c r="M129" s="22" t="s">
        <v>71</v>
      </c>
      <c r="N129" s="22" t="s">
        <v>757</v>
      </c>
    </row>
    <row r="130" spans="1:15" ht="25.5">
      <c r="A130" s="22">
        <v>6</v>
      </c>
      <c r="B130" s="23" t="s">
        <v>213</v>
      </c>
      <c r="C130" s="22" t="s">
        <v>214</v>
      </c>
      <c r="D130" s="24"/>
      <c r="E130" s="25">
        <v>1</v>
      </c>
      <c r="F130" s="25">
        <v>1</v>
      </c>
      <c r="G130" s="25">
        <f t="shared" si="4"/>
        <v>0</v>
      </c>
      <c r="H130" s="25"/>
      <c r="I130" s="25"/>
      <c r="J130" s="22" t="s">
        <v>203</v>
      </c>
      <c r="K130" s="22" t="s">
        <v>141</v>
      </c>
      <c r="L130" s="22" t="s">
        <v>24</v>
      </c>
      <c r="M130" s="22" t="s">
        <v>71</v>
      </c>
      <c r="N130" s="22"/>
    </row>
    <row r="131" spans="1:15" ht="25.5">
      <c r="A131" s="22">
        <v>7</v>
      </c>
      <c r="B131" s="23" t="s">
        <v>130</v>
      </c>
      <c r="C131" s="22" t="s">
        <v>192</v>
      </c>
      <c r="D131" s="24"/>
      <c r="E131" s="25">
        <v>1</v>
      </c>
      <c r="F131" s="25">
        <v>1</v>
      </c>
      <c r="G131" s="25">
        <f t="shared" si="4"/>
        <v>0</v>
      </c>
      <c r="H131" s="25"/>
      <c r="I131" s="25"/>
      <c r="J131" s="22" t="s">
        <v>203</v>
      </c>
      <c r="K131" s="22"/>
      <c r="L131" s="22" t="s">
        <v>24</v>
      </c>
      <c r="M131" s="22" t="s">
        <v>71</v>
      </c>
      <c r="N131" s="22"/>
    </row>
    <row r="132" spans="1:15" ht="25.5">
      <c r="A132" s="22">
        <v>8</v>
      </c>
      <c r="B132" s="23" t="s">
        <v>139</v>
      </c>
      <c r="C132" s="22" t="s">
        <v>215</v>
      </c>
      <c r="D132" s="24"/>
      <c r="E132" s="25">
        <v>2</v>
      </c>
      <c r="F132" s="25">
        <v>2</v>
      </c>
      <c r="G132" s="25">
        <f t="shared" si="4"/>
        <v>0</v>
      </c>
      <c r="H132" s="25"/>
      <c r="I132" s="25"/>
      <c r="J132" s="22" t="s">
        <v>203</v>
      </c>
      <c r="K132" s="22"/>
      <c r="L132" s="22" t="s">
        <v>24</v>
      </c>
      <c r="M132" s="22" t="s">
        <v>71</v>
      </c>
      <c r="N132" s="22" t="s">
        <v>216</v>
      </c>
    </row>
    <row r="133" spans="1:15" ht="25.5">
      <c r="A133" s="22">
        <v>9</v>
      </c>
      <c r="B133" s="23" t="s">
        <v>217</v>
      </c>
      <c r="C133" s="22" t="s">
        <v>218</v>
      </c>
      <c r="D133" s="24"/>
      <c r="E133" s="25">
        <v>1</v>
      </c>
      <c r="F133" s="25">
        <v>1</v>
      </c>
      <c r="G133" s="25">
        <f t="shared" si="4"/>
        <v>0</v>
      </c>
      <c r="H133" s="25"/>
      <c r="I133" s="25"/>
      <c r="J133" s="22" t="s">
        <v>203</v>
      </c>
      <c r="K133" s="22"/>
      <c r="L133" s="22" t="s">
        <v>24</v>
      </c>
      <c r="M133" s="22" t="s">
        <v>71</v>
      </c>
      <c r="N133" s="22"/>
    </row>
    <row r="134" spans="1:15" ht="25.5">
      <c r="A134" s="22">
        <v>10</v>
      </c>
      <c r="B134" s="23" t="s">
        <v>219</v>
      </c>
      <c r="C134" s="22" t="s">
        <v>220</v>
      </c>
      <c r="D134" s="24"/>
      <c r="E134" s="25">
        <v>1</v>
      </c>
      <c r="F134" s="25">
        <v>1</v>
      </c>
      <c r="G134" s="25">
        <f t="shared" si="4"/>
        <v>0</v>
      </c>
      <c r="H134" s="25"/>
      <c r="I134" s="25"/>
      <c r="J134" s="22" t="s">
        <v>203</v>
      </c>
      <c r="K134" s="22"/>
      <c r="L134" s="22" t="s">
        <v>24</v>
      </c>
      <c r="M134" s="22" t="s">
        <v>71</v>
      </c>
      <c r="N134" s="22"/>
    </row>
    <row r="135" spans="1:15">
      <c r="A135" s="22"/>
      <c r="B135" s="473" t="s">
        <v>797</v>
      </c>
      <c r="C135" s="473"/>
      <c r="D135" s="473"/>
      <c r="E135" s="473"/>
      <c r="F135" s="473"/>
      <c r="G135" s="473"/>
      <c r="H135" s="473"/>
      <c r="I135" s="473"/>
      <c r="J135" s="473"/>
      <c r="K135" s="473"/>
      <c r="L135" s="473"/>
      <c r="M135" s="473"/>
      <c r="N135" s="473"/>
    </row>
    <row r="136" spans="1:15" ht="63.75">
      <c r="A136" s="22">
        <v>1</v>
      </c>
      <c r="B136" s="23" t="s">
        <v>76</v>
      </c>
      <c r="C136" s="22" t="s">
        <v>224</v>
      </c>
      <c r="D136" s="24">
        <v>2022</v>
      </c>
      <c r="E136" s="25">
        <v>7</v>
      </c>
      <c r="F136" s="25">
        <v>7</v>
      </c>
      <c r="G136" s="25">
        <f t="shared" si="4"/>
        <v>0</v>
      </c>
      <c r="H136" s="25"/>
      <c r="I136" s="25"/>
      <c r="J136" s="22" t="s">
        <v>222</v>
      </c>
      <c r="K136" s="22" t="s">
        <v>223</v>
      </c>
      <c r="L136" s="22" t="s">
        <v>24</v>
      </c>
      <c r="M136" s="22" t="s">
        <v>51</v>
      </c>
      <c r="N136" s="22"/>
    </row>
    <row r="137" spans="1:15">
      <c r="A137" s="22"/>
      <c r="B137" s="473" t="s">
        <v>775</v>
      </c>
      <c r="C137" s="473"/>
      <c r="D137" s="473"/>
      <c r="E137" s="473"/>
      <c r="F137" s="473"/>
      <c r="G137" s="473"/>
      <c r="H137" s="473"/>
      <c r="I137" s="473"/>
      <c r="J137" s="473"/>
      <c r="K137" s="473"/>
      <c r="L137" s="473"/>
      <c r="M137" s="473"/>
      <c r="N137" s="473"/>
    </row>
    <row r="138" spans="1:15" ht="38.25">
      <c r="A138" s="22">
        <v>1</v>
      </c>
      <c r="B138" s="23" t="s">
        <v>225</v>
      </c>
      <c r="C138" s="22" t="s">
        <v>226</v>
      </c>
      <c r="D138" s="24"/>
      <c r="E138" s="25">
        <v>1</v>
      </c>
      <c r="F138" s="25">
        <v>1</v>
      </c>
      <c r="G138" s="25">
        <f t="shared" si="4"/>
        <v>0</v>
      </c>
      <c r="H138" s="25"/>
      <c r="I138" s="25"/>
      <c r="J138" s="22" t="s">
        <v>222</v>
      </c>
      <c r="K138" s="22" t="s">
        <v>227</v>
      </c>
      <c r="L138" s="22" t="s">
        <v>24</v>
      </c>
      <c r="M138" s="22" t="s">
        <v>71</v>
      </c>
      <c r="N138" s="31" t="s">
        <v>759</v>
      </c>
    </row>
    <row r="139" spans="1:15">
      <c r="A139" s="22"/>
      <c r="B139" s="473" t="s">
        <v>798</v>
      </c>
      <c r="C139" s="473"/>
      <c r="D139" s="473"/>
      <c r="E139" s="473"/>
      <c r="F139" s="473"/>
      <c r="G139" s="473"/>
      <c r="H139" s="473"/>
      <c r="I139" s="473"/>
      <c r="J139" s="473"/>
      <c r="K139" s="473"/>
      <c r="L139" s="473"/>
      <c r="M139" s="473"/>
      <c r="N139" s="473"/>
    </row>
    <row r="140" spans="1:15" ht="63.75">
      <c r="A140" s="22">
        <v>1</v>
      </c>
      <c r="B140" s="23" t="s">
        <v>831</v>
      </c>
      <c r="C140" s="22" t="s">
        <v>229</v>
      </c>
      <c r="D140" s="24">
        <v>2022</v>
      </c>
      <c r="E140" s="25">
        <v>6</v>
      </c>
      <c r="F140" s="25">
        <v>6</v>
      </c>
      <c r="G140" s="25">
        <f t="shared" si="4"/>
        <v>0</v>
      </c>
      <c r="H140" s="25"/>
      <c r="I140" s="25"/>
      <c r="J140" s="22" t="s">
        <v>230</v>
      </c>
      <c r="K140" s="22" t="s">
        <v>231</v>
      </c>
      <c r="L140" s="22" t="s">
        <v>232</v>
      </c>
      <c r="M140" s="22" t="s">
        <v>51</v>
      </c>
      <c r="N140" s="23"/>
    </row>
    <row r="141" spans="1:15" ht="76.5">
      <c r="A141" s="22">
        <v>2</v>
      </c>
      <c r="B141" s="23" t="s">
        <v>233</v>
      </c>
      <c r="C141" s="22" t="s">
        <v>234</v>
      </c>
      <c r="D141" s="24">
        <v>2022</v>
      </c>
      <c r="E141" s="25">
        <v>5</v>
      </c>
      <c r="F141" s="25">
        <v>4</v>
      </c>
      <c r="G141" s="25">
        <f t="shared" si="4"/>
        <v>-1</v>
      </c>
      <c r="H141" s="25"/>
      <c r="I141" s="25"/>
      <c r="J141" s="22" t="s">
        <v>230</v>
      </c>
      <c r="K141" s="22" t="s">
        <v>231</v>
      </c>
      <c r="L141" s="22" t="s">
        <v>24</v>
      </c>
      <c r="M141" s="22" t="s">
        <v>51</v>
      </c>
      <c r="N141" s="22" t="s">
        <v>235</v>
      </c>
      <c r="O141" s="20" t="s">
        <v>944</v>
      </c>
    </row>
    <row r="142" spans="1:15">
      <c r="A142" s="22"/>
      <c r="B142" s="473" t="s">
        <v>775</v>
      </c>
      <c r="C142" s="473"/>
      <c r="D142" s="473"/>
      <c r="E142" s="473"/>
      <c r="F142" s="473"/>
      <c r="G142" s="473"/>
      <c r="H142" s="473"/>
      <c r="I142" s="473"/>
      <c r="J142" s="473"/>
      <c r="K142" s="473"/>
      <c r="L142" s="473"/>
      <c r="M142" s="473"/>
      <c r="N142" s="473"/>
    </row>
    <row r="143" spans="1:15" ht="51">
      <c r="A143" s="22">
        <v>1</v>
      </c>
      <c r="B143" s="23" t="s">
        <v>228</v>
      </c>
      <c r="C143" s="22" t="s">
        <v>221</v>
      </c>
      <c r="D143" s="24">
        <v>2022</v>
      </c>
      <c r="E143" s="25">
        <v>1</v>
      </c>
      <c r="F143" s="25">
        <v>1</v>
      </c>
      <c r="G143" s="25">
        <f t="shared" si="4"/>
        <v>0</v>
      </c>
      <c r="H143" s="25"/>
      <c r="I143" s="25"/>
      <c r="J143" s="22" t="s">
        <v>236</v>
      </c>
      <c r="K143" s="22"/>
      <c r="L143" s="22" t="s">
        <v>24</v>
      </c>
      <c r="M143" s="22" t="s">
        <v>51</v>
      </c>
      <c r="N143" s="22"/>
    </row>
    <row r="144" spans="1:15">
      <c r="A144" s="22"/>
      <c r="B144" s="473" t="s">
        <v>775</v>
      </c>
      <c r="C144" s="473"/>
      <c r="D144" s="473"/>
      <c r="E144" s="473"/>
      <c r="F144" s="473"/>
      <c r="G144" s="473"/>
      <c r="H144" s="473"/>
      <c r="I144" s="473"/>
      <c r="J144" s="473"/>
      <c r="K144" s="473"/>
      <c r="L144" s="473"/>
      <c r="M144" s="473"/>
      <c r="N144" s="473"/>
    </row>
    <row r="145" spans="1:14" ht="25.5">
      <c r="A145" s="22">
        <v>1</v>
      </c>
      <c r="B145" s="23" t="s">
        <v>237</v>
      </c>
      <c r="C145" s="22" t="s">
        <v>238</v>
      </c>
      <c r="D145" s="24"/>
      <c r="E145" s="25">
        <v>1</v>
      </c>
      <c r="F145" s="25">
        <v>1</v>
      </c>
      <c r="G145" s="25">
        <f t="shared" si="4"/>
        <v>0</v>
      </c>
      <c r="H145" s="25"/>
      <c r="I145" s="25"/>
      <c r="J145" s="22" t="s">
        <v>236</v>
      </c>
      <c r="K145" s="22" t="s">
        <v>239</v>
      </c>
      <c r="L145" s="22" t="s">
        <v>24</v>
      </c>
      <c r="M145" s="22" t="s">
        <v>71</v>
      </c>
      <c r="N145" s="22"/>
    </row>
    <row r="146" spans="1:14" ht="25.5">
      <c r="A146" s="22">
        <v>2</v>
      </c>
      <c r="B146" s="23" t="s">
        <v>240</v>
      </c>
      <c r="C146" s="22" t="s">
        <v>241</v>
      </c>
      <c r="D146" s="24"/>
      <c r="E146" s="25">
        <v>1</v>
      </c>
      <c r="F146" s="25">
        <v>1</v>
      </c>
      <c r="G146" s="25">
        <f t="shared" si="4"/>
        <v>0</v>
      </c>
      <c r="H146" s="25"/>
      <c r="I146" s="25"/>
      <c r="J146" s="22" t="s">
        <v>236</v>
      </c>
      <c r="K146" s="22" t="s">
        <v>239</v>
      </c>
      <c r="L146" s="22" t="s">
        <v>24</v>
      </c>
      <c r="M146" s="22" t="s">
        <v>71</v>
      </c>
      <c r="N146" s="22"/>
    </row>
    <row r="147" spans="1:14" ht="25.5">
      <c r="A147" s="22">
        <v>3</v>
      </c>
      <c r="B147" s="23" t="s">
        <v>130</v>
      </c>
      <c r="C147" s="22" t="s">
        <v>242</v>
      </c>
      <c r="D147" s="24"/>
      <c r="E147" s="25">
        <v>1</v>
      </c>
      <c r="F147" s="25">
        <v>1</v>
      </c>
      <c r="G147" s="25">
        <f t="shared" si="4"/>
        <v>0</v>
      </c>
      <c r="H147" s="25"/>
      <c r="I147" s="25"/>
      <c r="J147" s="22" t="s">
        <v>236</v>
      </c>
      <c r="K147" s="22" t="s">
        <v>239</v>
      </c>
      <c r="L147" s="22" t="s">
        <v>24</v>
      </c>
      <c r="M147" s="22" t="s">
        <v>71</v>
      </c>
      <c r="N147" s="22"/>
    </row>
    <row r="148" spans="1:14" ht="25.5">
      <c r="A148" s="22">
        <v>4</v>
      </c>
      <c r="B148" s="23" t="s">
        <v>135</v>
      </c>
      <c r="C148" s="22" t="s">
        <v>243</v>
      </c>
      <c r="D148" s="24"/>
      <c r="E148" s="25">
        <v>1</v>
      </c>
      <c r="F148" s="25">
        <v>1</v>
      </c>
      <c r="G148" s="25">
        <f t="shared" si="4"/>
        <v>0</v>
      </c>
      <c r="H148" s="25"/>
      <c r="I148" s="25"/>
      <c r="J148" s="22" t="s">
        <v>236</v>
      </c>
      <c r="K148" s="22" t="s">
        <v>144</v>
      </c>
      <c r="L148" s="22" t="s">
        <v>95</v>
      </c>
      <c r="M148" s="22" t="s">
        <v>71</v>
      </c>
      <c r="N148" s="22" t="s">
        <v>244</v>
      </c>
    </row>
    <row r="149" spans="1:14" ht="25.5">
      <c r="A149" s="22">
        <v>5</v>
      </c>
      <c r="B149" s="23" t="s">
        <v>245</v>
      </c>
      <c r="C149" s="22" t="s">
        <v>246</v>
      </c>
      <c r="D149" s="24"/>
      <c r="E149" s="25">
        <v>1</v>
      </c>
      <c r="F149" s="25">
        <v>1</v>
      </c>
      <c r="G149" s="25">
        <f t="shared" si="4"/>
        <v>0</v>
      </c>
      <c r="H149" s="25"/>
      <c r="I149" s="25"/>
      <c r="J149" s="22" t="s">
        <v>236</v>
      </c>
      <c r="K149" s="22" t="s">
        <v>247</v>
      </c>
      <c r="L149" s="22" t="s">
        <v>24</v>
      </c>
      <c r="M149" s="22" t="s">
        <v>71</v>
      </c>
      <c r="N149" s="22"/>
    </row>
    <row r="150" spans="1:14">
      <c r="A150" s="22"/>
      <c r="B150" s="473" t="s">
        <v>799</v>
      </c>
      <c r="C150" s="473"/>
      <c r="D150" s="473"/>
      <c r="E150" s="473"/>
      <c r="F150" s="473"/>
      <c r="G150" s="473"/>
      <c r="H150" s="473"/>
      <c r="I150" s="473"/>
      <c r="J150" s="473"/>
      <c r="K150" s="473"/>
      <c r="L150" s="473"/>
      <c r="M150" s="473"/>
      <c r="N150" s="473"/>
    </row>
    <row r="151" spans="1:14" ht="25.5">
      <c r="A151" s="22">
        <v>1</v>
      </c>
      <c r="B151" s="23" t="s">
        <v>758</v>
      </c>
      <c r="C151" s="22" t="s">
        <v>248</v>
      </c>
      <c r="D151" s="24">
        <v>2003</v>
      </c>
      <c r="E151" s="25">
        <v>1</v>
      </c>
      <c r="F151" s="25">
        <v>1</v>
      </c>
      <c r="G151" s="25">
        <f t="shared" si="4"/>
        <v>0</v>
      </c>
      <c r="H151" s="25"/>
      <c r="I151" s="25"/>
      <c r="J151" s="22" t="s">
        <v>249</v>
      </c>
      <c r="K151" s="22" t="s">
        <v>20</v>
      </c>
      <c r="L151" s="22" t="s">
        <v>250</v>
      </c>
      <c r="M151" s="22" t="s">
        <v>71</v>
      </c>
      <c r="N151" s="22"/>
    </row>
    <row r="152" spans="1:14" ht="25.5">
      <c r="A152" s="22">
        <v>2</v>
      </c>
      <c r="B152" s="23" t="s">
        <v>251</v>
      </c>
      <c r="C152" s="22" t="s">
        <v>252</v>
      </c>
      <c r="D152" s="24">
        <v>2003</v>
      </c>
      <c r="E152" s="25">
        <v>1</v>
      </c>
      <c r="F152" s="25">
        <v>1</v>
      </c>
      <c r="G152" s="25">
        <f t="shared" si="4"/>
        <v>0</v>
      </c>
      <c r="H152" s="30">
        <v>81900000</v>
      </c>
      <c r="I152" s="30">
        <v>81900000</v>
      </c>
      <c r="J152" s="22" t="s">
        <v>249</v>
      </c>
      <c r="K152" s="22" t="s">
        <v>20</v>
      </c>
      <c r="L152" s="22" t="s">
        <v>253</v>
      </c>
      <c r="M152" s="22" t="s">
        <v>71</v>
      </c>
      <c r="N152" s="22"/>
    </row>
    <row r="153" spans="1:14" ht="38.25">
      <c r="A153" s="22">
        <v>3</v>
      </c>
      <c r="B153" s="23" t="s">
        <v>254</v>
      </c>
      <c r="C153" s="22" t="s">
        <v>255</v>
      </c>
      <c r="D153" s="24">
        <v>2008</v>
      </c>
      <c r="E153" s="25">
        <v>1</v>
      </c>
      <c r="F153" s="25">
        <v>1</v>
      </c>
      <c r="G153" s="25">
        <f t="shared" si="4"/>
        <v>0</v>
      </c>
      <c r="H153" s="28">
        <v>175650000</v>
      </c>
      <c r="I153" s="28">
        <v>175650000</v>
      </c>
      <c r="J153" s="22" t="s">
        <v>249</v>
      </c>
      <c r="K153" s="22" t="s">
        <v>20</v>
      </c>
      <c r="L153" s="22" t="s">
        <v>24</v>
      </c>
      <c r="M153" s="22" t="s">
        <v>256</v>
      </c>
      <c r="N153" s="22"/>
    </row>
    <row r="154" spans="1:14" ht="25.5">
      <c r="A154" s="22">
        <v>4</v>
      </c>
      <c r="B154" s="23" t="s">
        <v>257</v>
      </c>
      <c r="C154" s="22" t="s">
        <v>258</v>
      </c>
      <c r="D154" s="24">
        <v>2003</v>
      </c>
      <c r="E154" s="25">
        <v>1</v>
      </c>
      <c r="F154" s="25">
        <v>1</v>
      </c>
      <c r="G154" s="25">
        <f t="shared" si="4"/>
        <v>0</v>
      </c>
      <c r="H154" s="25"/>
      <c r="I154" s="25"/>
      <c r="J154" s="22" t="s">
        <v>249</v>
      </c>
      <c r="K154" s="22" t="s">
        <v>20</v>
      </c>
      <c r="L154" s="22" t="s">
        <v>24</v>
      </c>
      <c r="M154" s="22" t="s">
        <v>71</v>
      </c>
      <c r="N154" s="22"/>
    </row>
    <row r="155" spans="1:14" ht="25.5">
      <c r="A155" s="22">
        <v>5</v>
      </c>
      <c r="B155" s="23" t="s">
        <v>259</v>
      </c>
      <c r="C155" s="22" t="s">
        <v>260</v>
      </c>
      <c r="D155" s="24"/>
      <c r="E155" s="25">
        <v>1</v>
      </c>
      <c r="F155" s="25">
        <v>1</v>
      </c>
      <c r="G155" s="25">
        <f t="shared" si="4"/>
        <v>0</v>
      </c>
      <c r="H155" s="25"/>
      <c r="I155" s="25"/>
      <c r="J155" s="22" t="s">
        <v>249</v>
      </c>
      <c r="K155" s="22" t="s">
        <v>20</v>
      </c>
      <c r="L155" s="22" t="s">
        <v>24</v>
      </c>
      <c r="M155" s="22" t="s">
        <v>71</v>
      </c>
      <c r="N155" s="22"/>
    </row>
    <row r="156" spans="1:14">
      <c r="A156" s="22"/>
      <c r="B156" s="473" t="s">
        <v>775</v>
      </c>
      <c r="C156" s="473"/>
      <c r="D156" s="473"/>
      <c r="E156" s="473"/>
      <c r="F156" s="473"/>
      <c r="G156" s="473"/>
      <c r="H156" s="473"/>
      <c r="I156" s="473"/>
      <c r="J156" s="473"/>
      <c r="K156" s="473"/>
      <c r="L156" s="473"/>
      <c r="M156" s="473"/>
      <c r="N156" s="473"/>
    </row>
    <row r="157" spans="1:14" ht="25.5">
      <c r="A157" s="22">
        <v>1</v>
      </c>
      <c r="B157" s="23" t="s">
        <v>261</v>
      </c>
      <c r="C157" s="22" t="s">
        <v>262</v>
      </c>
      <c r="D157" s="24"/>
      <c r="E157" s="25">
        <v>1</v>
      </c>
      <c r="F157" s="25">
        <v>1</v>
      </c>
      <c r="G157" s="25">
        <f t="shared" si="4"/>
        <v>0</v>
      </c>
      <c r="H157" s="25"/>
      <c r="I157" s="25"/>
      <c r="J157" s="22" t="s">
        <v>249</v>
      </c>
      <c r="K157" s="22" t="s">
        <v>263</v>
      </c>
      <c r="L157" s="22" t="s">
        <v>24</v>
      </c>
      <c r="M157" s="22" t="s">
        <v>71</v>
      </c>
      <c r="N157" s="22"/>
    </row>
    <row r="158" spans="1:14" ht="25.5">
      <c r="A158" s="22">
        <v>2</v>
      </c>
      <c r="B158" s="23" t="s">
        <v>264</v>
      </c>
      <c r="C158" s="22" t="s">
        <v>265</v>
      </c>
      <c r="D158" s="24"/>
      <c r="E158" s="25">
        <v>1</v>
      </c>
      <c r="F158" s="25">
        <v>1</v>
      </c>
      <c r="G158" s="25">
        <f t="shared" si="4"/>
        <v>0</v>
      </c>
      <c r="H158" s="25"/>
      <c r="I158" s="25"/>
      <c r="J158" s="22" t="s">
        <v>249</v>
      </c>
      <c r="K158" s="22" t="s">
        <v>263</v>
      </c>
      <c r="L158" s="22" t="s">
        <v>24</v>
      </c>
      <c r="M158" s="22" t="s">
        <v>71</v>
      </c>
      <c r="N158" s="22"/>
    </row>
    <row r="159" spans="1:14" ht="25.5">
      <c r="A159" s="22">
        <v>3</v>
      </c>
      <c r="B159" s="23" t="s">
        <v>266</v>
      </c>
      <c r="C159" s="22" t="s">
        <v>267</v>
      </c>
      <c r="D159" s="24"/>
      <c r="E159" s="25">
        <v>4</v>
      </c>
      <c r="F159" s="25">
        <v>4</v>
      </c>
      <c r="G159" s="25">
        <f t="shared" si="4"/>
        <v>0</v>
      </c>
      <c r="H159" s="25"/>
      <c r="I159" s="25"/>
      <c r="J159" s="22" t="s">
        <v>249</v>
      </c>
      <c r="K159" s="22" t="s">
        <v>263</v>
      </c>
      <c r="L159" s="22" t="s">
        <v>24</v>
      </c>
      <c r="M159" s="22" t="s">
        <v>71</v>
      </c>
      <c r="N159" s="22"/>
    </row>
    <row r="160" spans="1:14" ht="25.5">
      <c r="A160" s="22">
        <v>4</v>
      </c>
      <c r="B160" s="23" t="s">
        <v>268</v>
      </c>
      <c r="C160" s="22" t="s">
        <v>269</v>
      </c>
      <c r="D160" s="24"/>
      <c r="E160" s="25">
        <v>2</v>
      </c>
      <c r="F160" s="25">
        <v>2</v>
      </c>
      <c r="G160" s="25">
        <f t="shared" si="4"/>
        <v>0</v>
      </c>
      <c r="H160" s="25"/>
      <c r="I160" s="25"/>
      <c r="J160" s="22" t="s">
        <v>249</v>
      </c>
      <c r="K160" s="22" t="s">
        <v>263</v>
      </c>
      <c r="L160" s="22" t="s">
        <v>24</v>
      </c>
      <c r="M160" s="22" t="s">
        <v>71</v>
      </c>
      <c r="N160" s="22" t="s">
        <v>270</v>
      </c>
    </row>
    <row r="161" spans="1:14" ht="25.5">
      <c r="A161" s="22">
        <v>5</v>
      </c>
      <c r="B161" s="23" t="s">
        <v>271</v>
      </c>
      <c r="C161" s="22" t="s">
        <v>272</v>
      </c>
      <c r="D161" s="24"/>
      <c r="E161" s="25">
        <v>1</v>
      </c>
      <c r="F161" s="25">
        <v>1</v>
      </c>
      <c r="G161" s="25">
        <f t="shared" si="4"/>
        <v>0</v>
      </c>
      <c r="H161" s="25"/>
      <c r="I161" s="25"/>
      <c r="J161" s="22" t="s">
        <v>249</v>
      </c>
      <c r="K161" s="22" t="s">
        <v>263</v>
      </c>
      <c r="L161" s="22" t="s">
        <v>24</v>
      </c>
      <c r="M161" s="22" t="s">
        <v>71</v>
      </c>
      <c r="N161" s="22"/>
    </row>
    <row r="162" spans="1:14" ht="25.5">
      <c r="A162" s="22">
        <v>6</v>
      </c>
      <c r="B162" s="23" t="s">
        <v>273</v>
      </c>
      <c r="C162" s="22" t="s">
        <v>274</v>
      </c>
      <c r="D162" s="24"/>
      <c r="E162" s="25">
        <v>2</v>
      </c>
      <c r="F162" s="25">
        <v>2</v>
      </c>
      <c r="G162" s="25">
        <f t="shared" si="4"/>
        <v>0</v>
      </c>
      <c r="H162" s="25"/>
      <c r="I162" s="25"/>
      <c r="J162" s="22" t="s">
        <v>249</v>
      </c>
      <c r="K162" s="22" t="s">
        <v>263</v>
      </c>
      <c r="L162" s="22" t="s">
        <v>24</v>
      </c>
      <c r="M162" s="22" t="s">
        <v>71</v>
      </c>
      <c r="N162" s="22"/>
    </row>
    <row r="163" spans="1:14">
      <c r="A163" s="22"/>
      <c r="B163" s="473" t="s">
        <v>800</v>
      </c>
      <c r="C163" s="473"/>
      <c r="D163" s="473"/>
      <c r="E163" s="473"/>
      <c r="F163" s="473"/>
      <c r="G163" s="473"/>
      <c r="H163" s="473"/>
      <c r="I163" s="473"/>
      <c r="J163" s="473"/>
      <c r="K163" s="473"/>
      <c r="L163" s="473"/>
      <c r="M163" s="473"/>
      <c r="N163" s="473"/>
    </row>
    <row r="164" spans="1:14" ht="51">
      <c r="A164" s="22">
        <v>1</v>
      </c>
      <c r="B164" s="23" t="s">
        <v>76</v>
      </c>
      <c r="C164" s="22" t="s">
        <v>275</v>
      </c>
      <c r="D164" s="24">
        <v>2022</v>
      </c>
      <c r="E164" s="25">
        <v>2</v>
      </c>
      <c r="F164" s="25">
        <v>2</v>
      </c>
      <c r="G164" s="25">
        <f t="shared" si="4"/>
        <v>0</v>
      </c>
      <c r="H164" s="25"/>
      <c r="I164" s="25"/>
      <c r="J164" s="22" t="s">
        <v>276</v>
      </c>
      <c r="K164" s="22" t="s">
        <v>277</v>
      </c>
      <c r="L164" s="22" t="s">
        <v>24</v>
      </c>
      <c r="M164" s="22" t="s">
        <v>51</v>
      </c>
      <c r="N164" s="22"/>
    </row>
    <row r="165" spans="1:14">
      <c r="A165" s="22"/>
      <c r="B165" s="473" t="s">
        <v>801</v>
      </c>
      <c r="C165" s="473"/>
      <c r="D165" s="473"/>
      <c r="E165" s="473"/>
      <c r="F165" s="473"/>
      <c r="G165" s="473"/>
      <c r="H165" s="473"/>
      <c r="I165" s="473"/>
      <c r="J165" s="473"/>
      <c r="K165" s="473"/>
      <c r="L165" s="473"/>
      <c r="M165" s="473"/>
      <c r="N165" s="473"/>
    </row>
    <row r="166" spans="1:14" ht="51">
      <c r="A166" s="22">
        <v>1</v>
      </c>
      <c r="B166" s="23" t="s">
        <v>147</v>
      </c>
      <c r="C166" s="22" t="s">
        <v>278</v>
      </c>
      <c r="D166" s="24">
        <v>2022</v>
      </c>
      <c r="E166" s="25">
        <v>1</v>
      </c>
      <c r="F166" s="25">
        <v>1</v>
      </c>
      <c r="G166" s="25">
        <f t="shared" si="4"/>
        <v>0</v>
      </c>
      <c r="H166" s="25"/>
      <c r="I166" s="25"/>
      <c r="J166" s="22" t="s">
        <v>279</v>
      </c>
      <c r="K166" s="22" t="s">
        <v>280</v>
      </c>
      <c r="L166" s="22" t="s">
        <v>24</v>
      </c>
      <c r="M166" s="22" t="s">
        <v>51</v>
      </c>
      <c r="N166" s="22"/>
    </row>
    <row r="167" spans="1:14" ht="51">
      <c r="A167" s="22">
        <v>2</v>
      </c>
      <c r="B167" s="23" t="s">
        <v>76</v>
      </c>
      <c r="C167" s="22" t="s">
        <v>281</v>
      </c>
      <c r="D167" s="24">
        <v>2022</v>
      </c>
      <c r="E167" s="25">
        <v>3</v>
      </c>
      <c r="F167" s="25">
        <v>3</v>
      </c>
      <c r="G167" s="25">
        <f t="shared" si="4"/>
        <v>0</v>
      </c>
      <c r="H167" s="25"/>
      <c r="I167" s="25"/>
      <c r="J167" s="22" t="s">
        <v>279</v>
      </c>
      <c r="K167" s="22" t="s">
        <v>280</v>
      </c>
      <c r="L167" s="22" t="s">
        <v>24</v>
      </c>
      <c r="M167" s="22" t="s">
        <v>51</v>
      </c>
      <c r="N167" s="22"/>
    </row>
    <row r="168" spans="1:14">
      <c r="A168" s="22"/>
      <c r="B168" s="473" t="s">
        <v>775</v>
      </c>
      <c r="C168" s="473"/>
      <c r="D168" s="473"/>
      <c r="E168" s="473"/>
      <c r="F168" s="473"/>
      <c r="G168" s="473"/>
      <c r="H168" s="473"/>
      <c r="I168" s="473"/>
      <c r="J168" s="473"/>
      <c r="K168" s="473"/>
      <c r="L168" s="473"/>
      <c r="M168" s="473"/>
      <c r="N168" s="473"/>
    </row>
    <row r="169" spans="1:14" ht="51">
      <c r="A169" s="22">
        <v>1</v>
      </c>
      <c r="B169" s="23" t="s">
        <v>282</v>
      </c>
      <c r="C169" s="22" t="s">
        <v>283</v>
      </c>
      <c r="D169" s="24"/>
      <c r="E169" s="25">
        <v>1</v>
      </c>
      <c r="F169" s="25">
        <v>1</v>
      </c>
      <c r="G169" s="25">
        <f t="shared" si="4"/>
        <v>0</v>
      </c>
      <c r="H169" s="25"/>
      <c r="I169" s="25"/>
      <c r="J169" s="22" t="s">
        <v>279</v>
      </c>
      <c r="K169" s="22" t="s">
        <v>284</v>
      </c>
      <c r="L169" s="22" t="s">
        <v>24</v>
      </c>
      <c r="M169" s="22" t="s">
        <v>71</v>
      </c>
      <c r="N169" s="22"/>
    </row>
    <row r="170" spans="1:14" ht="51">
      <c r="A170" s="22">
        <v>2</v>
      </c>
      <c r="B170" s="23" t="s">
        <v>285</v>
      </c>
      <c r="C170" s="22" t="s">
        <v>286</v>
      </c>
      <c r="D170" s="24"/>
      <c r="E170" s="25">
        <v>1</v>
      </c>
      <c r="F170" s="25">
        <v>1</v>
      </c>
      <c r="G170" s="25">
        <f t="shared" si="4"/>
        <v>0</v>
      </c>
      <c r="H170" s="25"/>
      <c r="I170" s="25"/>
      <c r="J170" s="22" t="s">
        <v>279</v>
      </c>
      <c r="K170" s="22" t="s">
        <v>287</v>
      </c>
      <c r="L170" s="22" t="s">
        <v>95</v>
      </c>
      <c r="M170" s="22" t="s">
        <v>71</v>
      </c>
      <c r="N170" s="22" t="s">
        <v>288</v>
      </c>
    </row>
    <row r="171" spans="1:14" ht="51">
      <c r="A171" s="22">
        <v>3</v>
      </c>
      <c r="B171" s="23" t="s">
        <v>289</v>
      </c>
      <c r="C171" s="22" t="s">
        <v>290</v>
      </c>
      <c r="D171" s="24"/>
      <c r="E171" s="25">
        <v>1</v>
      </c>
      <c r="F171" s="25">
        <v>1</v>
      </c>
      <c r="G171" s="25">
        <f t="shared" si="4"/>
        <v>0</v>
      </c>
      <c r="H171" s="25"/>
      <c r="I171" s="25"/>
      <c r="J171" s="22" t="s">
        <v>279</v>
      </c>
      <c r="K171" s="22" t="s">
        <v>291</v>
      </c>
      <c r="L171" s="22" t="s">
        <v>24</v>
      </c>
      <c r="M171" s="22" t="s">
        <v>71</v>
      </c>
      <c r="N171" s="22"/>
    </row>
    <row r="172" spans="1:14" ht="51">
      <c r="A172" s="22">
        <v>4</v>
      </c>
      <c r="B172" s="23" t="s">
        <v>31</v>
      </c>
      <c r="C172" s="22" t="s">
        <v>295</v>
      </c>
      <c r="D172" s="24">
        <v>2019</v>
      </c>
      <c r="E172" s="25">
        <v>1</v>
      </c>
      <c r="F172" s="25">
        <v>1</v>
      </c>
      <c r="G172" s="25">
        <f t="shared" si="4"/>
        <v>0</v>
      </c>
      <c r="H172" s="25"/>
      <c r="I172" s="25"/>
      <c r="J172" s="22" t="s">
        <v>279</v>
      </c>
      <c r="K172" s="22"/>
      <c r="L172" s="22" t="s">
        <v>24</v>
      </c>
      <c r="M172" s="22" t="s">
        <v>71</v>
      </c>
      <c r="N172" s="22" t="s">
        <v>34</v>
      </c>
    </row>
    <row r="173" spans="1:14">
      <c r="A173" s="22"/>
      <c r="B173" s="473" t="s">
        <v>802</v>
      </c>
      <c r="C173" s="473"/>
      <c r="D173" s="473"/>
      <c r="E173" s="473"/>
      <c r="F173" s="473"/>
      <c r="G173" s="473"/>
      <c r="H173" s="473"/>
      <c r="I173" s="473"/>
      <c r="J173" s="473"/>
      <c r="K173" s="473"/>
      <c r="L173" s="473"/>
      <c r="M173" s="473"/>
      <c r="N173" s="473"/>
    </row>
    <row r="174" spans="1:14" ht="51">
      <c r="A174" s="22">
        <v>1</v>
      </c>
      <c r="B174" s="23" t="s">
        <v>147</v>
      </c>
      <c r="C174" s="22" t="s">
        <v>131</v>
      </c>
      <c r="D174" s="24">
        <v>2022</v>
      </c>
      <c r="E174" s="25">
        <v>4</v>
      </c>
      <c r="F174" s="25">
        <v>4</v>
      </c>
      <c r="G174" s="25">
        <f t="shared" si="4"/>
        <v>0</v>
      </c>
      <c r="H174" s="25"/>
      <c r="I174" s="25"/>
      <c r="J174" s="22" t="s">
        <v>296</v>
      </c>
      <c r="K174" s="22" t="s">
        <v>297</v>
      </c>
      <c r="L174" s="22" t="s">
        <v>24</v>
      </c>
      <c r="M174" s="22" t="s">
        <v>51</v>
      </c>
      <c r="N174" s="22"/>
    </row>
    <row r="175" spans="1:14" ht="51">
      <c r="A175" s="22">
        <v>2</v>
      </c>
      <c r="B175" s="23" t="s">
        <v>76</v>
      </c>
      <c r="C175" s="22" t="s">
        <v>275</v>
      </c>
      <c r="D175" s="24">
        <v>2022</v>
      </c>
      <c r="E175" s="25">
        <v>1</v>
      </c>
      <c r="F175" s="25">
        <v>1</v>
      </c>
      <c r="G175" s="25">
        <f t="shared" si="4"/>
        <v>0</v>
      </c>
      <c r="H175" s="25"/>
      <c r="I175" s="25"/>
      <c r="J175" s="22" t="s">
        <v>296</v>
      </c>
      <c r="K175" s="22" t="s">
        <v>297</v>
      </c>
      <c r="L175" s="22" t="s">
        <v>24</v>
      </c>
      <c r="M175" s="22" t="s">
        <v>51</v>
      </c>
      <c r="N175" s="22"/>
    </row>
    <row r="176" spans="1:14" ht="38.25">
      <c r="A176" s="22">
        <v>3</v>
      </c>
      <c r="B176" s="23" t="s">
        <v>298</v>
      </c>
      <c r="C176" s="22" t="s">
        <v>299</v>
      </c>
      <c r="D176" s="24"/>
      <c r="E176" s="25">
        <v>1</v>
      </c>
      <c r="F176" s="25">
        <v>1</v>
      </c>
      <c r="G176" s="25">
        <f t="shared" si="4"/>
        <v>0</v>
      </c>
      <c r="H176" s="25"/>
      <c r="I176" s="25"/>
      <c r="J176" s="22" t="s">
        <v>296</v>
      </c>
      <c r="K176" s="22" t="s">
        <v>20</v>
      </c>
      <c r="L176" s="22" t="s">
        <v>24</v>
      </c>
      <c r="M176" s="22" t="s">
        <v>71</v>
      </c>
      <c r="N176" s="22" t="s">
        <v>300</v>
      </c>
    </row>
    <row r="177" spans="1:14" ht="25.5">
      <c r="A177" s="22">
        <v>4</v>
      </c>
      <c r="B177" s="23" t="s">
        <v>770</v>
      </c>
      <c r="C177" s="22" t="s">
        <v>301</v>
      </c>
      <c r="D177" s="24"/>
      <c r="E177" s="25">
        <v>1</v>
      </c>
      <c r="F177" s="25">
        <v>1</v>
      </c>
      <c r="G177" s="25">
        <f t="shared" si="4"/>
        <v>0</v>
      </c>
      <c r="H177" s="25"/>
      <c r="I177" s="25"/>
      <c r="J177" s="22" t="s">
        <v>296</v>
      </c>
      <c r="K177" s="22" t="s">
        <v>20</v>
      </c>
      <c r="L177" s="22" t="s">
        <v>24</v>
      </c>
      <c r="M177" s="22" t="s">
        <v>71</v>
      </c>
      <c r="N177" s="22"/>
    </row>
    <row r="178" spans="1:14" ht="25.5">
      <c r="A178" s="22">
        <v>5</v>
      </c>
      <c r="B178" s="23" t="s">
        <v>302</v>
      </c>
      <c r="C178" s="22" t="s">
        <v>303</v>
      </c>
      <c r="D178" s="24">
        <v>2005</v>
      </c>
      <c r="E178" s="25">
        <v>1</v>
      </c>
      <c r="F178" s="25">
        <v>1</v>
      </c>
      <c r="G178" s="25">
        <f t="shared" si="4"/>
        <v>0</v>
      </c>
      <c r="H178" s="25"/>
      <c r="I178" s="25"/>
      <c r="J178" s="22" t="s">
        <v>296</v>
      </c>
      <c r="K178" s="22" t="s">
        <v>20</v>
      </c>
      <c r="L178" s="22" t="s">
        <v>24</v>
      </c>
      <c r="M178" s="22" t="s">
        <v>947</v>
      </c>
      <c r="N178" s="22"/>
    </row>
    <row r="179" spans="1:14" ht="25.5">
      <c r="A179" s="22">
        <v>6</v>
      </c>
      <c r="B179" s="23" t="s">
        <v>304</v>
      </c>
      <c r="C179" s="22" t="s">
        <v>305</v>
      </c>
      <c r="D179" s="24">
        <v>1980</v>
      </c>
      <c r="E179" s="25">
        <v>1</v>
      </c>
      <c r="F179" s="25">
        <v>1</v>
      </c>
      <c r="G179" s="25">
        <f t="shared" si="4"/>
        <v>0</v>
      </c>
      <c r="H179" s="25"/>
      <c r="I179" s="25"/>
      <c r="J179" s="22" t="s">
        <v>296</v>
      </c>
      <c r="K179" s="22" t="s">
        <v>20</v>
      </c>
      <c r="L179" s="22" t="s">
        <v>24</v>
      </c>
      <c r="M179" s="22" t="s">
        <v>948</v>
      </c>
      <c r="N179" s="22"/>
    </row>
    <row r="180" spans="1:14" ht="51">
      <c r="A180" s="22">
        <v>7</v>
      </c>
      <c r="B180" s="23" t="s">
        <v>306</v>
      </c>
      <c r="C180" s="22" t="s">
        <v>307</v>
      </c>
      <c r="D180" s="24">
        <v>2020</v>
      </c>
      <c r="E180" s="25">
        <v>1</v>
      </c>
      <c r="F180" s="25">
        <v>1</v>
      </c>
      <c r="G180" s="25">
        <f t="shared" si="4"/>
        <v>0</v>
      </c>
      <c r="H180" s="28">
        <v>10500000</v>
      </c>
      <c r="I180" s="28">
        <v>10500000</v>
      </c>
      <c r="J180" s="22" t="s">
        <v>296</v>
      </c>
      <c r="K180" s="22" t="s">
        <v>308</v>
      </c>
      <c r="L180" s="22" t="s">
        <v>24</v>
      </c>
      <c r="M180" s="22" t="s">
        <v>71</v>
      </c>
      <c r="N180" s="22"/>
    </row>
    <row r="181" spans="1:14" ht="51">
      <c r="A181" s="22">
        <v>8</v>
      </c>
      <c r="B181" s="23" t="s">
        <v>309</v>
      </c>
      <c r="C181" s="22" t="s">
        <v>310</v>
      </c>
      <c r="D181" s="24">
        <v>2024</v>
      </c>
      <c r="E181" s="25">
        <v>1</v>
      </c>
      <c r="F181" s="25">
        <v>1</v>
      </c>
      <c r="G181" s="25">
        <f t="shared" ref="G181:G250" si="5">F181-E181</f>
        <v>0</v>
      </c>
      <c r="H181" s="29">
        <v>9600000</v>
      </c>
      <c r="I181" s="29">
        <v>9600000</v>
      </c>
      <c r="J181" s="22" t="s">
        <v>296</v>
      </c>
      <c r="K181" s="22" t="s">
        <v>20</v>
      </c>
      <c r="L181" s="22" t="s">
        <v>24</v>
      </c>
      <c r="M181" s="22" t="s">
        <v>71</v>
      </c>
      <c r="N181" s="22" t="s">
        <v>102</v>
      </c>
    </row>
    <row r="182" spans="1:14" ht="102">
      <c r="A182" s="22">
        <v>9</v>
      </c>
      <c r="B182" s="23" t="s">
        <v>311</v>
      </c>
      <c r="C182" s="22" t="s">
        <v>312</v>
      </c>
      <c r="D182" s="24">
        <v>2024</v>
      </c>
      <c r="E182" s="25">
        <v>1</v>
      </c>
      <c r="F182" s="25">
        <v>1</v>
      </c>
      <c r="G182" s="25">
        <f t="shared" si="5"/>
        <v>0</v>
      </c>
      <c r="H182" s="29">
        <v>8900000</v>
      </c>
      <c r="I182" s="29">
        <v>8900000</v>
      </c>
      <c r="J182" s="22" t="s">
        <v>296</v>
      </c>
      <c r="K182" s="22" t="s">
        <v>20</v>
      </c>
      <c r="L182" s="22" t="s">
        <v>24</v>
      </c>
      <c r="M182" s="22" t="s">
        <v>71</v>
      </c>
      <c r="N182" s="22" t="s">
        <v>102</v>
      </c>
    </row>
    <row r="183" spans="1:14">
      <c r="A183" s="22"/>
      <c r="B183" s="473" t="s">
        <v>775</v>
      </c>
      <c r="C183" s="473"/>
      <c r="D183" s="473"/>
      <c r="E183" s="473"/>
      <c r="F183" s="473"/>
      <c r="G183" s="473"/>
      <c r="H183" s="473"/>
      <c r="I183" s="473"/>
      <c r="J183" s="473"/>
      <c r="K183" s="473"/>
      <c r="L183" s="473"/>
      <c r="M183" s="473"/>
      <c r="N183" s="473"/>
    </row>
    <row r="184" spans="1:14" ht="25.5">
      <c r="A184" s="22">
        <v>1</v>
      </c>
      <c r="B184" s="23" t="s">
        <v>313</v>
      </c>
      <c r="C184" s="22" t="s">
        <v>314</v>
      </c>
      <c r="D184" s="24"/>
      <c r="E184" s="25">
        <v>1</v>
      </c>
      <c r="F184" s="25">
        <v>1</v>
      </c>
      <c r="G184" s="25">
        <f t="shared" si="5"/>
        <v>0</v>
      </c>
      <c r="H184" s="25"/>
      <c r="I184" s="25"/>
      <c r="J184" s="22" t="s">
        <v>296</v>
      </c>
      <c r="K184" s="22" t="s">
        <v>141</v>
      </c>
      <c r="L184" s="22" t="s">
        <v>24</v>
      </c>
      <c r="M184" s="22" t="s">
        <v>71</v>
      </c>
      <c r="N184" s="22"/>
    </row>
    <row r="185" spans="1:14" ht="25.5">
      <c r="A185" s="22">
        <v>2</v>
      </c>
      <c r="B185" s="23" t="s">
        <v>315</v>
      </c>
      <c r="C185" s="22" t="s">
        <v>316</v>
      </c>
      <c r="D185" s="24"/>
      <c r="E185" s="25">
        <v>1</v>
      </c>
      <c r="F185" s="25">
        <v>1</v>
      </c>
      <c r="G185" s="25">
        <f t="shared" si="5"/>
        <v>0</v>
      </c>
      <c r="H185" s="25"/>
      <c r="I185" s="25"/>
      <c r="J185" s="22" t="s">
        <v>296</v>
      </c>
      <c r="K185" s="22" t="s">
        <v>141</v>
      </c>
      <c r="L185" s="22" t="s">
        <v>24</v>
      </c>
      <c r="M185" s="22" t="s">
        <v>71</v>
      </c>
      <c r="N185" s="22"/>
    </row>
    <row r="186" spans="1:14" ht="25.5">
      <c r="A186" s="22">
        <v>3</v>
      </c>
      <c r="B186" s="23" t="s">
        <v>317</v>
      </c>
      <c r="C186" s="22" t="s">
        <v>318</v>
      </c>
      <c r="D186" s="24"/>
      <c r="E186" s="25">
        <v>2</v>
      </c>
      <c r="F186" s="25">
        <v>2</v>
      </c>
      <c r="G186" s="25">
        <f t="shared" si="5"/>
        <v>0</v>
      </c>
      <c r="H186" s="25"/>
      <c r="I186" s="25"/>
      <c r="J186" s="22" t="s">
        <v>296</v>
      </c>
      <c r="K186" s="22" t="s">
        <v>141</v>
      </c>
      <c r="L186" s="22" t="s">
        <v>24</v>
      </c>
      <c r="M186" s="22" t="s">
        <v>71</v>
      </c>
      <c r="N186" s="22"/>
    </row>
    <row r="187" spans="1:14" ht="25.5">
      <c r="A187" s="22">
        <v>4</v>
      </c>
      <c r="B187" s="23" t="s">
        <v>319</v>
      </c>
      <c r="C187" s="22" t="s">
        <v>320</v>
      </c>
      <c r="D187" s="24"/>
      <c r="E187" s="25">
        <v>1</v>
      </c>
      <c r="F187" s="25">
        <v>1</v>
      </c>
      <c r="G187" s="25">
        <f t="shared" si="5"/>
        <v>0</v>
      </c>
      <c r="H187" s="25"/>
      <c r="I187" s="25"/>
      <c r="J187" s="22" t="s">
        <v>296</v>
      </c>
      <c r="K187" s="22" t="s">
        <v>81</v>
      </c>
      <c r="L187" s="22" t="s">
        <v>24</v>
      </c>
      <c r="M187" s="22" t="s">
        <v>71</v>
      </c>
      <c r="N187" s="22"/>
    </row>
    <row r="188" spans="1:14" ht="25.5">
      <c r="A188" s="22">
        <v>5</v>
      </c>
      <c r="B188" s="23" t="s">
        <v>321</v>
      </c>
      <c r="C188" s="22" t="s">
        <v>322</v>
      </c>
      <c r="D188" s="24"/>
      <c r="E188" s="25">
        <v>1</v>
      </c>
      <c r="F188" s="25">
        <v>1</v>
      </c>
      <c r="G188" s="25">
        <f t="shared" si="5"/>
        <v>0</v>
      </c>
      <c r="H188" s="25"/>
      <c r="I188" s="25"/>
      <c r="J188" s="22" t="s">
        <v>296</v>
      </c>
      <c r="K188" s="22" t="s">
        <v>323</v>
      </c>
      <c r="L188" s="22" t="s">
        <v>24</v>
      </c>
      <c r="M188" s="22" t="s">
        <v>71</v>
      </c>
      <c r="N188" s="22"/>
    </row>
    <row r="189" spans="1:14" ht="25.5">
      <c r="A189" s="22">
        <v>6</v>
      </c>
      <c r="B189" s="23" t="s">
        <v>324</v>
      </c>
      <c r="C189" s="22" t="s">
        <v>325</v>
      </c>
      <c r="D189" s="24"/>
      <c r="E189" s="25">
        <v>1</v>
      </c>
      <c r="F189" s="25">
        <v>1</v>
      </c>
      <c r="G189" s="25">
        <f t="shared" si="5"/>
        <v>0</v>
      </c>
      <c r="H189" s="25"/>
      <c r="I189" s="25"/>
      <c r="J189" s="22" t="s">
        <v>296</v>
      </c>
      <c r="K189" s="22" t="s">
        <v>323</v>
      </c>
      <c r="L189" s="22" t="s">
        <v>24</v>
      </c>
      <c r="M189" s="22" t="s">
        <v>71</v>
      </c>
      <c r="N189" s="22"/>
    </row>
    <row r="190" spans="1:14" ht="25.5">
      <c r="A190" s="22">
        <v>7</v>
      </c>
      <c r="B190" s="23" t="s">
        <v>326</v>
      </c>
      <c r="C190" s="22" t="s">
        <v>327</v>
      </c>
      <c r="D190" s="24"/>
      <c r="E190" s="25">
        <v>1</v>
      </c>
      <c r="F190" s="25">
        <v>1</v>
      </c>
      <c r="G190" s="25">
        <f t="shared" si="5"/>
        <v>0</v>
      </c>
      <c r="H190" s="25"/>
      <c r="I190" s="25"/>
      <c r="J190" s="22" t="s">
        <v>296</v>
      </c>
      <c r="K190" s="22" t="s">
        <v>323</v>
      </c>
      <c r="L190" s="22" t="s">
        <v>24</v>
      </c>
      <c r="M190" s="22" t="s">
        <v>71</v>
      </c>
      <c r="N190" s="22"/>
    </row>
    <row r="191" spans="1:14" ht="25.5">
      <c r="A191" s="22">
        <v>8</v>
      </c>
      <c r="B191" s="23" t="s">
        <v>328</v>
      </c>
      <c r="C191" s="22" t="s">
        <v>329</v>
      </c>
      <c r="D191" s="24"/>
      <c r="E191" s="25">
        <v>1</v>
      </c>
      <c r="F191" s="25">
        <v>1</v>
      </c>
      <c r="G191" s="25">
        <f t="shared" si="5"/>
        <v>0</v>
      </c>
      <c r="H191" s="25"/>
      <c r="I191" s="25"/>
      <c r="J191" s="22" t="s">
        <v>296</v>
      </c>
      <c r="K191" s="22" t="s">
        <v>323</v>
      </c>
      <c r="L191" s="22" t="s">
        <v>24</v>
      </c>
      <c r="M191" s="22" t="s">
        <v>71</v>
      </c>
      <c r="N191" s="22"/>
    </row>
    <row r="192" spans="1:14" ht="25.5">
      <c r="A192" s="22">
        <v>9</v>
      </c>
      <c r="B192" s="23" t="s">
        <v>330</v>
      </c>
      <c r="C192" s="22" t="s">
        <v>331</v>
      </c>
      <c r="D192" s="24"/>
      <c r="E192" s="25">
        <v>1</v>
      </c>
      <c r="F192" s="25">
        <v>1</v>
      </c>
      <c r="G192" s="25">
        <f t="shared" si="5"/>
        <v>0</v>
      </c>
      <c r="H192" s="25"/>
      <c r="I192" s="25"/>
      <c r="J192" s="22" t="s">
        <v>296</v>
      </c>
      <c r="K192" s="22" t="s">
        <v>81</v>
      </c>
      <c r="L192" s="22" t="s">
        <v>24</v>
      </c>
      <c r="M192" s="22" t="s">
        <v>71</v>
      </c>
      <c r="N192" s="22"/>
    </row>
    <row r="193" spans="1:14" ht="25.5">
      <c r="A193" s="22">
        <v>10</v>
      </c>
      <c r="B193" s="23" t="s">
        <v>332</v>
      </c>
      <c r="C193" s="22" t="s">
        <v>333</v>
      </c>
      <c r="D193" s="24"/>
      <c r="E193" s="25">
        <v>1</v>
      </c>
      <c r="F193" s="25">
        <v>1</v>
      </c>
      <c r="G193" s="25">
        <f t="shared" si="5"/>
        <v>0</v>
      </c>
      <c r="H193" s="25"/>
      <c r="I193" s="25"/>
      <c r="J193" s="22" t="s">
        <v>296</v>
      </c>
      <c r="K193" s="22" t="s">
        <v>81</v>
      </c>
      <c r="L193" s="22" t="s">
        <v>24</v>
      </c>
      <c r="M193" s="22" t="s">
        <v>71</v>
      </c>
      <c r="N193" s="22"/>
    </row>
    <row r="194" spans="1:14" ht="25.5">
      <c r="A194" s="22">
        <v>11</v>
      </c>
      <c r="B194" s="23" t="s">
        <v>334</v>
      </c>
      <c r="C194" s="22" t="s">
        <v>335</v>
      </c>
      <c r="D194" s="24"/>
      <c r="E194" s="25">
        <v>3</v>
      </c>
      <c r="F194" s="25">
        <v>3</v>
      </c>
      <c r="G194" s="25">
        <f t="shared" si="5"/>
        <v>0</v>
      </c>
      <c r="H194" s="25"/>
      <c r="I194" s="25"/>
      <c r="J194" s="22" t="s">
        <v>296</v>
      </c>
      <c r="K194" s="22" t="s">
        <v>294</v>
      </c>
      <c r="L194" s="22" t="s">
        <v>24</v>
      </c>
      <c r="M194" s="22" t="s">
        <v>71</v>
      </c>
      <c r="N194" s="22"/>
    </row>
    <row r="195" spans="1:14" ht="25.5">
      <c r="A195" s="22">
        <v>12</v>
      </c>
      <c r="B195" s="23" t="s">
        <v>336</v>
      </c>
      <c r="C195" s="22" t="s">
        <v>337</v>
      </c>
      <c r="D195" s="24"/>
      <c r="E195" s="25">
        <v>2</v>
      </c>
      <c r="F195" s="25">
        <v>2</v>
      </c>
      <c r="G195" s="25">
        <f t="shared" si="5"/>
        <v>0</v>
      </c>
      <c r="H195" s="25"/>
      <c r="I195" s="25"/>
      <c r="J195" s="22" t="s">
        <v>296</v>
      </c>
      <c r="K195" s="22" t="s">
        <v>294</v>
      </c>
      <c r="L195" s="22" t="s">
        <v>24</v>
      </c>
      <c r="M195" s="22" t="s">
        <v>71</v>
      </c>
      <c r="N195" s="22"/>
    </row>
    <row r="196" spans="1:14" ht="25.5">
      <c r="A196" s="22">
        <v>13</v>
      </c>
      <c r="B196" s="23" t="s">
        <v>338</v>
      </c>
      <c r="C196" s="22" t="s">
        <v>339</v>
      </c>
      <c r="D196" s="24">
        <v>2019</v>
      </c>
      <c r="E196" s="25">
        <v>100</v>
      </c>
      <c r="F196" s="25">
        <v>100</v>
      </c>
      <c r="G196" s="25">
        <f t="shared" si="5"/>
        <v>0</v>
      </c>
      <c r="H196" s="25"/>
      <c r="I196" s="25"/>
      <c r="J196" s="22" t="s">
        <v>296</v>
      </c>
      <c r="K196" s="22" t="s">
        <v>340</v>
      </c>
      <c r="L196" s="22" t="s">
        <v>95</v>
      </c>
      <c r="M196" s="22" t="s">
        <v>71</v>
      </c>
      <c r="N196" s="22" t="s">
        <v>803</v>
      </c>
    </row>
    <row r="197" spans="1:14" ht="25.5">
      <c r="A197" s="22">
        <v>14</v>
      </c>
      <c r="B197" s="23" t="s">
        <v>341</v>
      </c>
      <c r="C197" s="22" t="s">
        <v>342</v>
      </c>
      <c r="D197" s="24">
        <v>2019</v>
      </c>
      <c r="E197" s="25">
        <v>10</v>
      </c>
      <c r="F197" s="25">
        <v>10</v>
      </c>
      <c r="G197" s="25">
        <f t="shared" si="5"/>
        <v>0</v>
      </c>
      <c r="H197" s="25"/>
      <c r="I197" s="25"/>
      <c r="J197" s="22" t="s">
        <v>296</v>
      </c>
      <c r="K197" s="22" t="s">
        <v>340</v>
      </c>
      <c r="L197" s="22" t="s">
        <v>24</v>
      </c>
      <c r="M197" s="22" t="s">
        <v>71</v>
      </c>
      <c r="N197" s="22"/>
    </row>
    <row r="198" spans="1:14" ht="25.5">
      <c r="A198" s="22">
        <v>15</v>
      </c>
      <c r="B198" s="23" t="s">
        <v>343</v>
      </c>
      <c r="C198" s="22" t="s">
        <v>344</v>
      </c>
      <c r="D198" s="24">
        <v>2019</v>
      </c>
      <c r="E198" s="25">
        <v>10</v>
      </c>
      <c r="F198" s="25">
        <v>10</v>
      </c>
      <c r="G198" s="25">
        <f t="shared" si="5"/>
        <v>0</v>
      </c>
      <c r="H198" s="25"/>
      <c r="I198" s="25"/>
      <c r="J198" s="22" t="s">
        <v>296</v>
      </c>
      <c r="K198" s="22" t="s">
        <v>345</v>
      </c>
      <c r="L198" s="22" t="s">
        <v>95</v>
      </c>
      <c r="M198" s="22" t="s">
        <v>71</v>
      </c>
      <c r="N198" s="22" t="s">
        <v>803</v>
      </c>
    </row>
    <row r="199" spans="1:14" ht="25.5">
      <c r="A199" s="22">
        <v>16</v>
      </c>
      <c r="B199" s="23" t="s">
        <v>346</v>
      </c>
      <c r="C199" s="22" t="s">
        <v>347</v>
      </c>
      <c r="D199" s="24">
        <v>2019</v>
      </c>
      <c r="E199" s="25">
        <v>10</v>
      </c>
      <c r="F199" s="25">
        <v>10</v>
      </c>
      <c r="G199" s="25">
        <f t="shared" si="5"/>
        <v>0</v>
      </c>
      <c r="H199" s="25"/>
      <c r="I199" s="25"/>
      <c r="J199" s="22" t="s">
        <v>296</v>
      </c>
      <c r="K199" s="22" t="s">
        <v>348</v>
      </c>
      <c r="L199" s="22" t="s">
        <v>95</v>
      </c>
      <c r="M199" s="22" t="s">
        <v>71</v>
      </c>
      <c r="N199" s="22" t="s">
        <v>803</v>
      </c>
    </row>
    <row r="200" spans="1:14" ht="25.5">
      <c r="A200" s="22">
        <v>17</v>
      </c>
      <c r="B200" s="23" t="s">
        <v>349</v>
      </c>
      <c r="C200" s="22" t="s">
        <v>350</v>
      </c>
      <c r="D200" s="24">
        <v>2019</v>
      </c>
      <c r="E200" s="25">
        <v>2</v>
      </c>
      <c r="F200" s="25">
        <v>2</v>
      </c>
      <c r="G200" s="25">
        <f t="shared" si="5"/>
        <v>0</v>
      </c>
      <c r="H200" s="25"/>
      <c r="I200" s="25"/>
      <c r="J200" s="22" t="s">
        <v>296</v>
      </c>
      <c r="K200" s="22" t="s">
        <v>340</v>
      </c>
      <c r="L200" s="22" t="s">
        <v>95</v>
      </c>
      <c r="M200" s="22" t="s">
        <v>71</v>
      </c>
      <c r="N200" s="22"/>
    </row>
    <row r="201" spans="1:14" ht="25.5">
      <c r="A201" s="22">
        <v>18</v>
      </c>
      <c r="B201" s="23" t="s">
        <v>328</v>
      </c>
      <c r="C201" s="22" t="s">
        <v>351</v>
      </c>
      <c r="D201" s="24"/>
      <c r="E201" s="25">
        <v>2</v>
      </c>
      <c r="F201" s="25">
        <v>2</v>
      </c>
      <c r="G201" s="25">
        <f t="shared" si="5"/>
        <v>0</v>
      </c>
      <c r="H201" s="25"/>
      <c r="I201" s="25"/>
      <c r="J201" s="22" t="s">
        <v>296</v>
      </c>
      <c r="K201" s="22" t="s">
        <v>294</v>
      </c>
      <c r="L201" s="22" t="s">
        <v>24</v>
      </c>
      <c r="M201" s="22" t="s">
        <v>71</v>
      </c>
      <c r="N201" s="22"/>
    </row>
    <row r="202" spans="1:14" ht="25.5">
      <c r="A202" s="22">
        <v>19</v>
      </c>
      <c r="B202" s="23" t="s">
        <v>352</v>
      </c>
      <c r="C202" s="22" t="s">
        <v>353</v>
      </c>
      <c r="D202" s="24"/>
      <c r="E202" s="25">
        <v>1</v>
      </c>
      <c r="F202" s="25">
        <v>1</v>
      </c>
      <c r="G202" s="25">
        <f t="shared" si="5"/>
        <v>0</v>
      </c>
      <c r="H202" s="25"/>
      <c r="I202" s="25"/>
      <c r="J202" s="22" t="s">
        <v>296</v>
      </c>
      <c r="K202" s="22" t="s">
        <v>294</v>
      </c>
      <c r="L202" s="22" t="s">
        <v>24</v>
      </c>
      <c r="M202" s="22" t="s">
        <v>71</v>
      </c>
      <c r="N202" s="22"/>
    </row>
    <row r="203" spans="1:14" ht="25.5">
      <c r="A203" s="22">
        <v>20</v>
      </c>
      <c r="B203" s="23" t="s">
        <v>354</v>
      </c>
      <c r="C203" s="22" t="s">
        <v>355</v>
      </c>
      <c r="D203" s="24"/>
      <c r="E203" s="25">
        <v>1</v>
      </c>
      <c r="F203" s="25">
        <v>1</v>
      </c>
      <c r="G203" s="25">
        <f t="shared" si="5"/>
        <v>0</v>
      </c>
      <c r="H203" s="25"/>
      <c r="I203" s="25"/>
      <c r="J203" s="22" t="s">
        <v>296</v>
      </c>
      <c r="K203" s="22" t="s">
        <v>294</v>
      </c>
      <c r="L203" s="22" t="s">
        <v>24</v>
      </c>
      <c r="M203" s="22" t="s">
        <v>71</v>
      </c>
      <c r="N203" s="22"/>
    </row>
    <row r="204" spans="1:14" ht="25.5">
      <c r="A204" s="22">
        <v>21</v>
      </c>
      <c r="B204" s="23" t="s">
        <v>356</v>
      </c>
      <c r="C204" s="22" t="s">
        <v>357</v>
      </c>
      <c r="D204" s="24"/>
      <c r="E204" s="25">
        <v>1</v>
      </c>
      <c r="F204" s="25">
        <v>1</v>
      </c>
      <c r="G204" s="25">
        <f t="shared" si="5"/>
        <v>0</v>
      </c>
      <c r="H204" s="25"/>
      <c r="I204" s="25"/>
      <c r="J204" s="22" t="s">
        <v>296</v>
      </c>
      <c r="K204" s="22" t="s">
        <v>294</v>
      </c>
      <c r="L204" s="22" t="s">
        <v>24</v>
      </c>
      <c r="M204" s="22" t="s">
        <v>71</v>
      </c>
      <c r="N204" s="22"/>
    </row>
    <row r="205" spans="1:14" ht="25.5">
      <c r="A205" s="22">
        <v>22</v>
      </c>
      <c r="B205" s="23" t="s">
        <v>358</v>
      </c>
      <c r="C205" s="22" t="s">
        <v>359</v>
      </c>
      <c r="D205" s="24"/>
      <c r="E205" s="25">
        <v>1</v>
      </c>
      <c r="F205" s="25">
        <v>1</v>
      </c>
      <c r="G205" s="25">
        <f t="shared" si="5"/>
        <v>0</v>
      </c>
      <c r="H205" s="25"/>
      <c r="I205" s="25"/>
      <c r="J205" s="22" t="s">
        <v>296</v>
      </c>
      <c r="K205" s="22" t="s">
        <v>294</v>
      </c>
      <c r="L205" s="22" t="s">
        <v>24</v>
      </c>
      <c r="M205" s="22" t="s">
        <v>71</v>
      </c>
      <c r="N205" s="22"/>
    </row>
    <row r="206" spans="1:14" ht="25.5">
      <c r="A206" s="22">
        <v>23</v>
      </c>
      <c r="B206" s="23" t="s">
        <v>360</v>
      </c>
      <c r="C206" s="22" t="s">
        <v>361</v>
      </c>
      <c r="D206" s="24"/>
      <c r="E206" s="25">
        <v>2</v>
      </c>
      <c r="F206" s="25">
        <v>2</v>
      </c>
      <c r="G206" s="25">
        <f t="shared" si="5"/>
        <v>0</v>
      </c>
      <c r="H206" s="25"/>
      <c r="I206" s="25"/>
      <c r="J206" s="22" t="s">
        <v>296</v>
      </c>
      <c r="K206" s="22" t="s">
        <v>294</v>
      </c>
      <c r="L206" s="22" t="s">
        <v>24</v>
      </c>
      <c r="M206" s="22" t="s">
        <v>19</v>
      </c>
      <c r="N206" s="22"/>
    </row>
    <row r="207" spans="1:14" ht="25.5">
      <c r="A207" s="22">
        <v>24</v>
      </c>
      <c r="B207" s="23" t="s">
        <v>362</v>
      </c>
      <c r="C207" s="22" t="s">
        <v>363</v>
      </c>
      <c r="D207" s="24"/>
      <c r="E207" s="25">
        <v>1</v>
      </c>
      <c r="F207" s="25">
        <v>1</v>
      </c>
      <c r="G207" s="25">
        <f t="shared" si="5"/>
        <v>0</v>
      </c>
      <c r="H207" s="25"/>
      <c r="I207" s="25"/>
      <c r="J207" s="22" t="s">
        <v>296</v>
      </c>
      <c r="K207" s="22" t="s">
        <v>294</v>
      </c>
      <c r="L207" s="22" t="s">
        <v>24</v>
      </c>
      <c r="M207" s="22" t="s">
        <v>71</v>
      </c>
      <c r="N207" s="22"/>
    </row>
    <row r="208" spans="1:14" ht="25.5">
      <c r="A208" s="22">
        <v>25</v>
      </c>
      <c r="B208" s="23" t="s">
        <v>271</v>
      </c>
      <c r="C208" s="22" t="s">
        <v>364</v>
      </c>
      <c r="D208" s="24"/>
      <c r="E208" s="25">
        <v>1</v>
      </c>
      <c r="F208" s="25">
        <v>1</v>
      </c>
      <c r="G208" s="25">
        <f t="shared" si="5"/>
        <v>0</v>
      </c>
      <c r="H208" s="25"/>
      <c r="I208" s="25"/>
      <c r="J208" s="22" t="s">
        <v>296</v>
      </c>
      <c r="K208" s="22" t="s">
        <v>294</v>
      </c>
      <c r="L208" s="22" t="s">
        <v>24</v>
      </c>
      <c r="M208" s="22" t="s">
        <v>71</v>
      </c>
      <c r="N208" s="22"/>
    </row>
    <row r="209" spans="1:14" ht="25.5">
      <c r="A209" s="22">
        <v>26</v>
      </c>
      <c r="B209" s="23" t="s">
        <v>365</v>
      </c>
      <c r="C209" s="22" t="s">
        <v>366</v>
      </c>
      <c r="D209" s="24"/>
      <c r="E209" s="25">
        <v>1</v>
      </c>
      <c r="F209" s="25">
        <v>1</v>
      </c>
      <c r="G209" s="25">
        <f t="shared" si="5"/>
        <v>0</v>
      </c>
      <c r="H209" s="25"/>
      <c r="I209" s="25"/>
      <c r="J209" s="22" t="s">
        <v>296</v>
      </c>
      <c r="K209" s="22" t="s">
        <v>263</v>
      </c>
      <c r="L209" s="22" t="s">
        <v>24</v>
      </c>
      <c r="M209" s="22" t="s">
        <v>71</v>
      </c>
      <c r="N209" s="22" t="s">
        <v>804</v>
      </c>
    </row>
    <row r="210" spans="1:14">
      <c r="A210" s="55"/>
      <c r="B210" s="473" t="s">
        <v>765</v>
      </c>
      <c r="C210" s="473"/>
      <c r="D210" s="473"/>
      <c r="E210" s="473"/>
      <c r="F210" s="473"/>
      <c r="G210" s="473"/>
      <c r="H210" s="473"/>
      <c r="I210" s="473"/>
      <c r="J210" s="473"/>
      <c r="K210" s="473"/>
      <c r="L210" s="473"/>
      <c r="M210" s="473"/>
      <c r="N210" s="473"/>
    </row>
    <row r="211" spans="1:14" ht="25.5">
      <c r="A211" s="22">
        <v>1</v>
      </c>
      <c r="B211" s="23" t="s">
        <v>367</v>
      </c>
      <c r="C211" s="22" t="s">
        <v>368</v>
      </c>
      <c r="D211" s="24"/>
      <c r="E211" s="25"/>
      <c r="F211" s="25">
        <v>17</v>
      </c>
      <c r="G211" s="25">
        <f t="shared" si="5"/>
        <v>17</v>
      </c>
      <c r="H211" s="25"/>
      <c r="I211" s="25"/>
      <c r="J211" s="22" t="s">
        <v>296</v>
      </c>
      <c r="K211" s="22" t="s">
        <v>369</v>
      </c>
      <c r="L211" s="22" t="s">
        <v>24</v>
      </c>
      <c r="M211" s="22" t="s">
        <v>71</v>
      </c>
      <c r="N211" s="22"/>
    </row>
    <row r="212" spans="1:14" ht="25.5">
      <c r="A212" s="22">
        <v>2</v>
      </c>
      <c r="B212" s="23" t="s">
        <v>370</v>
      </c>
      <c r="C212" s="22" t="s">
        <v>371</v>
      </c>
      <c r="D212" s="24"/>
      <c r="E212" s="25"/>
      <c r="F212" s="25">
        <v>8</v>
      </c>
      <c r="G212" s="25">
        <f t="shared" si="5"/>
        <v>8</v>
      </c>
      <c r="H212" s="25"/>
      <c r="I212" s="25"/>
      <c r="J212" s="22" t="s">
        <v>296</v>
      </c>
      <c r="K212" s="22" t="s">
        <v>369</v>
      </c>
      <c r="L212" s="22" t="s">
        <v>24</v>
      </c>
      <c r="M212" s="22" t="s">
        <v>71</v>
      </c>
      <c r="N212" s="22"/>
    </row>
    <row r="213" spans="1:14" ht="25.5">
      <c r="A213" s="22">
        <v>3</v>
      </c>
      <c r="B213" s="23" t="s">
        <v>372</v>
      </c>
      <c r="C213" s="22" t="s">
        <v>373</v>
      </c>
      <c r="D213" s="24"/>
      <c r="E213" s="25"/>
      <c r="F213" s="25">
        <v>9</v>
      </c>
      <c r="G213" s="25">
        <f t="shared" si="5"/>
        <v>9</v>
      </c>
      <c r="H213" s="25"/>
      <c r="I213" s="25"/>
      <c r="J213" s="22" t="s">
        <v>296</v>
      </c>
      <c r="K213" s="22" t="s">
        <v>369</v>
      </c>
      <c r="L213" s="22" t="s">
        <v>24</v>
      </c>
      <c r="M213" s="22" t="s">
        <v>71</v>
      </c>
      <c r="N213" s="22"/>
    </row>
    <row r="214" spans="1:14" ht="25.5">
      <c r="A214" s="22">
        <v>4</v>
      </c>
      <c r="B214" s="23" t="s">
        <v>374</v>
      </c>
      <c r="C214" s="22" t="s">
        <v>375</v>
      </c>
      <c r="D214" s="24"/>
      <c r="E214" s="25"/>
      <c r="F214" s="25">
        <v>4</v>
      </c>
      <c r="G214" s="25">
        <f t="shared" si="5"/>
        <v>4</v>
      </c>
      <c r="H214" s="25"/>
      <c r="I214" s="25"/>
      <c r="J214" s="22" t="s">
        <v>296</v>
      </c>
      <c r="K214" s="22" t="s">
        <v>369</v>
      </c>
      <c r="L214" s="22" t="s">
        <v>24</v>
      </c>
      <c r="M214" s="22" t="s">
        <v>71</v>
      </c>
      <c r="N214" s="22"/>
    </row>
    <row r="215" spans="1:14" ht="25.5">
      <c r="A215" s="22">
        <v>5</v>
      </c>
      <c r="B215" s="23" t="s">
        <v>376</v>
      </c>
      <c r="C215" s="22" t="s">
        <v>377</v>
      </c>
      <c r="D215" s="24"/>
      <c r="E215" s="25"/>
      <c r="F215" s="25">
        <v>9</v>
      </c>
      <c r="G215" s="25">
        <f t="shared" si="5"/>
        <v>9</v>
      </c>
      <c r="H215" s="25"/>
      <c r="I215" s="25"/>
      <c r="J215" s="22" t="s">
        <v>296</v>
      </c>
      <c r="K215" s="22" t="s">
        <v>369</v>
      </c>
      <c r="L215" s="22" t="s">
        <v>24</v>
      </c>
      <c r="M215" s="22" t="s">
        <v>71</v>
      </c>
      <c r="N215" s="22"/>
    </row>
    <row r="216" spans="1:14" ht="25.5">
      <c r="A216" s="22">
        <v>6</v>
      </c>
      <c r="B216" s="23" t="s">
        <v>378</v>
      </c>
      <c r="C216" s="22" t="s">
        <v>379</v>
      </c>
      <c r="D216" s="24"/>
      <c r="E216" s="25"/>
      <c r="F216" s="25">
        <v>15</v>
      </c>
      <c r="G216" s="25">
        <f t="shared" si="5"/>
        <v>15</v>
      </c>
      <c r="H216" s="25"/>
      <c r="I216" s="25"/>
      <c r="J216" s="22" t="s">
        <v>296</v>
      </c>
      <c r="K216" s="22" t="s">
        <v>369</v>
      </c>
      <c r="L216" s="22" t="s">
        <v>24</v>
      </c>
      <c r="M216" s="22" t="s">
        <v>71</v>
      </c>
      <c r="N216" s="22"/>
    </row>
    <row r="217" spans="1:14" ht="25.5">
      <c r="A217" s="22">
        <v>7</v>
      </c>
      <c r="B217" s="23" t="s">
        <v>380</v>
      </c>
      <c r="C217" s="22" t="s">
        <v>381</v>
      </c>
      <c r="D217" s="24"/>
      <c r="E217" s="25"/>
      <c r="F217" s="25">
        <v>8</v>
      </c>
      <c r="G217" s="25">
        <f t="shared" si="5"/>
        <v>8</v>
      </c>
      <c r="H217" s="25"/>
      <c r="I217" s="25"/>
      <c r="J217" s="22" t="s">
        <v>296</v>
      </c>
      <c r="K217" s="22" t="s">
        <v>369</v>
      </c>
      <c r="L217" s="22" t="s">
        <v>24</v>
      </c>
      <c r="M217" s="22" t="s">
        <v>71</v>
      </c>
      <c r="N217" s="22"/>
    </row>
    <row r="218" spans="1:14" ht="25.5">
      <c r="A218" s="22">
        <v>8</v>
      </c>
      <c r="B218" s="23" t="s">
        <v>382</v>
      </c>
      <c r="C218" s="22" t="s">
        <v>383</v>
      </c>
      <c r="D218" s="24"/>
      <c r="E218" s="25"/>
      <c r="F218" s="25">
        <v>22</v>
      </c>
      <c r="G218" s="25">
        <f t="shared" si="5"/>
        <v>22</v>
      </c>
      <c r="H218" s="25"/>
      <c r="I218" s="25"/>
      <c r="J218" s="22" t="s">
        <v>296</v>
      </c>
      <c r="K218" s="22" t="s">
        <v>369</v>
      </c>
      <c r="L218" s="22" t="s">
        <v>24</v>
      </c>
      <c r="M218" s="22" t="s">
        <v>71</v>
      </c>
      <c r="N218" s="22"/>
    </row>
    <row r="219" spans="1:14" ht="25.5">
      <c r="A219" s="22">
        <v>9</v>
      </c>
      <c r="B219" s="23" t="s">
        <v>384</v>
      </c>
      <c r="C219" s="22" t="s">
        <v>385</v>
      </c>
      <c r="D219" s="24"/>
      <c r="E219" s="25"/>
      <c r="F219" s="25">
        <v>17</v>
      </c>
      <c r="G219" s="25">
        <f t="shared" si="5"/>
        <v>17</v>
      </c>
      <c r="H219" s="25"/>
      <c r="I219" s="25"/>
      <c r="J219" s="22" t="s">
        <v>296</v>
      </c>
      <c r="K219" s="22" t="s">
        <v>369</v>
      </c>
      <c r="L219" s="22" t="s">
        <v>24</v>
      </c>
      <c r="M219" s="22" t="s">
        <v>71</v>
      </c>
      <c r="N219" s="22"/>
    </row>
    <row r="220" spans="1:14" ht="25.5">
      <c r="A220" s="22">
        <v>10</v>
      </c>
      <c r="B220" s="23" t="s">
        <v>386</v>
      </c>
      <c r="C220" s="22" t="s">
        <v>387</v>
      </c>
      <c r="D220" s="24"/>
      <c r="E220" s="25"/>
      <c r="F220" s="25">
        <v>6</v>
      </c>
      <c r="G220" s="25">
        <f t="shared" si="5"/>
        <v>6</v>
      </c>
      <c r="H220" s="25"/>
      <c r="I220" s="25"/>
      <c r="J220" s="22" t="s">
        <v>296</v>
      </c>
      <c r="K220" s="22" t="s">
        <v>369</v>
      </c>
      <c r="L220" s="22" t="s">
        <v>24</v>
      </c>
      <c r="M220" s="22" t="s">
        <v>71</v>
      </c>
      <c r="N220" s="22"/>
    </row>
    <row r="221" spans="1:14">
      <c r="A221" s="55"/>
      <c r="B221" s="473" t="s">
        <v>769</v>
      </c>
      <c r="C221" s="473"/>
      <c r="D221" s="473"/>
      <c r="E221" s="473"/>
      <c r="F221" s="473"/>
      <c r="G221" s="473"/>
      <c r="H221" s="473"/>
      <c r="I221" s="473"/>
      <c r="J221" s="473"/>
      <c r="K221" s="473"/>
      <c r="L221" s="473"/>
      <c r="M221" s="473"/>
      <c r="N221" s="473"/>
    </row>
    <row r="222" spans="1:14" ht="25.5">
      <c r="A222" s="22">
        <v>1</v>
      </c>
      <c r="B222" s="23" t="s">
        <v>367</v>
      </c>
      <c r="C222" s="22" t="s">
        <v>388</v>
      </c>
      <c r="D222" s="24"/>
      <c r="E222" s="25"/>
      <c r="F222" s="25">
        <v>2</v>
      </c>
      <c r="G222" s="25">
        <f t="shared" si="5"/>
        <v>2</v>
      </c>
      <c r="H222" s="25"/>
      <c r="I222" s="25"/>
      <c r="J222" s="22" t="s">
        <v>296</v>
      </c>
      <c r="K222" s="22" t="s">
        <v>369</v>
      </c>
      <c r="L222" s="22" t="s">
        <v>24</v>
      </c>
      <c r="M222" s="22" t="s">
        <v>71</v>
      </c>
      <c r="N222" s="22"/>
    </row>
    <row r="223" spans="1:14" ht="25.5">
      <c r="A223" s="22">
        <v>2</v>
      </c>
      <c r="B223" s="23" t="s">
        <v>370</v>
      </c>
      <c r="C223" s="22" t="s">
        <v>389</v>
      </c>
      <c r="D223" s="24"/>
      <c r="E223" s="25"/>
      <c r="F223" s="25">
        <v>1</v>
      </c>
      <c r="G223" s="25">
        <f t="shared" si="5"/>
        <v>1</v>
      </c>
      <c r="H223" s="25"/>
      <c r="I223" s="25"/>
      <c r="J223" s="22" t="s">
        <v>296</v>
      </c>
      <c r="K223" s="22" t="s">
        <v>369</v>
      </c>
      <c r="L223" s="22" t="s">
        <v>24</v>
      </c>
      <c r="M223" s="22" t="s">
        <v>71</v>
      </c>
      <c r="N223" s="22"/>
    </row>
    <row r="224" spans="1:14" ht="25.5">
      <c r="A224" s="22">
        <v>3</v>
      </c>
      <c r="B224" s="23" t="s">
        <v>372</v>
      </c>
      <c r="C224" s="22" t="s">
        <v>390</v>
      </c>
      <c r="D224" s="24"/>
      <c r="E224" s="25"/>
      <c r="F224" s="25">
        <v>1</v>
      </c>
      <c r="G224" s="25">
        <f t="shared" si="5"/>
        <v>1</v>
      </c>
      <c r="H224" s="25"/>
      <c r="I224" s="25"/>
      <c r="J224" s="22" t="s">
        <v>296</v>
      </c>
      <c r="K224" s="22" t="s">
        <v>369</v>
      </c>
      <c r="L224" s="22" t="s">
        <v>24</v>
      </c>
      <c r="M224" s="22" t="s">
        <v>71</v>
      </c>
      <c r="N224" s="22"/>
    </row>
    <row r="225" spans="1:14" ht="25.5">
      <c r="A225" s="22">
        <v>4</v>
      </c>
      <c r="B225" s="23" t="s">
        <v>376</v>
      </c>
      <c r="C225" s="22" t="s">
        <v>391</v>
      </c>
      <c r="D225" s="24"/>
      <c r="E225" s="25"/>
      <c r="F225" s="25">
        <v>1</v>
      </c>
      <c r="G225" s="25">
        <f t="shared" si="5"/>
        <v>1</v>
      </c>
      <c r="H225" s="25"/>
      <c r="I225" s="25"/>
      <c r="J225" s="22" t="s">
        <v>296</v>
      </c>
      <c r="K225" s="22" t="s">
        <v>369</v>
      </c>
      <c r="L225" s="22" t="s">
        <v>24</v>
      </c>
      <c r="M225" s="22" t="s">
        <v>71</v>
      </c>
      <c r="N225" s="22"/>
    </row>
    <row r="226" spans="1:14" ht="25.5">
      <c r="A226" s="22">
        <v>5</v>
      </c>
      <c r="B226" s="23" t="s">
        <v>378</v>
      </c>
      <c r="C226" s="22" t="s">
        <v>392</v>
      </c>
      <c r="D226" s="24"/>
      <c r="E226" s="25"/>
      <c r="F226" s="25">
        <v>1</v>
      </c>
      <c r="G226" s="25">
        <f t="shared" si="5"/>
        <v>1</v>
      </c>
      <c r="H226" s="25"/>
      <c r="I226" s="25"/>
      <c r="J226" s="22" t="s">
        <v>296</v>
      </c>
      <c r="K226" s="22" t="s">
        <v>369</v>
      </c>
      <c r="L226" s="22" t="s">
        <v>24</v>
      </c>
      <c r="M226" s="22" t="s">
        <v>71</v>
      </c>
      <c r="N226" s="22"/>
    </row>
    <row r="227" spans="1:14" ht="25.5">
      <c r="A227" s="22">
        <v>6</v>
      </c>
      <c r="B227" s="23" t="s">
        <v>380</v>
      </c>
      <c r="C227" s="22" t="s">
        <v>393</v>
      </c>
      <c r="D227" s="24"/>
      <c r="E227" s="25"/>
      <c r="F227" s="25">
        <v>1</v>
      </c>
      <c r="G227" s="25">
        <f t="shared" si="5"/>
        <v>1</v>
      </c>
      <c r="H227" s="25"/>
      <c r="I227" s="25"/>
      <c r="J227" s="22" t="s">
        <v>296</v>
      </c>
      <c r="K227" s="22" t="s">
        <v>369</v>
      </c>
      <c r="L227" s="22" t="s">
        <v>24</v>
      </c>
      <c r="M227" s="22" t="s">
        <v>71</v>
      </c>
      <c r="N227" s="22"/>
    </row>
    <row r="228" spans="1:14">
      <c r="A228" s="55"/>
      <c r="B228" s="473" t="s">
        <v>766</v>
      </c>
      <c r="C228" s="473"/>
      <c r="D228" s="473"/>
      <c r="E228" s="473"/>
      <c r="F228" s="473"/>
      <c r="G228" s="473"/>
      <c r="H228" s="473"/>
      <c r="I228" s="473"/>
      <c r="J228" s="473"/>
      <c r="K228" s="473"/>
      <c r="L228" s="473"/>
      <c r="M228" s="473"/>
      <c r="N228" s="473"/>
    </row>
    <row r="229" spans="1:14" ht="25.5">
      <c r="A229" s="22">
        <v>1</v>
      </c>
      <c r="B229" s="23" t="s">
        <v>394</v>
      </c>
      <c r="C229" s="22" t="s">
        <v>395</v>
      </c>
      <c r="D229" s="24"/>
      <c r="E229" s="25"/>
      <c r="F229" s="25">
        <v>4</v>
      </c>
      <c r="G229" s="25">
        <f t="shared" si="5"/>
        <v>4</v>
      </c>
      <c r="H229" s="25"/>
      <c r="I229" s="25"/>
      <c r="J229" s="22" t="s">
        <v>296</v>
      </c>
      <c r="K229" s="22" t="s">
        <v>369</v>
      </c>
      <c r="L229" s="22" t="s">
        <v>24</v>
      </c>
      <c r="M229" s="22" t="s">
        <v>71</v>
      </c>
      <c r="N229" s="22"/>
    </row>
    <row r="230" spans="1:14" ht="25.5">
      <c r="A230" s="22">
        <v>2</v>
      </c>
      <c r="B230" s="23" t="s">
        <v>396</v>
      </c>
      <c r="C230" s="22" t="s">
        <v>397</v>
      </c>
      <c r="D230" s="24"/>
      <c r="E230" s="25"/>
      <c r="F230" s="25">
        <v>6</v>
      </c>
      <c r="G230" s="25">
        <f t="shared" si="5"/>
        <v>6</v>
      </c>
      <c r="H230" s="25"/>
      <c r="I230" s="25"/>
      <c r="J230" s="22" t="s">
        <v>296</v>
      </c>
      <c r="K230" s="22" t="s">
        <v>369</v>
      </c>
      <c r="L230" s="22" t="s">
        <v>24</v>
      </c>
      <c r="M230" s="22" t="s">
        <v>71</v>
      </c>
      <c r="N230" s="22"/>
    </row>
    <row r="231" spans="1:14" ht="25.5">
      <c r="A231" s="22">
        <v>3</v>
      </c>
      <c r="B231" s="23" t="s">
        <v>398</v>
      </c>
      <c r="C231" s="22" t="s">
        <v>399</v>
      </c>
      <c r="D231" s="24"/>
      <c r="E231" s="25"/>
      <c r="F231" s="25">
        <v>5</v>
      </c>
      <c r="G231" s="25">
        <f t="shared" si="5"/>
        <v>5</v>
      </c>
      <c r="H231" s="25"/>
      <c r="I231" s="25"/>
      <c r="J231" s="22" t="s">
        <v>296</v>
      </c>
      <c r="K231" s="22" t="s">
        <v>369</v>
      </c>
      <c r="L231" s="22" t="s">
        <v>24</v>
      </c>
      <c r="M231" s="22" t="s">
        <v>71</v>
      </c>
      <c r="N231" s="22"/>
    </row>
    <row r="232" spans="1:14" ht="25.5">
      <c r="A232" s="22">
        <v>4</v>
      </c>
      <c r="B232" s="23" t="s">
        <v>400</v>
      </c>
      <c r="C232" s="22" t="s">
        <v>401</v>
      </c>
      <c r="D232" s="24"/>
      <c r="E232" s="25"/>
      <c r="F232" s="25">
        <v>11</v>
      </c>
      <c r="G232" s="25">
        <f t="shared" si="5"/>
        <v>11</v>
      </c>
      <c r="H232" s="25"/>
      <c r="I232" s="25"/>
      <c r="J232" s="22" t="s">
        <v>296</v>
      </c>
      <c r="K232" s="22" t="s">
        <v>369</v>
      </c>
      <c r="L232" s="22" t="s">
        <v>24</v>
      </c>
      <c r="M232" s="22" t="s">
        <v>71</v>
      </c>
      <c r="N232" s="22"/>
    </row>
    <row r="233" spans="1:14" ht="25.5">
      <c r="A233" s="22">
        <v>5</v>
      </c>
      <c r="B233" s="23" t="s">
        <v>402</v>
      </c>
      <c r="C233" s="22" t="s">
        <v>403</v>
      </c>
      <c r="D233" s="24"/>
      <c r="E233" s="25"/>
      <c r="F233" s="25">
        <v>3</v>
      </c>
      <c r="G233" s="25">
        <f t="shared" si="5"/>
        <v>3</v>
      </c>
      <c r="H233" s="25"/>
      <c r="I233" s="25"/>
      <c r="J233" s="22" t="s">
        <v>296</v>
      </c>
      <c r="K233" s="22" t="s">
        <v>369</v>
      </c>
      <c r="L233" s="22" t="s">
        <v>24</v>
      </c>
      <c r="M233" s="22" t="s">
        <v>71</v>
      </c>
      <c r="N233" s="22"/>
    </row>
    <row r="234" spans="1:14" ht="25.5">
      <c r="A234" s="22">
        <v>6</v>
      </c>
      <c r="B234" s="23" t="s">
        <v>404</v>
      </c>
      <c r="C234" s="22" t="s">
        <v>405</v>
      </c>
      <c r="D234" s="24"/>
      <c r="E234" s="25"/>
      <c r="F234" s="25">
        <v>3</v>
      </c>
      <c r="G234" s="25">
        <f t="shared" si="5"/>
        <v>3</v>
      </c>
      <c r="H234" s="25"/>
      <c r="I234" s="25"/>
      <c r="J234" s="22" t="s">
        <v>296</v>
      </c>
      <c r="K234" s="22" t="s">
        <v>369</v>
      </c>
      <c r="L234" s="22" t="s">
        <v>24</v>
      </c>
      <c r="M234" s="22" t="s">
        <v>71</v>
      </c>
      <c r="N234" s="22"/>
    </row>
    <row r="235" spans="1:14" ht="25.5">
      <c r="A235" s="22">
        <v>7</v>
      </c>
      <c r="B235" s="23" t="s">
        <v>406</v>
      </c>
      <c r="C235" s="22" t="s">
        <v>407</v>
      </c>
      <c r="D235" s="24"/>
      <c r="E235" s="25"/>
      <c r="F235" s="25">
        <v>3</v>
      </c>
      <c r="G235" s="25">
        <f t="shared" si="5"/>
        <v>3</v>
      </c>
      <c r="H235" s="25"/>
      <c r="I235" s="25"/>
      <c r="J235" s="22" t="s">
        <v>296</v>
      </c>
      <c r="K235" s="22" t="s">
        <v>369</v>
      </c>
      <c r="L235" s="22" t="s">
        <v>24</v>
      </c>
      <c r="M235" s="22" t="s">
        <v>71</v>
      </c>
      <c r="N235" s="22"/>
    </row>
    <row r="236" spans="1:14">
      <c r="A236" s="55"/>
      <c r="B236" s="473" t="s">
        <v>768</v>
      </c>
      <c r="C236" s="473"/>
      <c r="D236" s="473"/>
      <c r="E236" s="473"/>
      <c r="F236" s="473"/>
      <c r="G236" s="473"/>
      <c r="H236" s="473"/>
      <c r="I236" s="473"/>
      <c r="J236" s="473"/>
      <c r="K236" s="473"/>
      <c r="L236" s="473"/>
      <c r="M236" s="473"/>
      <c r="N236" s="473"/>
    </row>
    <row r="237" spans="1:14" ht="25.5">
      <c r="A237" s="22">
        <v>1</v>
      </c>
      <c r="B237" s="23" t="s">
        <v>374</v>
      </c>
      <c r="C237" s="22" t="s">
        <v>408</v>
      </c>
      <c r="D237" s="24"/>
      <c r="E237" s="25"/>
      <c r="F237" s="25">
        <v>1</v>
      </c>
      <c r="G237" s="25">
        <f t="shared" si="5"/>
        <v>1</v>
      </c>
      <c r="H237" s="25"/>
      <c r="I237" s="25"/>
      <c r="J237" s="22" t="s">
        <v>296</v>
      </c>
      <c r="K237" s="22" t="s">
        <v>369</v>
      </c>
      <c r="L237" s="22" t="s">
        <v>24</v>
      </c>
      <c r="M237" s="22" t="s">
        <v>71</v>
      </c>
      <c r="N237" s="22"/>
    </row>
    <row r="238" spans="1:14" ht="25.5">
      <c r="A238" s="22">
        <v>2</v>
      </c>
      <c r="B238" s="23" t="s">
        <v>409</v>
      </c>
      <c r="C238" s="22" t="s">
        <v>410</v>
      </c>
      <c r="D238" s="24"/>
      <c r="E238" s="25"/>
      <c r="F238" s="25">
        <v>3</v>
      </c>
      <c r="G238" s="25">
        <f t="shared" si="5"/>
        <v>3</v>
      </c>
      <c r="H238" s="25"/>
      <c r="I238" s="25"/>
      <c r="J238" s="22" t="s">
        <v>296</v>
      </c>
      <c r="K238" s="22" t="s">
        <v>369</v>
      </c>
      <c r="L238" s="22" t="s">
        <v>24</v>
      </c>
      <c r="M238" s="22" t="s">
        <v>71</v>
      </c>
      <c r="N238" s="22"/>
    </row>
    <row r="239" spans="1:14" ht="25.5">
      <c r="A239" s="22">
        <v>3</v>
      </c>
      <c r="B239" s="23" t="s">
        <v>411</v>
      </c>
      <c r="C239" s="22" t="s">
        <v>412</v>
      </c>
      <c r="D239" s="24"/>
      <c r="E239" s="25"/>
      <c r="F239" s="25">
        <v>3</v>
      </c>
      <c r="G239" s="25">
        <f t="shared" si="5"/>
        <v>3</v>
      </c>
      <c r="H239" s="25"/>
      <c r="I239" s="25"/>
      <c r="J239" s="22" t="s">
        <v>296</v>
      </c>
      <c r="K239" s="22" t="s">
        <v>369</v>
      </c>
      <c r="L239" s="22" t="s">
        <v>24</v>
      </c>
      <c r="M239" s="22" t="s">
        <v>71</v>
      </c>
      <c r="N239" s="22"/>
    </row>
    <row r="240" spans="1:14" ht="25.5">
      <c r="A240" s="22">
        <v>4</v>
      </c>
      <c r="B240" s="23" t="s">
        <v>413</v>
      </c>
      <c r="C240" s="22" t="s">
        <v>414</v>
      </c>
      <c r="D240" s="24"/>
      <c r="E240" s="25"/>
      <c r="F240" s="25">
        <v>5</v>
      </c>
      <c r="G240" s="25">
        <f t="shared" si="5"/>
        <v>5</v>
      </c>
      <c r="H240" s="25"/>
      <c r="I240" s="25"/>
      <c r="J240" s="22" t="s">
        <v>296</v>
      </c>
      <c r="K240" s="22" t="s">
        <v>369</v>
      </c>
      <c r="L240" s="22" t="s">
        <v>24</v>
      </c>
      <c r="M240" s="22" t="s">
        <v>71</v>
      </c>
      <c r="N240" s="22"/>
    </row>
    <row r="241" spans="1:14" ht="25.5">
      <c r="A241" s="22">
        <v>5</v>
      </c>
      <c r="B241" s="23" t="s">
        <v>415</v>
      </c>
      <c r="C241" s="22" t="s">
        <v>416</v>
      </c>
      <c r="D241" s="24"/>
      <c r="E241" s="25"/>
      <c r="F241" s="25">
        <v>5</v>
      </c>
      <c r="G241" s="25">
        <f t="shared" si="5"/>
        <v>5</v>
      </c>
      <c r="H241" s="25"/>
      <c r="I241" s="25"/>
      <c r="J241" s="22" t="s">
        <v>296</v>
      </c>
      <c r="K241" s="22" t="s">
        <v>369</v>
      </c>
      <c r="L241" s="22" t="s">
        <v>24</v>
      </c>
      <c r="M241" s="22" t="s">
        <v>71</v>
      </c>
      <c r="N241" s="22"/>
    </row>
    <row r="242" spans="1:14">
      <c r="A242" s="55"/>
      <c r="B242" s="473" t="s">
        <v>767</v>
      </c>
      <c r="C242" s="473"/>
      <c r="D242" s="473"/>
      <c r="E242" s="473"/>
      <c r="F242" s="473"/>
      <c r="G242" s="473"/>
      <c r="H242" s="473"/>
      <c r="I242" s="473"/>
      <c r="J242" s="473"/>
      <c r="K242" s="473"/>
      <c r="L242" s="473"/>
      <c r="M242" s="473"/>
      <c r="N242" s="473"/>
    </row>
    <row r="243" spans="1:14" ht="25.5">
      <c r="A243" s="22">
        <v>1</v>
      </c>
      <c r="B243" s="23" t="s">
        <v>417</v>
      </c>
      <c r="C243" s="22" t="s">
        <v>418</v>
      </c>
      <c r="D243" s="24"/>
      <c r="E243" s="25"/>
      <c r="F243" s="25">
        <v>6</v>
      </c>
      <c r="G243" s="25">
        <f t="shared" si="5"/>
        <v>6</v>
      </c>
      <c r="H243" s="25"/>
      <c r="I243" s="25"/>
      <c r="J243" s="22" t="s">
        <v>296</v>
      </c>
      <c r="K243" s="22" t="s">
        <v>369</v>
      </c>
      <c r="L243" s="22" t="s">
        <v>24</v>
      </c>
      <c r="M243" s="22" t="s">
        <v>71</v>
      </c>
      <c r="N243" s="22"/>
    </row>
    <row r="244" spans="1:14" ht="25.5">
      <c r="A244" s="22">
        <v>2</v>
      </c>
      <c r="B244" s="23" t="s">
        <v>419</v>
      </c>
      <c r="C244" s="22" t="s">
        <v>420</v>
      </c>
      <c r="D244" s="24"/>
      <c r="E244" s="25"/>
      <c r="F244" s="25">
        <v>90</v>
      </c>
      <c r="G244" s="25">
        <f t="shared" si="5"/>
        <v>90</v>
      </c>
      <c r="H244" s="25"/>
      <c r="I244" s="25"/>
      <c r="J244" s="22" t="s">
        <v>296</v>
      </c>
      <c r="K244" s="22" t="s">
        <v>369</v>
      </c>
      <c r="L244" s="22" t="s">
        <v>24</v>
      </c>
      <c r="M244" s="22" t="s">
        <v>71</v>
      </c>
      <c r="N244" s="22"/>
    </row>
    <row r="245" spans="1:14" ht="25.5">
      <c r="A245" s="22">
        <v>3</v>
      </c>
      <c r="B245" s="23" t="s">
        <v>421</v>
      </c>
      <c r="C245" s="22" t="s">
        <v>422</v>
      </c>
      <c r="D245" s="24"/>
      <c r="E245" s="25"/>
      <c r="F245" s="25">
        <v>6</v>
      </c>
      <c r="G245" s="25">
        <f t="shared" si="5"/>
        <v>6</v>
      </c>
      <c r="H245" s="25"/>
      <c r="I245" s="25"/>
      <c r="J245" s="22" t="s">
        <v>296</v>
      </c>
      <c r="K245" s="22" t="s">
        <v>369</v>
      </c>
      <c r="L245" s="22" t="s">
        <v>24</v>
      </c>
      <c r="M245" s="22" t="s">
        <v>71</v>
      </c>
      <c r="N245" s="22"/>
    </row>
    <row r="246" spans="1:14" ht="25.5">
      <c r="A246" s="22">
        <v>4</v>
      </c>
      <c r="B246" s="23" t="s">
        <v>423</v>
      </c>
      <c r="C246" s="22" t="s">
        <v>424</v>
      </c>
      <c r="D246" s="24"/>
      <c r="E246" s="25"/>
      <c r="F246" s="25">
        <v>6</v>
      </c>
      <c r="G246" s="25">
        <f t="shared" si="5"/>
        <v>6</v>
      </c>
      <c r="H246" s="25"/>
      <c r="I246" s="25"/>
      <c r="J246" s="22" t="s">
        <v>296</v>
      </c>
      <c r="K246" s="22" t="s">
        <v>369</v>
      </c>
      <c r="L246" s="22" t="s">
        <v>24</v>
      </c>
      <c r="M246" s="22" t="s">
        <v>71</v>
      </c>
      <c r="N246" s="22"/>
    </row>
    <row r="247" spans="1:14" ht="25.5">
      <c r="A247" s="22">
        <v>5</v>
      </c>
      <c r="B247" s="23" t="s">
        <v>425</v>
      </c>
      <c r="C247" s="22" t="s">
        <v>426</v>
      </c>
      <c r="D247" s="24"/>
      <c r="E247" s="25"/>
      <c r="F247" s="25">
        <v>6</v>
      </c>
      <c r="G247" s="25">
        <f t="shared" si="5"/>
        <v>6</v>
      </c>
      <c r="H247" s="25"/>
      <c r="I247" s="25"/>
      <c r="J247" s="22" t="s">
        <v>296</v>
      </c>
      <c r="K247" s="22" t="s">
        <v>369</v>
      </c>
      <c r="L247" s="22" t="s">
        <v>24</v>
      </c>
      <c r="M247" s="22" t="s">
        <v>71</v>
      </c>
      <c r="N247" s="22"/>
    </row>
    <row r="248" spans="1:14" ht="25.5">
      <c r="A248" s="22">
        <v>6</v>
      </c>
      <c r="B248" s="23" t="s">
        <v>427</v>
      </c>
      <c r="C248" s="22" t="s">
        <v>428</v>
      </c>
      <c r="D248" s="24"/>
      <c r="E248" s="25"/>
      <c r="F248" s="25">
        <v>3</v>
      </c>
      <c r="G248" s="25">
        <f t="shared" si="5"/>
        <v>3</v>
      </c>
      <c r="H248" s="25"/>
      <c r="I248" s="25"/>
      <c r="J248" s="22" t="s">
        <v>296</v>
      </c>
      <c r="K248" s="22" t="s">
        <v>429</v>
      </c>
      <c r="L248" s="22" t="s">
        <v>24</v>
      </c>
      <c r="M248" s="22" t="s">
        <v>71</v>
      </c>
      <c r="N248" s="22"/>
    </row>
    <row r="249" spans="1:14" ht="25.5">
      <c r="A249" s="22">
        <v>7</v>
      </c>
      <c r="B249" s="23" t="s">
        <v>430</v>
      </c>
      <c r="C249" s="22" t="s">
        <v>431</v>
      </c>
      <c r="D249" s="24"/>
      <c r="E249" s="25"/>
      <c r="F249" s="25">
        <v>10</v>
      </c>
      <c r="G249" s="25">
        <f t="shared" si="5"/>
        <v>10</v>
      </c>
      <c r="H249" s="25"/>
      <c r="I249" s="25"/>
      <c r="J249" s="22" t="s">
        <v>296</v>
      </c>
      <c r="K249" s="22" t="s">
        <v>429</v>
      </c>
      <c r="L249" s="22" t="s">
        <v>24</v>
      </c>
      <c r="M249" s="22" t="s">
        <v>71</v>
      </c>
      <c r="N249" s="22"/>
    </row>
    <row r="250" spans="1:14" ht="25.5">
      <c r="A250" s="22">
        <v>8</v>
      </c>
      <c r="B250" s="23" t="s">
        <v>432</v>
      </c>
      <c r="C250" s="22" t="s">
        <v>433</v>
      </c>
      <c r="D250" s="24"/>
      <c r="E250" s="25"/>
      <c r="F250" s="25">
        <v>3</v>
      </c>
      <c r="G250" s="25">
        <f t="shared" si="5"/>
        <v>3</v>
      </c>
      <c r="H250" s="25"/>
      <c r="I250" s="25"/>
      <c r="J250" s="22" t="s">
        <v>296</v>
      </c>
      <c r="K250" s="22" t="s">
        <v>429</v>
      </c>
      <c r="L250" s="22" t="s">
        <v>24</v>
      </c>
      <c r="M250" s="22" t="s">
        <v>71</v>
      </c>
      <c r="N250" s="22"/>
    </row>
    <row r="251" spans="1:14" ht="25.5">
      <c r="A251" s="22">
        <v>9</v>
      </c>
      <c r="B251" s="23" t="s">
        <v>434</v>
      </c>
      <c r="C251" s="22" t="s">
        <v>435</v>
      </c>
      <c r="D251" s="24"/>
      <c r="E251" s="25"/>
      <c r="F251" s="25">
        <v>5</v>
      </c>
      <c r="G251" s="25">
        <f t="shared" ref="G251:G314" si="6">F251-E251</f>
        <v>5</v>
      </c>
      <c r="H251" s="25"/>
      <c r="I251" s="25"/>
      <c r="J251" s="22" t="s">
        <v>296</v>
      </c>
      <c r="K251" s="22" t="s">
        <v>369</v>
      </c>
      <c r="L251" s="22" t="s">
        <v>24</v>
      </c>
      <c r="M251" s="22" t="s">
        <v>71</v>
      </c>
      <c r="N251" s="22"/>
    </row>
    <row r="252" spans="1:14" ht="25.5">
      <c r="A252" s="22">
        <v>10</v>
      </c>
      <c r="B252" s="23" t="s">
        <v>436</v>
      </c>
      <c r="C252" s="22" t="s">
        <v>437</v>
      </c>
      <c r="D252" s="24"/>
      <c r="E252" s="25"/>
      <c r="F252" s="25">
        <v>6</v>
      </c>
      <c r="G252" s="25">
        <f t="shared" si="6"/>
        <v>6</v>
      </c>
      <c r="H252" s="25"/>
      <c r="I252" s="25"/>
      <c r="J252" s="22" t="s">
        <v>296</v>
      </c>
      <c r="K252" s="22" t="s">
        <v>369</v>
      </c>
      <c r="L252" s="22" t="s">
        <v>24</v>
      </c>
      <c r="M252" s="22" t="s">
        <v>71</v>
      </c>
      <c r="N252" s="22"/>
    </row>
    <row r="253" spans="1:14" ht="25.5">
      <c r="A253" s="22">
        <v>11</v>
      </c>
      <c r="B253" s="23" t="s">
        <v>438</v>
      </c>
      <c r="C253" s="22" t="s">
        <v>439</v>
      </c>
      <c r="D253" s="24"/>
      <c r="E253" s="25"/>
      <c r="F253" s="25">
        <v>6</v>
      </c>
      <c r="G253" s="25">
        <f t="shared" si="6"/>
        <v>6</v>
      </c>
      <c r="H253" s="25"/>
      <c r="I253" s="25"/>
      <c r="J253" s="22" t="s">
        <v>296</v>
      </c>
      <c r="K253" s="22" t="s">
        <v>369</v>
      </c>
      <c r="L253" s="22" t="s">
        <v>24</v>
      </c>
      <c r="M253" s="22" t="s">
        <v>71</v>
      </c>
      <c r="N253" s="22"/>
    </row>
    <row r="254" spans="1:14" ht="25.5">
      <c r="A254" s="22">
        <v>12</v>
      </c>
      <c r="B254" s="23" t="s">
        <v>440</v>
      </c>
      <c r="C254" s="22" t="s">
        <v>441</v>
      </c>
      <c r="D254" s="24"/>
      <c r="E254" s="25"/>
      <c r="F254" s="25">
        <v>2</v>
      </c>
      <c r="G254" s="25">
        <f t="shared" si="6"/>
        <v>2</v>
      </c>
      <c r="H254" s="25"/>
      <c r="I254" s="25"/>
      <c r="J254" s="22" t="s">
        <v>296</v>
      </c>
      <c r="K254" s="22" t="s">
        <v>369</v>
      </c>
      <c r="L254" s="22" t="s">
        <v>24</v>
      </c>
      <c r="M254" s="22" t="s">
        <v>71</v>
      </c>
      <c r="N254" s="22"/>
    </row>
    <row r="255" spans="1:14" ht="25.5">
      <c r="A255" s="22">
        <v>13</v>
      </c>
      <c r="B255" s="23" t="s">
        <v>442</v>
      </c>
      <c r="C255" s="22" t="s">
        <v>443</v>
      </c>
      <c r="D255" s="24"/>
      <c r="E255" s="25"/>
      <c r="F255" s="25">
        <v>1</v>
      </c>
      <c r="G255" s="25">
        <f t="shared" si="6"/>
        <v>1</v>
      </c>
      <c r="H255" s="25"/>
      <c r="I255" s="25"/>
      <c r="J255" s="22" t="s">
        <v>296</v>
      </c>
      <c r="K255" s="22" t="s">
        <v>369</v>
      </c>
      <c r="L255" s="22" t="s">
        <v>24</v>
      </c>
      <c r="M255" s="22" t="s">
        <v>71</v>
      </c>
      <c r="N255" s="22"/>
    </row>
    <row r="256" spans="1:14" ht="25.5">
      <c r="A256" s="22">
        <v>14</v>
      </c>
      <c r="B256" s="23" t="s">
        <v>444</v>
      </c>
      <c r="C256" s="22" t="s">
        <v>445</v>
      </c>
      <c r="D256" s="24"/>
      <c r="E256" s="25"/>
      <c r="F256" s="25">
        <v>8</v>
      </c>
      <c r="G256" s="25">
        <f t="shared" si="6"/>
        <v>8</v>
      </c>
      <c r="H256" s="25"/>
      <c r="I256" s="25"/>
      <c r="J256" s="22" t="s">
        <v>296</v>
      </c>
      <c r="K256" s="22" t="s">
        <v>369</v>
      </c>
      <c r="L256" s="22" t="s">
        <v>24</v>
      </c>
      <c r="M256" s="22" t="s">
        <v>71</v>
      </c>
      <c r="N256" s="22"/>
    </row>
    <row r="257" spans="1:14" ht="25.5">
      <c r="A257" s="22">
        <v>15</v>
      </c>
      <c r="B257" s="23" t="s">
        <v>446</v>
      </c>
      <c r="C257" s="22" t="s">
        <v>447</v>
      </c>
      <c r="D257" s="24"/>
      <c r="E257" s="25"/>
      <c r="F257" s="25">
        <v>2</v>
      </c>
      <c r="G257" s="25">
        <f t="shared" si="6"/>
        <v>2</v>
      </c>
      <c r="H257" s="25"/>
      <c r="I257" s="25"/>
      <c r="J257" s="22" t="s">
        <v>296</v>
      </c>
      <c r="K257" s="22" t="s">
        <v>369</v>
      </c>
      <c r="L257" s="22" t="s">
        <v>24</v>
      </c>
      <c r="M257" s="22" t="s">
        <v>71</v>
      </c>
      <c r="N257" s="22"/>
    </row>
    <row r="258" spans="1:14" ht="25.5">
      <c r="A258" s="22">
        <v>16</v>
      </c>
      <c r="B258" s="23" t="s">
        <v>404</v>
      </c>
      <c r="C258" s="22" t="s">
        <v>448</v>
      </c>
      <c r="D258" s="24"/>
      <c r="E258" s="25"/>
      <c r="F258" s="25">
        <v>11</v>
      </c>
      <c r="G258" s="25">
        <f t="shared" si="6"/>
        <v>11</v>
      </c>
      <c r="H258" s="25"/>
      <c r="I258" s="25"/>
      <c r="J258" s="22" t="s">
        <v>296</v>
      </c>
      <c r="K258" s="22" t="s">
        <v>369</v>
      </c>
      <c r="L258" s="22" t="s">
        <v>24</v>
      </c>
      <c r="M258" s="22" t="s">
        <v>71</v>
      </c>
      <c r="N258" s="22"/>
    </row>
    <row r="259" spans="1:14" ht="25.5">
      <c r="A259" s="22">
        <v>17</v>
      </c>
      <c r="B259" s="23" t="s">
        <v>449</v>
      </c>
      <c r="C259" s="22" t="s">
        <v>450</v>
      </c>
      <c r="D259" s="24"/>
      <c r="E259" s="25"/>
      <c r="F259" s="25">
        <v>3</v>
      </c>
      <c r="G259" s="25">
        <f t="shared" si="6"/>
        <v>3</v>
      </c>
      <c r="H259" s="25"/>
      <c r="I259" s="25"/>
      <c r="J259" s="22" t="s">
        <v>296</v>
      </c>
      <c r="K259" s="22" t="s">
        <v>369</v>
      </c>
      <c r="L259" s="22" t="s">
        <v>24</v>
      </c>
      <c r="M259" s="22" t="s">
        <v>71</v>
      </c>
      <c r="N259" s="22"/>
    </row>
    <row r="260" spans="1:14" ht="25.5">
      <c r="A260" s="22">
        <v>18</v>
      </c>
      <c r="B260" s="23" t="s">
        <v>451</v>
      </c>
      <c r="C260" s="22" t="s">
        <v>452</v>
      </c>
      <c r="D260" s="24"/>
      <c r="E260" s="25"/>
      <c r="F260" s="25">
        <v>17</v>
      </c>
      <c r="G260" s="25">
        <f t="shared" si="6"/>
        <v>17</v>
      </c>
      <c r="H260" s="25"/>
      <c r="I260" s="25"/>
      <c r="J260" s="22" t="s">
        <v>296</v>
      </c>
      <c r="K260" s="22" t="s">
        <v>369</v>
      </c>
      <c r="L260" s="22" t="s">
        <v>24</v>
      </c>
      <c r="M260" s="22" t="s">
        <v>71</v>
      </c>
      <c r="N260" s="22"/>
    </row>
    <row r="261" spans="1:14" ht="25.5">
      <c r="A261" s="22">
        <v>19</v>
      </c>
      <c r="B261" s="23" t="s">
        <v>453</v>
      </c>
      <c r="C261" s="22" t="s">
        <v>454</v>
      </c>
      <c r="D261" s="24"/>
      <c r="E261" s="25"/>
      <c r="F261" s="25">
        <v>2</v>
      </c>
      <c r="G261" s="25">
        <f t="shared" si="6"/>
        <v>2</v>
      </c>
      <c r="H261" s="25"/>
      <c r="I261" s="25"/>
      <c r="J261" s="22" t="s">
        <v>296</v>
      </c>
      <c r="K261" s="22" t="s">
        <v>369</v>
      </c>
      <c r="L261" s="22" t="s">
        <v>24</v>
      </c>
      <c r="M261" s="22" t="s">
        <v>71</v>
      </c>
      <c r="N261" s="22"/>
    </row>
    <row r="262" spans="1:14" ht="25.5">
      <c r="A262" s="22">
        <v>20</v>
      </c>
      <c r="B262" s="23" t="s">
        <v>455</v>
      </c>
      <c r="C262" s="22" t="s">
        <v>456</v>
      </c>
      <c r="D262" s="24"/>
      <c r="E262" s="25"/>
      <c r="F262" s="25">
        <v>9</v>
      </c>
      <c r="G262" s="25">
        <f t="shared" si="6"/>
        <v>9</v>
      </c>
      <c r="H262" s="25"/>
      <c r="I262" s="25"/>
      <c r="J262" s="22" t="s">
        <v>296</v>
      </c>
      <c r="K262" s="22" t="s">
        <v>369</v>
      </c>
      <c r="L262" s="22" t="s">
        <v>24</v>
      </c>
      <c r="M262" s="22" t="s">
        <v>71</v>
      </c>
      <c r="N262" s="22"/>
    </row>
    <row r="263" spans="1:14" ht="25.5">
      <c r="A263" s="22">
        <v>21</v>
      </c>
      <c r="B263" s="23" t="s">
        <v>457</v>
      </c>
      <c r="C263" s="22" t="s">
        <v>458</v>
      </c>
      <c r="D263" s="24"/>
      <c r="E263" s="25"/>
      <c r="F263" s="25">
        <v>7</v>
      </c>
      <c r="G263" s="25">
        <f t="shared" si="6"/>
        <v>7</v>
      </c>
      <c r="H263" s="25"/>
      <c r="I263" s="25"/>
      <c r="J263" s="22" t="s">
        <v>296</v>
      </c>
      <c r="K263" s="22" t="s">
        <v>369</v>
      </c>
      <c r="L263" s="22" t="s">
        <v>24</v>
      </c>
      <c r="M263" s="22" t="s">
        <v>71</v>
      </c>
      <c r="N263" s="22"/>
    </row>
    <row r="264" spans="1:14" ht="25.5">
      <c r="A264" s="22">
        <v>22</v>
      </c>
      <c r="B264" s="23" t="s">
        <v>459</v>
      </c>
      <c r="C264" s="22" t="s">
        <v>460</v>
      </c>
      <c r="D264" s="24"/>
      <c r="E264" s="25"/>
      <c r="F264" s="25">
        <v>3</v>
      </c>
      <c r="G264" s="25">
        <f t="shared" si="6"/>
        <v>3</v>
      </c>
      <c r="H264" s="25"/>
      <c r="I264" s="25"/>
      <c r="J264" s="22" t="s">
        <v>296</v>
      </c>
      <c r="K264" s="22" t="s">
        <v>369</v>
      </c>
      <c r="L264" s="22" t="s">
        <v>24</v>
      </c>
      <c r="M264" s="22" t="s">
        <v>71</v>
      </c>
      <c r="N264" s="22"/>
    </row>
    <row r="265" spans="1:14" ht="25.5">
      <c r="A265" s="22">
        <v>23</v>
      </c>
      <c r="B265" s="23" t="s">
        <v>461</v>
      </c>
      <c r="C265" s="22" t="s">
        <v>462</v>
      </c>
      <c r="D265" s="24"/>
      <c r="E265" s="25"/>
      <c r="F265" s="25">
        <v>5</v>
      </c>
      <c r="G265" s="25">
        <f t="shared" si="6"/>
        <v>5</v>
      </c>
      <c r="H265" s="25"/>
      <c r="I265" s="25"/>
      <c r="J265" s="22" t="s">
        <v>296</v>
      </c>
      <c r="K265" s="22" t="s">
        <v>369</v>
      </c>
      <c r="L265" s="22" t="s">
        <v>24</v>
      </c>
      <c r="M265" s="22" t="s">
        <v>71</v>
      </c>
      <c r="N265" s="22"/>
    </row>
    <row r="266" spans="1:14" ht="25.5">
      <c r="A266" s="22">
        <v>24</v>
      </c>
      <c r="B266" s="23" t="s">
        <v>463</v>
      </c>
      <c r="C266" s="22" t="s">
        <v>464</v>
      </c>
      <c r="D266" s="24"/>
      <c r="E266" s="25"/>
      <c r="F266" s="25">
        <v>3</v>
      </c>
      <c r="G266" s="25">
        <f t="shared" si="6"/>
        <v>3</v>
      </c>
      <c r="H266" s="25"/>
      <c r="I266" s="25"/>
      <c r="J266" s="22" t="s">
        <v>296</v>
      </c>
      <c r="K266" s="22" t="s">
        <v>369</v>
      </c>
      <c r="L266" s="22" t="s">
        <v>24</v>
      </c>
      <c r="M266" s="22" t="s">
        <v>71</v>
      </c>
      <c r="N266" s="22"/>
    </row>
    <row r="267" spans="1:14" ht="25.5">
      <c r="A267" s="22">
        <v>25</v>
      </c>
      <c r="B267" s="23" t="s">
        <v>465</v>
      </c>
      <c r="C267" s="22" t="s">
        <v>466</v>
      </c>
      <c r="D267" s="24"/>
      <c r="E267" s="25"/>
      <c r="F267" s="25">
        <v>2</v>
      </c>
      <c r="G267" s="25">
        <f t="shared" si="6"/>
        <v>2</v>
      </c>
      <c r="H267" s="25"/>
      <c r="I267" s="25"/>
      <c r="J267" s="22" t="s">
        <v>296</v>
      </c>
      <c r="K267" s="22" t="s">
        <v>369</v>
      </c>
      <c r="L267" s="22" t="s">
        <v>24</v>
      </c>
      <c r="M267" s="22" t="s">
        <v>71</v>
      </c>
      <c r="N267" s="22"/>
    </row>
    <row r="268" spans="1:14" ht="25.5">
      <c r="A268" s="22">
        <v>26</v>
      </c>
      <c r="B268" s="23" t="s">
        <v>467</v>
      </c>
      <c r="C268" s="22" t="s">
        <v>468</v>
      </c>
      <c r="D268" s="24"/>
      <c r="E268" s="25"/>
      <c r="F268" s="25">
        <v>8</v>
      </c>
      <c r="G268" s="25">
        <f t="shared" si="6"/>
        <v>8</v>
      </c>
      <c r="H268" s="25"/>
      <c r="I268" s="25"/>
      <c r="J268" s="22" t="s">
        <v>296</v>
      </c>
      <c r="K268" s="22" t="s">
        <v>369</v>
      </c>
      <c r="L268" s="22" t="s">
        <v>24</v>
      </c>
      <c r="M268" s="22" t="s">
        <v>71</v>
      </c>
      <c r="N268" s="22"/>
    </row>
    <row r="269" spans="1:14" ht="25.5">
      <c r="A269" s="22">
        <v>27</v>
      </c>
      <c r="B269" s="23" t="s">
        <v>469</v>
      </c>
      <c r="C269" s="22" t="s">
        <v>470</v>
      </c>
      <c r="D269" s="24"/>
      <c r="E269" s="25"/>
      <c r="F269" s="25">
        <v>7</v>
      </c>
      <c r="G269" s="25">
        <f t="shared" si="6"/>
        <v>7</v>
      </c>
      <c r="H269" s="25"/>
      <c r="I269" s="25"/>
      <c r="J269" s="22" t="s">
        <v>296</v>
      </c>
      <c r="K269" s="22" t="s">
        <v>369</v>
      </c>
      <c r="L269" s="22" t="s">
        <v>24</v>
      </c>
      <c r="M269" s="22" t="s">
        <v>71</v>
      </c>
      <c r="N269" s="22"/>
    </row>
    <row r="270" spans="1:14" ht="25.5">
      <c r="A270" s="22">
        <v>28</v>
      </c>
      <c r="B270" s="23" t="s">
        <v>471</v>
      </c>
      <c r="C270" s="22" t="s">
        <v>472</v>
      </c>
      <c r="D270" s="24"/>
      <c r="E270" s="25"/>
      <c r="F270" s="25">
        <v>3</v>
      </c>
      <c r="G270" s="25">
        <f t="shared" si="6"/>
        <v>3</v>
      </c>
      <c r="H270" s="25"/>
      <c r="I270" s="25"/>
      <c r="J270" s="22" t="s">
        <v>296</v>
      </c>
      <c r="K270" s="22" t="s">
        <v>369</v>
      </c>
      <c r="L270" s="22" t="s">
        <v>24</v>
      </c>
      <c r="M270" s="22" t="s">
        <v>71</v>
      </c>
      <c r="N270" s="22"/>
    </row>
    <row r="271" spans="1:14" ht="25.5">
      <c r="A271" s="22">
        <v>29</v>
      </c>
      <c r="B271" s="23" t="s">
        <v>473</v>
      </c>
      <c r="C271" s="22" t="s">
        <v>474</v>
      </c>
      <c r="D271" s="24"/>
      <c r="E271" s="25"/>
      <c r="F271" s="25">
        <v>1</v>
      </c>
      <c r="G271" s="25">
        <f t="shared" si="6"/>
        <v>1</v>
      </c>
      <c r="H271" s="25"/>
      <c r="I271" s="25"/>
      <c r="J271" s="22" t="s">
        <v>296</v>
      </c>
      <c r="K271" s="22" t="s">
        <v>369</v>
      </c>
      <c r="L271" s="22" t="s">
        <v>24</v>
      </c>
      <c r="M271" s="22" t="s">
        <v>71</v>
      </c>
      <c r="N271" s="22"/>
    </row>
    <row r="272" spans="1:14" ht="25.5">
      <c r="A272" s="22">
        <v>30</v>
      </c>
      <c r="B272" s="23" t="s">
        <v>409</v>
      </c>
      <c r="C272" s="22" t="s">
        <v>475</v>
      </c>
      <c r="D272" s="24"/>
      <c r="E272" s="25"/>
      <c r="F272" s="25">
        <v>3</v>
      </c>
      <c r="G272" s="25">
        <f t="shared" si="6"/>
        <v>3</v>
      </c>
      <c r="H272" s="25"/>
      <c r="I272" s="25"/>
      <c r="J272" s="22" t="s">
        <v>296</v>
      </c>
      <c r="K272" s="22" t="s">
        <v>369</v>
      </c>
      <c r="L272" s="22" t="s">
        <v>24</v>
      </c>
      <c r="M272" s="22" t="s">
        <v>71</v>
      </c>
      <c r="N272" s="22"/>
    </row>
    <row r="273" spans="1:14" ht="25.5">
      <c r="A273" s="22">
        <v>31</v>
      </c>
      <c r="B273" s="23" t="s">
        <v>476</v>
      </c>
      <c r="C273" s="22" t="s">
        <v>477</v>
      </c>
      <c r="D273" s="24"/>
      <c r="E273" s="25"/>
      <c r="F273" s="25">
        <v>1</v>
      </c>
      <c r="G273" s="25">
        <f t="shared" si="6"/>
        <v>1</v>
      </c>
      <c r="H273" s="25"/>
      <c r="I273" s="25"/>
      <c r="J273" s="22" t="s">
        <v>296</v>
      </c>
      <c r="K273" s="22" t="s">
        <v>369</v>
      </c>
      <c r="L273" s="22" t="s">
        <v>24</v>
      </c>
      <c r="M273" s="22" t="s">
        <v>71</v>
      </c>
      <c r="N273" s="22"/>
    </row>
    <row r="274" spans="1:14" ht="25.5">
      <c r="A274" s="22">
        <v>32</v>
      </c>
      <c r="B274" s="23" t="s">
        <v>478</v>
      </c>
      <c r="C274" s="22" t="s">
        <v>479</v>
      </c>
      <c r="D274" s="24"/>
      <c r="E274" s="25"/>
      <c r="F274" s="25">
        <v>1</v>
      </c>
      <c r="G274" s="25">
        <f t="shared" si="6"/>
        <v>1</v>
      </c>
      <c r="H274" s="25"/>
      <c r="I274" s="25"/>
      <c r="J274" s="22" t="s">
        <v>296</v>
      </c>
      <c r="K274" s="22" t="s">
        <v>369</v>
      </c>
      <c r="L274" s="22" t="s">
        <v>24</v>
      </c>
      <c r="M274" s="22" t="s">
        <v>71</v>
      </c>
      <c r="N274" s="22"/>
    </row>
    <row r="275" spans="1:14" ht="25.5">
      <c r="A275" s="22">
        <v>33</v>
      </c>
      <c r="B275" s="23" t="s">
        <v>480</v>
      </c>
      <c r="C275" s="22" t="s">
        <v>481</v>
      </c>
      <c r="D275" s="24"/>
      <c r="E275" s="25"/>
      <c r="F275" s="25">
        <v>29</v>
      </c>
      <c r="G275" s="25">
        <f t="shared" si="6"/>
        <v>29</v>
      </c>
      <c r="H275" s="25"/>
      <c r="I275" s="25"/>
      <c r="J275" s="22" t="s">
        <v>296</v>
      </c>
      <c r="K275" s="22" t="s">
        <v>369</v>
      </c>
      <c r="L275" s="22" t="s">
        <v>24</v>
      </c>
      <c r="M275" s="22" t="s">
        <v>71</v>
      </c>
      <c r="N275" s="22"/>
    </row>
    <row r="276" spans="1:14" ht="25.5">
      <c r="A276" s="22">
        <v>34</v>
      </c>
      <c r="B276" s="23" t="s">
        <v>482</v>
      </c>
      <c r="C276" s="22" t="s">
        <v>483</v>
      </c>
      <c r="D276" s="24"/>
      <c r="E276" s="25"/>
      <c r="F276" s="25">
        <v>5</v>
      </c>
      <c r="G276" s="25">
        <f t="shared" si="6"/>
        <v>5</v>
      </c>
      <c r="H276" s="25"/>
      <c r="I276" s="25"/>
      <c r="J276" s="22" t="s">
        <v>296</v>
      </c>
      <c r="K276" s="22" t="s">
        <v>369</v>
      </c>
      <c r="L276" s="22" t="s">
        <v>24</v>
      </c>
      <c r="M276" s="22" t="s">
        <v>71</v>
      </c>
      <c r="N276" s="22"/>
    </row>
    <row r="277" spans="1:14" ht="25.5">
      <c r="A277" s="22">
        <v>35</v>
      </c>
      <c r="B277" s="23" t="s">
        <v>484</v>
      </c>
      <c r="C277" s="22" t="s">
        <v>485</v>
      </c>
      <c r="D277" s="24"/>
      <c r="E277" s="25"/>
      <c r="F277" s="25">
        <v>3</v>
      </c>
      <c r="G277" s="25">
        <f t="shared" si="6"/>
        <v>3</v>
      </c>
      <c r="H277" s="25"/>
      <c r="I277" s="25"/>
      <c r="J277" s="22" t="s">
        <v>296</v>
      </c>
      <c r="K277" s="22" t="s">
        <v>369</v>
      </c>
      <c r="L277" s="22" t="s">
        <v>24</v>
      </c>
      <c r="M277" s="22" t="s">
        <v>71</v>
      </c>
      <c r="N277" s="22"/>
    </row>
    <row r="278" spans="1:14" ht="25.5">
      <c r="A278" s="22">
        <v>36</v>
      </c>
      <c r="B278" s="23" t="s">
        <v>486</v>
      </c>
      <c r="C278" s="22" t="s">
        <v>487</v>
      </c>
      <c r="D278" s="24"/>
      <c r="E278" s="25"/>
      <c r="F278" s="25">
        <v>9</v>
      </c>
      <c r="G278" s="25">
        <f t="shared" si="6"/>
        <v>9</v>
      </c>
      <c r="H278" s="25"/>
      <c r="I278" s="25"/>
      <c r="J278" s="22" t="s">
        <v>296</v>
      </c>
      <c r="K278" s="22" t="s">
        <v>369</v>
      </c>
      <c r="L278" s="22" t="s">
        <v>24</v>
      </c>
      <c r="M278" s="22" t="s">
        <v>71</v>
      </c>
      <c r="N278" s="22"/>
    </row>
    <row r="279" spans="1:14" ht="25.5">
      <c r="A279" s="22">
        <v>37</v>
      </c>
      <c r="B279" s="23" t="s">
        <v>488</v>
      </c>
      <c r="C279" s="22" t="s">
        <v>489</v>
      </c>
      <c r="D279" s="24"/>
      <c r="E279" s="25"/>
      <c r="F279" s="25">
        <v>33</v>
      </c>
      <c r="G279" s="25">
        <f t="shared" si="6"/>
        <v>33</v>
      </c>
      <c r="H279" s="25"/>
      <c r="I279" s="25"/>
      <c r="J279" s="22" t="s">
        <v>296</v>
      </c>
      <c r="K279" s="22" t="s">
        <v>369</v>
      </c>
      <c r="L279" s="22" t="s">
        <v>24</v>
      </c>
      <c r="M279" s="22" t="s">
        <v>71</v>
      </c>
      <c r="N279" s="22"/>
    </row>
    <row r="280" spans="1:14" ht="25.5">
      <c r="A280" s="22">
        <v>38</v>
      </c>
      <c r="B280" s="23" t="s">
        <v>490</v>
      </c>
      <c r="C280" s="22" t="s">
        <v>491</v>
      </c>
      <c r="D280" s="24"/>
      <c r="E280" s="25"/>
      <c r="F280" s="25">
        <v>12</v>
      </c>
      <c r="G280" s="25">
        <f t="shared" si="6"/>
        <v>12</v>
      </c>
      <c r="H280" s="25"/>
      <c r="I280" s="25"/>
      <c r="J280" s="22" t="s">
        <v>296</v>
      </c>
      <c r="K280" s="22" t="s">
        <v>369</v>
      </c>
      <c r="L280" s="22" t="s">
        <v>24</v>
      </c>
      <c r="M280" s="22" t="s">
        <v>71</v>
      </c>
      <c r="N280" s="22"/>
    </row>
    <row r="281" spans="1:14" ht="25.5">
      <c r="A281" s="22">
        <v>39</v>
      </c>
      <c r="B281" s="23" t="s">
        <v>492</v>
      </c>
      <c r="C281" s="22" t="s">
        <v>493</v>
      </c>
      <c r="D281" s="24"/>
      <c r="E281" s="25"/>
      <c r="F281" s="25">
        <v>20</v>
      </c>
      <c r="G281" s="25">
        <f t="shared" si="6"/>
        <v>20</v>
      </c>
      <c r="H281" s="25"/>
      <c r="I281" s="25"/>
      <c r="J281" s="22" t="s">
        <v>296</v>
      </c>
      <c r="K281" s="22" t="s">
        <v>369</v>
      </c>
      <c r="L281" s="22" t="s">
        <v>24</v>
      </c>
      <c r="M281" s="22" t="s">
        <v>71</v>
      </c>
      <c r="N281" s="22"/>
    </row>
    <row r="282" spans="1:14" ht="25.5">
      <c r="A282" s="22">
        <v>40</v>
      </c>
      <c r="B282" s="23" t="s">
        <v>494</v>
      </c>
      <c r="C282" s="22" t="s">
        <v>495</v>
      </c>
      <c r="D282" s="24"/>
      <c r="E282" s="25"/>
      <c r="F282" s="25">
        <v>8</v>
      </c>
      <c r="G282" s="25">
        <f t="shared" si="6"/>
        <v>8</v>
      </c>
      <c r="H282" s="25"/>
      <c r="I282" s="25"/>
      <c r="J282" s="22" t="s">
        <v>296</v>
      </c>
      <c r="K282" s="22" t="s">
        <v>369</v>
      </c>
      <c r="L282" s="22" t="s">
        <v>24</v>
      </c>
      <c r="M282" s="22" t="s">
        <v>71</v>
      </c>
      <c r="N282" s="22"/>
    </row>
    <row r="283" spans="1:14" ht="25.5">
      <c r="A283" s="22">
        <v>41</v>
      </c>
      <c r="B283" s="23" t="s">
        <v>496</v>
      </c>
      <c r="C283" s="22" t="s">
        <v>497</v>
      </c>
      <c r="D283" s="24"/>
      <c r="E283" s="25"/>
      <c r="F283" s="25">
        <v>3</v>
      </c>
      <c r="G283" s="25">
        <f t="shared" si="6"/>
        <v>3</v>
      </c>
      <c r="H283" s="25"/>
      <c r="I283" s="25"/>
      <c r="J283" s="22" t="s">
        <v>296</v>
      </c>
      <c r="K283" s="22" t="s">
        <v>369</v>
      </c>
      <c r="L283" s="22" t="s">
        <v>24</v>
      </c>
      <c r="M283" s="22" t="s">
        <v>71</v>
      </c>
      <c r="N283" s="22"/>
    </row>
    <row r="284" spans="1:14" ht="25.5">
      <c r="A284" s="22">
        <v>42</v>
      </c>
      <c r="B284" s="23" t="s">
        <v>498</v>
      </c>
      <c r="C284" s="22" t="s">
        <v>499</v>
      </c>
      <c r="D284" s="24"/>
      <c r="E284" s="25"/>
      <c r="F284" s="25">
        <v>15</v>
      </c>
      <c r="G284" s="25">
        <f t="shared" si="6"/>
        <v>15</v>
      </c>
      <c r="H284" s="25"/>
      <c r="I284" s="25"/>
      <c r="J284" s="22" t="s">
        <v>296</v>
      </c>
      <c r="K284" s="22" t="s">
        <v>369</v>
      </c>
      <c r="L284" s="22" t="s">
        <v>24</v>
      </c>
      <c r="M284" s="22" t="s">
        <v>71</v>
      </c>
      <c r="N284" s="22"/>
    </row>
    <row r="285" spans="1:14" ht="25.5">
      <c r="A285" s="22">
        <v>43</v>
      </c>
      <c r="B285" s="23" t="s">
        <v>500</v>
      </c>
      <c r="C285" s="22" t="s">
        <v>501</v>
      </c>
      <c r="D285" s="24"/>
      <c r="E285" s="25"/>
      <c r="F285" s="25">
        <v>29</v>
      </c>
      <c r="G285" s="25">
        <f t="shared" si="6"/>
        <v>29</v>
      </c>
      <c r="H285" s="25"/>
      <c r="I285" s="25"/>
      <c r="J285" s="22" t="s">
        <v>296</v>
      </c>
      <c r="K285" s="22" t="s">
        <v>369</v>
      </c>
      <c r="L285" s="22" t="s">
        <v>24</v>
      </c>
      <c r="M285" s="22" t="s">
        <v>71</v>
      </c>
      <c r="N285" s="22"/>
    </row>
    <row r="286" spans="1:14" ht="25.5">
      <c r="A286" s="22">
        <v>44</v>
      </c>
      <c r="B286" s="23" t="s">
        <v>502</v>
      </c>
      <c r="C286" s="22" t="s">
        <v>503</v>
      </c>
      <c r="D286" s="24"/>
      <c r="E286" s="25"/>
      <c r="F286" s="25">
        <v>6</v>
      </c>
      <c r="G286" s="25">
        <f t="shared" si="6"/>
        <v>6</v>
      </c>
      <c r="H286" s="25"/>
      <c r="I286" s="25"/>
      <c r="J286" s="22" t="s">
        <v>296</v>
      </c>
      <c r="K286" s="22" t="s">
        <v>369</v>
      </c>
      <c r="L286" s="22" t="s">
        <v>24</v>
      </c>
      <c r="M286" s="22" t="s">
        <v>71</v>
      </c>
      <c r="N286" s="22"/>
    </row>
    <row r="287" spans="1:14" ht="25.5">
      <c r="A287" s="22">
        <v>45</v>
      </c>
      <c r="B287" s="23" t="s">
        <v>504</v>
      </c>
      <c r="C287" s="22" t="s">
        <v>505</v>
      </c>
      <c r="D287" s="24"/>
      <c r="E287" s="25"/>
      <c r="F287" s="25">
        <v>7</v>
      </c>
      <c r="G287" s="25">
        <f t="shared" si="6"/>
        <v>7</v>
      </c>
      <c r="H287" s="25"/>
      <c r="I287" s="25"/>
      <c r="J287" s="22" t="s">
        <v>296</v>
      </c>
      <c r="K287" s="22" t="s">
        <v>369</v>
      </c>
      <c r="L287" s="22" t="s">
        <v>24</v>
      </c>
      <c r="M287" s="22" t="s">
        <v>71</v>
      </c>
      <c r="N287" s="22"/>
    </row>
    <row r="288" spans="1:14" ht="25.5">
      <c r="A288" s="22">
        <v>46</v>
      </c>
      <c r="B288" s="23" t="s">
        <v>506</v>
      </c>
      <c r="C288" s="22" t="s">
        <v>507</v>
      </c>
      <c r="D288" s="24"/>
      <c r="E288" s="25"/>
      <c r="F288" s="25">
        <v>5</v>
      </c>
      <c r="G288" s="25">
        <f t="shared" si="6"/>
        <v>5</v>
      </c>
      <c r="H288" s="25"/>
      <c r="I288" s="25"/>
      <c r="J288" s="22" t="s">
        <v>296</v>
      </c>
      <c r="K288" s="22" t="s">
        <v>369</v>
      </c>
      <c r="L288" s="22" t="s">
        <v>24</v>
      </c>
      <c r="M288" s="22" t="s">
        <v>71</v>
      </c>
      <c r="N288" s="22"/>
    </row>
    <row r="289" spans="1:14" ht="25.5">
      <c r="A289" s="22">
        <v>47</v>
      </c>
      <c r="B289" s="23" t="s">
        <v>508</v>
      </c>
      <c r="C289" s="22" t="s">
        <v>509</v>
      </c>
      <c r="D289" s="24"/>
      <c r="E289" s="25"/>
      <c r="F289" s="25">
        <v>7</v>
      </c>
      <c r="G289" s="25">
        <f t="shared" si="6"/>
        <v>7</v>
      </c>
      <c r="H289" s="25"/>
      <c r="I289" s="25"/>
      <c r="J289" s="22" t="s">
        <v>296</v>
      </c>
      <c r="K289" s="22" t="s">
        <v>369</v>
      </c>
      <c r="L289" s="22" t="s">
        <v>24</v>
      </c>
      <c r="M289" s="22" t="s">
        <v>71</v>
      </c>
      <c r="N289" s="22"/>
    </row>
    <row r="290" spans="1:14" ht="25.5">
      <c r="A290" s="22">
        <v>48</v>
      </c>
      <c r="B290" s="23" t="s">
        <v>372</v>
      </c>
      <c r="C290" s="22" t="s">
        <v>510</v>
      </c>
      <c r="D290" s="24"/>
      <c r="E290" s="25"/>
      <c r="F290" s="25">
        <v>7</v>
      </c>
      <c r="G290" s="25">
        <f t="shared" si="6"/>
        <v>7</v>
      </c>
      <c r="H290" s="25"/>
      <c r="I290" s="25"/>
      <c r="J290" s="22" t="s">
        <v>296</v>
      </c>
      <c r="K290" s="22" t="s">
        <v>369</v>
      </c>
      <c r="L290" s="22" t="s">
        <v>24</v>
      </c>
      <c r="M290" s="22" t="s">
        <v>71</v>
      </c>
      <c r="N290" s="22"/>
    </row>
    <row r="291" spans="1:14" ht="25.5">
      <c r="A291" s="22">
        <v>49</v>
      </c>
      <c r="B291" s="23" t="s">
        <v>511</v>
      </c>
      <c r="C291" s="22" t="s">
        <v>512</v>
      </c>
      <c r="D291" s="24"/>
      <c r="E291" s="25"/>
      <c r="F291" s="25">
        <v>37</v>
      </c>
      <c r="G291" s="25">
        <f t="shared" si="6"/>
        <v>37</v>
      </c>
      <c r="H291" s="25"/>
      <c r="I291" s="25"/>
      <c r="J291" s="22" t="s">
        <v>296</v>
      </c>
      <c r="K291" s="22" t="s">
        <v>369</v>
      </c>
      <c r="L291" s="22" t="s">
        <v>24</v>
      </c>
      <c r="M291" s="22" t="s">
        <v>71</v>
      </c>
      <c r="N291" s="22"/>
    </row>
    <row r="292" spans="1:14" ht="25.5">
      <c r="A292" s="22">
        <v>50</v>
      </c>
      <c r="B292" s="23" t="s">
        <v>513</v>
      </c>
      <c r="C292" s="22" t="s">
        <v>514</v>
      </c>
      <c r="D292" s="24"/>
      <c r="E292" s="25"/>
      <c r="F292" s="25">
        <v>1</v>
      </c>
      <c r="G292" s="25">
        <f t="shared" si="6"/>
        <v>1</v>
      </c>
      <c r="H292" s="25"/>
      <c r="I292" s="25"/>
      <c r="J292" s="22" t="s">
        <v>296</v>
      </c>
      <c r="K292" s="22" t="s">
        <v>369</v>
      </c>
      <c r="L292" s="22" t="s">
        <v>24</v>
      </c>
      <c r="M292" s="22" t="s">
        <v>71</v>
      </c>
      <c r="N292" s="22"/>
    </row>
    <row r="293" spans="1:14" ht="25.5">
      <c r="A293" s="22">
        <v>51</v>
      </c>
      <c r="B293" s="23" t="s">
        <v>515</v>
      </c>
      <c r="C293" s="22" t="s">
        <v>516</v>
      </c>
      <c r="D293" s="24"/>
      <c r="E293" s="25"/>
      <c r="F293" s="25">
        <v>5</v>
      </c>
      <c r="G293" s="25">
        <f t="shared" si="6"/>
        <v>5</v>
      </c>
      <c r="H293" s="25"/>
      <c r="I293" s="25"/>
      <c r="J293" s="22" t="s">
        <v>296</v>
      </c>
      <c r="K293" s="22" t="s">
        <v>369</v>
      </c>
      <c r="L293" s="22" t="s">
        <v>24</v>
      </c>
      <c r="M293" s="22" t="s">
        <v>71</v>
      </c>
      <c r="N293" s="22"/>
    </row>
    <row r="294" spans="1:14" ht="25.5">
      <c r="A294" s="22">
        <v>52</v>
      </c>
      <c r="B294" s="23" t="s">
        <v>517</v>
      </c>
      <c r="C294" s="22" t="s">
        <v>518</v>
      </c>
      <c r="D294" s="24"/>
      <c r="E294" s="25"/>
      <c r="F294" s="25">
        <v>7</v>
      </c>
      <c r="G294" s="25">
        <f t="shared" si="6"/>
        <v>7</v>
      </c>
      <c r="H294" s="25"/>
      <c r="I294" s="25"/>
      <c r="J294" s="22" t="s">
        <v>296</v>
      </c>
      <c r="K294" s="22" t="s">
        <v>369</v>
      </c>
      <c r="L294" s="22" t="s">
        <v>24</v>
      </c>
      <c r="M294" s="22" t="s">
        <v>71</v>
      </c>
      <c r="N294" s="22"/>
    </row>
    <row r="295" spans="1:14" ht="25.5">
      <c r="A295" s="22">
        <v>53</v>
      </c>
      <c r="B295" s="23" t="s">
        <v>519</v>
      </c>
      <c r="C295" s="22" t="s">
        <v>520</v>
      </c>
      <c r="D295" s="24"/>
      <c r="E295" s="25"/>
      <c r="F295" s="25">
        <v>14</v>
      </c>
      <c r="G295" s="25">
        <f t="shared" si="6"/>
        <v>14</v>
      </c>
      <c r="H295" s="25"/>
      <c r="I295" s="25"/>
      <c r="J295" s="22" t="s">
        <v>296</v>
      </c>
      <c r="K295" s="22" t="s">
        <v>369</v>
      </c>
      <c r="L295" s="22" t="s">
        <v>24</v>
      </c>
      <c r="M295" s="22" t="s">
        <v>71</v>
      </c>
      <c r="N295" s="22"/>
    </row>
    <row r="296" spans="1:14" ht="25.5">
      <c r="A296" s="22">
        <v>54</v>
      </c>
      <c r="B296" s="23" t="s">
        <v>521</v>
      </c>
      <c r="C296" s="22" t="s">
        <v>522</v>
      </c>
      <c r="D296" s="24"/>
      <c r="E296" s="25"/>
      <c r="F296" s="25">
        <v>31</v>
      </c>
      <c r="G296" s="25">
        <f t="shared" si="6"/>
        <v>31</v>
      </c>
      <c r="H296" s="25"/>
      <c r="I296" s="25"/>
      <c r="J296" s="22" t="s">
        <v>296</v>
      </c>
      <c r="K296" s="22" t="s">
        <v>369</v>
      </c>
      <c r="L296" s="22" t="s">
        <v>24</v>
      </c>
      <c r="M296" s="22" t="s">
        <v>71</v>
      </c>
      <c r="N296" s="22"/>
    </row>
    <row r="297" spans="1:14" ht="25.5">
      <c r="A297" s="22">
        <v>55</v>
      </c>
      <c r="B297" s="23" t="s">
        <v>523</v>
      </c>
      <c r="C297" s="22" t="s">
        <v>524</v>
      </c>
      <c r="D297" s="24"/>
      <c r="E297" s="25"/>
      <c r="F297" s="25">
        <v>5</v>
      </c>
      <c r="G297" s="25">
        <f t="shared" si="6"/>
        <v>5</v>
      </c>
      <c r="H297" s="25"/>
      <c r="I297" s="25"/>
      <c r="J297" s="22" t="s">
        <v>296</v>
      </c>
      <c r="K297" s="22" t="s">
        <v>369</v>
      </c>
      <c r="L297" s="22" t="s">
        <v>24</v>
      </c>
      <c r="M297" s="22" t="s">
        <v>71</v>
      </c>
      <c r="N297" s="22"/>
    </row>
    <row r="298" spans="1:14" ht="25.5">
      <c r="A298" s="22">
        <v>56</v>
      </c>
      <c r="B298" s="23" t="s">
        <v>525</v>
      </c>
      <c r="C298" s="22" t="s">
        <v>526</v>
      </c>
      <c r="D298" s="24"/>
      <c r="E298" s="25"/>
      <c r="F298" s="25">
        <v>1</v>
      </c>
      <c r="G298" s="25">
        <f t="shared" si="6"/>
        <v>1</v>
      </c>
      <c r="H298" s="25"/>
      <c r="I298" s="25"/>
      <c r="J298" s="22" t="s">
        <v>296</v>
      </c>
      <c r="K298" s="22" t="s">
        <v>369</v>
      </c>
      <c r="L298" s="22" t="s">
        <v>24</v>
      </c>
      <c r="M298" s="22" t="s">
        <v>71</v>
      </c>
      <c r="N298" s="22"/>
    </row>
    <row r="299" spans="1:14" ht="25.5">
      <c r="A299" s="22">
        <v>57</v>
      </c>
      <c r="B299" s="23" t="s">
        <v>527</v>
      </c>
      <c r="C299" s="22" t="s">
        <v>528</v>
      </c>
      <c r="D299" s="24"/>
      <c r="E299" s="25"/>
      <c r="F299" s="25">
        <v>9</v>
      </c>
      <c r="G299" s="25">
        <f t="shared" si="6"/>
        <v>9</v>
      </c>
      <c r="H299" s="25"/>
      <c r="I299" s="25"/>
      <c r="J299" s="22" t="s">
        <v>296</v>
      </c>
      <c r="K299" s="22" t="s">
        <v>369</v>
      </c>
      <c r="L299" s="22" t="s">
        <v>24</v>
      </c>
      <c r="M299" s="22" t="s">
        <v>71</v>
      </c>
      <c r="N299" s="22"/>
    </row>
    <row r="300" spans="1:14" ht="25.5">
      <c r="A300" s="22">
        <v>58</v>
      </c>
      <c r="B300" s="23" t="s">
        <v>529</v>
      </c>
      <c r="C300" s="22" t="s">
        <v>530</v>
      </c>
      <c r="D300" s="24"/>
      <c r="E300" s="25"/>
      <c r="F300" s="25">
        <v>9</v>
      </c>
      <c r="G300" s="25">
        <f t="shared" si="6"/>
        <v>9</v>
      </c>
      <c r="H300" s="25"/>
      <c r="I300" s="25"/>
      <c r="J300" s="22" t="s">
        <v>296</v>
      </c>
      <c r="K300" s="22" t="s">
        <v>369</v>
      </c>
      <c r="L300" s="22" t="s">
        <v>24</v>
      </c>
      <c r="M300" s="22" t="s">
        <v>71</v>
      </c>
      <c r="N300" s="22"/>
    </row>
    <row r="301" spans="1:14" ht="25.5">
      <c r="A301" s="22">
        <v>59</v>
      </c>
      <c r="B301" s="23" t="s">
        <v>531</v>
      </c>
      <c r="C301" s="22" t="s">
        <v>532</v>
      </c>
      <c r="D301" s="24"/>
      <c r="E301" s="25"/>
      <c r="F301" s="25">
        <v>39</v>
      </c>
      <c r="G301" s="25">
        <f t="shared" si="6"/>
        <v>39</v>
      </c>
      <c r="H301" s="25"/>
      <c r="I301" s="25"/>
      <c r="J301" s="22" t="s">
        <v>296</v>
      </c>
      <c r="K301" s="22" t="s">
        <v>369</v>
      </c>
      <c r="L301" s="22" t="s">
        <v>24</v>
      </c>
      <c r="M301" s="22" t="s">
        <v>71</v>
      </c>
      <c r="N301" s="22"/>
    </row>
    <row r="302" spans="1:14" ht="25.5">
      <c r="A302" s="22">
        <v>60</v>
      </c>
      <c r="B302" s="23" t="s">
        <v>533</v>
      </c>
      <c r="C302" s="22" t="s">
        <v>534</v>
      </c>
      <c r="D302" s="24"/>
      <c r="E302" s="25"/>
      <c r="F302" s="25">
        <v>2</v>
      </c>
      <c r="G302" s="25">
        <f t="shared" si="6"/>
        <v>2</v>
      </c>
      <c r="H302" s="25"/>
      <c r="I302" s="25"/>
      <c r="J302" s="22" t="s">
        <v>296</v>
      </c>
      <c r="K302" s="22" t="s">
        <v>369</v>
      </c>
      <c r="L302" s="22" t="s">
        <v>24</v>
      </c>
      <c r="M302" s="22" t="s">
        <v>71</v>
      </c>
      <c r="N302" s="22"/>
    </row>
    <row r="303" spans="1:14" ht="25.5">
      <c r="A303" s="22">
        <v>61</v>
      </c>
      <c r="B303" s="23" t="s">
        <v>535</v>
      </c>
      <c r="C303" s="22" t="s">
        <v>536</v>
      </c>
      <c r="D303" s="24"/>
      <c r="E303" s="25"/>
      <c r="F303" s="25">
        <v>28</v>
      </c>
      <c r="G303" s="25">
        <f t="shared" si="6"/>
        <v>28</v>
      </c>
      <c r="H303" s="25"/>
      <c r="I303" s="25"/>
      <c r="J303" s="22" t="s">
        <v>296</v>
      </c>
      <c r="K303" s="22" t="s">
        <v>369</v>
      </c>
      <c r="L303" s="22" t="s">
        <v>24</v>
      </c>
      <c r="M303" s="22" t="s">
        <v>71</v>
      </c>
      <c r="N303" s="22"/>
    </row>
    <row r="304" spans="1:14" ht="25.5">
      <c r="A304" s="22">
        <v>62</v>
      </c>
      <c r="B304" s="23" t="s">
        <v>537</v>
      </c>
      <c r="C304" s="22" t="s">
        <v>538</v>
      </c>
      <c r="D304" s="24"/>
      <c r="E304" s="25"/>
      <c r="F304" s="25">
        <v>2</v>
      </c>
      <c r="G304" s="25">
        <f t="shared" si="6"/>
        <v>2</v>
      </c>
      <c r="H304" s="25"/>
      <c r="I304" s="25"/>
      <c r="J304" s="22" t="s">
        <v>296</v>
      </c>
      <c r="K304" s="22" t="s">
        <v>369</v>
      </c>
      <c r="L304" s="22" t="s">
        <v>24</v>
      </c>
      <c r="M304" s="22" t="s">
        <v>71</v>
      </c>
      <c r="N304" s="22"/>
    </row>
    <row r="305" spans="1:14" ht="25.5">
      <c r="A305" s="22">
        <v>63</v>
      </c>
      <c r="B305" s="23" t="s">
        <v>539</v>
      </c>
      <c r="C305" s="22" t="s">
        <v>540</v>
      </c>
      <c r="D305" s="24"/>
      <c r="E305" s="25"/>
      <c r="F305" s="25">
        <v>20</v>
      </c>
      <c r="G305" s="25">
        <f t="shared" si="6"/>
        <v>20</v>
      </c>
      <c r="H305" s="25"/>
      <c r="I305" s="25"/>
      <c r="J305" s="22" t="s">
        <v>296</v>
      </c>
      <c r="K305" s="22" t="s">
        <v>369</v>
      </c>
      <c r="L305" s="22" t="s">
        <v>24</v>
      </c>
      <c r="M305" s="22" t="s">
        <v>71</v>
      </c>
      <c r="N305" s="22"/>
    </row>
    <row r="306" spans="1:14" ht="25.5">
      <c r="A306" s="22">
        <v>64</v>
      </c>
      <c r="B306" s="23" t="s">
        <v>541</v>
      </c>
      <c r="C306" s="22" t="s">
        <v>542</v>
      </c>
      <c r="D306" s="24"/>
      <c r="E306" s="25"/>
      <c r="F306" s="25">
        <v>18</v>
      </c>
      <c r="G306" s="25">
        <f t="shared" si="6"/>
        <v>18</v>
      </c>
      <c r="H306" s="25"/>
      <c r="I306" s="25"/>
      <c r="J306" s="22" t="s">
        <v>296</v>
      </c>
      <c r="K306" s="22" t="s">
        <v>369</v>
      </c>
      <c r="L306" s="22" t="s">
        <v>24</v>
      </c>
      <c r="M306" s="22" t="s">
        <v>71</v>
      </c>
      <c r="N306" s="22"/>
    </row>
    <row r="307" spans="1:14" ht="25.5">
      <c r="A307" s="22">
        <v>65</v>
      </c>
      <c r="B307" s="23" t="s">
        <v>543</v>
      </c>
      <c r="C307" s="22" t="s">
        <v>544</v>
      </c>
      <c r="D307" s="24"/>
      <c r="E307" s="25"/>
      <c r="F307" s="25">
        <v>14</v>
      </c>
      <c r="G307" s="25">
        <f t="shared" si="6"/>
        <v>14</v>
      </c>
      <c r="H307" s="25"/>
      <c r="I307" s="25"/>
      <c r="J307" s="22" t="s">
        <v>296</v>
      </c>
      <c r="K307" s="22" t="s">
        <v>369</v>
      </c>
      <c r="L307" s="22" t="s">
        <v>24</v>
      </c>
      <c r="M307" s="22" t="s">
        <v>71</v>
      </c>
      <c r="N307" s="22"/>
    </row>
    <row r="308" spans="1:14" ht="25.5">
      <c r="A308" s="22">
        <v>66</v>
      </c>
      <c r="B308" s="23" t="s">
        <v>545</v>
      </c>
      <c r="C308" s="22" t="s">
        <v>546</v>
      </c>
      <c r="D308" s="24"/>
      <c r="E308" s="25"/>
      <c r="F308" s="25">
        <v>1</v>
      </c>
      <c r="G308" s="25">
        <f t="shared" si="6"/>
        <v>1</v>
      </c>
      <c r="H308" s="25"/>
      <c r="I308" s="25"/>
      <c r="J308" s="22" t="s">
        <v>296</v>
      </c>
      <c r="K308" s="22" t="s">
        <v>369</v>
      </c>
      <c r="L308" s="22" t="s">
        <v>24</v>
      </c>
      <c r="M308" s="22" t="s">
        <v>71</v>
      </c>
      <c r="N308" s="22"/>
    </row>
    <row r="309" spans="1:14" ht="25.5">
      <c r="A309" s="22">
        <v>67</v>
      </c>
      <c r="B309" s="23" t="s">
        <v>547</v>
      </c>
      <c r="C309" s="22" t="s">
        <v>548</v>
      </c>
      <c r="D309" s="24"/>
      <c r="E309" s="25"/>
      <c r="F309" s="25">
        <v>1</v>
      </c>
      <c r="G309" s="25">
        <f t="shared" si="6"/>
        <v>1</v>
      </c>
      <c r="H309" s="25"/>
      <c r="I309" s="25"/>
      <c r="J309" s="22" t="s">
        <v>296</v>
      </c>
      <c r="K309" s="22" t="s">
        <v>369</v>
      </c>
      <c r="L309" s="22" t="s">
        <v>24</v>
      </c>
      <c r="M309" s="22" t="s">
        <v>71</v>
      </c>
      <c r="N309" s="22"/>
    </row>
    <row r="310" spans="1:14" ht="25.5">
      <c r="A310" s="22">
        <v>68</v>
      </c>
      <c r="B310" s="23" t="s">
        <v>549</v>
      </c>
      <c r="C310" s="22" t="s">
        <v>550</v>
      </c>
      <c r="D310" s="24"/>
      <c r="E310" s="25"/>
      <c r="F310" s="25">
        <v>17</v>
      </c>
      <c r="G310" s="25">
        <f t="shared" si="6"/>
        <v>17</v>
      </c>
      <c r="H310" s="25"/>
      <c r="I310" s="25"/>
      <c r="J310" s="22" t="s">
        <v>296</v>
      </c>
      <c r="K310" s="22" t="s">
        <v>369</v>
      </c>
      <c r="L310" s="22" t="s">
        <v>24</v>
      </c>
      <c r="M310" s="22" t="s">
        <v>71</v>
      </c>
      <c r="N310" s="22"/>
    </row>
    <row r="311" spans="1:14" ht="25.5">
      <c r="A311" s="22">
        <v>69</v>
      </c>
      <c r="B311" s="23" t="s">
        <v>551</v>
      </c>
      <c r="C311" s="22" t="s">
        <v>552</v>
      </c>
      <c r="D311" s="24"/>
      <c r="E311" s="25"/>
      <c r="F311" s="25">
        <v>18</v>
      </c>
      <c r="G311" s="25">
        <f t="shared" si="6"/>
        <v>18</v>
      </c>
      <c r="H311" s="25"/>
      <c r="I311" s="25"/>
      <c r="J311" s="22" t="s">
        <v>296</v>
      </c>
      <c r="K311" s="22" t="s">
        <v>369</v>
      </c>
      <c r="L311" s="22" t="s">
        <v>24</v>
      </c>
      <c r="M311" s="22" t="s">
        <v>71</v>
      </c>
      <c r="N311" s="22"/>
    </row>
    <row r="312" spans="1:14" ht="25.5">
      <c r="A312" s="22">
        <v>70</v>
      </c>
      <c r="B312" s="23" t="s">
        <v>417</v>
      </c>
      <c r="C312" s="22" t="s">
        <v>553</v>
      </c>
      <c r="D312" s="24"/>
      <c r="E312" s="25"/>
      <c r="F312" s="25">
        <v>30</v>
      </c>
      <c r="G312" s="25">
        <f t="shared" si="6"/>
        <v>30</v>
      </c>
      <c r="H312" s="25"/>
      <c r="I312" s="25"/>
      <c r="J312" s="22" t="s">
        <v>296</v>
      </c>
      <c r="K312" s="22" t="s">
        <v>369</v>
      </c>
      <c r="L312" s="22" t="s">
        <v>24</v>
      </c>
      <c r="M312" s="22" t="s">
        <v>71</v>
      </c>
      <c r="N312" s="22"/>
    </row>
    <row r="313" spans="1:14" ht="25.5">
      <c r="A313" s="22">
        <v>71</v>
      </c>
      <c r="B313" s="23" t="s">
        <v>554</v>
      </c>
      <c r="C313" s="22" t="s">
        <v>555</v>
      </c>
      <c r="D313" s="24"/>
      <c r="E313" s="25"/>
      <c r="F313" s="25">
        <v>7</v>
      </c>
      <c r="G313" s="25">
        <f t="shared" si="6"/>
        <v>7</v>
      </c>
      <c r="H313" s="25"/>
      <c r="I313" s="25"/>
      <c r="J313" s="22" t="s">
        <v>296</v>
      </c>
      <c r="K313" s="22" t="s">
        <v>369</v>
      </c>
      <c r="L313" s="22" t="s">
        <v>24</v>
      </c>
      <c r="M313" s="22" t="s">
        <v>71</v>
      </c>
      <c r="N313" s="22"/>
    </row>
    <row r="314" spans="1:14" ht="25.5">
      <c r="A314" s="22">
        <v>72</v>
      </c>
      <c r="B314" s="23" t="s">
        <v>556</v>
      </c>
      <c r="C314" s="22" t="s">
        <v>557</v>
      </c>
      <c r="D314" s="24"/>
      <c r="E314" s="25"/>
      <c r="F314" s="25">
        <v>5</v>
      </c>
      <c r="G314" s="25">
        <f t="shared" si="6"/>
        <v>5</v>
      </c>
      <c r="H314" s="25"/>
      <c r="I314" s="25"/>
      <c r="J314" s="22" t="s">
        <v>296</v>
      </c>
      <c r="K314" s="22" t="s">
        <v>369</v>
      </c>
      <c r="L314" s="22" t="s">
        <v>24</v>
      </c>
      <c r="M314" s="22" t="s">
        <v>71</v>
      </c>
      <c r="N314" s="22"/>
    </row>
    <row r="315" spans="1:14" ht="25.5">
      <c r="A315" s="22">
        <v>73</v>
      </c>
      <c r="B315" s="23" t="s">
        <v>558</v>
      </c>
      <c r="C315" s="22" t="s">
        <v>559</v>
      </c>
      <c r="D315" s="24"/>
      <c r="E315" s="25"/>
      <c r="F315" s="25">
        <v>21</v>
      </c>
      <c r="G315" s="25">
        <f t="shared" ref="G315:G391" si="7">F315-E315</f>
        <v>21</v>
      </c>
      <c r="H315" s="25"/>
      <c r="I315" s="25"/>
      <c r="J315" s="22" t="s">
        <v>296</v>
      </c>
      <c r="K315" s="22" t="s">
        <v>369</v>
      </c>
      <c r="L315" s="22" t="s">
        <v>24</v>
      </c>
      <c r="M315" s="22" t="s">
        <v>71</v>
      </c>
      <c r="N315" s="22"/>
    </row>
    <row r="316" spans="1:14" ht="25.5">
      <c r="A316" s="22">
        <v>74</v>
      </c>
      <c r="B316" s="23" t="s">
        <v>419</v>
      </c>
      <c r="C316" s="22" t="s">
        <v>560</v>
      </c>
      <c r="D316" s="24"/>
      <c r="E316" s="25"/>
      <c r="F316" s="25">
        <v>212</v>
      </c>
      <c r="G316" s="25">
        <f t="shared" si="7"/>
        <v>212</v>
      </c>
      <c r="H316" s="25"/>
      <c r="I316" s="25"/>
      <c r="J316" s="22" t="s">
        <v>296</v>
      </c>
      <c r="K316" s="22" t="s">
        <v>369</v>
      </c>
      <c r="L316" s="22" t="s">
        <v>24</v>
      </c>
      <c r="M316" s="22" t="s">
        <v>71</v>
      </c>
      <c r="N316" s="22"/>
    </row>
    <row r="317" spans="1:14" ht="25.5">
      <c r="A317" s="22">
        <v>75</v>
      </c>
      <c r="B317" s="23" t="s">
        <v>561</v>
      </c>
      <c r="C317" s="22" t="s">
        <v>562</v>
      </c>
      <c r="D317" s="24"/>
      <c r="E317" s="25"/>
      <c r="F317" s="25">
        <v>16</v>
      </c>
      <c r="G317" s="25">
        <f t="shared" si="7"/>
        <v>16</v>
      </c>
      <c r="H317" s="25"/>
      <c r="I317" s="25"/>
      <c r="J317" s="22" t="s">
        <v>296</v>
      </c>
      <c r="K317" s="22" t="s">
        <v>369</v>
      </c>
      <c r="L317" s="22" t="s">
        <v>24</v>
      </c>
      <c r="M317" s="22" t="s">
        <v>71</v>
      </c>
      <c r="N317" s="22"/>
    </row>
    <row r="318" spans="1:14" ht="25.5">
      <c r="A318" s="22">
        <v>76</v>
      </c>
      <c r="B318" s="23" t="s">
        <v>563</v>
      </c>
      <c r="C318" s="22" t="s">
        <v>564</v>
      </c>
      <c r="D318" s="24"/>
      <c r="E318" s="25"/>
      <c r="F318" s="25">
        <v>1</v>
      </c>
      <c r="G318" s="25">
        <f t="shared" si="7"/>
        <v>1</v>
      </c>
      <c r="H318" s="25"/>
      <c r="I318" s="25"/>
      <c r="J318" s="22" t="s">
        <v>296</v>
      </c>
      <c r="K318" s="22" t="s">
        <v>369</v>
      </c>
      <c r="L318" s="22" t="s">
        <v>24</v>
      </c>
      <c r="M318" s="22" t="s">
        <v>71</v>
      </c>
      <c r="N318" s="22"/>
    </row>
    <row r="319" spans="1:14" ht="25.5">
      <c r="A319" s="22">
        <v>77</v>
      </c>
      <c r="B319" s="23" t="s">
        <v>565</v>
      </c>
      <c r="C319" s="22" t="s">
        <v>566</v>
      </c>
      <c r="D319" s="24"/>
      <c r="E319" s="25"/>
      <c r="F319" s="25">
        <v>1</v>
      </c>
      <c r="G319" s="25">
        <f t="shared" si="7"/>
        <v>1</v>
      </c>
      <c r="H319" s="25"/>
      <c r="I319" s="25"/>
      <c r="J319" s="22" t="s">
        <v>296</v>
      </c>
      <c r="K319" s="22" t="s">
        <v>369</v>
      </c>
      <c r="L319" s="22" t="s">
        <v>24</v>
      </c>
      <c r="M319" s="22" t="s">
        <v>71</v>
      </c>
      <c r="N319" s="22"/>
    </row>
    <row r="320" spans="1:14" ht="25.5">
      <c r="A320" s="22">
        <v>78</v>
      </c>
      <c r="B320" s="23" t="s">
        <v>567</v>
      </c>
      <c r="C320" s="22" t="s">
        <v>568</v>
      </c>
      <c r="D320" s="24"/>
      <c r="E320" s="25"/>
      <c r="F320" s="25">
        <v>1</v>
      </c>
      <c r="G320" s="25">
        <f t="shared" si="7"/>
        <v>1</v>
      </c>
      <c r="H320" s="25"/>
      <c r="I320" s="25"/>
      <c r="J320" s="22" t="s">
        <v>296</v>
      </c>
      <c r="K320" s="22" t="s">
        <v>369</v>
      </c>
      <c r="L320" s="22" t="s">
        <v>24</v>
      </c>
      <c r="M320" s="22" t="s">
        <v>71</v>
      </c>
      <c r="N320" s="22"/>
    </row>
    <row r="321" spans="1:14" ht="25.5">
      <c r="A321" s="22">
        <v>79</v>
      </c>
      <c r="B321" s="23" t="s">
        <v>569</v>
      </c>
      <c r="C321" s="22" t="s">
        <v>570</v>
      </c>
      <c r="D321" s="24"/>
      <c r="E321" s="25"/>
      <c r="F321" s="25">
        <v>30</v>
      </c>
      <c r="G321" s="25">
        <f t="shared" si="7"/>
        <v>30</v>
      </c>
      <c r="H321" s="25"/>
      <c r="I321" s="25"/>
      <c r="J321" s="22" t="s">
        <v>296</v>
      </c>
      <c r="K321" s="22" t="s">
        <v>369</v>
      </c>
      <c r="L321" s="22" t="s">
        <v>24</v>
      </c>
      <c r="M321" s="22" t="s">
        <v>71</v>
      </c>
      <c r="N321" s="22"/>
    </row>
    <row r="322" spans="1:14">
      <c r="A322" s="22"/>
      <c r="B322" s="473" t="s">
        <v>805</v>
      </c>
      <c r="C322" s="473"/>
      <c r="D322" s="473"/>
      <c r="E322" s="473"/>
      <c r="F322" s="473"/>
      <c r="G322" s="473"/>
      <c r="H322" s="473"/>
      <c r="I322" s="473"/>
      <c r="J322" s="473"/>
      <c r="K322" s="473"/>
      <c r="L322" s="473"/>
      <c r="M322" s="473"/>
      <c r="N322" s="473"/>
    </row>
    <row r="323" spans="1:14" ht="25.5">
      <c r="A323" s="22">
        <v>1</v>
      </c>
      <c r="B323" s="23" t="s">
        <v>469</v>
      </c>
      <c r="C323" s="22" t="s">
        <v>571</v>
      </c>
      <c r="D323" s="24"/>
      <c r="E323" s="25"/>
      <c r="F323" s="25">
        <v>2</v>
      </c>
      <c r="G323" s="25">
        <f t="shared" si="7"/>
        <v>2</v>
      </c>
      <c r="H323" s="25"/>
      <c r="I323" s="25"/>
      <c r="J323" s="22" t="s">
        <v>296</v>
      </c>
      <c r="K323" s="22" t="s">
        <v>369</v>
      </c>
      <c r="L323" s="22" t="s">
        <v>24</v>
      </c>
      <c r="M323" s="22" t="s">
        <v>71</v>
      </c>
      <c r="N323" s="22"/>
    </row>
    <row r="324" spans="1:14" ht="25.5">
      <c r="A324" s="22">
        <v>2</v>
      </c>
      <c r="B324" s="23" t="s">
        <v>572</v>
      </c>
      <c r="C324" s="22" t="s">
        <v>573</v>
      </c>
      <c r="D324" s="24"/>
      <c r="E324" s="25"/>
      <c r="F324" s="25">
        <v>3</v>
      </c>
      <c r="G324" s="25">
        <f t="shared" si="7"/>
        <v>3</v>
      </c>
      <c r="H324" s="25"/>
      <c r="I324" s="25"/>
      <c r="J324" s="22" t="s">
        <v>296</v>
      </c>
      <c r="K324" s="22" t="s">
        <v>369</v>
      </c>
      <c r="L324" s="22" t="s">
        <v>24</v>
      </c>
      <c r="M324" s="22" t="s">
        <v>71</v>
      </c>
      <c r="N324" s="22"/>
    </row>
    <row r="325" spans="1:14" ht="25.5">
      <c r="A325" s="22">
        <v>3</v>
      </c>
      <c r="B325" s="23" t="s">
        <v>574</v>
      </c>
      <c r="C325" s="22" t="s">
        <v>575</v>
      </c>
      <c r="D325" s="24"/>
      <c r="E325" s="25"/>
      <c r="F325" s="25">
        <v>1</v>
      </c>
      <c r="G325" s="25">
        <f t="shared" si="7"/>
        <v>1</v>
      </c>
      <c r="H325" s="25"/>
      <c r="I325" s="25"/>
      <c r="J325" s="22" t="s">
        <v>296</v>
      </c>
      <c r="K325" s="22" t="s">
        <v>369</v>
      </c>
      <c r="L325" s="22" t="s">
        <v>24</v>
      </c>
      <c r="M325" s="22" t="s">
        <v>71</v>
      </c>
      <c r="N325" s="22"/>
    </row>
    <row r="326" spans="1:14" ht="25.5">
      <c r="A326" s="22">
        <v>4</v>
      </c>
      <c r="B326" s="23" t="s">
        <v>576</v>
      </c>
      <c r="C326" s="22" t="s">
        <v>577</v>
      </c>
      <c r="D326" s="24"/>
      <c r="E326" s="25"/>
      <c r="F326" s="25">
        <v>1</v>
      </c>
      <c r="G326" s="25">
        <f t="shared" si="7"/>
        <v>1</v>
      </c>
      <c r="H326" s="25"/>
      <c r="I326" s="25"/>
      <c r="J326" s="22" t="s">
        <v>296</v>
      </c>
      <c r="K326" s="22" t="s">
        <v>369</v>
      </c>
      <c r="L326" s="22" t="s">
        <v>24</v>
      </c>
      <c r="M326" s="22" t="s">
        <v>71</v>
      </c>
      <c r="N326" s="22"/>
    </row>
    <row r="327" spans="1:14" ht="25.5">
      <c r="A327" s="22">
        <v>5</v>
      </c>
      <c r="B327" s="23" t="s">
        <v>360</v>
      </c>
      <c r="C327" s="22" t="s">
        <v>578</v>
      </c>
      <c r="D327" s="24"/>
      <c r="E327" s="25"/>
      <c r="F327" s="25">
        <v>2</v>
      </c>
      <c r="G327" s="25">
        <f t="shared" si="7"/>
        <v>2</v>
      </c>
      <c r="H327" s="25"/>
      <c r="I327" s="25"/>
      <c r="J327" s="22" t="s">
        <v>296</v>
      </c>
      <c r="K327" s="22" t="s">
        <v>369</v>
      </c>
      <c r="L327" s="22" t="s">
        <v>24</v>
      </c>
      <c r="M327" s="22" t="s">
        <v>71</v>
      </c>
      <c r="N327" s="22"/>
    </row>
    <row r="328" spans="1:14" ht="25.5">
      <c r="A328" s="22">
        <v>6</v>
      </c>
      <c r="B328" s="23" t="s">
        <v>579</v>
      </c>
      <c r="C328" s="22" t="s">
        <v>580</v>
      </c>
      <c r="D328" s="24"/>
      <c r="E328" s="25"/>
      <c r="F328" s="25">
        <v>4</v>
      </c>
      <c r="G328" s="25">
        <f t="shared" si="7"/>
        <v>4</v>
      </c>
      <c r="H328" s="25"/>
      <c r="I328" s="25"/>
      <c r="J328" s="22" t="s">
        <v>296</v>
      </c>
      <c r="K328" s="22" t="s">
        <v>369</v>
      </c>
      <c r="L328" s="22" t="s">
        <v>24</v>
      </c>
      <c r="M328" s="22" t="s">
        <v>71</v>
      </c>
      <c r="N328" s="22"/>
    </row>
    <row r="329" spans="1:14" ht="25.5">
      <c r="A329" s="22">
        <v>7</v>
      </c>
      <c r="B329" s="23" t="s">
        <v>581</v>
      </c>
      <c r="C329" s="22" t="s">
        <v>582</v>
      </c>
      <c r="D329" s="24"/>
      <c r="E329" s="25"/>
      <c r="F329" s="25">
        <v>3</v>
      </c>
      <c r="G329" s="25">
        <f t="shared" si="7"/>
        <v>3</v>
      </c>
      <c r="H329" s="25"/>
      <c r="I329" s="25"/>
      <c r="J329" s="22" t="s">
        <v>296</v>
      </c>
      <c r="K329" s="22" t="s">
        <v>369</v>
      </c>
      <c r="L329" s="22" t="s">
        <v>24</v>
      </c>
      <c r="M329" s="22" t="s">
        <v>71</v>
      </c>
      <c r="N329" s="22"/>
    </row>
    <row r="330" spans="1:14" ht="25.5">
      <c r="A330" s="22">
        <v>8</v>
      </c>
      <c r="B330" s="23" t="s">
        <v>574</v>
      </c>
      <c r="C330" s="22" t="s">
        <v>583</v>
      </c>
      <c r="D330" s="24"/>
      <c r="E330" s="25"/>
      <c r="F330" s="25">
        <v>3</v>
      </c>
      <c r="G330" s="25">
        <f t="shared" si="7"/>
        <v>3</v>
      </c>
      <c r="H330" s="25"/>
      <c r="I330" s="25"/>
      <c r="J330" s="22" t="s">
        <v>296</v>
      </c>
      <c r="K330" s="22" t="s">
        <v>369</v>
      </c>
      <c r="L330" s="22" t="s">
        <v>24</v>
      </c>
      <c r="M330" s="22" t="s">
        <v>71</v>
      </c>
      <c r="N330" s="22"/>
    </row>
    <row r="331" spans="1:14">
      <c r="A331" s="22"/>
      <c r="B331" s="473" t="s">
        <v>806</v>
      </c>
      <c r="C331" s="473"/>
      <c r="D331" s="473"/>
      <c r="E331" s="473"/>
      <c r="F331" s="473"/>
      <c r="G331" s="473"/>
      <c r="H331" s="473"/>
      <c r="I331" s="473"/>
      <c r="J331" s="473"/>
      <c r="K331" s="473"/>
      <c r="L331" s="473"/>
      <c r="M331" s="473"/>
      <c r="N331" s="473"/>
    </row>
    <row r="332" spans="1:14" ht="63.75">
      <c r="A332" s="22">
        <v>1</v>
      </c>
      <c r="B332" s="23" t="s">
        <v>584</v>
      </c>
      <c r="C332" s="22" t="s">
        <v>28</v>
      </c>
      <c r="D332" s="24"/>
      <c r="E332" s="25">
        <v>2</v>
      </c>
      <c r="F332" s="25">
        <v>2</v>
      </c>
      <c r="G332" s="25">
        <f t="shared" si="7"/>
        <v>0</v>
      </c>
      <c r="H332" s="25"/>
      <c r="I332" s="25"/>
      <c r="J332" s="22" t="s">
        <v>585</v>
      </c>
      <c r="K332" s="22" t="s">
        <v>81</v>
      </c>
      <c r="L332" s="22" t="s">
        <v>24</v>
      </c>
      <c r="M332" s="22" t="s">
        <v>51</v>
      </c>
      <c r="N332" s="22" t="s">
        <v>586</v>
      </c>
    </row>
    <row r="333" spans="1:14" ht="38.25">
      <c r="A333" s="22">
        <v>2</v>
      </c>
      <c r="B333" s="23" t="s">
        <v>128</v>
      </c>
      <c r="C333" s="22" t="s">
        <v>87</v>
      </c>
      <c r="D333" s="24">
        <v>2022</v>
      </c>
      <c r="E333" s="25">
        <v>1</v>
      </c>
      <c r="F333" s="25">
        <v>1</v>
      </c>
      <c r="G333" s="25">
        <f t="shared" si="7"/>
        <v>0</v>
      </c>
      <c r="H333" s="25"/>
      <c r="I333" s="25"/>
      <c r="J333" s="22" t="s">
        <v>585</v>
      </c>
      <c r="K333" s="22" t="s">
        <v>81</v>
      </c>
      <c r="L333" s="22" t="s">
        <v>24</v>
      </c>
      <c r="M333" s="22" t="s">
        <v>150</v>
      </c>
      <c r="N333" s="22" t="s">
        <v>129</v>
      </c>
    </row>
    <row r="334" spans="1:14">
      <c r="A334" s="22"/>
      <c r="B334" s="473" t="s">
        <v>775</v>
      </c>
      <c r="C334" s="473"/>
      <c r="D334" s="473"/>
      <c r="E334" s="473"/>
      <c r="F334" s="473"/>
      <c r="G334" s="473"/>
      <c r="H334" s="473"/>
      <c r="I334" s="473"/>
      <c r="J334" s="473"/>
      <c r="K334" s="473"/>
      <c r="L334" s="473"/>
      <c r="M334" s="473"/>
      <c r="N334" s="473"/>
    </row>
    <row r="335" spans="1:14" ht="25.5">
      <c r="A335" s="22">
        <v>1</v>
      </c>
      <c r="B335" s="23" t="s">
        <v>292</v>
      </c>
      <c r="C335" s="22" t="s">
        <v>293</v>
      </c>
      <c r="D335" s="24"/>
      <c r="E335" s="25">
        <v>1</v>
      </c>
      <c r="F335" s="25">
        <v>1</v>
      </c>
      <c r="G335" s="25">
        <f t="shared" si="7"/>
        <v>0</v>
      </c>
      <c r="H335" s="25"/>
      <c r="I335" s="25"/>
      <c r="J335" s="22" t="s">
        <v>585</v>
      </c>
      <c r="K335" s="22" t="s">
        <v>81</v>
      </c>
      <c r="L335" s="22" t="s">
        <v>24</v>
      </c>
      <c r="M335" s="22" t="s">
        <v>71</v>
      </c>
      <c r="N335" s="22" t="s">
        <v>294</v>
      </c>
    </row>
    <row r="336" spans="1:14" ht="25.5">
      <c r="A336" s="22">
        <v>2</v>
      </c>
      <c r="B336" s="23" t="s">
        <v>587</v>
      </c>
      <c r="C336" s="22" t="s">
        <v>588</v>
      </c>
      <c r="D336" s="24"/>
      <c r="E336" s="25">
        <v>1</v>
      </c>
      <c r="F336" s="25">
        <v>1</v>
      </c>
      <c r="G336" s="25">
        <f t="shared" si="7"/>
        <v>0</v>
      </c>
      <c r="H336" s="25"/>
      <c r="I336" s="25"/>
      <c r="J336" s="22" t="s">
        <v>585</v>
      </c>
      <c r="K336" s="22" t="s">
        <v>81</v>
      </c>
      <c r="L336" s="22" t="s">
        <v>24</v>
      </c>
      <c r="M336" s="22" t="s">
        <v>71</v>
      </c>
      <c r="N336" s="22"/>
    </row>
    <row r="337" spans="1:14" ht="25.5">
      <c r="A337" s="22">
        <v>3</v>
      </c>
      <c r="B337" s="23" t="s">
        <v>589</v>
      </c>
      <c r="C337" s="22" t="s">
        <v>590</v>
      </c>
      <c r="D337" s="24"/>
      <c r="E337" s="25">
        <v>2</v>
      </c>
      <c r="F337" s="25">
        <v>2</v>
      </c>
      <c r="G337" s="25">
        <f t="shared" si="7"/>
        <v>0</v>
      </c>
      <c r="H337" s="25"/>
      <c r="I337" s="25"/>
      <c r="J337" s="22" t="s">
        <v>585</v>
      </c>
      <c r="K337" s="22" t="s">
        <v>81</v>
      </c>
      <c r="L337" s="22" t="s">
        <v>24</v>
      </c>
      <c r="M337" s="22" t="s">
        <v>71</v>
      </c>
      <c r="N337" s="22"/>
    </row>
    <row r="338" spans="1:14" ht="25.5">
      <c r="A338" s="22">
        <v>4</v>
      </c>
      <c r="B338" s="23" t="s">
        <v>78</v>
      </c>
      <c r="C338" s="22" t="s">
        <v>79</v>
      </c>
      <c r="D338" s="24"/>
      <c r="E338" s="25">
        <v>1</v>
      </c>
      <c r="F338" s="25">
        <v>1</v>
      </c>
      <c r="G338" s="25">
        <f t="shared" si="7"/>
        <v>0</v>
      </c>
      <c r="H338" s="25"/>
      <c r="I338" s="25"/>
      <c r="J338" s="22" t="s">
        <v>585</v>
      </c>
      <c r="K338" s="22" t="s">
        <v>81</v>
      </c>
      <c r="L338" s="22" t="s">
        <v>24</v>
      </c>
      <c r="M338" s="22" t="s">
        <v>71</v>
      </c>
      <c r="N338" s="22"/>
    </row>
    <row r="339" spans="1:14" ht="25.5">
      <c r="A339" s="22">
        <v>5</v>
      </c>
      <c r="B339" s="23" t="s">
        <v>135</v>
      </c>
      <c r="C339" s="22" t="s">
        <v>591</v>
      </c>
      <c r="D339" s="24"/>
      <c r="E339" s="25">
        <v>1</v>
      </c>
      <c r="F339" s="25">
        <v>1</v>
      </c>
      <c r="G339" s="25">
        <f t="shared" si="7"/>
        <v>0</v>
      </c>
      <c r="H339" s="25"/>
      <c r="I339" s="25"/>
      <c r="J339" s="22" t="s">
        <v>585</v>
      </c>
      <c r="K339" s="22" t="s">
        <v>81</v>
      </c>
      <c r="L339" s="22" t="s">
        <v>24</v>
      </c>
      <c r="M339" s="22" t="s">
        <v>71</v>
      </c>
      <c r="N339" s="22"/>
    </row>
    <row r="340" spans="1:14" ht="25.5">
      <c r="A340" s="22">
        <v>6</v>
      </c>
      <c r="B340" s="23" t="s">
        <v>175</v>
      </c>
      <c r="C340" s="22" t="s">
        <v>592</v>
      </c>
      <c r="D340" s="24"/>
      <c r="E340" s="25">
        <v>2</v>
      </c>
      <c r="F340" s="25">
        <v>2</v>
      </c>
      <c r="G340" s="25">
        <f t="shared" si="7"/>
        <v>0</v>
      </c>
      <c r="H340" s="25"/>
      <c r="I340" s="25"/>
      <c r="J340" s="22" t="s">
        <v>585</v>
      </c>
      <c r="K340" s="22" t="s">
        <v>81</v>
      </c>
      <c r="L340" s="22" t="s">
        <v>24</v>
      </c>
      <c r="M340" s="22" t="s">
        <v>71</v>
      </c>
      <c r="N340" s="22"/>
    </row>
    <row r="341" spans="1:14" ht="25.5">
      <c r="A341" s="22">
        <v>7</v>
      </c>
      <c r="B341" s="23" t="s">
        <v>593</v>
      </c>
      <c r="C341" s="22" t="s">
        <v>594</v>
      </c>
      <c r="D341" s="24"/>
      <c r="E341" s="25">
        <v>2</v>
      </c>
      <c r="F341" s="25">
        <v>2</v>
      </c>
      <c r="G341" s="25">
        <f t="shared" si="7"/>
        <v>0</v>
      </c>
      <c r="H341" s="25"/>
      <c r="I341" s="25"/>
      <c r="J341" s="22" t="s">
        <v>585</v>
      </c>
      <c r="K341" s="22" t="s">
        <v>81</v>
      </c>
      <c r="L341" s="22" t="s">
        <v>24</v>
      </c>
      <c r="M341" s="22" t="s">
        <v>71</v>
      </c>
      <c r="N341" s="22"/>
    </row>
    <row r="342" spans="1:14" ht="25.5">
      <c r="A342" s="22">
        <v>8</v>
      </c>
      <c r="B342" s="23" t="s">
        <v>219</v>
      </c>
      <c r="C342" s="22" t="s">
        <v>595</v>
      </c>
      <c r="D342" s="24"/>
      <c r="E342" s="25">
        <v>1</v>
      </c>
      <c r="F342" s="25">
        <v>1</v>
      </c>
      <c r="G342" s="25">
        <f t="shared" si="7"/>
        <v>0</v>
      </c>
      <c r="H342" s="25"/>
      <c r="I342" s="25"/>
      <c r="J342" s="22" t="s">
        <v>585</v>
      </c>
      <c r="K342" s="22" t="s">
        <v>81</v>
      </c>
      <c r="L342" s="22" t="s">
        <v>24</v>
      </c>
      <c r="M342" s="22" t="s">
        <v>71</v>
      </c>
      <c r="N342" s="22"/>
    </row>
    <row r="343" spans="1:14" ht="25.5">
      <c r="A343" s="22">
        <v>9</v>
      </c>
      <c r="B343" s="23" t="s">
        <v>596</v>
      </c>
      <c r="C343" s="22" t="s">
        <v>597</v>
      </c>
      <c r="D343" s="24"/>
      <c r="E343" s="25">
        <v>2</v>
      </c>
      <c r="F343" s="25">
        <v>2</v>
      </c>
      <c r="G343" s="25">
        <f t="shared" si="7"/>
        <v>0</v>
      </c>
      <c r="H343" s="25"/>
      <c r="I343" s="25"/>
      <c r="J343" s="22" t="s">
        <v>585</v>
      </c>
      <c r="K343" s="22" t="s">
        <v>81</v>
      </c>
      <c r="L343" s="22" t="s">
        <v>24</v>
      </c>
      <c r="M343" s="22" t="s">
        <v>71</v>
      </c>
      <c r="N343" s="22"/>
    </row>
    <row r="344" spans="1:14" ht="25.5">
      <c r="A344" s="22">
        <v>10</v>
      </c>
      <c r="B344" s="23" t="s">
        <v>807</v>
      </c>
      <c r="C344" s="22" t="s">
        <v>598</v>
      </c>
      <c r="D344" s="24"/>
      <c r="E344" s="25">
        <v>1</v>
      </c>
      <c r="F344" s="25">
        <v>1</v>
      </c>
      <c r="G344" s="25">
        <f t="shared" si="7"/>
        <v>0</v>
      </c>
      <c r="H344" s="25"/>
      <c r="I344" s="25"/>
      <c r="J344" s="22" t="s">
        <v>585</v>
      </c>
      <c r="K344" s="22" t="s">
        <v>81</v>
      </c>
      <c r="L344" s="22" t="s">
        <v>24</v>
      </c>
      <c r="M344" s="22" t="s">
        <v>71</v>
      </c>
      <c r="N344" s="22"/>
    </row>
    <row r="345" spans="1:14" ht="25.5">
      <c r="A345" s="22">
        <v>11</v>
      </c>
      <c r="B345" s="23" t="s">
        <v>599</v>
      </c>
      <c r="C345" s="22" t="s">
        <v>600</v>
      </c>
      <c r="D345" s="24"/>
      <c r="E345" s="25">
        <v>1</v>
      </c>
      <c r="F345" s="25">
        <v>1</v>
      </c>
      <c r="G345" s="25">
        <f t="shared" si="7"/>
        <v>0</v>
      </c>
      <c r="H345" s="25"/>
      <c r="I345" s="25"/>
      <c r="J345" s="22" t="s">
        <v>585</v>
      </c>
      <c r="K345" s="22" t="s">
        <v>81</v>
      </c>
      <c r="L345" s="22" t="s">
        <v>24</v>
      </c>
      <c r="M345" s="22" t="s">
        <v>71</v>
      </c>
      <c r="N345" s="22"/>
    </row>
    <row r="346" spans="1:14">
      <c r="A346" s="22"/>
      <c r="B346" s="473" t="s">
        <v>808</v>
      </c>
      <c r="C346" s="473"/>
      <c r="D346" s="473"/>
      <c r="E346" s="473"/>
      <c r="F346" s="473"/>
      <c r="G346" s="473"/>
      <c r="H346" s="473"/>
      <c r="I346" s="473"/>
      <c r="J346" s="473"/>
      <c r="K346" s="473"/>
      <c r="L346" s="473"/>
      <c r="M346" s="473"/>
      <c r="N346" s="473"/>
    </row>
    <row r="347" spans="1:14" ht="76.5">
      <c r="A347" s="22">
        <v>1</v>
      </c>
      <c r="B347" s="23" t="s">
        <v>49</v>
      </c>
      <c r="C347" s="22" t="s">
        <v>601</v>
      </c>
      <c r="D347" s="24">
        <v>2022</v>
      </c>
      <c r="E347" s="25">
        <v>1</v>
      </c>
      <c r="F347" s="25">
        <v>1</v>
      </c>
      <c r="G347" s="25">
        <f t="shared" si="7"/>
        <v>0</v>
      </c>
      <c r="H347" s="25"/>
      <c r="I347" s="25"/>
      <c r="J347" s="22" t="s">
        <v>602</v>
      </c>
      <c r="K347" s="22" t="s">
        <v>603</v>
      </c>
      <c r="L347" s="22" t="s">
        <v>24</v>
      </c>
      <c r="M347" s="22" t="s">
        <v>51</v>
      </c>
      <c r="N347" s="22"/>
    </row>
    <row r="348" spans="1:14" ht="51">
      <c r="A348" s="22">
        <v>2</v>
      </c>
      <c r="B348" s="23" t="s">
        <v>76</v>
      </c>
      <c r="C348" s="22" t="s">
        <v>604</v>
      </c>
      <c r="D348" s="24">
        <v>2022</v>
      </c>
      <c r="E348" s="25">
        <v>3</v>
      </c>
      <c r="F348" s="25">
        <v>3</v>
      </c>
      <c r="G348" s="25">
        <f t="shared" si="7"/>
        <v>0</v>
      </c>
      <c r="H348" s="25"/>
      <c r="I348" s="25"/>
      <c r="J348" s="22" t="s">
        <v>602</v>
      </c>
      <c r="K348" s="22" t="s">
        <v>603</v>
      </c>
      <c r="L348" s="22" t="s">
        <v>24</v>
      </c>
      <c r="M348" s="22" t="s">
        <v>51</v>
      </c>
      <c r="N348" s="22"/>
    </row>
    <row r="349" spans="1:14" ht="25.5">
      <c r="A349" s="22">
        <v>3</v>
      </c>
      <c r="B349" s="23" t="s">
        <v>938</v>
      </c>
      <c r="C349" s="22" t="s">
        <v>605</v>
      </c>
      <c r="D349" s="24">
        <v>2014</v>
      </c>
      <c r="E349" s="25">
        <v>2</v>
      </c>
      <c r="F349" s="25">
        <v>2</v>
      </c>
      <c r="G349" s="25">
        <f t="shared" si="7"/>
        <v>0</v>
      </c>
      <c r="H349" s="56">
        <v>130000000</v>
      </c>
      <c r="I349" s="56">
        <v>130000000</v>
      </c>
      <c r="J349" s="22" t="s">
        <v>602</v>
      </c>
      <c r="K349" s="22" t="s">
        <v>20</v>
      </c>
      <c r="L349" s="22" t="s">
        <v>95</v>
      </c>
      <c r="M349" s="22" t="s">
        <v>71</v>
      </c>
      <c r="N349" s="22" t="s">
        <v>606</v>
      </c>
    </row>
    <row r="350" spans="1:14" ht="51">
      <c r="A350" s="22">
        <v>4</v>
      </c>
      <c r="B350" s="23" t="s">
        <v>607</v>
      </c>
      <c r="C350" s="22" t="s">
        <v>608</v>
      </c>
      <c r="D350" s="24">
        <v>2017</v>
      </c>
      <c r="E350" s="25">
        <v>1</v>
      </c>
      <c r="F350" s="25">
        <v>1</v>
      </c>
      <c r="G350" s="25">
        <f t="shared" si="7"/>
        <v>0</v>
      </c>
      <c r="H350" s="29">
        <v>47000000</v>
      </c>
      <c r="I350" s="29">
        <v>47000000</v>
      </c>
      <c r="J350" s="22" t="s">
        <v>602</v>
      </c>
      <c r="K350" s="22" t="s">
        <v>20</v>
      </c>
      <c r="L350" s="22" t="s">
        <v>24</v>
      </c>
      <c r="M350" s="22" t="s">
        <v>71</v>
      </c>
      <c r="N350" s="22" t="s">
        <v>762</v>
      </c>
    </row>
    <row r="351" spans="1:14" ht="25.5">
      <c r="A351" s="22">
        <v>5</v>
      </c>
      <c r="B351" s="23" t="s">
        <v>92</v>
      </c>
      <c r="C351" s="22" t="s">
        <v>93</v>
      </c>
      <c r="D351" s="24"/>
      <c r="E351" s="25">
        <v>1</v>
      </c>
      <c r="F351" s="25">
        <v>1</v>
      </c>
      <c r="G351" s="25">
        <f t="shared" si="7"/>
        <v>0</v>
      </c>
      <c r="H351" s="25"/>
      <c r="I351" s="25"/>
      <c r="J351" s="22" t="s">
        <v>602</v>
      </c>
      <c r="K351" s="22" t="s">
        <v>94</v>
      </c>
      <c r="L351" s="22" t="s">
        <v>95</v>
      </c>
      <c r="M351" s="22" t="s">
        <v>71</v>
      </c>
      <c r="N351" s="22" t="s">
        <v>96</v>
      </c>
    </row>
    <row r="352" spans="1:14" ht="38.25">
      <c r="A352" s="22">
        <v>6</v>
      </c>
      <c r="B352" s="23" t="s">
        <v>647</v>
      </c>
      <c r="C352" s="22" t="s">
        <v>648</v>
      </c>
      <c r="D352" s="24"/>
      <c r="E352" s="25">
        <v>1</v>
      </c>
      <c r="F352" s="25">
        <v>1</v>
      </c>
      <c r="G352" s="25">
        <f t="shared" si="7"/>
        <v>0</v>
      </c>
      <c r="H352" s="25"/>
      <c r="I352" s="25"/>
      <c r="J352" s="22" t="s">
        <v>602</v>
      </c>
      <c r="K352" s="22" t="s">
        <v>20</v>
      </c>
      <c r="L352" s="22" t="s">
        <v>649</v>
      </c>
      <c r="M352" s="22" t="s">
        <v>812</v>
      </c>
      <c r="N352" s="22" t="s">
        <v>650</v>
      </c>
    </row>
    <row r="353" spans="1:14">
      <c r="A353" s="22"/>
      <c r="B353" s="473" t="s">
        <v>775</v>
      </c>
      <c r="C353" s="473"/>
      <c r="D353" s="473"/>
      <c r="E353" s="473"/>
      <c r="F353" s="473"/>
      <c r="G353" s="473"/>
      <c r="H353" s="473"/>
      <c r="I353" s="473"/>
      <c r="J353" s="473"/>
      <c r="K353" s="473"/>
      <c r="L353" s="473"/>
      <c r="M353" s="473"/>
      <c r="N353" s="473"/>
    </row>
    <row r="354" spans="1:14" ht="25.5">
      <c r="A354" s="22">
        <v>1</v>
      </c>
      <c r="B354" s="23" t="s">
        <v>609</v>
      </c>
      <c r="C354" s="22" t="s">
        <v>610</v>
      </c>
      <c r="D354" s="24"/>
      <c r="E354" s="25">
        <v>4</v>
      </c>
      <c r="F354" s="25">
        <v>4</v>
      </c>
      <c r="G354" s="25">
        <f t="shared" si="7"/>
        <v>0</v>
      </c>
      <c r="H354" s="25"/>
      <c r="I354" s="25"/>
      <c r="J354" s="22" t="s">
        <v>602</v>
      </c>
      <c r="K354" s="22" t="s">
        <v>291</v>
      </c>
      <c r="L354" s="22" t="s">
        <v>24</v>
      </c>
      <c r="M354" s="22" t="s">
        <v>71</v>
      </c>
      <c r="N354" s="22"/>
    </row>
    <row r="355" spans="1:14" ht="25.5">
      <c r="A355" s="22">
        <v>2</v>
      </c>
      <c r="B355" s="23" t="s">
        <v>611</v>
      </c>
      <c r="C355" s="22" t="s">
        <v>612</v>
      </c>
      <c r="D355" s="24"/>
      <c r="E355" s="25">
        <v>1</v>
      </c>
      <c r="F355" s="25">
        <v>1</v>
      </c>
      <c r="G355" s="25">
        <f t="shared" si="7"/>
        <v>0</v>
      </c>
      <c r="H355" s="25"/>
      <c r="I355" s="25"/>
      <c r="J355" s="22" t="s">
        <v>602</v>
      </c>
      <c r="K355" s="22" t="s">
        <v>291</v>
      </c>
      <c r="L355" s="22" t="s">
        <v>24</v>
      </c>
      <c r="M355" s="22" t="s">
        <v>71</v>
      </c>
      <c r="N355" s="22"/>
    </row>
    <row r="356" spans="1:14" ht="25.5">
      <c r="A356" s="22">
        <v>3</v>
      </c>
      <c r="B356" s="23" t="s">
        <v>613</v>
      </c>
      <c r="C356" s="22" t="s">
        <v>614</v>
      </c>
      <c r="D356" s="24"/>
      <c r="E356" s="25">
        <v>1</v>
      </c>
      <c r="F356" s="25">
        <v>1</v>
      </c>
      <c r="G356" s="25">
        <f t="shared" si="7"/>
        <v>0</v>
      </c>
      <c r="H356" s="25"/>
      <c r="I356" s="25"/>
      <c r="J356" s="22" t="s">
        <v>602</v>
      </c>
      <c r="K356" s="22" t="s">
        <v>291</v>
      </c>
      <c r="L356" s="22" t="s">
        <v>24</v>
      </c>
      <c r="M356" s="22" t="s">
        <v>71</v>
      </c>
      <c r="N356" s="22"/>
    </row>
    <row r="357" spans="1:14" ht="25.5">
      <c r="A357" s="22">
        <v>4</v>
      </c>
      <c r="B357" s="23" t="s">
        <v>615</v>
      </c>
      <c r="C357" s="22" t="s">
        <v>616</v>
      </c>
      <c r="D357" s="24"/>
      <c r="E357" s="25">
        <v>1</v>
      </c>
      <c r="F357" s="25">
        <v>1</v>
      </c>
      <c r="G357" s="25">
        <f t="shared" si="7"/>
        <v>0</v>
      </c>
      <c r="H357" s="25"/>
      <c r="I357" s="25"/>
      <c r="J357" s="22" t="s">
        <v>602</v>
      </c>
      <c r="K357" s="22" t="s">
        <v>291</v>
      </c>
      <c r="L357" s="22" t="s">
        <v>24</v>
      </c>
      <c r="M357" s="22" t="s">
        <v>71</v>
      </c>
      <c r="N357" s="22"/>
    </row>
    <row r="358" spans="1:14" ht="25.5">
      <c r="A358" s="22">
        <v>5</v>
      </c>
      <c r="B358" s="23" t="s">
        <v>617</v>
      </c>
      <c r="C358" s="22" t="s">
        <v>618</v>
      </c>
      <c r="D358" s="24"/>
      <c r="E358" s="25">
        <v>1</v>
      </c>
      <c r="F358" s="25">
        <v>1</v>
      </c>
      <c r="G358" s="25">
        <f t="shared" si="7"/>
        <v>0</v>
      </c>
      <c r="H358" s="25"/>
      <c r="I358" s="25"/>
      <c r="J358" s="22" t="s">
        <v>619</v>
      </c>
      <c r="K358" s="22" t="s">
        <v>620</v>
      </c>
      <c r="L358" s="22" t="s">
        <v>24</v>
      </c>
      <c r="M358" s="22" t="s">
        <v>71</v>
      </c>
      <c r="N358" s="22" t="s">
        <v>763</v>
      </c>
    </row>
    <row r="359" spans="1:14">
      <c r="A359" s="22"/>
      <c r="B359" s="473" t="s">
        <v>809</v>
      </c>
      <c r="C359" s="473"/>
      <c r="D359" s="473"/>
      <c r="E359" s="473"/>
      <c r="F359" s="473"/>
      <c r="G359" s="473"/>
      <c r="H359" s="473"/>
      <c r="I359" s="473"/>
      <c r="J359" s="473"/>
      <c r="K359" s="473"/>
      <c r="L359" s="473"/>
      <c r="M359" s="473"/>
      <c r="N359" s="473"/>
    </row>
    <row r="360" spans="1:14" ht="51">
      <c r="A360" s="22">
        <v>1</v>
      </c>
      <c r="B360" s="23" t="s">
        <v>76</v>
      </c>
      <c r="C360" s="22" t="s">
        <v>621</v>
      </c>
      <c r="D360" s="24">
        <v>2022</v>
      </c>
      <c r="E360" s="25">
        <v>5</v>
      </c>
      <c r="F360" s="25">
        <v>5</v>
      </c>
      <c r="G360" s="25">
        <f t="shared" si="7"/>
        <v>0</v>
      </c>
      <c r="H360" s="25"/>
      <c r="I360" s="25"/>
      <c r="J360" s="22" t="s">
        <v>622</v>
      </c>
      <c r="K360" s="22" t="s">
        <v>623</v>
      </c>
      <c r="L360" s="22" t="s">
        <v>24</v>
      </c>
      <c r="M360" s="22" t="s">
        <v>51</v>
      </c>
      <c r="N360" s="22"/>
    </row>
    <row r="361" spans="1:14" ht="76.5">
      <c r="A361" s="22">
        <v>2</v>
      </c>
      <c r="B361" s="23" t="s">
        <v>49</v>
      </c>
      <c r="C361" s="22" t="s">
        <v>624</v>
      </c>
      <c r="D361" s="24">
        <v>2022</v>
      </c>
      <c r="E361" s="25">
        <v>2</v>
      </c>
      <c r="F361" s="25">
        <v>2</v>
      </c>
      <c r="G361" s="25">
        <f t="shared" si="7"/>
        <v>0</v>
      </c>
      <c r="H361" s="25"/>
      <c r="I361" s="25"/>
      <c r="J361" s="22" t="s">
        <v>622</v>
      </c>
      <c r="K361" s="22" t="s">
        <v>623</v>
      </c>
      <c r="L361" s="22" t="s">
        <v>24</v>
      </c>
      <c r="M361" s="22" t="s">
        <v>51</v>
      </c>
      <c r="N361" s="22"/>
    </row>
    <row r="362" spans="1:14" ht="38.25">
      <c r="A362" s="22">
        <v>3</v>
      </c>
      <c r="B362" s="23" t="s">
        <v>128</v>
      </c>
      <c r="C362" s="22" t="s">
        <v>87</v>
      </c>
      <c r="D362" s="24">
        <v>2022</v>
      </c>
      <c r="E362" s="25">
        <v>1</v>
      </c>
      <c r="F362" s="25">
        <v>1</v>
      </c>
      <c r="G362" s="25">
        <f t="shared" si="7"/>
        <v>0</v>
      </c>
      <c r="H362" s="25"/>
      <c r="I362" s="25"/>
      <c r="J362" s="22" t="s">
        <v>622</v>
      </c>
      <c r="K362" s="22"/>
      <c r="L362" s="22" t="s">
        <v>24</v>
      </c>
      <c r="M362" s="22" t="s">
        <v>150</v>
      </c>
      <c r="N362" s="22" t="s">
        <v>129</v>
      </c>
    </row>
    <row r="363" spans="1:14" ht="25.5">
      <c r="A363" s="22">
        <v>4</v>
      </c>
      <c r="B363" s="23" t="s">
        <v>625</v>
      </c>
      <c r="C363" s="22" t="s">
        <v>626</v>
      </c>
      <c r="D363" s="24">
        <v>2010</v>
      </c>
      <c r="E363" s="25">
        <v>1</v>
      </c>
      <c r="F363" s="25">
        <v>1</v>
      </c>
      <c r="G363" s="25">
        <f t="shared" si="7"/>
        <v>0</v>
      </c>
      <c r="H363" s="30">
        <v>1484000000</v>
      </c>
      <c r="I363" s="30">
        <v>1484000000</v>
      </c>
      <c r="J363" s="22" t="s">
        <v>622</v>
      </c>
      <c r="K363" s="22" t="s">
        <v>20</v>
      </c>
      <c r="L363" s="22" t="s">
        <v>24</v>
      </c>
      <c r="M363" s="22" t="s">
        <v>71</v>
      </c>
      <c r="N363" s="22" t="s">
        <v>628</v>
      </c>
    </row>
    <row r="364" spans="1:14">
      <c r="A364" s="22"/>
      <c r="B364" s="473" t="s">
        <v>775</v>
      </c>
      <c r="C364" s="473"/>
      <c r="D364" s="473"/>
      <c r="E364" s="473"/>
      <c r="F364" s="473"/>
      <c r="G364" s="473"/>
      <c r="H364" s="473"/>
      <c r="I364" s="473"/>
      <c r="J364" s="473"/>
      <c r="K364" s="473"/>
      <c r="L364" s="473"/>
      <c r="M364" s="473"/>
      <c r="N364" s="473"/>
    </row>
    <row r="365" spans="1:14" ht="38.25">
      <c r="A365" s="22">
        <v>1</v>
      </c>
      <c r="B365" s="23" t="s">
        <v>629</v>
      </c>
      <c r="C365" s="22" t="s">
        <v>630</v>
      </c>
      <c r="D365" s="24">
        <v>1</v>
      </c>
      <c r="E365" s="25">
        <v>1</v>
      </c>
      <c r="F365" s="25">
        <v>1</v>
      </c>
      <c r="G365" s="25">
        <f t="shared" si="7"/>
        <v>0</v>
      </c>
      <c r="H365" s="25"/>
      <c r="I365" s="25"/>
      <c r="J365" s="22" t="s">
        <v>631</v>
      </c>
      <c r="K365" s="22" t="s">
        <v>323</v>
      </c>
      <c r="L365" s="22" t="s">
        <v>24</v>
      </c>
      <c r="M365" s="22" t="s">
        <v>71</v>
      </c>
      <c r="N365" s="22"/>
    </row>
    <row r="366" spans="1:14" ht="38.25">
      <c r="A366" s="22">
        <v>2</v>
      </c>
      <c r="B366" s="23" t="s">
        <v>632</v>
      </c>
      <c r="C366" s="22" t="s">
        <v>633</v>
      </c>
      <c r="D366" s="24">
        <v>1</v>
      </c>
      <c r="E366" s="25">
        <v>1</v>
      </c>
      <c r="F366" s="25">
        <v>1</v>
      </c>
      <c r="G366" s="25">
        <f t="shared" si="7"/>
        <v>0</v>
      </c>
      <c r="H366" s="25"/>
      <c r="I366" s="25"/>
      <c r="J366" s="22" t="s">
        <v>631</v>
      </c>
      <c r="K366" s="22" t="s">
        <v>634</v>
      </c>
      <c r="L366" s="22" t="s">
        <v>24</v>
      </c>
      <c r="M366" s="22" t="s">
        <v>71</v>
      </c>
      <c r="N366" s="22"/>
    </row>
    <row r="367" spans="1:14">
      <c r="A367" s="22"/>
      <c r="B367" s="473" t="s">
        <v>810</v>
      </c>
      <c r="C367" s="473"/>
      <c r="D367" s="473"/>
      <c r="E367" s="473"/>
      <c r="F367" s="473"/>
      <c r="G367" s="473"/>
      <c r="H367" s="473"/>
      <c r="I367" s="473"/>
      <c r="J367" s="473"/>
      <c r="K367" s="473"/>
      <c r="L367" s="473"/>
      <c r="M367" s="473"/>
      <c r="N367" s="473"/>
    </row>
    <row r="368" spans="1:14" ht="76.5">
      <c r="A368" s="22">
        <v>1</v>
      </c>
      <c r="B368" s="23" t="s">
        <v>49</v>
      </c>
      <c r="C368" s="22" t="s">
        <v>635</v>
      </c>
      <c r="D368" s="24">
        <v>2022</v>
      </c>
      <c r="E368" s="25">
        <v>1</v>
      </c>
      <c r="F368" s="25">
        <v>1</v>
      </c>
      <c r="G368" s="25">
        <f t="shared" si="7"/>
        <v>0</v>
      </c>
      <c r="H368" s="25"/>
      <c r="I368" s="25"/>
      <c r="J368" s="22" t="s">
        <v>636</v>
      </c>
      <c r="K368" s="22" t="s">
        <v>637</v>
      </c>
      <c r="L368" s="22" t="s">
        <v>24</v>
      </c>
      <c r="M368" s="22" t="s">
        <v>51</v>
      </c>
      <c r="N368" s="22"/>
    </row>
    <row r="369" spans="1:14" ht="51">
      <c r="A369" s="22">
        <v>2</v>
      </c>
      <c r="B369" s="23" t="s">
        <v>76</v>
      </c>
      <c r="C369" s="22" t="s">
        <v>638</v>
      </c>
      <c r="D369" s="24">
        <v>2022</v>
      </c>
      <c r="E369" s="25">
        <v>3</v>
      </c>
      <c r="F369" s="25">
        <v>3</v>
      </c>
      <c r="G369" s="25">
        <f t="shared" si="7"/>
        <v>0</v>
      </c>
      <c r="H369" s="25"/>
      <c r="I369" s="25"/>
      <c r="J369" s="22" t="s">
        <v>636</v>
      </c>
      <c r="K369" s="22" t="s">
        <v>637</v>
      </c>
      <c r="L369" s="22" t="s">
        <v>24</v>
      </c>
      <c r="M369" s="22" t="s">
        <v>51</v>
      </c>
      <c r="N369" s="22"/>
    </row>
    <row r="370" spans="1:14" ht="51">
      <c r="A370" s="22">
        <v>3</v>
      </c>
      <c r="B370" s="23" t="s">
        <v>639</v>
      </c>
      <c r="C370" s="22" t="s">
        <v>640</v>
      </c>
      <c r="D370" s="24">
        <v>2019</v>
      </c>
      <c r="E370" s="25">
        <v>1</v>
      </c>
      <c r="F370" s="25">
        <v>1</v>
      </c>
      <c r="G370" s="25">
        <f t="shared" si="7"/>
        <v>0</v>
      </c>
      <c r="H370" s="29">
        <v>944000000</v>
      </c>
      <c r="I370" s="29">
        <v>944000000</v>
      </c>
      <c r="J370" s="22" t="s">
        <v>636</v>
      </c>
      <c r="K370" s="22" t="s">
        <v>20</v>
      </c>
      <c r="L370" s="22" t="s">
        <v>641</v>
      </c>
      <c r="M370" s="22" t="s">
        <v>642</v>
      </c>
      <c r="N370" s="22" t="s">
        <v>643</v>
      </c>
    </row>
    <row r="371" spans="1:14" ht="51">
      <c r="A371" s="22">
        <v>4</v>
      </c>
      <c r="B371" s="23" t="s">
        <v>644</v>
      </c>
      <c r="C371" s="22" t="s">
        <v>645</v>
      </c>
      <c r="D371" s="24">
        <v>2019</v>
      </c>
      <c r="E371" s="25">
        <v>1</v>
      </c>
      <c r="F371" s="25">
        <v>1</v>
      </c>
      <c r="G371" s="25">
        <f t="shared" si="7"/>
        <v>0</v>
      </c>
      <c r="H371" s="29">
        <v>98700000</v>
      </c>
      <c r="I371" s="29">
        <v>98700000</v>
      </c>
      <c r="J371" s="22" t="s">
        <v>636</v>
      </c>
      <c r="K371" s="22" t="s">
        <v>20</v>
      </c>
      <c r="L371" s="22" t="s">
        <v>641</v>
      </c>
      <c r="M371" s="22" t="s">
        <v>71</v>
      </c>
      <c r="N371" s="22" t="s">
        <v>646</v>
      </c>
    </row>
    <row r="372" spans="1:14" ht="38.25">
      <c r="A372" s="22">
        <v>5</v>
      </c>
      <c r="B372" s="23" t="s">
        <v>651</v>
      </c>
      <c r="C372" s="22" t="s">
        <v>652</v>
      </c>
      <c r="D372" s="24"/>
      <c r="E372" s="25">
        <v>1</v>
      </c>
      <c r="F372" s="25">
        <v>1</v>
      </c>
      <c r="G372" s="25">
        <f t="shared" si="7"/>
        <v>0</v>
      </c>
      <c r="H372" s="25"/>
      <c r="I372" s="25"/>
      <c r="J372" s="22" t="s">
        <v>636</v>
      </c>
      <c r="K372" s="22" t="s">
        <v>20</v>
      </c>
      <c r="L372" s="22" t="s">
        <v>24</v>
      </c>
      <c r="M372" s="22" t="s">
        <v>71</v>
      </c>
      <c r="N372" s="22" t="s">
        <v>653</v>
      </c>
    </row>
    <row r="373" spans="1:14" ht="38.25">
      <c r="A373" s="22">
        <v>6</v>
      </c>
      <c r="B373" s="23" t="s">
        <v>654</v>
      </c>
      <c r="C373" s="22" t="s">
        <v>655</v>
      </c>
      <c r="D373" s="24">
        <v>2014</v>
      </c>
      <c r="E373" s="25">
        <v>1</v>
      </c>
      <c r="F373" s="25">
        <v>1</v>
      </c>
      <c r="G373" s="25">
        <f t="shared" si="7"/>
        <v>0</v>
      </c>
      <c r="H373" s="30">
        <v>1575500000</v>
      </c>
      <c r="I373" s="30">
        <v>1575500000</v>
      </c>
      <c r="J373" s="22" t="s">
        <v>636</v>
      </c>
      <c r="K373" s="22" t="s">
        <v>20</v>
      </c>
      <c r="L373" s="22" t="s">
        <v>95</v>
      </c>
      <c r="M373" s="22" t="s">
        <v>71</v>
      </c>
      <c r="N373" s="22" t="s">
        <v>95</v>
      </c>
    </row>
    <row r="374" spans="1:14" ht="38.25">
      <c r="A374" s="22">
        <v>7</v>
      </c>
      <c r="B374" s="23" t="s">
        <v>656</v>
      </c>
      <c r="C374" s="22" t="s">
        <v>657</v>
      </c>
      <c r="D374" s="24"/>
      <c r="E374" s="25">
        <v>1</v>
      </c>
      <c r="F374" s="25">
        <v>1</v>
      </c>
      <c r="G374" s="25">
        <f t="shared" si="7"/>
        <v>0</v>
      </c>
      <c r="H374" s="25"/>
      <c r="I374" s="25"/>
      <c r="J374" s="22" t="s">
        <v>636</v>
      </c>
      <c r="K374" s="22" t="s">
        <v>20</v>
      </c>
      <c r="L374" s="22" t="s">
        <v>95</v>
      </c>
      <c r="M374" s="22" t="s">
        <v>71</v>
      </c>
      <c r="N374" s="22" t="s">
        <v>650</v>
      </c>
    </row>
    <row r="375" spans="1:14" ht="38.25">
      <c r="A375" s="22">
        <v>8</v>
      </c>
      <c r="B375" s="23" t="s">
        <v>658</v>
      </c>
      <c r="C375" s="22" t="s">
        <v>659</v>
      </c>
      <c r="D375" s="24">
        <v>2015</v>
      </c>
      <c r="E375" s="25">
        <v>1</v>
      </c>
      <c r="F375" s="25">
        <v>1</v>
      </c>
      <c r="G375" s="25">
        <f t="shared" si="7"/>
        <v>0</v>
      </c>
      <c r="H375" s="30">
        <v>1507000000</v>
      </c>
      <c r="I375" s="30">
        <v>1507000000</v>
      </c>
      <c r="J375" s="22" t="s">
        <v>636</v>
      </c>
      <c r="K375" s="22" t="s">
        <v>20</v>
      </c>
      <c r="L375" s="22" t="s">
        <v>660</v>
      </c>
      <c r="M375" s="22" t="s">
        <v>71</v>
      </c>
      <c r="N375" s="22"/>
    </row>
    <row r="376" spans="1:14" ht="38.25">
      <c r="A376" s="22">
        <v>9</v>
      </c>
      <c r="B376" s="23" t="s">
        <v>661</v>
      </c>
      <c r="C376" s="22" t="s">
        <v>662</v>
      </c>
      <c r="D376" s="24"/>
      <c r="E376" s="25">
        <v>1</v>
      </c>
      <c r="F376" s="25">
        <v>1</v>
      </c>
      <c r="G376" s="25">
        <f t="shared" si="7"/>
        <v>0</v>
      </c>
      <c r="H376" s="25"/>
      <c r="I376" s="25"/>
      <c r="J376" s="22" t="s">
        <v>636</v>
      </c>
      <c r="K376" s="22" t="s">
        <v>20</v>
      </c>
      <c r="L376" s="22" t="s">
        <v>649</v>
      </c>
      <c r="M376" s="22" t="s">
        <v>71</v>
      </c>
      <c r="N376" s="22" t="s">
        <v>811</v>
      </c>
    </row>
    <row r="377" spans="1:14" ht="38.25">
      <c r="A377" s="22">
        <v>10</v>
      </c>
      <c r="B377" s="23" t="s">
        <v>663</v>
      </c>
      <c r="C377" s="22" t="s">
        <v>664</v>
      </c>
      <c r="D377" s="24"/>
      <c r="E377" s="25">
        <v>1</v>
      </c>
      <c r="F377" s="25">
        <v>1</v>
      </c>
      <c r="G377" s="25">
        <f t="shared" si="7"/>
        <v>0</v>
      </c>
      <c r="H377" s="25"/>
      <c r="I377" s="25"/>
      <c r="J377" s="22" t="s">
        <v>636</v>
      </c>
      <c r="K377" s="22" t="s">
        <v>20</v>
      </c>
      <c r="L377" s="22" t="s">
        <v>95</v>
      </c>
      <c r="M377" s="22" t="s">
        <v>71</v>
      </c>
      <c r="N377" s="22" t="s">
        <v>665</v>
      </c>
    </row>
    <row r="378" spans="1:14" ht="89.25">
      <c r="A378" s="22">
        <v>11</v>
      </c>
      <c r="B378" s="23" t="s">
        <v>666</v>
      </c>
      <c r="C378" s="22" t="s">
        <v>667</v>
      </c>
      <c r="D378" s="24">
        <v>2020</v>
      </c>
      <c r="E378" s="25">
        <v>1</v>
      </c>
      <c r="F378" s="25">
        <v>1</v>
      </c>
      <c r="G378" s="25">
        <f t="shared" si="7"/>
        <v>0</v>
      </c>
      <c r="H378" s="28">
        <v>82000000</v>
      </c>
      <c r="I378" s="28">
        <v>82000000</v>
      </c>
      <c r="J378" s="22" t="s">
        <v>636</v>
      </c>
      <c r="K378" s="22" t="s">
        <v>668</v>
      </c>
      <c r="L378" s="22" t="s">
        <v>24</v>
      </c>
      <c r="M378" s="22" t="s">
        <v>191</v>
      </c>
      <c r="N378" s="22"/>
    </row>
    <row r="379" spans="1:14">
      <c r="A379" s="22"/>
      <c r="B379" s="473" t="s">
        <v>775</v>
      </c>
      <c r="C379" s="473"/>
      <c r="D379" s="473"/>
      <c r="E379" s="473"/>
      <c r="F379" s="473"/>
      <c r="G379" s="473"/>
      <c r="H379" s="473"/>
      <c r="I379" s="473"/>
      <c r="J379" s="473"/>
      <c r="K379" s="473"/>
      <c r="L379" s="473"/>
      <c r="M379" s="473"/>
      <c r="N379" s="473"/>
    </row>
    <row r="380" spans="1:14" ht="38.25">
      <c r="A380" s="22">
        <v>1</v>
      </c>
      <c r="B380" s="23" t="s">
        <v>137</v>
      </c>
      <c r="C380" s="22" t="s">
        <v>159</v>
      </c>
      <c r="D380" s="24"/>
      <c r="E380" s="25">
        <v>1</v>
      </c>
      <c r="F380" s="25">
        <v>1</v>
      </c>
      <c r="G380" s="25">
        <f t="shared" si="7"/>
        <v>0</v>
      </c>
      <c r="H380" s="25"/>
      <c r="I380" s="25"/>
      <c r="J380" s="22" t="s">
        <v>636</v>
      </c>
      <c r="K380" s="22" t="s">
        <v>20</v>
      </c>
      <c r="L380" s="22" t="s">
        <v>24</v>
      </c>
      <c r="M380" s="22" t="s">
        <v>71</v>
      </c>
      <c r="N380" s="22"/>
    </row>
    <row r="381" spans="1:14" ht="38.25">
      <c r="A381" s="22">
        <v>2</v>
      </c>
      <c r="B381" s="23" t="s">
        <v>139</v>
      </c>
      <c r="C381" s="22" t="s">
        <v>140</v>
      </c>
      <c r="D381" s="24"/>
      <c r="E381" s="25">
        <v>1</v>
      </c>
      <c r="F381" s="25">
        <v>1</v>
      </c>
      <c r="G381" s="25">
        <f t="shared" si="7"/>
        <v>0</v>
      </c>
      <c r="H381" s="25"/>
      <c r="I381" s="25"/>
      <c r="J381" s="22" t="s">
        <v>636</v>
      </c>
      <c r="K381" s="22" t="s">
        <v>141</v>
      </c>
      <c r="L381" s="22" t="s">
        <v>24</v>
      </c>
      <c r="M381" s="22" t="s">
        <v>71</v>
      </c>
      <c r="N381" s="22" t="s">
        <v>669</v>
      </c>
    </row>
    <row r="382" spans="1:14">
      <c r="A382" s="22"/>
      <c r="B382" s="473" t="s">
        <v>813</v>
      </c>
      <c r="C382" s="473"/>
      <c r="D382" s="473"/>
      <c r="E382" s="473"/>
      <c r="F382" s="473"/>
      <c r="G382" s="473"/>
      <c r="H382" s="473"/>
      <c r="I382" s="473"/>
      <c r="J382" s="473"/>
      <c r="K382" s="473"/>
      <c r="L382" s="473"/>
      <c r="M382" s="473"/>
      <c r="N382" s="473"/>
    </row>
    <row r="383" spans="1:14">
      <c r="A383" s="22"/>
      <c r="B383" s="473" t="s">
        <v>814</v>
      </c>
      <c r="C383" s="473"/>
      <c r="D383" s="473"/>
      <c r="E383" s="473"/>
      <c r="F383" s="473"/>
      <c r="G383" s="473"/>
      <c r="H383" s="473"/>
      <c r="I383" s="473"/>
      <c r="J383" s="473"/>
      <c r="K383" s="473"/>
      <c r="L383" s="473"/>
      <c r="M383" s="473"/>
      <c r="N383" s="473"/>
    </row>
    <row r="384" spans="1:14" ht="51">
      <c r="A384" s="22">
        <v>1</v>
      </c>
      <c r="B384" s="23" t="s">
        <v>670</v>
      </c>
      <c r="C384" s="22" t="s">
        <v>671</v>
      </c>
      <c r="D384" s="24">
        <v>2020</v>
      </c>
      <c r="E384" s="25">
        <v>1</v>
      </c>
      <c r="F384" s="25">
        <v>1</v>
      </c>
      <c r="G384" s="25">
        <f t="shared" si="7"/>
        <v>0</v>
      </c>
      <c r="H384" s="32">
        <v>5489000000</v>
      </c>
      <c r="I384" s="32">
        <v>5489000000</v>
      </c>
      <c r="J384" s="22" t="s">
        <v>672</v>
      </c>
      <c r="K384" s="22" t="s">
        <v>126</v>
      </c>
      <c r="L384" s="22" t="s">
        <v>24</v>
      </c>
      <c r="M384" s="22" t="s">
        <v>673</v>
      </c>
      <c r="N384" s="22"/>
    </row>
    <row r="385" spans="1:14" ht="76.5">
      <c r="A385" s="22">
        <v>2</v>
      </c>
      <c r="B385" s="23" t="s">
        <v>674</v>
      </c>
      <c r="C385" s="22" t="s">
        <v>675</v>
      </c>
      <c r="D385" s="24">
        <v>2022</v>
      </c>
      <c r="E385" s="25">
        <v>1</v>
      </c>
      <c r="F385" s="25">
        <v>1</v>
      </c>
      <c r="G385" s="25">
        <f t="shared" si="7"/>
        <v>0</v>
      </c>
      <c r="H385" s="29">
        <v>1350000000</v>
      </c>
      <c r="I385" s="29">
        <v>1350000000</v>
      </c>
      <c r="J385" s="22" t="s">
        <v>672</v>
      </c>
      <c r="K385" s="22" t="s">
        <v>676</v>
      </c>
      <c r="L385" s="22" t="s">
        <v>24</v>
      </c>
      <c r="M385" s="22"/>
      <c r="N385" s="22" t="s">
        <v>677</v>
      </c>
    </row>
    <row r="386" spans="1:14" ht="63.75">
      <c r="A386" s="22">
        <v>3</v>
      </c>
      <c r="B386" s="23" t="s">
        <v>939</v>
      </c>
      <c r="C386" s="22" t="s">
        <v>30</v>
      </c>
      <c r="D386" s="24">
        <v>2023</v>
      </c>
      <c r="E386" s="25">
        <v>1</v>
      </c>
      <c r="F386" s="25">
        <v>1</v>
      </c>
      <c r="G386" s="25">
        <f t="shared" si="7"/>
        <v>0</v>
      </c>
      <c r="H386" s="29">
        <f>1360000000</f>
        <v>1360000000</v>
      </c>
      <c r="I386" s="29">
        <f>1360000000+960155000</f>
        <v>2320155000</v>
      </c>
      <c r="J386" s="22" t="s">
        <v>672</v>
      </c>
      <c r="K386" s="22" t="s">
        <v>20</v>
      </c>
      <c r="L386" s="22" t="s">
        <v>24</v>
      </c>
      <c r="M386" s="22"/>
      <c r="N386" s="22" t="s">
        <v>678</v>
      </c>
    </row>
    <row r="387" spans="1:14" ht="25.5">
      <c r="A387" s="22">
        <v>4</v>
      </c>
      <c r="B387" s="23" t="s">
        <v>940</v>
      </c>
      <c r="C387" s="22"/>
      <c r="D387" s="24"/>
      <c r="E387" s="25"/>
      <c r="F387" s="25"/>
      <c r="G387" s="25"/>
      <c r="H387" s="29">
        <f>960155000</f>
        <v>960155000</v>
      </c>
      <c r="I387" s="29">
        <f>960155000</f>
        <v>960155000</v>
      </c>
      <c r="J387" s="22"/>
      <c r="K387" s="22"/>
      <c r="L387" s="22" t="s">
        <v>24</v>
      </c>
      <c r="M387" s="22"/>
      <c r="N387" s="22"/>
    </row>
    <row r="388" spans="1:14" ht="51">
      <c r="A388" s="22">
        <v>5</v>
      </c>
      <c r="B388" s="23" t="s">
        <v>679</v>
      </c>
      <c r="C388" s="22" t="s">
        <v>680</v>
      </c>
      <c r="D388" s="24">
        <v>2020</v>
      </c>
      <c r="E388" s="25">
        <v>1</v>
      </c>
      <c r="F388" s="25">
        <v>1</v>
      </c>
      <c r="G388" s="25">
        <f t="shared" si="7"/>
        <v>0</v>
      </c>
      <c r="H388" s="28">
        <v>15620000</v>
      </c>
      <c r="I388" s="28">
        <v>15620000</v>
      </c>
      <c r="J388" s="22" t="s">
        <v>672</v>
      </c>
      <c r="K388" s="22" t="s">
        <v>126</v>
      </c>
      <c r="L388" s="22" t="s">
        <v>24</v>
      </c>
      <c r="M388" s="22" t="s">
        <v>673</v>
      </c>
      <c r="N388" s="22"/>
    </row>
    <row r="389" spans="1:14">
      <c r="A389" s="22"/>
      <c r="B389" s="473" t="s">
        <v>775</v>
      </c>
      <c r="C389" s="473"/>
      <c r="D389" s="473"/>
      <c r="E389" s="473"/>
      <c r="F389" s="473"/>
      <c r="G389" s="473"/>
      <c r="H389" s="473"/>
      <c r="I389" s="473"/>
      <c r="J389" s="473"/>
      <c r="K389" s="473"/>
      <c r="L389" s="473"/>
      <c r="M389" s="473"/>
      <c r="N389" s="473"/>
    </row>
    <row r="390" spans="1:14" ht="38.25">
      <c r="A390" s="22">
        <v>1</v>
      </c>
      <c r="B390" s="23" t="s">
        <v>629</v>
      </c>
      <c r="C390" s="22" t="s">
        <v>681</v>
      </c>
      <c r="D390" s="24"/>
      <c r="E390" s="25">
        <v>1</v>
      </c>
      <c r="F390" s="25">
        <v>1</v>
      </c>
      <c r="G390" s="25">
        <f t="shared" si="7"/>
        <v>0</v>
      </c>
      <c r="H390" s="25"/>
      <c r="I390" s="25"/>
      <c r="J390" s="22" t="s">
        <v>682</v>
      </c>
      <c r="K390" s="22" t="s">
        <v>323</v>
      </c>
      <c r="L390" s="22" t="s">
        <v>24</v>
      </c>
      <c r="M390" s="22" t="s">
        <v>71</v>
      </c>
      <c r="N390" s="22"/>
    </row>
    <row r="391" spans="1:14" ht="38.25">
      <c r="A391" s="22">
        <v>2</v>
      </c>
      <c r="B391" s="23" t="s">
        <v>683</v>
      </c>
      <c r="C391" s="22" t="s">
        <v>275</v>
      </c>
      <c r="D391" s="24">
        <v>2022</v>
      </c>
      <c r="E391" s="25">
        <v>1</v>
      </c>
      <c r="F391" s="25">
        <v>1</v>
      </c>
      <c r="G391" s="25">
        <f t="shared" si="7"/>
        <v>0</v>
      </c>
      <c r="H391" s="25"/>
      <c r="I391" s="25"/>
      <c r="J391" s="22" t="s">
        <v>672</v>
      </c>
      <c r="K391" s="22"/>
      <c r="L391" s="22" t="s">
        <v>24</v>
      </c>
      <c r="M391" s="22" t="s">
        <v>150</v>
      </c>
      <c r="N391" s="22" t="s">
        <v>129</v>
      </c>
    </row>
    <row r="392" spans="1:14" ht="38.25">
      <c r="A392" s="22">
        <v>3</v>
      </c>
      <c r="B392" s="23" t="s">
        <v>684</v>
      </c>
      <c r="C392" s="22" t="s">
        <v>604</v>
      </c>
      <c r="D392" s="24">
        <v>2022</v>
      </c>
      <c r="E392" s="25">
        <v>1</v>
      </c>
      <c r="F392" s="25">
        <v>1</v>
      </c>
      <c r="G392" s="25">
        <f t="shared" ref="G392:G418" si="8">F392-E392</f>
        <v>0</v>
      </c>
      <c r="H392" s="25"/>
      <c r="I392" s="25"/>
      <c r="J392" s="22" t="s">
        <v>672</v>
      </c>
      <c r="K392" s="22"/>
      <c r="L392" s="22" t="s">
        <v>24</v>
      </c>
      <c r="M392" s="22" t="s">
        <v>150</v>
      </c>
      <c r="N392" s="22" t="s">
        <v>129</v>
      </c>
    </row>
    <row r="393" spans="1:14" ht="38.25">
      <c r="A393" s="22">
        <v>4</v>
      </c>
      <c r="B393" s="23" t="s">
        <v>685</v>
      </c>
      <c r="C393" s="22" t="s">
        <v>624</v>
      </c>
      <c r="D393" s="24">
        <v>2022</v>
      </c>
      <c r="E393" s="25">
        <v>1</v>
      </c>
      <c r="F393" s="25">
        <v>1</v>
      </c>
      <c r="G393" s="25">
        <f t="shared" si="8"/>
        <v>0</v>
      </c>
      <c r="H393" s="25"/>
      <c r="I393" s="25"/>
      <c r="J393" s="22" t="s">
        <v>672</v>
      </c>
      <c r="K393" s="22"/>
      <c r="L393" s="22" t="s">
        <v>24</v>
      </c>
      <c r="M393" s="22" t="s">
        <v>150</v>
      </c>
      <c r="N393" s="22" t="s">
        <v>129</v>
      </c>
    </row>
    <row r="394" spans="1:14" ht="38.25">
      <c r="A394" s="22">
        <v>5</v>
      </c>
      <c r="B394" s="23" t="s">
        <v>771</v>
      </c>
      <c r="C394" s="22" t="s">
        <v>686</v>
      </c>
      <c r="D394" s="24"/>
      <c r="E394" s="25">
        <v>1</v>
      </c>
      <c r="F394" s="25">
        <v>1</v>
      </c>
      <c r="G394" s="25">
        <f t="shared" si="8"/>
        <v>0</v>
      </c>
      <c r="H394" s="25"/>
      <c r="I394" s="25"/>
      <c r="J394" s="22" t="s">
        <v>672</v>
      </c>
      <c r="K394" s="22" t="s">
        <v>687</v>
      </c>
      <c r="L394" s="22" t="s">
        <v>24</v>
      </c>
      <c r="M394" s="22" t="s">
        <v>71</v>
      </c>
      <c r="N394" s="22"/>
    </row>
    <row r="395" spans="1:14" ht="51">
      <c r="A395" s="22">
        <v>6</v>
      </c>
      <c r="B395" s="23" t="s">
        <v>688</v>
      </c>
      <c r="C395" s="22" t="s">
        <v>689</v>
      </c>
      <c r="D395" s="24">
        <v>2024</v>
      </c>
      <c r="E395" s="25">
        <v>1</v>
      </c>
      <c r="F395" s="25">
        <v>1</v>
      </c>
      <c r="G395" s="25">
        <f t="shared" si="8"/>
        <v>0</v>
      </c>
      <c r="H395" s="29">
        <v>3885000</v>
      </c>
      <c r="I395" s="29">
        <v>3885000</v>
      </c>
      <c r="J395" s="22" t="s">
        <v>672</v>
      </c>
      <c r="K395" s="22" t="s">
        <v>690</v>
      </c>
      <c r="L395" s="22" t="s">
        <v>24</v>
      </c>
      <c r="M395" s="22" t="s">
        <v>691</v>
      </c>
      <c r="N395" s="22" t="s">
        <v>692</v>
      </c>
    </row>
    <row r="396" spans="1:14" ht="38.25">
      <c r="A396" s="22">
        <v>7</v>
      </c>
      <c r="B396" s="23" t="s">
        <v>693</v>
      </c>
      <c r="C396" s="22" t="s">
        <v>694</v>
      </c>
      <c r="D396" s="24"/>
      <c r="E396" s="25"/>
      <c r="F396" s="25">
        <v>1</v>
      </c>
      <c r="G396" s="25">
        <f t="shared" si="8"/>
        <v>1</v>
      </c>
      <c r="H396" s="36">
        <v>2664375</v>
      </c>
      <c r="I396" s="36">
        <v>2664375</v>
      </c>
      <c r="J396" s="22" t="s">
        <v>672</v>
      </c>
      <c r="K396" s="22"/>
      <c r="L396" s="22" t="s">
        <v>24</v>
      </c>
      <c r="M396" s="22"/>
      <c r="N396" s="22" t="s">
        <v>695</v>
      </c>
    </row>
    <row r="397" spans="1:14" ht="38.25">
      <c r="A397" s="22">
        <v>8</v>
      </c>
      <c r="B397" s="23" t="s">
        <v>696</v>
      </c>
      <c r="C397" s="22" t="s">
        <v>697</v>
      </c>
      <c r="D397" s="24">
        <v>2012</v>
      </c>
      <c r="E397" s="25"/>
      <c r="F397" s="25">
        <v>1</v>
      </c>
      <c r="G397" s="25">
        <f t="shared" si="8"/>
        <v>1</v>
      </c>
      <c r="H397" s="37">
        <v>16207598</v>
      </c>
      <c r="I397" s="37">
        <v>16207598</v>
      </c>
      <c r="J397" s="22" t="s">
        <v>672</v>
      </c>
      <c r="K397" s="22"/>
      <c r="L397" s="22" t="s">
        <v>24</v>
      </c>
      <c r="M397" s="22"/>
      <c r="N397" s="22" t="s">
        <v>695</v>
      </c>
    </row>
    <row r="398" spans="1:14" ht="51">
      <c r="A398" s="22">
        <v>9</v>
      </c>
      <c r="B398" s="23" t="s">
        <v>760</v>
      </c>
      <c r="C398" s="22" t="s">
        <v>698</v>
      </c>
      <c r="D398" s="24">
        <v>2011</v>
      </c>
      <c r="E398" s="25"/>
      <c r="F398" s="25">
        <v>1</v>
      </c>
      <c r="G398" s="25">
        <f t="shared" si="8"/>
        <v>1</v>
      </c>
      <c r="H398" s="37">
        <v>28667925</v>
      </c>
      <c r="I398" s="37">
        <v>28667925</v>
      </c>
      <c r="J398" s="22" t="s">
        <v>672</v>
      </c>
      <c r="K398" s="22"/>
      <c r="L398" s="22" t="s">
        <v>24</v>
      </c>
      <c r="M398" s="22"/>
      <c r="N398" s="22" t="s">
        <v>695</v>
      </c>
    </row>
    <row r="399" spans="1:14" ht="51">
      <c r="A399" s="22">
        <v>10</v>
      </c>
      <c r="B399" s="23" t="s">
        <v>772</v>
      </c>
      <c r="C399" s="22" t="s">
        <v>699</v>
      </c>
      <c r="D399" s="24">
        <v>2023</v>
      </c>
      <c r="E399" s="25"/>
      <c r="F399" s="25">
        <v>1</v>
      </c>
      <c r="G399" s="25">
        <f t="shared" si="8"/>
        <v>1</v>
      </c>
      <c r="H399" s="37">
        <v>88000000</v>
      </c>
      <c r="I399" s="37">
        <v>88000000</v>
      </c>
      <c r="J399" s="22" t="s">
        <v>672</v>
      </c>
      <c r="K399" s="22"/>
      <c r="L399" s="22" t="s">
        <v>24</v>
      </c>
      <c r="M399" s="22"/>
      <c r="N399" s="22" t="s">
        <v>695</v>
      </c>
    </row>
    <row r="400" spans="1:14" ht="38.25">
      <c r="A400" s="22">
        <v>11</v>
      </c>
      <c r="B400" s="23" t="s">
        <v>43</v>
      </c>
      <c r="C400" s="22" t="s">
        <v>700</v>
      </c>
      <c r="D400" s="24"/>
      <c r="E400" s="25"/>
      <c r="F400" s="25">
        <v>1</v>
      </c>
      <c r="G400" s="25">
        <f t="shared" si="8"/>
        <v>1</v>
      </c>
      <c r="H400" s="36">
        <v>2000000</v>
      </c>
      <c r="I400" s="36">
        <v>2000000</v>
      </c>
      <c r="J400" s="22" t="s">
        <v>672</v>
      </c>
      <c r="K400" s="22"/>
      <c r="L400" s="22" t="s">
        <v>24</v>
      </c>
      <c r="M400" s="22"/>
      <c r="N400" s="22" t="s">
        <v>695</v>
      </c>
    </row>
    <row r="401" spans="1:14" ht="38.25">
      <c r="A401" s="22">
        <v>12</v>
      </c>
      <c r="B401" s="23" t="s">
        <v>701</v>
      </c>
      <c r="C401" s="22" t="s">
        <v>702</v>
      </c>
      <c r="D401" s="24"/>
      <c r="E401" s="25"/>
      <c r="F401" s="25">
        <v>1</v>
      </c>
      <c r="G401" s="25">
        <f t="shared" si="8"/>
        <v>1</v>
      </c>
      <c r="H401" s="36">
        <v>3200000</v>
      </c>
      <c r="I401" s="36">
        <v>3200000</v>
      </c>
      <c r="J401" s="22" t="s">
        <v>672</v>
      </c>
      <c r="K401" s="22"/>
      <c r="L401" s="22" t="s">
        <v>24</v>
      </c>
      <c r="M401" s="22"/>
      <c r="N401" s="22" t="s">
        <v>695</v>
      </c>
    </row>
    <row r="402" spans="1:14" ht="38.25">
      <c r="A402" s="22">
        <v>13</v>
      </c>
      <c r="B402" s="23" t="s">
        <v>703</v>
      </c>
      <c r="C402" s="22" t="s">
        <v>704</v>
      </c>
      <c r="D402" s="24"/>
      <c r="E402" s="25"/>
      <c r="F402" s="25">
        <v>1</v>
      </c>
      <c r="G402" s="25">
        <f t="shared" si="8"/>
        <v>1</v>
      </c>
      <c r="H402" s="36">
        <v>2200000</v>
      </c>
      <c r="I402" s="36">
        <v>2200000</v>
      </c>
      <c r="J402" s="22" t="s">
        <v>672</v>
      </c>
      <c r="K402" s="22"/>
      <c r="L402" s="22" t="s">
        <v>24</v>
      </c>
      <c r="M402" s="22"/>
      <c r="N402" s="22" t="s">
        <v>695</v>
      </c>
    </row>
    <row r="403" spans="1:14" ht="38.25">
      <c r="A403" s="22">
        <v>14</v>
      </c>
      <c r="B403" s="23" t="s">
        <v>941</v>
      </c>
      <c r="C403" s="22" t="s">
        <v>705</v>
      </c>
      <c r="D403" s="24"/>
      <c r="E403" s="25"/>
      <c r="F403" s="25">
        <v>1</v>
      </c>
      <c r="G403" s="25">
        <f t="shared" si="8"/>
        <v>1</v>
      </c>
      <c r="H403" s="38">
        <v>2000000</v>
      </c>
      <c r="I403" s="38">
        <v>2000000</v>
      </c>
      <c r="J403" s="22" t="s">
        <v>672</v>
      </c>
      <c r="K403" s="22"/>
      <c r="L403" s="22" t="s">
        <v>24</v>
      </c>
      <c r="M403" s="22"/>
      <c r="N403" s="22" t="s">
        <v>695</v>
      </c>
    </row>
    <row r="404" spans="1:14" ht="38.25">
      <c r="A404" s="22">
        <v>14</v>
      </c>
      <c r="B404" s="23" t="s">
        <v>942</v>
      </c>
      <c r="C404" s="22" t="s">
        <v>705</v>
      </c>
      <c r="D404" s="24"/>
      <c r="E404" s="25"/>
      <c r="F404" s="25">
        <v>1</v>
      </c>
      <c r="G404" s="25">
        <f t="shared" si="8"/>
        <v>1</v>
      </c>
      <c r="H404" s="38">
        <v>2200000</v>
      </c>
      <c r="I404" s="38">
        <v>2200000</v>
      </c>
      <c r="J404" s="22" t="s">
        <v>672</v>
      </c>
      <c r="K404" s="22"/>
      <c r="L404" s="22" t="s">
        <v>24</v>
      </c>
      <c r="M404" s="22"/>
      <c r="N404" s="22" t="s">
        <v>695</v>
      </c>
    </row>
    <row r="405" spans="1:14" ht="38.25">
      <c r="A405" s="22">
        <v>15</v>
      </c>
      <c r="B405" s="23" t="s">
        <v>761</v>
      </c>
      <c r="C405" s="22" t="s">
        <v>706</v>
      </c>
      <c r="D405" s="24"/>
      <c r="E405" s="25"/>
      <c r="F405" s="25">
        <v>3</v>
      </c>
      <c r="G405" s="25">
        <f t="shared" si="8"/>
        <v>3</v>
      </c>
      <c r="H405" s="38">
        <v>2100000</v>
      </c>
      <c r="I405" s="38">
        <v>6300000</v>
      </c>
      <c r="J405" s="22" t="s">
        <v>672</v>
      </c>
      <c r="K405" s="22"/>
      <c r="L405" s="22" t="s">
        <v>24</v>
      </c>
      <c r="M405" s="22"/>
      <c r="N405" s="22" t="s">
        <v>695</v>
      </c>
    </row>
    <row r="406" spans="1:14" ht="51">
      <c r="A406" s="22">
        <v>16</v>
      </c>
      <c r="B406" s="23" t="s">
        <v>707</v>
      </c>
      <c r="C406" s="22" t="s">
        <v>708</v>
      </c>
      <c r="D406" s="24"/>
      <c r="E406" s="25"/>
      <c r="F406" s="25">
        <v>2</v>
      </c>
      <c r="G406" s="25">
        <f t="shared" si="8"/>
        <v>2</v>
      </c>
      <c r="H406" s="38">
        <v>206000</v>
      </c>
      <c r="I406" s="38">
        <v>618000</v>
      </c>
      <c r="J406" s="22" t="s">
        <v>672</v>
      </c>
      <c r="K406" s="22"/>
      <c r="L406" s="22" t="s">
        <v>24</v>
      </c>
      <c r="M406" s="22"/>
      <c r="N406" s="22" t="s">
        <v>815</v>
      </c>
    </row>
    <row r="407" spans="1:14" ht="38.25">
      <c r="A407" s="22">
        <v>17</v>
      </c>
      <c r="B407" s="23" t="s">
        <v>709</v>
      </c>
      <c r="C407" s="22" t="s">
        <v>710</v>
      </c>
      <c r="D407" s="24"/>
      <c r="E407" s="25"/>
      <c r="F407" s="25">
        <v>2</v>
      </c>
      <c r="G407" s="25">
        <f t="shared" si="8"/>
        <v>2</v>
      </c>
      <c r="H407" s="38">
        <v>1300000</v>
      </c>
      <c r="I407" s="38">
        <v>2600000</v>
      </c>
      <c r="J407" s="22" t="s">
        <v>672</v>
      </c>
      <c r="K407" s="22"/>
      <c r="L407" s="22" t="s">
        <v>24</v>
      </c>
      <c r="M407" s="22"/>
      <c r="N407" s="22" t="s">
        <v>695</v>
      </c>
    </row>
    <row r="408" spans="1:14" ht="38.25">
      <c r="A408" s="22">
        <v>18</v>
      </c>
      <c r="B408" s="23" t="s">
        <v>764</v>
      </c>
      <c r="C408" s="22" t="s">
        <v>711</v>
      </c>
      <c r="D408" s="24"/>
      <c r="E408" s="25"/>
      <c r="F408" s="25">
        <v>2</v>
      </c>
      <c r="G408" s="25">
        <f t="shared" si="8"/>
        <v>2</v>
      </c>
      <c r="H408" s="38">
        <v>3490000</v>
      </c>
      <c r="I408" s="38">
        <v>6980000</v>
      </c>
      <c r="J408" s="22" t="s">
        <v>672</v>
      </c>
      <c r="K408" s="22"/>
      <c r="L408" s="22" t="s">
        <v>24</v>
      </c>
      <c r="M408" s="22"/>
      <c r="N408" s="22" t="s">
        <v>695</v>
      </c>
    </row>
    <row r="409" spans="1:14" ht="51">
      <c r="A409" s="22">
        <v>19</v>
      </c>
      <c r="B409" s="23" t="s">
        <v>712</v>
      </c>
      <c r="C409" s="22" t="s">
        <v>713</v>
      </c>
      <c r="D409" s="24"/>
      <c r="E409" s="25"/>
      <c r="F409" s="25">
        <v>1</v>
      </c>
      <c r="G409" s="25">
        <f t="shared" si="8"/>
        <v>1</v>
      </c>
      <c r="H409" s="38">
        <v>700000</v>
      </c>
      <c r="I409" s="38">
        <v>1400000</v>
      </c>
      <c r="J409" s="22" t="s">
        <v>672</v>
      </c>
      <c r="K409" s="22"/>
      <c r="L409" s="22" t="s">
        <v>95</v>
      </c>
      <c r="M409" s="22"/>
      <c r="N409" s="22" t="s">
        <v>695</v>
      </c>
    </row>
    <row r="410" spans="1:14" ht="51">
      <c r="A410" s="22">
        <v>20</v>
      </c>
      <c r="B410" s="23" t="s">
        <v>714</v>
      </c>
      <c r="C410" s="22" t="s">
        <v>715</v>
      </c>
      <c r="D410" s="24"/>
      <c r="E410" s="25"/>
      <c r="F410" s="25">
        <v>1</v>
      </c>
      <c r="G410" s="25">
        <f t="shared" si="8"/>
        <v>1</v>
      </c>
      <c r="H410" s="27">
        <v>95800000</v>
      </c>
      <c r="I410" s="27">
        <v>95800000</v>
      </c>
      <c r="J410" s="22" t="s">
        <v>672</v>
      </c>
      <c r="K410" s="22"/>
      <c r="L410" s="22" t="s">
        <v>24</v>
      </c>
      <c r="M410" s="22" t="s">
        <v>716</v>
      </c>
      <c r="N410" s="22" t="s">
        <v>717</v>
      </c>
    </row>
    <row r="411" spans="1:14" ht="63.75">
      <c r="A411" s="22">
        <v>21</v>
      </c>
      <c r="B411" s="23" t="s">
        <v>943</v>
      </c>
      <c r="C411" s="22" t="s">
        <v>37</v>
      </c>
      <c r="D411" s="24">
        <v>2021</v>
      </c>
      <c r="E411" s="25"/>
      <c r="F411" s="25">
        <v>1</v>
      </c>
      <c r="G411" s="25">
        <f t="shared" si="8"/>
        <v>1</v>
      </c>
      <c r="H411" s="37">
        <v>35000000</v>
      </c>
      <c r="I411" s="37">
        <v>35000000</v>
      </c>
      <c r="J411" s="22" t="s">
        <v>672</v>
      </c>
      <c r="K411" s="22"/>
      <c r="L411" s="22" t="s">
        <v>24</v>
      </c>
      <c r="M411" s="22" t="s">
        <v>718</v>
      </c>
      <c r="N411" s="22" t="s">
        <v>717</v>
      </c>
    </row>
    <row r="412" spans="1:14">
      <c r="A412" s="22"/>
      <c r="B412" s="473" t="s">
        <v>816</v>
      </c>
      <c r="C412" s="473"/>
      <c r="D412" s="473"/>
      <c r="E412" s="473"/>
      <c r="F412" s="473"/>
      <c r="G412" s="473"/>
      <c r="H412" s="473"/>
      <c r="I412" s="473"/>
      <c r="J412" s="473"/>
      <c r="K412" s="473"/>
      <c r="L412" s="473"/>
      <c r="M412" s="473"/>
      <c r="N412" s="473"/>
    </row>
    <row r="413" spans="1:14" ht="38.25">
      <c r="A413" s="22">
        <v>1</v>
      </c>
      <c r="B413" s="23" t="s">
        <v>719</v>
      </c>
      <c r="C413" s="22" t="s">
        <v>720</v>
      </c>
      <c r="D413" s="24">
        <v>2016</v>
      </c>
      <c r="E413" s="25">
        <v>1</v>
      </c>
      <c r="F413" s="25">
        <v>1</v>
      </c>
      <c r="G413" s="25">
        <f t="shared" si="8"/>
        <v>0</v>
      </c>
      <c r="H413" s="30">
        <v>492996000</v>
      </c>
      <c r="I413" s="30">
        <v>492996000</v>
      </c>
      <c r="J413" s="22" t="s">
        <v>721</v>
      </c>
      <c r="K413" s="22" t="s">
        <v>20</v>
      </c>
      <c r="L413" s="22" t="s">
        <v>24</v>
      </c>
      <c r="M413" s="22" t="s">
        <v>71</v>
      </c>
      <c r="N413" s="22"/>
    </row>
    <row r="414" spans="1:14" ht="38.25">
      <c r="A414" s="22">
        <v>2</v>
      </c>
      <c r="B414" s="23" t="s">
        <v>722</v>
      </c>
      <c r="C414" s="22" t="s">
        <v>723</v>
      </c>
      <c r="D414" s="24"/>
      <c r="E414" s="25">
        <v>2</v>
      </c>
      <c r="F414" s="25">
        <v>2</v>
      </c>
      <c r="G414" s="25">
        <f t="shared" si="8"/>
        <v>0</v>
      </c>
      <c r="H414" s="25"/>
      <c r="I414" s="25"/>
      <c r="J414" s="22" t="s">
        <v>724</v>
      </c>
      <c r="K414" s="22" t="s">
        <v>725</v>
      </c>
      <c r="L414" s="22" t="s">
        <v>24</v>
      </c>
      <c r="M414" s="22" t="s">
        <v>71</v>
      </c>
      <c r="N414" s="22" t="s">
        <v>726</v>
      </c>
    </row>
    <row r="415" spans="1:14" ht="38.25">
      <c r="A415" s="22">
        <v>3</v>
      </c>
      <c r="B415" s="23" t="s">
        <v>727</v>
      </c>
      <c r="C415" s="22" t="s">
        <v>728</v>
      </c>
      <c r="D415" s="24"/>
      <c r="E415" s="25">
        <v>1</v>
      </c>
      <c r="F415" s="25">
        <v>1</v>
      </c>
      <c r="G415" s="25">
        <f t="shared" si="8"/>
        <v>0</v>
      </c>
      <c r="H415" s="25"/>
      <c r="I415" s="25"/>
      <c r="J415" s="22" t="s">
        <v>627</v>
      </c>
      <c r="K415" s="22" t="s">
        <v>20</v>
      </c>
      <c r="L415" s="22" t="s">
        <v>95</v>
      </c>
      <c r="M415" s="22" t="s">
        <v>71</v>
      </c>
      <c r="N415" s="22" t="s">
        <v>158</v>
      </c>
    </row>
    <row r="416" spans="1:14">
      <c r="A416" s="22"/>
      <c r="B416" s="473" t="s">
        <v>817</v>
      </c>
      <c r="C416" s="473"/>
      <c r="D416" s="473"/>
      <c r="E416" s="473"/>
      <c r="F416" s="473"/>
      <c r="G416" s="473"/>
      <c r="H416" s="473"/>
      <c r="I416" s="473"/>
      <c r="J416" s="473"/>
      <c r="K416" s="473"/>
      <c r="L416" s="473"/>
      <c r="M416" s="473"/>
      <c r="N416" s="473"/>
    </row>
    <row r="417" spans="1:14" ht="76.5">
      <c r="A417" s="22">
        <v>1</v>
      </c>
      <c r="B417" s="23" t="s">
        <v>49</v>
      </c>
      <c r="C417" s="22" t="s">
        <v>729</v>
      </c>
      <c r="D417" s="24">
        <v>2022</v>
      </c>
      <c r="E417" s="25">
        <v>1</v>
      </c>
      <c r="F417" s="25">
        <v>1</v>
      </c>
      <c r="G417" s="25">
        <f t="shared" si="8"/>
        <v>0</v>
      </c>
      <c r="H417" s="25"/>
      <c r="I417" s="25"/>
      <c r="J417" s="22" t="s">
        <v>730</v>
      </c>
      <c r="K417" s="22" t="s">
        <v>731</v>
      </c>
      <c r="L417" s="22" t="s">
        <v>24</v>
      </c>
      <c r="M417" s="22" t="s">
        <v>51</v>
      </c>
      <c r="N417" s="22"/>
    </row>
    <row r="418" spans="1:14" ht="51">
      <c r="A418" s="22">
        <v>2</v>
      </c>
      <c r="B418" s="23" t="s">
        <v>76</v>
      </c>
      <c r="C418" s="22" t="s">
        <v>732</v>
      </c>
      <c r="D418" s="24">
        <v>2022</v>
      </c>
      <c r="E418" s="25">
        <v>2</v>
      </c>
      <c r="F418" s="25">
        <v>2</v>
      </c>
      <c r="G418" s="25">
        <f t="shared" si="8"/>
        <v>0</v>
      </c>
      <c r="H418" s="25"/>
      <c r="I418" s="25"/>
      <c r="J418" s="22" t="s">
        <v>730</v>
      </c>
      <c r="K418" s="22" t="s">
        <v>731</v>
      </c>
      <c r="L418" s="22" t="s">
        <v>24</v>
      </c>
      <c r="M418" s="22" t="s">
        <v>51</v>
      </c>
      <c r="N418" s="22"/>
    </row>
    <row r="419" spans="1:14">
      <c r="A419" s="22"/>
      <c r="B419" s="473" t="s">
        <v>832</v>
      </c>
      <c r="C419" s="473"/>
      <c r="D419" s="473"/>
      <c r="E419" s="473"/>
      <c r="F419" s="473"/>
      <c r="G419" s="473"/>
      <c r="H419" s="473"/>
      <c r="I419" s="473"/>
      <c r="J419" s="473"/>
      <c r="K419" s="473"/>
      <c r="L419" s="473"/>
      <c r="M419" s="473"/>
      <c r="N419" s="473"/>
    </row>
    <row r="420" spans="1:14" ht="25.5">
      <c r="A420" s="22">
        <v>1</v>
      </c>
      <c r="B420" s="39" t="s">
        <v>833</v>
      </c>
      <c r="C420" s="40" t="s">
        <v>852</v>
      </c>
      <c r="D420" s="24">
        <v>2022</v>
      </c>
      <c r="E420" s="40">
        <v>1</v>
      </c>
      <c r="F420" s="40">
        <v>1</v>
      </c>
      <c r="G420" s="25">
        <f t="shared" ref="G420:G442" si="9">F420-E420</f>
        <v>0</v>
      </c>
      <c r="H420" s="41">
        <v>83185000</v>
      </c>
      <c r="I420" s="41">
        <v>83185000</v>
      </c>
      <c r="J420" s="22" t="s">
        <v>877</v>
      </c>
      <c r="K420" s="22" t="s">
        <v>20</v>
      </c>
      <c r="L420" s="22" t="s">
        <v>24</v>
      </c>
      <c r="M420" s="22" t="s">
        <v>876</v>
      </c>
      <c r="N420" s="42"/>
    </row>
    <row r="421" spans="1:14" ht="25.5">
      <c r="A421" s="22">
        <v>2</v>
      </c>
      <c r="B421" s="39" t="s">
        <v>834</v>
      </c>
      <c r="C421" s="40" t="s">
        <v>853</v>
      </c>
      <c r="D421" s="40">
        <v>2017</v>
      </c>
      <c r="E421" s="40">
        <v>1</v>
      </c>
      <c r="F421" s="40">
        <v>1</v>
      </c>
      <c r="G421" s="25">
        <f t="shared" si="9"/>
        <v>0</v>
      </c>
      <c r="H421" s="41">
        <v>12997500</v>
      </c>
      <c r="I421" s="41">
        <v>12997500</v>
      </c>
      <c r="J421" s="22" t="s">
        <v>877</v>
      </c>
      <c r="K421" s="22" t="s">
        <v>20</v>
      </c>
      <c r="L421" s="22" t="s">
        <v>95</v>
      </c>
      <c r="M421" s="22" t="s">
        <v>876</v>
      </c>
      <c r="N421" s="42" t="s">
        <v>878</v>
      </c>
    </row>
    <row r="422" spans="1:14" ht="51">
      <c r="A422" s="22">
        <v>3</v>
      </c>
      <c r="B422" s="39" t="s">
        <v>835</v>
      </c>
      <c r="C422" s="40" t="s">
        <v>854</v>
      </c>
      <c r="D422" s="40">
        <v>2017</v>
      </c>
      <c r="E422" s="40">
        <v>1</v>
      </c>
      <c r="F422" s="40">
        <v>1</v>
      </c>
      <c r="G422" s="25">
        <f t="shared" si="9"/>
        <v>0</v>
      </c>
      <c r="H422" s="41">
        <v>1325000000</v>
      </c>
      <c r="I422" s="41">
        <v>1325000000</v>
      </c>
      <c r="J422" s="22" t="s">
        <v>877</v>
      </c>
      <c r="K422" s="22" t="s">
        <v>20</v>
      </c>
      <c r="L422" s="22" t="s">
        <v>95</v>
      </c>
      <c r="M422" s="22" t="s">
        <v>876</v>
      </c>
      <c r="N422" s="42" t="s">
        <v>878</v>
      </c>
    </row>
    <row r="423" spans="1:14" ht="25.5">
      <c r="A423" s="22">
        <v>4</v>
      </c>
      <c r="B423" s="39" t="s">
        <v>836</v>
      </c>
      <c r="C423" s="40" t="s">
        <v>855</v>
      </c>
      <c r="D423" s="40">
        <v>2017</v>
      </c>
      <c r="E423" s="40">
        <v>1</v>
      </c>
      <c r="F423" s="40">
        <v>1</v>
      </c>
      <c r="G423" s="25">
        <f t="shared" si="9"/>
        <v>0</v>
      </c>
      <c r="H423" s="41">
        <v>1090922000</v>
      </c>
      <c r="I423" s="41">
        <v>1090922000</v>
      </c>
      <c r="J423" s="22" t="s">
        <v>877</v>
      </c>
      <c r="K423" s="22" t="s">
        <v>20</v>
      </c>
      <c r="L423" s="22" t="s">
        <v>24</v>
      </c>
      <c r="M423" s="22" t="s">
        <v>876</v>
      </c>
      <c r="N423" s="42"/>
    </row>
    <row r="424" spans="1:14" ht="25.5">
      <c r="A424" s="22">
        <v>5</v>
      </c>
      <c r="B424" s="39" t="s">
        <v>837</v>
      </c>
      <c r="C424" s="40" t="s">
        <v>856</v>
      </c>
      <c r="D424" s="40">
        <v>2014</v>
      </c>
      <c r="E424" s="40">
        <v>1</v>
      </c>
      <c r="F424" s="40">
        <v>1</v>
      </c>
      <c r="G424" s="25">
        <f t="shared" si="9"/>
        <v>0</v>
      </c>
      <c r="H424" s="41">
        <v>27000000</v>
      </c>
      <c r="I424" s="41">
        <v>27000000</v>
      </c>
      <c r="J424" s="22" t="s">
        <v>877</v>
      </c>
      <c r="K424" s="22" t="s">
        <v>20</v>
      </c>
      <c r="L424" s="22" t="s">
        <v>95</v>
      </c>
      <c r="M424" s="22" t="s">
        <v>876</v>
      </c>
      <c r="N424" s="42" t="s">
        <v>878</v>
      </c>
    </row>
    <row r="425" spans="1:14" ht="25.5">
      <c r="A425" s="22">
        <v>6</v>
      </c>
      <c r="B425" s="39" t="s">
        <v>838</v>
      </c>
      <c r="C425" s="40" t="s">
        <v>857</v>
      </c>
      <c r="D425" s="40">
        <v>2007</v>
      </c>
      <c r="E425" s="40">
        <v>1</v>
      </c>
      <c r="F425" s="40">
        <v>1</v>
      </c>
      <c r="G425" s="25">
        <f t="shared" si="9"/>
        <v>0</v>
      </c>
      <c r="H425" s="41">
        <v>36800000</v>
      </c>
      <c r="I425" s="41">
        <v>36800000</v>
      </c>
      <c r="J425" s="22" t="s">
        <v>877</v>
      </c>
      <c r="K425" s="22" t="s">
        <v>20</v>
      </c>
      <c r="L425" s="22" t="s">
        <v>95</v>
      </c>
      <c r="M425" s="22" t="s">
        <v>876</v>
      </c>
      <c r="N425" s="42" t="s">
        <v>878</v>
      </c>
    </row>
    <row r="426" spans="1:14" ht="25.5">
      <c r="A426" s="22">
        <v>7</v>
      </c>
      <c r="B426" s="39" t="s">
        <v>839</v>
      </c>
      <c r="C426" s="40" t="s">
        <v>858</v>
      </c>
      <c r="D426" s="40">
        <v>2015</v>
      </c>
      <c r="E426" s="40">
        <v>1</v>
      </c>
      <c r="F426" s="40">
        <v>1</v>
      </c>
      <c r="G426" s="25">
        <f t="shared" si="9"/>
        <v>0</v>
      </c>
      <c r="H426" s="41">
        <v>36800000</v>
      </c>
      <c r="I426" s="41">
        <v>36800000</v>
      </c>
      <c r="J426" s="22" t="s">
        <v>877</v>
      </c>
      <c r="K426" s="22" t="s">
        <v>20</v>
      </c>
      <c r="L426" s="22" t="s">
        <v>24</v>
      </c>
      <c r="M426" s="22" t="s">
        <v>876</v>
      </c>
      <c r="N426" s="42"/>
    </row>
    <row r="427" spans="1:14" ht="25.5">
      <c r="A427" s="22">
        <v>8</v>
      </c>
      <c r="B427" s="39" t="s">
        <v>839</v>
      </c>
      <c r="C427" s="40" t="s">
        <v>859</v>
      </c>
      <c r="D427" s="40">
        <v>2017</v>
      </c>
      <c r="E427" s="40">
        <v>1</v>
      </c>
      <c r="F427" s="40">
        <v>1</v>
      </c>
      <c r="G427" s="25">
        <f t="shared" si="9"/>
        <v>0</v>
      </c>
      <c r="H427" s="41">
        <v>40000000</v>
      </c>
      <c r="I427" s="41">
        <v>40000000</v>
      </c>
      <c r="J427" s="22" t="s">
        <v>877</v>
      </c>
      <c r="K427" s="22" t="s">
        <v>20</v>
      </c>
      <c r="L427" s="22" t="s">
        <v>95</v>
      </c>
      <c r="M427" s="22" t="s">
        <v>876</v>
      </c>
      <c r="N427" s="42" t="s">
        <v>878</v>
      </c>
    </row>
    <row r="428" spans="1:14" ht="25.5">
      <c r="A428" s="22">
        <v>9</v>
      </c>
      <c r="B428" s="39" t="s">
        <v>840</v>
      </c>
      <c r="C428" s="40" t="s">
        <v>860</v>
      </c>
      <c r="D428" s="40">
        <v>2017</v>
      </c>
      <c r="E428" s="40">
        <v>1</v>
      </c>
      <c r="F428" s="40">
        <v>1</v>
      </c>
      <c r="G428" s="25">
        <f t="shared" si="9"/>
        <v>0</v>
      </c>
      <c r="H428" s="41">
        <v>88000000</v>
      </c>
      <c r="I428" s="41">
        <v>88000000</v>
      </c>
      <c r="J428" s="22" t="s">
        <v>877</v>
      </c>
      <c r="K428" s="22" t="s">
        <v>20</v>
      </c>
      <c r="L428" s="22" t="s">
        <v>24</v>
      </c>
      <c r="M428" s="22" t="s">
        <v>876</v>
      </c>
      <c r="N428" s="42"/>
    </row>
    <row r="429" spans="1:14" ht="63.75">
      <c r="A429" s="22">
        <v>10</v>
      </c>
      <c r="B429" s="39" t="s">
        <v>841</v>
      </c>
      <c r="C429" s="40" t="s">
        <v>861</v>
      </c>
      <c r="D429" s="40">
        <v>2017</v>
      </c>
      <c r="E429" s="40">
        <v>1</v>
      </c>
      <c r="F429" s="40">
        <v>1</v>
      </c>
      <c r="G429" s="25">
        <f t="shared" si="9"/>
        <v>0</v>
      </c>
      <c r="H429" s="41">
        <v>33000000</v>
      </c>
      <c r="I429" s="41">
        <v>33000000</v>
      </c>
      <c r="J429" s="22" t="s">
        <v>877</v>
      </c>
      <c r="K429" s="22" t="s">
        <v>20</v>
      </c>
      <c r="L429" s="22" t="s">
        <v>24</v>
      </c>
      <c r="M429" s="22" t="s">
        <v>876</v>
      </c>
      <c r="N429" s="42"/>
    </row>
    <row r="430" spans="1:14" ht="38.25">
      <c r="A430" s="22">
        <v>11</v>
      </c>
      <c r="B430" s="39" t="s">
        <v>842</v>
      </c>
      <c r="C430" s="40" t="s">
        <v>862</v>
      </c>
      <c r="D430" s="40">
        <v>2017</v>
      </c>
      <c r="E430" s="40">
        <v>1</v>
      </c>
      <c r="F430" s="40">
        <v>1</v>
      </c>
      <c r="G430" s="25">
        <f t="shared" si="9"/>
        <v>0</v>
      </c>
      <c r="H430" s="41">
        <v>34500000</v>
      </c>
      <c r="I430" s="41">
        <v>34500000</v>
      </c>
      <c r="J430" s="22" t="s">
        <v>877</v>
      </c>
      <c r="K430" s="22" t="s">
        <v>20</v>
      </c>
      <c r="L430" s="22" t="s">
        <v>24</v>
      </c>
      <c r="M430" s="22" t="s">
        <v>876</v>
      </c>
      <c r="N430" s="42"/>
    </row>
    <row r="431" spans="1:14" ht="38.25">
      <c r="A431" s="22">
        <v>12</v>
      </c>
      <c r="B431" s="39" t="s">
        <v>842</v>
      </c>
      <c r="C431" s="40" t="s">
        <v>863</v>
      </c>
      <c r="D431" s="40">
        <v>2017</v>
      </c>
      <c r="E431" s="40">
        <v>1</v>
      </c>
      <c r="F431" s="40">
        <v>1</v>
      </c>
      <c r="G431" s="25">
        <f t="shared" si="9"/>
        <v>0</v>
      </c>
      <c r="H431" s="41">
        <v>34500000</v>
      </c>
      <c r="I431" s="41">
        <v>34500000</v>
      </c>
      <c r="J431" s="22" t="s">
        <v>877</v>
      </c>
      <c r="K431" s="22" t="s">
        <v>20</v>
      </c>
      <c r="L431" s="22" t="s">
        <v>24</v>
      </c>
      <c r="M431" s="22" t="s">
        <v>876</v>
      </c>
      <c r="N431" s="42"/>
    </row>
    <row r="432" spans="1:14" ht="38.25">
      <c r="A432" s="22">
        <v>13</v>
      </c>
      <c r="B432" s="39" t="s">
        <v>842</v>
      </c>
      <c r="C432" s="40" t="s">
        <v>864</v>
      </c>
      <c r="D432" s="40">
        <v>2017</v>
      </c>
      <c r="E432" s="40">
        <v>1</v>
      </c>
      <c r="F432" s="40">
        <v>1</v>
      </c>
      <c r="G432" s="25">
        <f t="shared" si="9"/>
        <v>0</v>
      </c>
      <c r="H432" s="41">
        <v>34500000</v>
      </c>
      <c r="I432" s="41">
        <v>34500000</v>
      </c>
      <c r="J432" s="22" t="s">
        <v>877</v>
      </c>
      <c r="K432" s="22" t="s">
        <v>20</v>
      </c>
      <c r="L432" s="22" t="s">
        <v>24</v>
      </c>
      <c r="M432" s="22" t="s">
        <v>876</v>
      </c>
      <c r="N432" s="42"/>
    </row>
    <row r="433" spans="1:14" ht="38.25">
      <c r="A433" s="22">
        <v>14</v>
      </c>
      <c r="B433" s="39" t="s">
        <v>843</v>
      </c>
      <c r="C433" s="40" t="s">
        <v>865</v>
      </c>
      <c r="D433" s="40">
        <v>2017</v>
      </c>
      <c r="E433" s="40">
        <v>1</v>
      </c>
      <c r="F433" s="40">
        <v>1</v>
      </c>
      <c r="G433" s="25">
        <f t="shared" si="9"/>
        <v>0</v>
      </c>
      <c r="H433" s="41">
        <v>70600000</v>
      </c>
      <c r="I433" s="41">
        <v>70600000</v>
      </c>
      <c r="J433" s="22" t="s">
        <v>877</v>
      </c>
      <c r="K433" s="22" t="s">
        <v>20</v>
      </c>
      <c r="L433" s="22" t="s">
        <v>24</v>
      </c>
      <c r="M433" s="22" t="s">
        <v>876</v>
      </c>
      <c r="N433" s="42"/>
    </row>
    <row r="434" spans="1:14" ht="38.25">
      <c r="A434" s="22">
        <v>15</v>
      </c>
      <c r="B434" s="39" t="s">
        <v>834</v>
      </c>
      <c r="C434" s="40" t="s">
        <v>866</v>
      </c>
      <c r="D434" s="40">
        <v>2017</v>
      </c>
      <c r="E434" s="40">
        <v>1</v>
      </c>
      <c r="F434" s="40">
        <v>1</v>
      </c>
      <c r="G434" s="25">
        <f t="shared" si="9"/>
        <v>0</v>
      </c>
      <c r="H434" s="41">
        <v>12997500</v>
      </c>
      <c r="I434" s="41">
        <v>12997500</v>
      </c>
      <c r="J434" s="22" t="s">
        <v>877</v>
      </c>
      <c r="K434" s="22" t="s">
        <v>20</v>
      </c>
      <c r="L434" s="22" t="s">
        <v>95</v>
      </c>
      <c r="M434" s="22" t="s">
        <v>876</v>
      </c>
      <c r="N434" s="42" t="s">
        <v>878</v>
      </c>
    </row>
    <row r="435" spans="1:14" ht="38.25">
      <c r="A435" s="22">
        <v>16</v>
      </c>
      <c r="B435" s="39" t="s">
        <v>844</v>
      </c>
      <c r="C435" s="40" t="s">
        <v>867</v>
      </c>
      <c r="D435" s="40">
        <v>2017</v>
      </c>
      <c r="E435" s="40">
        <v>1</v>
      </c>
      <c r="F435" s="40">
        <v>1</v>
      </c>
      <c r="G435" s="25">
        <f t="shared" si="9"/>
        <v>0</v>
      </c>
      <c r="H435" s="41">
        <v>228576000</v>
      </c>
      <c r="I435" s="41">
        <v>228576000</v>
      </c>
      <c r="J435" s="22" t="s">
        <v>877</v>
      </c>
      <c r="K435" s="22" t="s">
        <v>20</v>
      </c>
      <c r="L435" s="22" t="s">
        <v>95</v>
      </c>
      <c r="M435" s="22" t="s">
        <v>876</v>
      </c>
      <c r="N435" s="42" t="s">
        <v>878</v>
      </c>
    </row>
    <row r="436" spans="1:14" ht="38.25">
      <c r="A436" s="22">
        <v>17</v>
      </c>
      <c r="B436" s="39" t="s">
        <v>845</v>
      </c>
      <c r="C436" s="40" t="s">
        <v>868</v>
      </c>
      <c r="D436" s="40">
        <v>2015</v>
      </c>
      <c r="E436" s="40">
        <v>1</v>
      </c>
      <c r="F436" s="40">
        <v>1</v>
      </c>
      <c r="G436" s="25">
        <f t="shared" si="9"/>
        <v>0</v>
      </c>
      <c r="H436" s="41">
        <v>952350000</v>
      </c>
      <c r="I436" s="41">
        <v>952350000</v>
      </c>
      <c r="J436" s="22" t="s">
        <v>877</v>
      </c>
      <c r="K436" s="22" t="s">
        <v>20</v>
      </c>
      <c r="L436" s="22" t="s">
        <v>95</v>
      </c>
      <c r="M436" s="22" t="s">
        <v>876</v>
      </c>
      <c r="N436" s="42" t="s">
        <v>878</v>
      </c>
    </row>
    <row r="437" spans="1:14" ht="38.25">
      <c r="A437" s="22">
        <v>18</v>
      </c>
      <c r="B437" s="39" t="s">
        <v>846</v>
      </c>
      <c r="C437" s="40" t="s">
        <v>869</v>
      </c>
      <c r="D437" s="40">
        <v>2005</v>
      </c>
      <c r="E437" s="40">
        <v>1</v>
      </c>
      <c r="F437" s="40">
        <v>1</v>
      </c>
      <c r="G437" s="25">
        <f t="shared" si="9"/>
        <v>0</v>
      </c>
      <c r="H437" s="41">
        <v>2843874000</v>
      </c>
      <c r="I437" s="41">
        <v>2843874000</v>
      </c>
      <c r="J437" s="22" t="s">
        <v>877</v>
      </c>
      <c r="K437" s="22" t="s">
        <v>20</v>
      </c>
      <c r="L437" s="22" t="s">
        <v>95</v>
      </c>
      <c r="M437" s="22" t="s">
        <v>876</v>
      </c>
      <c r="N437" s="42" t="s">
        <v>878</v>
      </c>
    </row>
    <row r="438" spans="1:14" ht="38.25">
      <c r="A438" s="22">
        <v>19</v>
      </c>
      <c r="B438" s="39" t="s">
        <v>847</v>
      </c>
      <c r="C438" s="40" t="s">
        <v>870</v>
      </c>
      <c r="D438" s="40">
        <v>2007</v>
      </c>
      <c r="E438" s="40">
        <v>1</v>
      </c>
      <c r="F438" s="40">
        <v>1</v>
      </c>
      <c r="G438" s="25">
        <f t="shared" si="9"/>
        <v>0</v>
      </c>
      <c r="H438" s="41">
        <v>162081000</v>
      </c>
      <c r="I438" s="41">
        <v>162081000</v>
      </c>
      <c r="J438" s="22" t="s">
        <v>877</v>
      </c>
      <c r="K438" s="22" t="s">
        <v>20</v>
      </c>
      <c r="L438" s="22" t="s">
        <v>95</v>
      </c>
      <c r="M438" s="22" t="s">
        <v>876</v>
      </c>
      <c r="N438" s="42" t="s">
        <v>878</v>
      </c>
    </row>
    <row r="439" spans="1:14" ht="38.25">
      <c r="A439" s="22">
        <v>20</v>
      </c>
      <c r="B439" s="39" t="s">
        <v>848</v>
      </c>
      <c r="C439" s="40" t="s">
        <v>871</v>
      </c>
      <c r="D439" s="40">
        <v>2015</v>
      </c>
      <c r="E439" s="40">
        <v>1</v>
      </c>
      <c r="F439" s="40">
        <v>1</v>
      </c>
      <c r="G439" s="25">
        <f t="shared" si="9"/>
        <v>0</v>
      </c>
      <c r="H439" s="41">
        <v>1339000000</v>
      </c>
      <c r="I439" s="41">
        <v>1339000000</v>
      </c>
      <c r="J439" s="22" t="s">
        <v>877</v>
      </c>
      <c r="K439" s="22" t="s">
        <v>20</v>
      </c>
      <c r="L439" s="22" t="s">
        <v>95</v>
      </c>
      <c r="M439" s="22" t="s">
        <v>876</v>
      </c>
      <c r="N439" s="42" t="s">
        <v>878</v>
      </c>
    </row>
    <row r="440" spans="1:14" ht="38.25">
      <c r="A440" s="22">
        <v>21</v>
      </c>
      <c r="B440" s="39" t="s">
        <v>849</v>
      </c>
      <c r="C440" s="40" t="s">
        <v>872</v>
      </c>
      <c r="D440" s="40">
        <v>2016</v>
      </c>
      <c r="E440" s="40">
        <v>1</v>
      </c>
      <c r="F440" s="40">
        <v>1</v>
      </c>
      <c r="G440" s="25">
        <f t="shared" si="9"/>
        <v>0</v>
      </c>
      <c r="H440" s="41">
        <v>277200000</v>
      </c>
      <c r="I440" s="41">
        <v>277200000</v>
      </c>
      <c r="J440" s="22" t="s">
        <v>877</v>
      </c>
      <c r="K440" s="22" t="s">
        <v>20</v>
      </c>
      <c r="L440" s="22" t="s">
        <v>95</v>
      </c>
      <c r="M440" s="22" t="s">
        <v>876</v>
      </c>
      <c r="N440" s="42" t="s">
        <v>878</v>
      </c>
    </row>
    <row r="441" spans="1:14" ht="38.25">
      <c r="A441" s="22">
        <v>22</v>
      </c>
      <c r="B441" s="39" t="s">
        <v>850</v>
      </c>
      <c r="C441" s="40" t="s">
        <v>873</v>
      </c>
      <c r="D441" s="40">
        <v>2011</v>
      </c>
      <c r="E441" s="40">
        <v>1</v>
      </c>
      <c r="F441" s="40">
        <v>1</v>
      </c>
      <c r="G441" s="25">
        <f t="shared" si="9"/>
        <v>0</v>
      </c>
      <c r="H441" s="43">
        <v>98000000</v>
      </c>
      <c r="I441" s="43">
        <v>98000000</v>
      </c>
      <c r="J441" s="22" t="s">
        <v>877</v>
      </c>
      <c r="K441" s="22" t="s">
        <v>20</v>
      </c>
      <c r="L441" s="22" t="s">
        <v>24</v>
      </c>
      <c r="M441" s="22" t="s">
        <v>876</v>
      </c>
      <c r="N441" s="42"/>
    </row>
    <row r="442" spans="1:14" ht="38.25">
      <c r="A442" s="22">
        <v>23</v>
      </c>
      <c r="B442" s="39" t="s">
        <v>851</v>
      </c>
      <c r="C442" s="40" t="s">
        <v>874</v>
      </c>
      <c r="D442" s="40" t="s">
        <v>875</v>
      </c>
      <c r="E442" s="40">
        <v>1</v>
      </c>
      <c r="F442" s="40">
        <v>1</v>
      </c>
      <c r="G442" s="25">
        <f t="shared" si="9"/>
        <v>0</v>
      </c>
      <c r="H442" s="41">
        <v>42809228</v>
      </c>
      <c r="I442" s="41">
        <v>42809228</v>
      </c>
      <c r="J442" s="22" t="s">
        <v>877</v>
      </c>
      <c r="K442" s="22" t="s">
        <v>20</v>
      </c>
      <c r="L442" s="22" t="s">
        <v>24</v>
      </c>
      <c r="M442" s="22" t="s">
        <v>876</v>
      </c>
      <c r="N442" s="42"/>
    </row>
    <row r="443" spans="1:14">
      <c r="A443" s="22"/>
      <c r="B443" s="473" t="s">
        <v>775</v>
      </c>
      <c r="C443" s="473"/>
      <c r="D443" s="473"/>
      <c r="E443" s="473"/>
      <c r="F443" s="473"/>
      <c r="G443" s="473"/>
      <c r="H443" s="473"/>
      <c r="I443" s="473"/>
      <c r="J443" s="473"/>
      <c r="K443" s="473"/>
      <c r="L443" s="473"/>
      <c r="M443" s="473"/>
      <c r="N443" s="473"/>
    </row>
    <row r="444" spans="1:14" ht="38.25">
      <c r="A444" s="22">
        <v>1</v>
      </c>
      <c r="B444" s="44" t="s">
        <v>879</v>
      </c>
      <c r="C444" s="22"/>
      <c r="D444" s="22"/>
      <c r="E444" s="22">
        <v>9</v>
      </c>
      <c r="F444" s="22">
        <v>9</v>
      </c>
      <c r="G444" s="22">
        <f>F444-E444</f>
        <v>0</v>
      </c>
      <c r="H444" s="33">
        <v>400000</v>
      </c>
      <c r="I444" s="33">
        <v>3600000</v>
      </c>
      <c r="J444" s="22" t="s">
        <v>877</v>
      </c>
      <c r="K444" s="22" t="s">
        <v>20</v>
      </c>
      <c r="L444" s="22" t="s">
        <v>24</v>
      </c>
      <c r="M444" s="22" t="s">
        <v>876</v>
      </c>
      <c r="N444" s="45"/>
    </row>
    <row r="445" spans="1:14" ht="38.25">
      <c r="A445" s="22">
        <v>2</v>
      </c>
      <c r="B445" s="44" t="s">
        <v>880</v>
      </c>
      <c r="C445" s="22"/>
      <c r="D445" s="22"/>
      <c r="E445" s="22">
        <v>9</v>
      </c>
      <c r="F445" s="22">
        <v>9</v>
      </c>
      <c r="G445" s="22">
        <f t="shared" ref="G445:G508" si="10">F445-E445</f>
        <v>0</v>
      </c>
      <c r="H445" s="33">
        <v>1500000</v>
      </c>
      <c r="I445" s="33">
        <v>13500000</v>
      </c>
      <c r="J445" s="22" t="s">
        <v>877</v>
      </c>
      <c r="K445" s="22" t="s">
        <v>20</v>
      </c>
      <c r="L445" s="22" t="s">
        <v>24</v>
      </c>
      <c r="M445" s="22" t="s">
        <v>876</v>
      </c>
      <c r="N445" s="45"/>
    </row>
    <row r="446" spans="1:14" ht="38.25">
      <c r="A446" s="22">
        <v>3</v>
      </c>
      <c r="B446" s="44" t="s">
        <v>881</v>
      </c>
      <c r="C446" s="22"/>
      <c r="D446" s="22"/>
      <c r="E446" s="22">
        <v>1</v>
      </c>
      <c r="F446" s="22">
        <v>1</v>
      </c>
      <c r="G446" s="22">
        <f t="shared" si="10"/>
        <v>0</v>
      </c>
      <c r="H446" s="33">
        <v>700000</v>
      </c>
      <c r="I446" s="33">
        <v>700000</v>
      </c>
      <c r="J446" s="22" t="s">
        <v>877</v>
      </c>
      <c r="K446" s="22" t="s">
        <v>20</v>
      </c>
      <c r="L446" s="22" t="s">
        <v>95</v>
      </c>
      <c r="M446" s="22" t="s">
        <v>876</v>
      </c>
      <c r="N446" s="45" t="s">
        <v>878</v>
      </c>
    </row>
    <row r="447" spans="1:14" ht="38.25">
      <c r="A447" s="22">
        <v>4</v>
      </c>
      <c r="B447" s="44" t="s">
        <v>882</v>
      </c>
      <c r="C447" s="22"/>
      <c r="D447" s="22"/>
      <c r="E447" s="22">
        <v>1</v>
      </c>
      <c r="F447" s="22">
        <v>1</v>
      </c>
      <c r="G447" s="22">
        <f t="shared" si="10"/>
        <v>0</v>
      </c>
      <c r="H447" s="33">
        <v>3900000</v>
      </c>
      <c r="I447" s="33">
        <v>3900000</v>
      </c>
      <c r="J447" s="22" t="s">
        <v>877</v>
      </c>
      <c r="K447" s="22" t="s">
        <v>20</v>
      </c>
      <c r="L447" s="22" t="s">
        <v>24</v>
      </c>
      <c r="M447" s="22" t="s">
        <v>876</v>
      </c>
      <c r="N447" s="45"/>
    </row>
    <row r="448" spans="1:14" ht="38.25">
      <c r="A448" s="22">
        <v>5</v>
      </c>
      <c r="B448" s="44" t="s">
        <v>882</v>
      </c>
      <c r="C448" s="22"/>
      <c r="D448" s="22"/>
      <c r="E448" s="22">
        <v>1</v>
      </c>
      <c r="F448" s="22">
        <v>1</v>
      </c>
      <c r="G448" s="22">
        <f t="shared" si="10"/>
        <v>0</v>
      </c>
      <c r="H448" s="33">
        <v>3900000</v>
      </c>
      <c r="I448" s="33">
        <v>3900000</v>
      </c>
      <c r="J448" s="22" t="s">
        <v>877</v>
      </c>
      <c r="K448" s="22" t="s">
        <v>20</v>
      </c>
      <c r="L448" s="22" t="s">
        <v>24</v>
      </c>
      <c r="M448" s="22" t="s">
        <v>876</v>
      </c>
      <c r="N448" s="45"/>
    </row>
    <row r="449" spans="1:14" ht="38.25">
      <c r="A449" s="22">
        <v>6</v>
      </c>
      <c r="B449" s="44" t="s">
        <v>882</v>
      </c>
      <c r="C449" s="22"/>
      <c r="D449" s="22"/>
      <c r="E449" s="22">
        <v>1</v>
      </c>
      <c r="F449" s="22">
        <v>1</v>
      </c>
      <c r="G449" s="22">
        <f t="shared" si="10"/>
        <v>0</v>
      </c>
      <c r="H449" s="33">
        <v>3900000</v>
      </c>
      <c r="I449" s="33">
        <v>3900000</v>
      </c>
      <c r="J449" s="22" t="s">
        <v>877</v>
      </c>
      <c r="K449" s="22" t="s">
        <v>20</v>
      </c>
      <c r="L449" s="22" t="s">
        <v>24</v>
      </c>
      <c r="M449" s="22" t="s">
        <v>876</v>
      </c>
      <c r="N449" s="45"/>
    </row>
    <row r="450" spans="1:14" ht="38.25">
      <c r="A450" s="22">
        <v>7</v>
      </c>
      <c r="B450" s="44" t="s">
        <v>883</v>
      </c>
      <c r="C450" s="22"/>
      <c r="D450" s="22"/>
      <c r="E450" s="22">
        <v>1</v>
      </c>
      <c r="F450" s="22">
        <v>1</v>
      </c>
      <c r="G450" s="22">
        <f t="shared" si="10"/>
        <v>0</v>
      </c>
      <c r="H450" s="33">
        <v>1080000</v>
      </c>
      <c r="I450" s="33">
        <v>1080000</v>
      </c>
      <c r="J450" s="22" t="s">
        <v>877</v>
      </c>
      <c r="K450" s="22" t="s">
        <v>20</v>
      </c>
      <c r="L450" s="22" t="s">
        <v>24</v>
      </c>
      <c r="M450" s="22" t="s">
        <v>876</v>
      </c>
      <c r="N450" s="45"/>
    </row>
    <row r="451" spans="1:14" ht="38.25">
      <c r="A451" s="22">
        <v>8</v>
      </c>
      <c r="B451" s="44" t="s">
        <v>884</v>
      </c>
      <c r="C451" s="22"/>
      <c r="D451" s="22"/>
      <c r="E451" s="22">
        <v>4</v>
      </c>
      <c r="F451" s="22">
        <v>4</v>
      </c>
      <c r="G451" s="22">
        <f t="shared" si="10"/>
        <v>0</v>
      </c>
      <c r="H451" s="33">
        <v>600000</v>
      </c>
      <c r="I451" s="33">
        <v>2400000</v>
      </c>
      <c r="J451" s="22" t="s">
        <v>877</v>
      </c>
      <c r="K451" s="22" t="s">
        <v>20</v>
      </c>
      <c r="L451" s="22" t="s">
        <v>95</v>
      </c>
      <c r="M451" s="22" t="s">
        <v>876</v>
      </c>
      <c r="N451" s="45" t="s">
        <v>937</v>
      </c>
    </row>
    <row r="452" spans="1:14" ht="38.25">
      <c r="A452" s="22">
        <v>9</v>
      </c>
      <c r="B452" s="44" t="s">
        <v>885</v>
      </c>
      <c r="C452" s="22"/>
      <c r="D452" s="22"/>
      <c r="E452" s="22">
        <v>4</v>
      </c>
      <c r="F452" s="22">
        <v>4</v>
      </c>
      <c r="G452" s="22">
        <f t="shared" si="10"/>
        <v>0</v>
      </c>
      <c r="H452" s="33">
        <v>0</v>
      </c>
      <c r="I452" s="33">
        <v>0</v>
      </c>
      <c r="J452" s="22" t="s">
        <v>877</v>
      </c>
      <c r="K452" s="22" t="s">
        <v>20</v>
      </c>
      <c r="L452" s="22" t="s">
        <v>24</v>
      </c>
      <c r="M452" s="22" t="s">
        <v>876</v>
      </c>
      <c r="N452" s="45"/>
    </row>
    <row r="453" spans="1:14" ht="38.25">
      <c r="A453" s="22">
        <v>10</v>
      </c>
      <c r="B453" s="44" t="s">
        <v>886</v>
      </c>
      <c r="C453" s="22"/>
      <c r="D453" s="22"/>
      <c r="E453" s="22">
        <v>2</v>
      </c>
      <c r="F453" s="22">
        <v>2</v>
      </c>
      <c r="G453" s="22">
        <f t="shared" si="10"/>
        <v>0</v>
      </c>
      <c r="H453" s="33">
        <v>350000</v>
      </c>
      <c r="I453" s="33">
        <v>700000</v>
      </c>
      <c r="J453" s="22" t="s">
        <v>877</v>
      </c>
      <c r="K453" s="22" t="s">
        <v>20</v>
      </c>
      <c r="L453" s="22" t="s">
        <v>95</v>
      </c>
      <c r="M453" s="22" t="s">
        <v>876</v>
      </c>
      <c r="N453" s="45" t="s">
        <v>878</v>
      </c>
    </row>
    <row r="454" spans="1:14" ht="38.25">
      <c r="A454" s="22">
        <v>11</v>
      </c>
      <c r="B454" s="44" t="s">
        <v>887</v>
      </c>
      <c r="C454" s="22"/>
      <c r="D454" s="22"/>
      <c r="E454" s="22">
        <v>3</v>
      </c>
      <c r="F454" s="22">
        <v>3</v>
      </c>
      <c r="G454" s="22">
        <f t="shared" si="10"/>
        <v>0</v>
      </c>
      <c r="H454" s="33">
        <v>0</v>
      </c>
      <c r="I454" s="33">
        <v>0</v>
      </c>
      <c r="J454" s="22" t="s">
        <v>877</v>
      </c>
      <c r="K454" s="22" t="s">
        <v>20</v>
      </c>
      <c r="L454" s="22" t="s">
        <v>95</v>
      </c>
      <c r="M454" s="22" t="s">
        <v>876</v>
      </c>
      <c r="N454" s="45" t="s">
        <v>878</v>
      </c>
    </row>
    <row r="455" spans="1:14" ht="38.25">
      <c r="A455" s="22">
        <v>12</v>
      </c>
      <c r="B455" s="44" t="s">
        <v>888</v>
      </c>
      <c r="C455" s="22"/>
      <c r="D455" s="22"/>
      <c r="E455" s="22">
        <v>1</v>
      </c>
      <c r="F455" s="22">
        <v>1</v>
      </c>
      <c r="G455" s="22">
        <f t="shared" si="10"/>
        <v>0</v>
      </c>
      <c r="H455" s="33">
        <v>187000</v>
      </c>
      <c r="I455" s="33">
        <v>187000</v>
      </c>
      <c r="J455" s="22" t="s">
        <v>877</v>
      </c>
      <c r="K455" s="22" t="s">
        <v>20</v>
      </c>
      <c r="L455" s="22" t="s">
        <v>95</v>
      </c>
      <c r="M455" s="22" t="s">
        <v>876</v>
      </c>
      <c r="N455" s="45" t="s">
        <v>878</v>
      </c>
    </row>
    <row r="456" spans="1:14" ht="38.25">
      <c r="A456" s="22">
        <v>13</v>
      </c>
      <c r="B456" s="44" t="s">
        <v>889</v>
      </c>
      <c r="C456" s="22"/>
      <c r="D456" s="22"/>
      <c r="E456" s="22">
        <v>1</v>
      </c>
      <c r="F456" s="22">
        <v>1</v>
      </c>
      <c r="G456" s="22">
        <f t="shared" si="10"/>
        <v>0</v>
      </c>
      <c r="H456" s="33">
        <v>2000000</v>
      </c>
      <c r="I456" s="33">
        <v>2000000</v>
      </c>
      <c r="J456" s="22" t="s">
        <v>877</v>
      </c>
      <c r="K456" s="22" t="s">
        <v>20</v>
      </c>
      <c r="L456" s="22" t="s">
        <v>24</v>
      </c>
      <c r="M456" s="22" t="s">
        <v>876</v>
      </c>
      <c r="N456" s="45"/>
    </row>
    <row r="457" spans="1:14" ht="38.25">
      <c r="A457" s="22">
        <v>14</v>
      </c>
      <c r="B457" s="44" t="s">
        <v>890</v>
      </c>
      <c r="C457" s="22"/>
      <c r="D457" s="22"/>
      <c r="E457" s="22">
        <v>1</v>
      </c>
      <c r="F457" s="22">
        <v>1</v>
      </c>
      <c r="G457" s="22">
        <f t="shared" si="10"/>
        <v>0</v>
      </c>
      <c r="H457" s="33">
        <v>1030000</v>
      </c>
      <c r="I457" s="33">
        <v>1030000</v>
      </c>
      <c r="J457" s="22" t="s">
        <v>877</v>
      </c>
      <c r="K457" s="22" t="s">
        <v>20</v>
      </c>
      <c r="L457" s="22" t="s">
        <v>95</v>
      </c>
      <c r="M457" s="22" t="s">
        <v>876</v>
      </c>
      <c r="N457" s="45" t="s">
        <v>878</v>
      </c>
    </row>
    <row r="458" spans="1:14" ht="38.25">
      <c r="A458" s="22">
        <v>15</v>
      </c>
      <c r="B458" s="44" t="s">
        <v>891</v>
      </c>
      <c r="C458" s="22"/>
      <c r="D458" s="22"/>
      <c r="E458" s="22">
        <v>1</v>
      </c>
      <c r="F458" s="22">
        <v>1</v>
      </c>
      <c r="G458" s="22">
        <f t="shared" si="10"/>
        <v>0</v>
      </c>
      <c r="H458" s="33">
        <v>0</v>
      </c>
      <c r="I458" s="33">
        <v>0</v>
      </c>
      <c r="J458" s="22" t="s">
        <v>877</v>
      </c>
      <c r="K458" s="22" t="s">
        <v>20</v>
      </c>
      <c r="L458" s="22" t="s">
        <v>24</v>
      </c>
      <c r="M458" s="22" t="s">
        <v>876</v>
      </c>
      <c r="N458" s="45"/>
    </row>
    <row r="459" spans="1:14" ht="38.25">
      <c r="A459" s="22">
        <v>16</v>
      </c>
      <c r="B459" s="44" t="s">
        <v>892</v>
      </c>
      <c r="C459" s="22"/>
      <c r="D459" s="22"/>
      <c r="E459" s="22">
        <v>1</v>
      </c>
      <c r="F459" s="22">
        <v>1</v>
      </c>
      <c r="G459" s="22">
        <f t="shared" si="10"/>
        <v>0</v>
      </c>
      <c r="H459" s="33">
        <v>1050000</v>
      </c>
      <c r="I459" s="33">
        <v>1050000</v>
      </c>
      <c r="J459" s="22" t="s">
        <v>877</v>
      </c>
      <c r="K459" s="22" t="s">
        <v>20</v>
      </c>
      <c r="L459" s="22" t="s">
        <v>95</v>
      </c>
      <c r="M459" s="22" t="s">
        <v>876</v>
      </c>
      <c r="N459" s="45" t="s">
        <v>878</v>
      </c>
    </row>
    <row r="460" spans="1:14" ht="38.25">
      <c r="A460" s="22">
        <v>17</v>
      </c>
      <c r="B460" s="44" t="s">
        <v>893</v>
      </c>
      <c r="C460" s="22"/>
      <c r="D460" s="22"/>
      <c r="E460" s="22">
        <v>1</v>
      </c>
      <c r="F460" s="22">
        <v>1</v>
      </c>
      <c r="G460" s="22">
        <f t="shared" si="10"/>
        <v>0</v>
      </c>
      <c r="H460" s="33">
        <v>3240000</v>
      </c>
      <c r="I460" s="33">
        <v>3240000</v>
      </c>
      <c r="J460" s="22" t="s">
        <v>877</v>
      </c>
      <c r="K460" s="22" t="s">
        <v>20</v>
      </c>
      <c r="L460" s="22" t="s">
        <v>24</v>
      </c>
      <c r="M460" s="22" t="s">
        <v>876</v>
      </c>
      <c r="N460" s="45"/>
    </row>
    <row r="461" spans="1:14" ht="38.25">
      <c r="A461" s="22">
        <v>18</v>
      </c>
      <c r="B461" s="44" t="s">
        <v>894</v>
      </c>
      <c r="C461" s="22"/>
      <c r="D461" s="22"/>
      <c r="E461" s="22">
        <v>1</v>
      </c>
      <c r="F461" s="22">
        <v>1</v>
      </c>
      <c r="G461" s="22">
        <f t="shared" si="10"/>
        <v>0</v>
      </c>
      <c r="H461" s="33">
        <v>4050000</v>
      </c>
      <c r="I461" s="33">
        <v>4050000</v>
      </c>
      <c r="J461" s="22" t="s">
        <v>877</v>
      </c>
      <c r="K461" s="22" t="s">
        <v>20</v>
      </c>
      <c r="L461" s="22" t="s">
        <v>24</v>
      </c>
      <c r="M461" s="22" t="s">
        <v>876</v>
      </c>
      <c r="N461" s="45"/>
    </row>
    <row r="462" spans="1:14" ht="38.25">
      <c r="A462" s="22">
        <v>19</v>
      </c>
      <c r="B462" s="44" t="s">
        <v>895</v>
      </c>
      <c r="C462" s="22"/>
      <c r="D462" s="22"/>
      <c r="E462" s="22">
        <v>1</v>
      </c>
      <c r="F462" s="22">
        <v>1</v>
      </c>
      <c r="G462" s="22">
        <f t="shared" si="10"/>
        <v>0</v>
      </c>
      <c r="H462" s="33">
        <v>1449000</v>
      </c>
      <c r="I462" s="33">
        <v>1449000</v>
      </c>
      <c r="J462" s="22" t="s">
        <v>877</v>
      </c>
      <c r="K462" s="22" t="s">
        <v>20</v>
      </c>
      <c r="L462" s="22" t="s">
        <v>95</v>
      </c>
      <c r="M462" s="22" t="s">
        <v>876</v>
      </c>
      <c r="N462" s="45" t="s">
        <v>878</v>
      </c>
    </row>
    <row r="463" spans="1:14" ht="38.25">
      <c r="A463" s="22">
        <v>20</v>
      </c>
      <c r="B463" s="44" t="s">
        <v>896</v>
      </c>
      <c r="C463" s="22"/>
      <c r="D463" s="22"/>
      <c r="E463" s="22">
        <v>2</v>
      </c>
      <c r="F463" s="22">
        <v>2</v>
      </c>
      <c r="G463" s="22">
        <f t="shared" si="10"/>
        <v>0</v>
      </c>
      <c r="H463" s="33">
        <v>0</v>
      </c>
      <c r="I463" s="33">
        <v>0</v>
      </c>
      <c r="J463" s="22" t="s">
        <v>877</v>
      </c>
      <c r="K463" s="22" t="s">
        <v>20</v>
      </c>
      <c r="L463" s="22" t="s">
        <v>24</v>
      </c>
      <c r="M463" s="22" t="s">
        <v>876</v>
      </c>
      <c r="N463" s="45"/>
    </row>
    <row r="464" spans="1:14" ht="38.25">
      <c r="A464" s="22">
        <v>21</v>
      </c>
      <c r="B464" s="44" t="s">
        <v>897</v>
      </c>
      <c r="C464" s="22"/>
      <c r="D464" s="22"/>
      <c r="E464" s="22">
        <v>1</v>
      </c>
      <c r="F464" s="22">
        <v>1</v>
      </c>
      <c r="G464" s="22">
        <f t="shared" si="10"/>
        <v>0</v>
      </c>
      <c r="H464" s="33">
        <v>749700</v>
      </c>
      <c r="I464" s="33">
        <v>749700</v>
      </c>
      <c r="J464" s="22" t="s">
        <v>877</v>
      </c>
      <c r="K464" s="22" t="s">
        <v>20</v>
      </c>
      <c r="L464" s="22" t="s">
        <v>95</v>
      </c>
      <c r="M464" s="22" t="s">
        <v>876</v>
      </c>
      <c r="N464" s="45" t="s">
        <v>878</v>
      </c>
    </row>
    <row r="465" spans="1:14" ht="38.25">
      <c r="A465" s="22">
        <v>22</v>
      </c>
      <c r="B465" s="44" t="s">
        <v>897</v>
      </c>
      <c r="C465" s="22"/>
      <c r="D465" s="22"/>
      <c r="E465" s="22">
        <v>2</v>
      </c>
      <c r="F465" s="22">
        <v>2</v>
      </c>
      <c r="G465" s="22">
        <f t="shared" si="10"/>
        <v>0</v>
      </c>
      <c r="H465" s="33">
        <v>924000</v>
      </c>
      <c r="I465" s="33">
        <v>1848000</v>
      </c>
      <c r="J465" s="22" t="s">
        <v>877</v>
      </c>
      <c r="K465" s="22" t="s">
        <v>20</v>
      </c>
      <c r="L465" s="22" t="s">
        <v>24</v>
      </c>
      <c r="M465" s="22" t="s">
        <v>876</v>
      </c>
      <c r="N465" s="45"/>
    </row>
    <row r="466" spans="1:14" ht="38.25">
      <c r="A466" s="22">
        <v>23</v>
      </c>
      <c r="B466" s="44" t="s">
        <v>898</v>
      </c>
      <c r="C466" s="22"/>
      <c r="D466" s="22"/>
      <c r="E466" s="22">
        <v>1</v>
      </c>
      <c r="F466" s="22">
        <v>1</v>
      </c>
      <c r="G466" s="22">
        <f t="shared" si="10"/>
        <v>0</v>
      </c>
      <c r="H466" s="33">
        <v>5110000</v>
      </c>
      <c r="I466" s="33">
        <v>5110000</v>
      </c>
      <c r="J466" s="22" t="s">
        <v>877</v>
      </c>
      <c r="K466" s="22" t="s">
        <v>20</v>
      </c>
      <c r="L466" s="22" t="s">
        <v>95</v>
      </c>
      <c r="M466" s="22" t="s">
        <v>876</v>
      </c>
      <c r="N466" s="45" t="s">
        <v>878</v>
      </c>
    </row>
    <row r="467" spans="1:14" ht="38.25">
      <c r="A467" s="22">
        <v>24</v>
      </c>
      <c r="B467" s="44" t="s">
        <v>899</v>
      </c>
      <c r="C467" s="22"/>
      <c r="D467" s="22"/>
      <c r="E467" s="22">
        <v>1</v>
      </c>
      <c r="F467" s="22">
        <v>1</v>
      </c>
      <c r="G467" s="22">
        <f t="shared" si="10"/>
        <v>0</v>
      </c>
      <c r="H467" s="33">
        <v>9500000</v>
      </c>
      <c r="I467" s="33">
        <v>9500000</v>
      </c>
      <c r="J467" s="22" t="s">
        <v>877</v>
      </c>
      <c r="K467" s="22" t="s">
        <v>20</v>
      </c>
      <c r="L467" s="22" t="s">
        <v>95</v>
      </c>
      <c r="M467" s="22" t="s">
        <v>876</v>
      </c>
      <c r="N467" s="45" t="s">
        <v>878</v>
      </c>
    </row>
    <row r="468" spans="1:14" ht="38.25">
      <c r="A468" s="22">
        <v>25</v>
      </c>
      <c r="B468" s="44" t="s">
        <v>900</v>
      </c>
      <c r="C468" s="22"/>
      <c r="D468" s="22"/>
      <c r="E468" s="22">
        <v>1</v>
      </c>
      <c r="F468" s="22">
        <v>1</v>
      </c>
      <c r="G468" s="22">
        <f t="shared" si="10"/>
        <v>0</v>
      </c>
      <c r="H468" s="33">
        <v>0</v>
      </c>
      <c r="I468" s="33">
        <v>0</v>
      </c>
      <c r="J468" s="22" t="s">
        <v>877</v>
      </c>
      <c r="K468" s="22" t="s">
        <v>20</v>
      </c>
      <c r="L468" s="22" t="s">
        <v>95</v>
      </c>
      <c r="M468" s="22" t="s">
        <v>876</v>
      </c>
      <c r="N468" s="45" t="s">
        <v>878</v>
      </c>
    </row>
    <row r="469" spans="1:14" ht="38.25">
      <c r="A469" s="22">
        <v>26</v>
      </c>
      <c r="B469" s="44" t="s">
        <v>901</v>
      </c>
      <c r="C469" s="22"/>
      <c r="D469" s="22"/>
      <c r="E469" s="22">
        <v>2</v>
      </c>
      <c r="F469" s="22">
        <v>2</v>
      </c>
      <c r="G469" s="22">
        <f t="shared" si="10"/>
        <v>0</v>
      </c>
      <c r="H469" s="33">
        <v>0</v>
      </c>
      <c r="I469" s="33">
        <v>0</v>
      </c>
      <c r="J469" s="22" t="s">
        <v>877</v>
      </c>
      <c r="K469" s="22" t="s">
        <v>20</v>
      </c>
      <c r="L469" s="22" t="s">
        <v>95</v>
      </c>
      <c r="M469" s="22" t="s">
        <v>876</v>
      </c>
      <c r="N469" s="45" t="s">
        <v>878</v>
      </c>
    </row>
    <row r="470" spans="1:14" ht="38.25">
      <c r="A470" s="22">
        <v>27</v>
      </c>
      <c r="B470" s="44" t="s">
        <v>902</v>
      </c>
      <c r="C470" s="22"/>
      <c r="D470" s="22"/>
      <c r="E470" s="22">
        <v>2</v>
      </c>
      <c r="F470" s="22">
        <v>2</v>
      </c>
      <c r="G470" s="22">
        <f t="shared" si="10"/>
        <v>0</v>
      </c>
      <c r="H470" s="33">
        <v>0</v>
      </c>
      <c r="I470" s="33">
        <v>0</v>
      </c>
      <c r="J470" s="22" t="s">
        <v>877</v>
      </c>
      <c r="K470" s="22" t="s">
        <v>20</v>
      </c>
      <c r="L470" s="22" t="s">
        <v>95</v>
      </c>
      <c r="M470" s="22" t="s">
        <v>876</v>
      </c>
      <c r="N470" s="45" t="s">
        <v>878</v>
      </c>
    </row>
    <row r="471" spans="1:14" ht="38.25">
      <c r="A471" s="22">
        <v>28</v>
      </c>
      <c r="B471" s="44" t="s">
        <v>903</v>
      </c>
      <c r="C471" s="22"/>
      <c r="D471" s="22"/>
      <c r="E471" s="22">
        <v>1</v>
      </c>
      <c r="F471" s="22">
        <v>1</v>
      </c>
      <c r="G471" s="22">
        <f t="shared" si="10"/>
        <v>0</v>
      </c>
      <c r="H471" s="33">
        <v>0</v>
      </c>
      <c r="I471" s="33">
        <v>0</v>
      </c>
      <c r="J471" s="22" t="s">
        <v>877</v>
      </c>
      <c r="K471" s="22" t="s">
        <v>20</v>
      </c>
      <c r="L471" s="22" t="s">
        <v>95</v>
      </c>
      <c r="M471" s="22" t="s">
        <v>876</v>
      </c>
      <c r="N471" s="45" t="s">
        <v>878</v>
      </c>
    </row>
    <row r="472" spans="1:14" ht="38.25">
      <c r="A472" s="22">
        <v>29</v>
      </c>
      <c r="B472" s="44" t="s">
        <v>901</v>
      </c>
      <c r="C472" s="22"/>
      <c r="D472" s="22"/>
      <c r="E472" s="22">
        <v>2</v>
      </c>
      <c r="F472" s="22">
        <v>2</v>
      </c>
      <c r="G472" s="22">
        <f t="shared" si="10"/>
        <v>0</v>
      </c>
      <c r="H472" s="33">
        <v>0</v>
      </c>
      <c r="I472" s="33">
        <v>0</v>
      </c>
      <c r="J472" s="22" t="s">
        <v>877</v>
      </c>
      <c r="K472" s="22" t="s">
        <v>20</v>
      </c>
      <c r="L472" s="22" t="s">
        <v>95</v>
      </c>
      <c r="M472" s="22" t="s">
        <v>876</v>
      </c>
      <c r="N472" s="45" t="s">
        <v>878</v>
      </c>
    </row>
    <row r="473" spans="1:14" ht="38.25">
      <c r="A473" s="22">
        <v>30</v>
      </c>
      <c r="B473" s="44" t="s">
        <v>896</v>
      </c>
      <c r="C473" s="22"/>
      <c r="D473" s="22"/>
      <c r="E473" s="22">
        <v>1</v>
      </c>
      <c r="F473" s="22">
        <v>1</v>
      </c>
      <c r="G473" s="22">
        <f t="shared" si="10"/>
        <v>0</v>
      </c>
      <c r="H473" s="33">
        <v>0</v>
      </c>
      <c r="I473" s="33">
        <v>0</v>
      </c>
      <c r="J473" s="22" t="s">
        <v>877</v>
      </c>
      <c r="K473" s="22" t="s">
        <v>20</v>
      </c>
      <c r="L473" s="22" t="s">
        <v>24</v>
      </c>
      <c r="M473" s="22" t="s">
        <v>876</v>
      </c>
      <c r="N473" s="45"/>
    </row>
    <row r="474" spans="1:14" ht="38.25">
      <c r="A474" s="22">
        <v>31</v>
      </c>
      <c r="B474" s="44" t="s">
        <v>904</v>
      </c>
      <c r="C474" s="22"/>
      <c r="D474" s="22"/>
      <c r="E474" s="22">
        <v>1</v>
      </c>
      <c r="F474" s="22">
        <v>1</v>
      </c>
      <c r="G474" s="22">
        <f t="shared" si="10"/>
        <v>0</v>
      </c>
      <c r="H474" s="33">
        <v>230000</v>
      </c>
      <c r="I474" s="33">
        <v>230000</v>
      </c>
      <c r="J474" s="22" t="s">
        <v>877</v>
      </c>
      <c r="K474" s="22" t="s">
        <v>20</v>
      </c>
      <c r="L474" s="22" t="s">
        <v>95</v>
      </c>
      <c r="M474" s="22" t="s">
        <v>876</v>
      </c>
      <c r="N474" s="45" t="s">
        <v>878</v>
      </c>
    </row>
    <row r="475" spans="1:14" ht="38.25">
      <c r="A475" s="22">
        <v>32</v>
      </c>
      <c r="B475" s="44" t="s">
        <v>905</v>
      </c>
      <c r="C475" s="22"/>
      <c r="D475" s="22"/>
      <c r="E475" s="22">
        <v>1</v>
      </c>
      <c r="F475" s="22">
        <v>1</v>
      </c>
      <c r="G475" s="22">
        <f t="shared" si="10"/>
        <v>0</v>
      </c>
      <c r="H475" s="33">
        <v>200000</v>
      </c>
      <c r="I475" s="33">
        <v>200000</v>
      </c>
      <c r="J475" s="22" t="s">
        <v>877</v>
      </c>
      <c r="K475" s="22" t="s">
        <v>20</v>
      </c>
      <c r="L475" s="22" t="s">
        <v>95</v>
      </c>
      <c r="M475" s="22" t="s">
        <v>876</v>
      </c>
      <c r="N475" s="45" t="s">
        <v>878</v>
      </c>
    </row>
    <row r="476" spans="1:14" ht="38.25">
      <c r="A476" s="22">
        <v>33</v>
      </c>
      <c r="B476" s="44" t="s">
        <v>906</v>
      </c>
      <c r="C476" s="22"/>
      <c r="D476" s="22"/>
      <c r="E476" s="22">
        <v>1</v>
      </c>
      <c r="F476" s="22">
        <v>1</v>
      </c>
      <c r="G476" s="22">
        <f t="shared" si="10"/>
        <v>0</v>
      </c>
      <c r="H476" s="33">
        <v>1200000</v>
      </c>
      <c r="I476" s="33">
        <v>1200000</v>
      </c>
      <c r="J476" s="22" t="s">
        <v>877</v>
      </c>
      <c r="K476" s="22" t="s">
        <v>20</v>
      </c>
      <c r="L476" s="22" t="s">
        <v>95</v>
      </c>
      <c r="M476" s="22" t="s">
        <v>876</v>
      </c>
      <c r="N476" s="45" t="s">
        <v>878</v>
      </c>
    </row>
    <row r="477" spans="1:14" ht="38.25">
      <c r="A477" s="22">
        <v>34</v>
      </c>
      <c r="B477" s="44" t="s">
        <v>902</v>
      </c>
      <c r="C477" s="22"/>
      <c r="D477" s="22"/>
      <c r="E477" s="22">
        <v>1</v>
      </c>
      <c r="F477" s="22">
        <v>1</v>
      </c>
      <c r="G477" s="22">
        <f t="shared" si="10"/>
        <v>0</v>
      </c>
      <c r="H477" s="33">
        <v>0</v>
      </c>
      <c r="I477" s="33">
        <v>0</v>
      </c>
      <c r="J477" s="22" t="s">
        <v>877</v>
      </c>
      <c r="K477" s="22" t="s">
        <v>20</v>
      </c>
      <c r="L477" s="22" t="s">
        <v>95</v>
      </c>
      <c r="M477" s="22" t="s">
        <v>876</v>
      </c>
      <c r="N477" s="45" t="s">
        <v>878</v>
      </c>
    </row>
    <row r="478" spans="1:14" ht="38.25">
      <c r="A478" s="22">
        <v>35</v>
      </c>
      <c r="B478" s="44" t="s">
        <v>907</v>
      </c>
      <c r="C478" s="22"/>
      <c r="D478" s="22"/>
      <c r="E478" s="22">
        <v>1</v>
      </c>
      <c r="F478" s="22">
        <v>1</v>
      </c>
      <c r="G478" s="22">
        <f t="shared" si="10"/>
        <v>0</v>
      </c>
      <c r="H478" s="33">
        <v>924000</v>
      </c>
      <c r="I478" s="33">
        <v>924000</v>
      </c>
      <c r="J478" s="22" t="s">
        <v>877</v>
      </c>
      <c r="K478" s="22" t="s">
        <v>20</v>
      </c>
      <c r="L478" s="22" t="s">
        <v>24</v>
      </c>
      <c r="M478" s="22" t="s">
        <v>876</v>
      </c>
      <c r="N478" s="45"/>
    </row>
    <row r="479" spans="1:14" ht="38.25">
      <c r="A479" s="22">
        <v>36</v>
      </c>
      <c r="B479" s="44" t="s">
        <v>908</v>
      </c>
      <c r="C479" s="22"/>
      <c r="D479" s="22"/>
      <c r="E479" s="22">
        <v>1</v>
      </c>
      <c r="F479" s="22">
        <v>1</v>
      </c>
      <c r="G479" s="22">
        <f t="shared" si="10"/>
        <v>0</v>
      </c>
      <c r="H479" s="33">
        <v>220000</v>
      </c>
      <c r="I479" s="33">
        <v>220000</v>
      </c>
      <c r="J479" s="22" t="s">
        <v>877</v>
      </c>
      <c r="K479" s="22" t="s">
        <v>20</v>
      </c>
      <c r="L479" s="22" t="s">
        <v>95</v>
      </c>
      <c r="M479" s="22" t="s">
        <v>876</v>
      </c>
      <c r="N479" s="45" t="s">
        <v>878</v>
      </c>
    </row>
    <row r="480" spans="1:14" ht="38.25">
      <c r="A480" s="22">
        <v>37</v>
      </c>
      <c r="B480" s="44" t="s">
        <v>289</v>
      </c>
      <c r="C480" s="22"/>
      <c r="D480" s="22"/>
      <c r="E480" s="22">
        <v>1</v>
      </c>
      <c r="F480" s="22">
        <v>1</v>
      </c>
      <c r="G480" s="22">
        <f t="shared" si="10"/>
        <v>0</v>
      </c>
      <c r="H480" s="33">
        <v>1050000</v>
      </c>
      <c r="I480" s="33">
        <v>1050000</v>
      </c>
      <c r="J480" s="22" t="s">
        <v>877</v>
      </c>
      <c r="K480" s="22" t="s">
        <v>20</v>
      </c>
      <c r="L480" s="22" t="s">
        <v>95</v>
      </c>
      <c r="M480" s="22" t="s">
        <v>876</v>
      </c>
      <c r="N480" s="45" t="s">
        <v>878</v>
      </c>
    </row>
    <row r="481" spans="1:14" ht="38.25">
      <c r="A481" s="22">
        <v>38</v>
      </c>
      <c r="B481" s="44" t="s">
        <v>896</v>
      </c>
      <c r="C481" s="22"/>
      <c r="D481" s="22"/>
      <c r="E481" s="22">
        <v>1</v>
      </c>
      <c r="F481" s="22">
        <v>1</v>
      </c>
      <c r="G481" s="22">
        <f t="shared" si="10"/>
        <v>0</v>
      </c>
      <c r="H481" s="33">
        <v>0</v>
      </c>
      <c r="I481" s="33">
        <v>0</v>
      </c>
      <c r="J481" s="22" t="s">
        <v>877</v>
      </c>
      <c r="K481" s="22" t="s">
        <v>20</v>
      </c>
      <c r="L481" s="22" t="s">
        <v>95</v>
      </c>
      <c r="M481" s="22" t="s">
        <v>876</v>
      </c>
      <c r="N481" s="45" t="s">
        <v>878</v>
      </c>
    </row>
    <row r="482" spans="1:14" ht="38.25">
      <c r="A482" s="22">
        <v>39</v>
      </c>
      <c r="B482" s="44" t="s">
        <v>909</v>
      </c>
      <c r="C482" s="22"/>
      <c r="D482" s="22"/>
      <c r="E482" s="22">
        <v>1</v>
      </c>
      <c r="F482" s="22">
        <v>1</v>
      </c>
      <c r="G482" s="22">
        <f t="shared" si="10"/>
        <v>0</v>
      </c>
      <c r="H482" s="33">
        <v>1200000</v>
      </c>
      <c r="I482" s="33">
        <v>1200000</v>
      </c>
      <c r="J482" s="22" t="s">
        <v>877</v>
      </c>
      <c r="K482" s="22" t="s">
        <v>20</v>
      </c>
      <c r="L482" s="22" t="s">
        <v>24</v>
      </c>
      <c r="M482" s="22" t="s">
        <v>876</v>
      </c>
      <c r="N482" s="45"/>
    </row>
    <row r="483" spans="1:14" ht="38.25">
      <c r="A483" s="22">
        <v>40</v>
      </c>
      <c r="B483" s="44" t="s">
        <v>910</v>
      </c>
      <c r="C483" s="22"/>
      <c r="D483" s="22"/>
      <c r="E483" s="22">
        <v>3</v>
      </c>
      <c r="F483" s="22">
        <v>3</v>
      </c>
      <c r="G483" s="22">
        <f t="shared" si="10"/>
        <v>0</v>
      </c>
      <c r="H483" s="33">
        <v>986000</v>
      </c>
      <c r="I483" s="33">
        <v>2958000</v>
      </c>
      <c r="J483" s="22" t="s">
        <v>877</v>
      </c>
      <c r="K483" s="22" t="s">
        <v>20</v>
      </c>
      <c r="L483" s="22" t="s">
        <v>95</v>
      </c>
      <c r="M483" s="22" t="s">
        <v>876</v>
      </c>
      <c r="N483" s="45" t="s">
        <v>878</v>
      </c>
    </row>
    <row r="484" spans="1:14" ht="38.25">
      <c r="A484" s="22">
        <v>41</v>
      </c>
      <c r="B484" s="44" t="s">
        <v>910</v>
      </c>
      <c r="C484" s="22"/>
      <c r="D484" s="22"/>
      <c r="E484" s="22">
        <v>1</v>
      </c>
      <c r="F484" s="22">
        <v>1</v>
      </c>
      <c r="G484" s="22">
        <f t="shared" si="10"/>
        <v>0</v>
      </c>
      <c r="H484" s="33">
        <v>2400000</v>
      </c>
      <c r="I484" s="33">
        <v>2400000</v>
      </c>
      <c r="J484" s="22" t="s">
        <v>877</v>
      </c>
      <c r="K484" s="22" t="s">
        <v>20</v>
      </c>
      <c r="L484" s="22" t="s">
        <v>95</v>
      </c>
      <c r="M484" s="22" t="s">
        <v>876</v>
      </c>
      <c r="N484" s="45" t="s">
        <v>878</v>
      </c>
    </row>
    <row r="485" spans="1:14" ht="38.25">
      <c r="A485" s="22">
        <v>42</v>
      </c>
      <c r="B485" s="44" t="s">
        <v>892</v>
      </c>
      <c r="C485" s="22"/>
      <c r="D485" s="22"/>
      <c r="E485" s="22">
        <v>1</v>
      </c>
      <c r="F485" s="22">
        <v>1</v>
      </c>
      <c r="G485" s="22">
        <f t="shared" si="10"/>
        <v>0</v>
      </c>
      <c r="H485" s="33">
        <v>1050000</v>
      </c>
      <c r="I485" s="33">
        <v>1050000</v>
      </c>
      <c r="J485" s="22" t="s">
        <v>877</v>
      </c>
      <c r="K485" s="22" t="s">
        <v>20</v>
      </c>
      <c r="L485" s="22" t="s">
        <v>95</v>
      </c>
      <c r="M485" s="22" t="s">
        <v>876</v>
      </c>
      <c r="N485" s="45" t="s">
        <v>878</v>
      </c>
    </row>
    <row r="486" spans="1:14" ht="38.25">
      <c r="A486" s="22">
        <v>43</v>
      </c>
      <c r="B486" s="44" t="s">
        <v>895</v>
      </c>
      <c r="C486" s="22"/>
      <c r="D486" s="22"/>
      <c r="E486" s="22">
        <v>2</v>
      </c>
      <c r="F486" s="22">
        <v>2</v>
      </c>
      <c r="G486" s="22">
        <f t="shared" si="10"/>
        <v>0</v>
      </c>
      <c r="H486" s="33">
        <v>1449000</v>
      </c>
      <c r="I486" s="33">
        <v>2898000</v>
      </c>
      <c r="J486" s="22" t="s">
        <v>877</v>
      </c>
      <c r="K486" s="22" t="s">
        <v>20</v>
      </c>
      <c r="L486" s="22" t="s">
        <v>24</v>
      </c>
      <c r="M486" s="22" t="s">
        <v>876</v>
      </c>
      <c r="N486" s="45"/>
    </row>
    <row r="487" spans="1:14" ht="38.25">
      <c r="A487" s="22">
        <v>44</v>
      </c>
      <c r="B487" s="44" t="s">
        <v>904</v>
      </c>
      <c r="C487" s="22"/>
      <c r="D487" s="22"/>
      <c r="E487" s="22">
        <v>1</v>
      </c>
      <c r="F487" s="22">
        <v>1</v>
      </c>
      <c r="G487" s="22">
        <f t="shared" si="10"/>
        <v>0</v>
      </c>
      <c r="H487" s="33">
        <v>230000</v>
      </c>
      <c r="I487" s="33">
        <v>230000</v>
      </c>
      <c r="J487" s="22" t="s">
        <v>877</v>
      </c>
      <c r="K487" s="22" t="s">
        <v>20</v>
      </c>
      <c r="L487" s="22" t="s">
        <v>24</v>
      </c>
      <c r="M487" s="22" t="s">
        <v>876</v>
      </c>
      <c r="N487" s="45"/>
    </row>
    <row r="488" spans="1:14" ht="38.25">
      <c r="A488" s="22">
        <v>45</v>
      </c>
      <c r="B488" s="44" t="s">
        <v>911</v>
      </c>
      <c r="C488" s="22"/>
      <c r="D488" s="22"/>
      <c r="E488" s="22">
        <v>1</v>
      </c>
      <c r="F488" s="22">
        <v>1</v>
      </c>
      <c r="G488" s="22">
        <f t="shared" si="10"/>
        <v>0</v>
      </c>
      <c r="H488" s="33">
        <v>120000</v>
      </c>
      <c r="I488" s="33">
        <v>120000</v>
      </c>
      <c r="J488" s="22" t="s">
        <v>877</v>
      </c>
      <c r="K488" s="22" t="s">
        <v>20</v>
      </c>
      <c r="L488" s="22" t="s">
        <v>95</v>
      </c>
      <c r="M488" s="22" t="s">
        <v>876</v>
      </c>
      <c r="N488" s="45" t="s">
        <v>878</v>
      </c>
    </row>
    <row r="489" spans="1:14" ht="38.25">
      <c r="A489" s="22">
        <v>46</v>
      </c>
      <c r="B489" s="44" t="s">
        <v>910</v>
      </c>
      <c r="C489" s="22"/>
      <c r="D489" s="22"/>
      <c r="E489" s="22">
        <v>1</v>
      </c>
      <c r="F489" s="22">
        <v>1</v>
      </c>
      <c r="G489" s="22">
        <f t="shared" si="10"/>
        <v>0</v>
      </c>
      <c r="H489" s="33">
        <v>986000</v>
      </c>
      <c r="I489" s="33">
        <v>986000</v>
      </c>
      <c r="J489" s="22" t="s">
        <v>877</v>
      </c>
      <c r="K489" s="22" t="s">
        <v>20</v>
      </c>
      <c r="L489" s="22" t="s">
        <v>95</v>
      </c>
      <c r="M489" s="22" t="s">
        <v>876</v>
      </c>
      <c r="N489" s="45" t="s">
        <v>878</v>
      </c>
    </row>
    <row r="490" spans="1:14" ht="38.25">
      <c r="A490" s="22">
        <v>47</v>
      </c>
      <c r="B490" s="44" t="s">
        <v>883</v>
      </c>
      <c r="C490" s="22"/>
      <c r="D490" s="22"/>
      <c r="E490" s="22">
        <v>1</v>
      </c>
      <c r="F490" s="22">
        <v>1</v>
      </c>
      <c r="G490" s="22">
        <f t="shared" si="10"/>
        <v>0</v>
      </c>
      <c r="H490" s="33">
        <v>1080000</v>
      </c>
      <c r="I490" s="33">
        <v>1080000</v>
      </c>
      <c r="J490" s="22" t="s">
        <v>877</v>
      </c>
      <c r="K490" s="22" t="s">
        <v>20</v>
      </c>
      <c r="L490" s="22" t="s">
        <v>24</v>
      </c>
      <c r="M490" s="22" t="s">
        <v>876</v>
      </c>
      <c r="N490" s="45"/>
    </row>
    <row r="491" spans="1:14" ht="38.25">
      <c r="A491" s="22">
        <v>48</v>
      </c>
      <c r="B491" s="44" t="s">
        <v>912</v>
      </c>
      <c r="C491" s="22"/>
      <c r="D491" s="22"/>
      <c r="E491" s="22">
        <v>1</v>
      </c>
      <c r="F491" s="22">
        <v>1</v>
      </c>
      <c r="G491" s="22">
        <f t="shared" si="10"/>
        <v>0</v>
      </c>
      <c r="H491" s="33">
        <v>1100000</v>
      </c>
      <c r="I491" s="33">
        <v>1100000</v>
      </c>
      <c r="J491" s="22" t="s">
        <v>877</v>
      </c>
      <c r="K491" s="22" t="s">
        <v>20</v>
      </c>
      <c r="L491" s="22" t="s">
        <v>24</v>
      </c>
      <c r="M491" s="22" t="s">
        <v>876</v>
      </c>
      <c r="N491" s="45"/>
    </row>
    <row r="492" spans="1:14" ht="38.25">
      <c r="A492" s="22">
        <v>49</v>
      </c>
      <c r="B492" s="44" t="s">
        <v>913</v>
      </c>
      <c r="C492" s="22"/>
      <c r="D492" s="22"/>
      <c r="E492" s="22">
        <v>1</v>
      </c>
      <c r="F492" s="22">
        <v>1</v>
      </c>
      <c r="G492" s="22">
        <f t="shared" si="10"/>
        <v>0</v>
      </c>
      <c r="H492" s="33">
        <v>4180000</v>
      </c>
      <c r="I492" s="33">
        <v>4180000</v>
      </c>
      <c r="J492" s="22" t="s">
        <v>877</v>
      </c>
      <c r="K492" s="22" t="s">
        <v>20</v>
      </c>
      <c r="L492" s="22" t="s">
        <v>24</v>
      </c>
      <c r="M492" s="22" t="s">
        <v>876</v>
      </c>
      <c r="N492" s="45"/>
    </row>
    <row r="493" spans="1:14" ht="38.25">
      <c r="A493" s="22">
        <v>50</v>
      </c>
      <c r="B493" s="44" t="s">
        <v>914</v>
      </c>
      <c r="C493" s="22"/>
      <c r="D493" s="22"/>
      <c r="E493" s="22">
        <v>1</v>
      </c>
      <c r="F493" s="22">
        <v>1</v>
      </c>
      <c r="G493" s="22">
        <f t="shared" si="10"/>
        <v>0</v>
      </c>
      <c r="H493" s="33">
        <v>3850000</v>
      </c>
      <c r="I493" s="33">
        <v>3850000</v>
      </c>
      <c r="J493" s="22" t="s">
        <v>877</v>
      </c>
      <c r="K493" s="22" t="s">
        <v>20</v>
      </c>
      <c r="L493" s="22" t="s">
        <v>24</v>
      </c>
      <c r="M493" s="22" t="s">
        <v>876</v>
      </c>
      <c r="N493" s="45"/>
    </row>
    <row r="494" spans="1:14" ht="38.25">
      <c r="A494" s="22">
        <v>51</v>
      </c>
      <c r="B494" s="44" t="s">
        <v>883</v>
      </c>
      <c r="C494" s="22"/>
      <c r="D494" s="22"/>
      <c r="E494" s="22">
        <v>1</v>
      </c>
      <c r="F494" s="22">
        <v>1</v>
      </c>
      <c r="G494" s="22">
        <f t="shared" si="10"/>
        <v>0</v>
      </c>
      <c r="H494" s="33">
        <v>1080000</v>
      </c>
      <c r="I494" s="33">
        <v>1080000</v>
      </c>
      <c r="J494" s="22" t="s">
        <v>877</v>
      </c>
      <c r="K494" s="22" t="s">
        <v>20</v>
      </c>
      <c r="L494" s="22" t="s">
        <v>24</v>
      </c>
      <c r="M494" s="22" t="s">
        <v>876</v>
      </c>
      <c r="N494" s="45"/>
    </row>
    <row r="495" spans="1:14" ht="38.25">
      <c r="A495" s="22">
        <v>52</v>
      </c>
      <c r="B495" s="44" t="s">
        <v>910</v>
      </c>
      <c r="C495" s="22"/>
      <c r="D495" s="22"/>
      <c r="E495" s="22">
        <v>2</v>
      </c>
      <c r="F495" s="22">
        <v>2</v>
      </c>
      <c r="G495" s="22">
        <f t="shared" si="10"/>
        <v>0</v>
      </c>
      <c r="H495" s="33">
        <v>2400000</v>
      </c>
      <c r="I495" s="33">
        <v>4800000</v>
      </c>
      <c r="J495" s="22" t="s">
        <v>877</v>
      </c>
      <c r="K495" s="22" t="s">
        <v>20</v>
      </c>
      <c r="L495" s="22" t="s">
        <v>24</v>
      </c>
      <c r="M495" s="22" t="s">
        <v>876</v>
      </c>
      <c r="N495" s="45"/>
    </row>
    <row r="496" spans="1:14" ht="38.25">
      <c r="A496" s="22">
        <v>53</v>
      </c>
      <c r="B496" s="44" t="s">
        <v>915</v>
      </c>
      <c r="C496" s="22"/>
      <c r="D496" s="22"/>
      <c r="E496" s="22">
        <v>1</v>
      </c>
      <c r="F496" s="22">
        <v>1</v>
      </c>
      <c r="G496" s="22">
        <f t="shared" si="10"/>
        <v>0</v>
      </c>
      <c r="H496" s="33">
        <v>4200000</v>
      </c>
      <c r="I496" s="33">
        <v>4200000</v>
      </c>
      <c r="J496" s="22" t="s">
        <v>877</v>
      </c>
      <c r="K496" s="22" t="s">
        <v>20</v>
      </c>
      <c r="L496" s="22" t="s">
        <v>24</v>
      </c>
      <c r="M496" s="22" t="s">
        <v>876</v>
      </c>
      <c r="N496" s="45"/>
    </row>
    <row r="497" spans="1:14" ht="38.25">
      <c r="A497" s="22">
        <v>54</v>
      </c>
      <c r="B497" s="44" t="s">
        <v>915</v>
      </c>
      <c r="C497" s="22"/>
      <c r="D497" s="22"/>
      <c r="E497" s="22">
        <v>1</v>
      </c>
      <c r="F497" s="22">
        <v>1</v>
      </c>
      <c r="G497" s="22">
        <f t="shared" si="10"/>
        <v>0</v>
      </c>
      <c r="H497" s="33">
        <v>4200000</v>
      </c>
      <c r="I497" s="33">
        <v>4200000</v>
      </c>
      <c r="J497" s="22" t="s">
        <v>877</v>
      </c>
      <c r="K497" s="22" t="s">
        <v>20</v>
      </c>
      <c r="L497" s="22" t="s">
        <v>24</v>
      </c>
      <c r="M497" s="22" t="s">
        <v>876</v>
      </c>
      <c r="N497" s="45"/>
    </row>
    <row r="498" spans="1:14" ht="38.25">
      <c r="A498" s="22">
        <v>55</v>
      </c>
      <c r="B498" s="44" t="s">
        <v>915</v>
      </c>
      <c r="C498" s="22"/>
      <c r="D498" s="22"/>
      <c r="E498" s="22">
        <v>1</v>
      </c>
      <c r="F498" s="22">
        <v>1</v>
      </c>
      <c r="G498" s="22">
        <f t="shared" si="10"/>
        <v>0</v>
      </c>
      <c r="H498" s="33">
        <v>4200000</v>
      </c>
      <c r="I498" s="33">
        <v>4200000</v>
      </c>
      <c r="J498" s="22" t="s">
        <v>877</v>
      </c>
      <c r="K498" s="22" t="s">
        <v>20</v>
      </c>
      <c r="L498" s="22" t="s">
        <v>24</v>
      </c>
      <c r="M498" s="22" t="s">
        <v>876</v>
      </c>
      <c r="N498" s="45"/>
    </row>
    <row r="499" spans="1:14" ht="38.25">
      <c r="A499" s="22">
        <v>56</v>
      </c>
      <c r="B499" s="44" t="s">
        <v>915</v>
      </c>
      <c r="C499" s="22"/>
      <c r="D499" s="22"/>
      <c r="E499" s="22">
        <v>1</v>
      </c>
      <c r="F499" s="22">
        <v>1</v>
      </c>
      <c r="G499" s="22">
        <f t="shared" si="10"/>
        <v>0</v>
      </c>
      <c r="H499" s="33">
        <v>4200000</v>
      </c>
      <c r="I499" s="33">
        <v>4200000</v>
      </c>
      <c r="J499" s="22" t="s">
        <v>877</v>
      </c>
      <c r="K499" s="22" t="s">
        <v>20</v>
      </c>
      <c r="L499" s="22" t="s">
        <v>24</v>
      </c>
      <c r="M499" s="22" t="s">
        <v>876</v>
      </c>
      <c r="N499" s="45"/>
    </row>
    <row r="500" spans="1:14" ht="38.25">
      <c r="A500" s="22">
        <v>57</v>
      </c>
      <c r="B500" s="44" t="s">
        <v>916</v>
      </c>
      <c r="C500" s="22"/>
      <c r="D500" s="22"/>
      <c r="E500" s="22">
        <v>1</v>
      </c>
      <c r="F500" s="22">
        <v>1</v>
      </c>
      <c r="G500" s="22">
        <f t="shared" si="10"/>
        <v>0</v>
      </c>
      <c r="H500" s="33">
        <v>4000000</v>
      </c>
      <c r="I500" s="33">
        <v>4000000</v>
      </c>
      <c r="J500" s="22" t="s">
        <v>877</v>
      </c>
      <c r="K500" s="22" t="s">
        <v>20</v>
      </c>
      <c r="L500" s="22" t="s">
        <v>24</v>
      </c>
      <c r="M500" s="22" t="s">
        <v>876</v>
      </c>
      <c r="N500" s="45"/>
    </row>
    <row r="501" spans="1:14" ht="38.25">
      <c r="A501" s="22">
        <v>58</v>
      </c>
      <c r="B501" s="44" t="s">
        <v>916</v>
      </c>
      <c r="C501" s="22"/>
      <c r="D501" s="22"/>
      <c r="E501" s="22">
        <v>1</v>
      </c>
      <c r="F501" s="22">
        <v>1</v>
      </c>
      <c r="G501" s="22">
        <f t="shared" si="10"/>
        <v>0</v>
      </c>
      <c r="H501" s="33">
        <v>4000000</v>
      </c>
      <c r="I501" s="33">
        <v>4000000</v>
      </c>
      <c r="J501" s="22" t="s">
        <v>877</v>
      </c>
      <c r="K501" s="22" t="s">
        <v>20</v>
      </c>
      <c r="L501" s="22" t="s">
        <v>24</v>
      </c>
      <c r="M501" s="22" t="s">
        <v>876</v>
      </c>
      <c r="N501" s="45"/>
    </row>
    <row r="502" spans="1:14" ht="38.25">
      <c r="A502" s="22">
        <v>59</v>
      </c>
      <c r="B502" s="44" t="s">
        <v>910</v>
      </c>
      <c r="C502" s="22"/>
      <c r="D502" s="22"/>
      <c r="E502" s="22">
        <v>4</v>
      </c>
      <c r="F502" s="22">
        <v>4</v>
      </c>
      <c r="G502" s="22">
        <f t="shared" si="10"/>
        <v>0</v>
      </c>
      <c r="H502" s="33">
        <v>2400000</v>
      </c>
      <c r="I502" s="33">
        <v>9600000</v>
      </c>
      <c r="J502" s="22" t="s">
        <v>877</v>
      </c>
      <c r="K502" s="22" t="s">
        <v>20</v>
      </c>
      <c r="L502" s="22" t="s">
        <v>24</v>
      </c>
      <c r="M502" s="22" t="s">
        <v>876</v>
      </c>
      <c r="N502" s="45"/>
    </row>
    <row r="503" spans="1:14" ht="38.25">
      <c r="A503" s="22">
        <v>60</v>
      </c>
      <c r="B503" s="44" t="s">
        <v>917</v>
      </c>
      <c r="C503" s="22"/>
      <c r="D503" s="22"/>
      <c r="E503" s="22">
        <v>1</v>
      </c>
      <c r="F503" s="22">
        <v>1</v>
      </c>
      <c r="G503" s="22">
        <f t="shared" si="10"/>
        <v>0</v>
      </c>
      <c r="H503" s="33">
        <v>1200000</v>
      </c>
      <c r="I503" s="33">
        <v>1200000</v>
      </c>
      <c r="J503" s="22" t="s">
        <v>877</v>
      </c>
      <c r="K503" s="22" t="s">
        <v>20</v>
      </c>
      <c r="L503" s="22" t="s">
        <v>95</v>
      </c>
      <c r="M503" s="22" t="s">
        <v>876</v>
      </c>
      <c r="N503" s="45" t="s">
        <v>878</v>
      </c>
    </row>
    <row r="504" spans="1:14" ht="38.25">
      <c r="A504" s="22">
        <v>61</v>
      </c>
      <c r="B504" s="44" t="s">
        <v>918</v>
      </c>
      <c r="C504" s="22"/>
      <c r="D504" s="22"/>
      <c r="E504" s="22">
        <v>1</v>
      </c>
      <c r="F504" s="22">
        <v>1</v>
      </c>
      <c r="G504" s="22">
        <f t="shared" si="10"/>
        <v>0</v>
      </c>
      <c r="H504" s="33">
        <v>1050000</v>
      </c>
      <c r="I504" s="33">
        <v>1050000</v>
      </c>
      <c r="J504" s="22" t="s">
        <v>877</v>
      </c>
      <c r="K504" s="22" t="s">
        <v>20</v>
      </c>
      <c r="L504" s="22" t="s">
        <v>24</v>
      </c>
      <c r="M504" s="22" t="s">
        <v>876</v>
      </c>
      <c r="N504" s="45"/>
    </row>
    <row r="505" spans="1:14" ht="38.25">
      <c r="A505" s="22">
        <v>62</v>
      </c>
      <c r="B505" s="44" t="s">
        <v>919</v>
      </c>
      <c r="C505" s="22"/>
      <c r="D505" s="22"/>
      <c r="E505" s="22">
        <v>1</v>
      </c>
      <c r="F505" s="22">
        <v>1</v>
      </c>
      <c r="G505" s="22">
        <f t="shared" si="10"/>
        <v>0</v>
      </c>
      <c r="H505" s="33">
        <v>220000</v>
      </c>
      <c r="I505" s="33">
        <v>220000</v>
      </c>
      <c r="J505" s="22" t="s">
        <v>877</v>
      </c>
      <c r="K505" s="22" t="s">
        <v>20</v>
      </c>
      <c r="L505" s="22" t="s">
        <v>24</v>
      </c>
      <c r="M505" s="22" t="s">
        <v>876</v>
      </c>
      <c r="N505" s="45"/>
    </row>
    <row r="506" spans="1:14" ht="38.25">
      <c r="A506" s="22">
        <v>63</v>
      </c>
      <c r="B506" s="44" t="s">
        <v>920</v>
      </c>
      <c r="C506" s="22"/>
      <c r="D506" s="22"/>
      <c r="E506" s="22">
        <v>1</v>
      </c>
      <c r="F506" s="22">
        <v>1</v>
      </c>
      <c r="G506" s="22">
        <f t="shared" si="10"/>
        <v>0</v>
      </c>
      <c r="H506" s="33">
        <v>986000</v>
      </c>
      <c r="I506" s="33">
        <v>986000</v>
      </c>
      <c r="J506" s="22" t="s">
        <v>877</v>
      </c>
      <c r="K506" s="22" t="s">
        <v>20</v>
      </c>
      <c r="L506" s="22" t="s">
        <v>24</v>
      </c>
      <c r="M506" s="22" t="s">
        <v>876</v>
      </c>
      <c r="N506" s="45"/>
    </row>
    <row r="507" spans="1:14" ht="38.25">
      <c r="A507" s="22">
        <v>64</v>
      </c>
      <c r="B507" s="44" t="s">
        <v>921</v>
      </c>
      <c r="C507" s="22"/>
      <c r="D507" s="22"/>
      <c r="E507" s="22">
        <v>2</v>
      </c>
      <c r="F507" s="22">
        <v>2</v>
      </c>
      <c r="G507" s="22">
        <f t="shared" si="10"/>
        <v>0</v>
      </c>
      <c r="H507" s="33">
        <v>550000</v>
      </c>
      <c r="I507" s="33">
        <v>1100000</v>
      </c>
      <c r="J507" s="22" t="s">
        <v>877</v>
      </c>
      <c r="K507" s="22" t="s">
        <v>20</v>
      </c>
      <c r="L507" s="22" t="s">
        <v>24</v>
      </c>
      <c r="M507" s="22" t="s">
        <v>876</v>
      </c>
      <c r="N507" s="45"/>
    </row>
    <row r="508" spans="1:14" ht="38.25">
      <c r="A508" s="22">
        <v>65</v>
      </c>
      <c r="B508" s="44" t="s">
        <v>892</v>
      </c>
      <c r="C508" s="22"/>
      <c r="D508" s="22"/>
      <c r="E508" s="22">
        <v>2</v>
      </c>
      <c r="F508" s="22">
        <v>2</v>
      </c>
      <c r="G508" s="22">
        <f t="shared" si="10"/>
        <v>0</v>
      </c>
      <c r="H508" s="33">
        <v>1050000</v>
      </c>
      <c r="I508" s="33">
        <v>2100000</v>
      </c>
      <c r="J508" s="22" t="s">
        <v>877</v>
      </c>
      <c r="K508" s="22" t="s">
        <v>20</v>
      </c>
      <c r="L508" s="22" t="s">
        <v>24</v>
      </c>
      <c r="M508" s="22" t="s">
        <v>876</v>
      </c>
      <c r="N508" s="45"/>
    </row>
    <row r="509" spans="1:14" ht="38.25">
      <c r="A509" s="22">
        <v>66</v>
      </c>
      <c r="B509" s="44" t="s">
        <v>922</v>
      </c>
      <c r="C509" s="22"/>
      <c r="D509" s="22"/>
      <c r="E509" s="22">
        <v>2</v>
      </c>
      <c r="F509" s="22">
        <v>2</v>
      </c>
      <c r="G509" s="22">
        <f t="shared" ref="G509:G523" si="11">F509-E509</f>
        <v>0</v>
      </c>
      <c r="H509" s="33">
        <v>0</v>
      </c>
      <c r="I509" s="33">
        <v>0</v>
      </c>
      <c r="J509" s="22" t="s">
        <v>877</v>
      </c>
      <c r="K509" s="22" t="s">
        <v>20</v>
      </c>
      <c r="L509" s="22" t="s">
        <v>95</v>
      </c>
      <c r="M509" s="22" t="s">
        <v>876</v>
      </c>
      <c r="N509" s="45" t="s">
        <v>878</v>
      </c>
    </row>
    <row r="510" spans="1:14" ht="38.25">
      <c r="A510" s="22">
        <v>67</v>
      </c>
      <c r="B510" s="44" t="s">
        <v>923</v>
      </c>
      <c r="C510" s="22"/>
      <c r="D510" s="22"/>
      <c r="E510" s="22">
        <v>5</v>
      </c>
      <c r="F510" s="22">
        <v>5</v>
      </c>
      <c r="G510" s="22">
        <f t="shared" si="11"/>
        <v>0</v>
      </c>
      <c r="H510" s="33">
        <v>800000</v>
      </c>
      <c r="I510" s="33">
        <v>4000000</v>
      </c>
      <c r="J510" s="22" t="s">
        <v>877</v>
      </c>
      <c r="K510" s="22" t="s">
        <v>20</v>
      </c>
      <c r="L510" s="22" t="s">
        <v>95</v>
      </c>
      <c r="M510" s="22" t="s">
        <v>876</v>
      </c>
      <c r="N510" s="45" t="s">
        <v>937</v>
      </c>
    </row>
    <row r="511" spans="1:14" ht="38.25">
      <c r="A511" s="22">
        <v>68</v>
      </c>
      <c r="B511" s="44" t="s">
        <v>925</v>
      </c>
      <c r="C511" s="22"/>
      <c r="D511" s="22"/>
      <c r="E511" s="22">
        <v>1</v>
      </c>
      <c r="F511" s="22">
        <v>1</v>
      </c>
      <c r="G511" s="22">
        <f t="shared" si="11"/>
        <v>0</v>
      </c>
      <c r="H511" s="33">
        <v>0</v>
      </c>
      <c r="I511" s="33">
        <v>0</v>
      </c>
      <c r="J511" s="22" t="s">
        <v>877</v>
      </c>
      <c r="K511" s="22" t="s">
        <v>20</v>
      </c>
      <c r="L511" s="22" t="s">
        <v>24</v>
      </c>
      <c r="M511" s="22" t="s">
        <v>876</v>
      </c>
      <c r="N511" s="45"/>
    </row>
    <row r="512" spans="1:14" ht="38.25">
      <c r="A512" s="22">
        <v>69</v>
      </c>
      <c r="B512" s="44" t="s">
        <v>926</v>
      </c>
      <c r="C512" s="22"/>
      <c r="D512" s="22"/>
      <c r="E512" s="22">
        <v>1</v>
      </c>
      <c r="F512" s="22">
        <v>1</v>
      </c>
      <c r="G512" s="22">
        <f t="shared" si="11"/>
        <v>0</v>
      </c>
      <c r="H512" s="33">
        <v>1500000</v>
      </c>
      <c r="I512" s="33">
        <v>1500000</v>
      </c>
      <c r="J512" s="22" t="s">
        <v>877</v>
      </c>
      <c r="K512" s="22" t="s">
        <v>20</v>
      </c>
      <c r="L512" s="22" t="s">
        <v>95</v>
      </c>
      <c r="M512" s="22" t="s">
        <v>876</v>
      </c>
      <c r="N512" s="45" t="s">
        <v>878</v>
      </c>
    </row>
    <row r="513" spans="1:14" ht="38.25">
      <c r="A513" s="22">
        <v>70</v>
      </c>
      <c r="B513" s="44" t="s">
        <v>926</v>
      </c>
      <c r="C513" s="22"/>
      <c r="D513" s="22"/>
      <c r="E513" s="22">
        <v>1</v>
      </c>
      <c r="F513" s="22">
        <v>1</v>
      </c>
      <c r="G513" s="22">
        <f t="shared" si="11"/>
        <v>0</v>
      </c>
      <c r="H513" s="33">
        <v>1500000</v>
      </c>
      <c r="I513" s="33">
        <v>1500000</v>
      </c>
      <c r="J513" s="22" t="s">
        <v>877</v>
      </c>
      <c r="K513" s="22" t="s">
        <v>20</v>
      </c>
      <c r="L513" s="22" t="s">
        <v>95</v>
      </c>
      <c r="M513" s="22" t="s">
        <v>876</v>
      </c>
      <c r="N513" s="45" t="s">
        <v>878</v>
      </c>
    </row>
    <row r="514" spans="1:14" ht="38.25">
      <c r="A514" s="22">
        <v>71</v>
      </c>
      <c r="B514" s="44" t="s">
        <v>927</v>
      </c>
      <c r="C514" s="22"/>
      <c r="D514" s="22"/>
      <c r="E514" s="22">
        <v>1</v>
      </c>
      <c r="F514" s="22">
        <v>1</v>
      </c>
      <c r="G514" s="22">
        <f t="shared" si="11"/>
        <v>0</v>
      </c>
      <c r="H514" s="33">
        <v>2750000</v>
      </c>
      <c r="I514" s="33">
        <v>2750000</v>
      </c>
      <c r="J514" s="22" t="s">
        <v>877</v>
      </c>
      <c r="K514" s="22" t="s">
        <v>20</v>
      </c>
      <c r="L514" s="22" t="s">
        <v>95</v>
      </c>
      <c r="M514" s="22" t="s">
        <v>876</v>
      </c>
      <c r="N514" s="45" t="s">
        <v>878</v>
      </c>
    </row>
    <row r="515" spans="1:14" ht="38.25">
      <c r="A515" s="22">
        <v>72</v>
      </c>
      <c r="B515" s="44" t="s">
        <v>928</v>
      </c>
      <c r="C515" s="22"/>
      <c r="D515" s="22"/>
      <c r="E515" s="22">
        <v>1</v>
      </c>
      <c r="F515" s="22">
        <v>1</v>
      </c>
      <c r="G515" s="22">
        <f t="shared" si="11"/>
        <v>0</v>
      </c>
      <c r="H515" s="33">
        <v>2500000</v>
      </c>
      <c r="I515" s="33">
        <v>2500000</v>
      </c>
      <c r="J515" s="22" t="s">
        <v>877</v>
      </c>
      <c r="K515" s="22" t="s">
        <v>20</v>
      </c>
      <c r="L515" s="22" t="s">
        <v>95</v>
      </c>
      <c r="M515" s="22" t="s">
        <v>876</v>
      </c>
      <c r="N515" s="45" t="s">
        <v>878</v>
      </c>
    </row>
    <row r="516" spans="1:14" ht="38.25">
      <c r="A516" s="22">
        <v>73</v>
      </c>
      <c r="B516" s="44" t="s">
        <v>929</v>
      </c>
      <c r="C516" s="22"/>
      <c r="D516" s="22"/>
      <c r="E516" s="22">
        <v>1</v>
      </c>
      <c r="F516" s="22">
        <v>1</v>
      </c>
      <c r="G516" s="22">
        <f t="shared" si="11"/>
        <v>0</v>
      </c>
      <c r="H516" s="33">
        <v>1171280</v>
      </c>
      <c r="I516" s="33">
        <v>1171280</v>
      </c>
      <c r="J516" s="22" t="s">
        <v>877</v>
      </c>
      <c r="K516" s="22" t="s">
        <v>20</v>
      </c>
      <c r="L516" s="22" t="s">
        <v>24</v>
      </c>
      <c r="M516" s="22" t="s">
        <v>876</v>
      </c>
      <c r="N516" s="45"/>
    </row>
    <row r="517" spans="1:14" ht="38.25">
      <c r="A517" s="22">
        <v>74</v>
      </c>
      <c r="B517" s="44" t="s">
        <v>930</v>
      </c>
      <c r="C517" s="22"/>
      <c r="D517" s="22"/>
      <c r="E517" s="22">
        <v>2</v>
      </c>
      <c r="F517" s="22">
        <v>2</v>
      </c>
      <c r="G517" s="22">
        <f t="shared" si="11"/>
        <v>0</v>
      </c>
      <c r="H517" s="33">
        <v>850000</v>
      </c>
      <c r="I517" s="33">
        <v>1700000</v>
      </c>
      <c r="J517" s="22" t="s">
        <v>877</v>
      </c>
      <c r="K517" s="22" t="s">
        <v>20</v>
      </c>
      <c r="L517" s="22" t="s">
        <v>95</v>
      </c>
      <c r="M517" s="22" t="s">
        <v>876</v>
      </c>
      <c r="N517" s="45" t="s">
        <v>878</v>
      </c>
    </row>
    <row r="518" spans="1:14" ht="38.25">
      <c r="A518" s="22">
        <v>75</v>
      </c>
      <c r="B518" s="44" t="s">
        <v>931</v>
      </c>
      <c r="C518" s="22"/>
      <c r="D518" s="22"/>
      <c r="E518" s="22">
        <v>1</v>
      </c>
      <c r="F518" s="22">
        <v>1</v>
      </c>
      <c r="G518" s="22">
        <f t="shared" si="11"/>
        <v>0</v>
      </c>
      <c r="H518" s="34">
        <v>2980000</v>
      </c>
      <c r="I518" s="33">
        <v>2980000</v>
      </c>
      <c r="J518" s="22" t="s">
        <v>877</v>
      </c>
      <c r="K518" s="22" t="s">
        <v>20</v>
      </c>
      <c r="L518" s="22" t="s">
        <v>24</v>
      </c>
      <c r="M518" s="22" t="s">
        <v>876</v>
      </c>
      <c r="N518" s="45"/>
    </row>
    <row r="519" spans="1:14" ht="51">
      <c r="A519" s="22">
        <v>76</v>
      </c>
      <c r="B519" s="46" t="s">
        <v>936</v>
      </c>
      <c r="C519" s="22"/>
      <c r="D519" s="22"/>
      <c r="E519" s="22">
        <v>4</v>
      </c>
      <c r="F519" s="22">
        <v>4</v>
      </c>
      <c r="G519" s="22">
        <f t="shared" si="11"/>
        <v>0</v>
      </c>
      <c r="H519" s="35">
        <v>150000</v>
      </c>
      <c r="I519" s="35">
        <v>600000</v>
      </c>
      <c r="J519" s="22" t="s">
        <v>877</v>
      </c>
      <c r="K519" s="22" t="s">
        <v>20</v>
      </c>
      <c r="L519" s="22" t="s">
        <v>24</v>
      </c>
      <c r="M519" s="22" t="s">
        <v>876</v>
      </c>
      <c r="N519" s="45"/>
    </row>
    <row r="520" spans="1:14" ht="63.75">
      <c r="A520" s="22">
        <v>77</v>
      </c>
      <c r="B520" s="44" t="s">
        <v>932</v>
      </c>
      <c r="C520" s="22"/>
      <c r="D520" s="22"/>
      <c r="E520" s="22">
        <v>1</v>
      </c>
      <c r="F520" s="22">
        <v>1</v>
      </c>
      <c r="G520" s="22">
        <f t="shared" si="11"/>
        <v>0</v>
      </c>
      <c r="H520" s="35">
        <v>500000</v>
      </c>
      <c r="I520" s="35">
        <v>500000</v>
      </c>
      <c r="J520" s="22" t="s">
        <v>877</v>
      </c>
      <c r="K520" s="22" t="s">
        <v>20</v>
      </c>
      <c r="L520" s="22" t="s">
        <v>24</v>
      </c>
      <c r="M520" s="22" t="s">
        <v>876</v>
      </c>
      <c r="N520" s="45"/>
    </row>
    <row r="521" spans="1:14" ht="89.25">
      <c r="A521" s="22">
        <v>78</v>
      </c>
      <c r="B521" s="44" t="s">
        <v>933</v>
      </c>
      <c r="C521" s="22"/>
      <c r="D521" s="22"/>
      <c r="E521" s="22">
        <v>2</v>
      </c>
      <c r="F521" s="22">
        <v>2</v>
      </c>
      <c r="G521" s="22">
        <f t="shared" si="11"/>
        <v>0</v>
      </c>
      <c r="H521" s="35">
        <v>2100000</v>
      </c>
      <c r="I521" s="35">
        <v>4200000</v>
      </c>
      <c r="J521" s="22" t="s">
        <v>877</v>
      </c>
      <c r="K521" s="22" t="s">
        <v>20</v>
      </c>
      <c r="L521" s="22" t="s">
        <v>24</v>
      </c>
      <c r="M521" s="22" t="s">
        <v>876</v>
      </c>
      <c r="N521" s="45"/>
    </row>
    <row r="522" spans="1:14" ht="38.25">
      <c r="A522" s="22">
        <v>79</v>
      </c>
      <c r="B522" s="46" t="s">
        <v>934</v>
      </c>
      <c r="C522" s="22"/>
      <c r="D522" s="22"/>
      <c r="E522" s="22">
        <v>1</v>
      </c>
      <c r="F522" s="22">
        <v>1</v>
      </c>
      <c r="G522" s="22">
        <f t="shared" si="11"/>
        <v>0</v>
      </c>
      <c r="H522" s="35">
        <v>6900000</v>
      </c>
      <c r="I522" s="35">
        <v>6900000</v>
      </c>
      <c r="J522" s="22" t="s">
        <v>877</v>
      </c>
      <c r="K522" s="22" t="s">
        <v>20</v>
      </c>
      <c r="L522" s="22" t="s">
        <v>24</v>
      </c>
      <c r="M522" s="22" t="s">
        <v>876</v>
      </c>
      <c r="N522" s="45"/>
    </row>
    <row r="523" spans="1:14" ht="38.25">
      <c r="A523" s="22">
        <v>80</v>
      </c>
      <c r="B523" s="44" t="s">
        <v>935</v>
      </c>
      <c r="C523" s="22"/>
      <c r="D523" s="22"/>
      <c r="E523" s="22">
        <v>1</v>
      </c>
      <c r="F523" s="22">
        <v>1</v>
      </c>
      <c r="G523" s="22">
        <f t="shared" si="11"/>
        <v>0</v>
      </c>
      <c r="H523" s="33">
        <v>0</v>
      </c>
      <c r="I523" s="33">
        <v>0</v>
      </c>
      <c r="J523" s="22" t="s">
        <v>877</v>
      </c>
      <c r="K523" s="22" t="s">
        <v>20</v>
      </c>
      <c r="L523" s="22" t="s">
        <v>24</v>
      </c>
      <c r="M523" s="22" t="s">
        <v>876</v>
      </c>
      <c r="N523" s="45"/>
    </row>
    <row r="524" spans="1:14">
      <c r="A524" s="47"/>
      <c r="B524" s="48"/>
      <c r="C524" s="47"/>
      <c r="D524" s="47"/>
      <c r="E524" s="47"/>
      <c r="F524" s="47"/>
      <c r="G524" s="47"/>
      <c r="H524" s="49"/>
      <c r="I524" s="49"/>
      <c r="J524" s="47"/>
      <c r="K524" s="47"/>
      <c r="L524" s="47"/>
      <c r="M524" s="47"/>
      <c r="N524" s="50"/>
    </row>
    <row r="525" spans="1:14" ht="18" customHeight="1">
      <c r="A525" s="47"/>
      <c r="B525" s="48"/>
      <c r="C525" s="47"/>
      <c r="D525" s="47"/>
      <c r="E525" s="47"/>
      <c r="F525" s="47"/>
      <c r="G525" s="47"/>
      <c r="H525" s="49"/>
      <c r="I525" s="49"/>
      <c r="J525" s="474" t="s">
        <v>965</v>
      </c>
      <c r="K525" s="474"/>
      <c r="L525" s="474"/>
      <c r="M525" s="474"/>
      <c r="N525" s="474"/>
    </row>
    <row r="526" spans="1:14" ht="24.95" customHeight="1">
      <c r="A526" s="475" t="s">
        <v>953</v>
      </c>
      <c r="B526" s="475"/>
      <c r="C526" s="51"/>
      <c r="D526" s="54"/>
      <c r="E526" s="54"/>
      <c r="F526" s="476" t="s">
        <v>959</v>
      </c>
      <c r="G526" s="476"/>
      <c r="H526" s="476"/>
      <c r="I526" s="477" t="s">
        <v>955</v>
      </c>
      <c r="J526" s="477"/>
      <c r="K526" s="477"/>
      <c r="L526" s="476" t="s">
        <v>829</v>
      </c>
      <c r="M526" s="476"/>
      <c r="N526" s="476"/>
    </row>
    <row r="527" spans="1:14" ht="24.95" customHeight="1">
      <c r="A527" s="478" t="s">
        <v>966</v>
      </c>
      <c r="B527" s="478"/>
      <c r="C527" s="478"/>
      <c r="D527" s="51"/>
      <c r="E527" s="51"/>
      <c r="F527" s="51"/>
      <c r="G527" s="51"/>
      <c r="H527" s="52"/>
      <c r="I527" s="52"/>
      <c r="J527" s="51"/>
      <c r="K527" s="51"/>
      <c r="L527" s="51"/>
      <c r="M527" s="51"/>
      <c r="N527" s="53"/>
    </row>
    <row r="528" spans="1:14" ht="24.95" customHeight="1">
      <c r="A528" s="478" t="s">
        <v>961</v>
      </c>
      <c r="B528" s="478"/>
      <c r="C528" s="478"/>
      <c r="D528" s="51"/>
      <c r="E528" s="51"/>
      <c r="F528" s="51"/>
      <c r="G528" s="51"/>
      <c r="H528" s="52"/>
      <c r="I528" s="52"/>
      <c r="J528" s="51"/>
      <c r="K528" s="51"/>
      <c r="L528" s="51"/>
      <c r="M528" s="51"/>
      <c r="N528" s="53"/>
    </row>
    <row r="529" spans="1:14" ht="24.95" customHeight="1">
      <c r="A529" s="478" t="s">
        <v>962</v>
      </c>
      <c r="B529" s="478"/>
      <c r="C529" s="478"/>
      <c r="D529" s="51"/>
      <c r="E529" s="51"/>
      <c r="F529" s="51"/>
      <c r="G529" s="51"/>
      <c r="H529" s="52"/>
      <c r="I529" s="52"/>
      <c r="J529" s="51"/>
      <c r="K529" s="51"/>
      <c r="L529" s="51"/>
      <c r="M529" s="51"/>
      <c r="N529" s="53"/>
    </row>
    <row r="530" spans="1:14" ht="24.95" customHeight="1">
      <c r="A530" s="478" t="s">
        <v>958</v>
      </c>
      <c r="B530" s="478"/>
      <c r="C530" s="478"/>
      <c r="D530" s="51"/>
      <c r="E530" s="51"/>
      <c r="F530" s="476" t="s">
        <v>957</v>
      </c>
      <c r="G530" s="476"/>
      <c r="H530" s="476"/>
      <c r="I530" s="477" t="s">
        <v>956</v>
      </c>
      <c r="J530" s="477"/>
      <c r="K530" s="477"/>
      <c r="L530" s="476" t="s">
        <v>954</v>
      </c>
      <c r="M530" s="476"/>
      <c r="N530" s="476"/>
    </row>
    <row r="531" spans="1:14" ht="24.95" customHeight="1">
      <c r="A531" s="478" t="s">
        <v>963</v>
      </c>
      <c r="B531" s="478"/>
      <c r="C531" s="478"/>
      <c r="D531" s="54"/>
      <c r="E531" s="54"/>
      <c r="F531" s="476"/>
      <c r="G531" s="476"/>
      <c r="H531" s="476"/>
      <c r="I531" s="477"/>
      <c r="J531" s="477"/>
      <c r="K531" s="477"/>
      <c r="L531" s="476"/>
      <c r="M531" s="476"/>
      <c r="N531" s="476"/>
    </row>
    <row r="532" spans="1:14" ht="24.95" customHeight="1">
      <c r="A532" s="262"/>
      <c r="B532" s="262"/>
      <c r="C532" s="262"/>
      <c r="D532" s="261"/>
      <c r="E532" s="261"/>
      <c r="F532" s="261"/>
      <c r="G532" s="261"/>
      <c r="H532" s="263"/>
      <c r="I532" s="263"/>
      <c r="J532" s="263"/>
      <c r="K532" s="261"/>
      <c r="L532" s="261"/>
      <c r="M532" s="261"/>
      <c r="N532" s="261"/>
    </row>
  </sheetData>
  <mergeCells count="106">
    <mergeCell ref="L530:N530"/>
    <mergeCell ref="A531:C531"/>
    <mergeCell ref="F531:H531"/>
    <mergeCell ref="I531:K531"/>
    <mergeCell ref="L531:N531"/>
    <mergeCell ref="A527:C527"/>
    <mergeCell ref="A528:C528"/>
    <mergeCell ref="A529:C529"/>
    <mergeCell ref="A530:C530"/>
    <mergeCell ref="F530:H530"/>
    <mergeCell ref="I530:K530"/>
    <mergeCell ref="B419:N419"/>
    <mergeCell ref="B443:N443"/>
    <mergeCell ref="J525:N525"/>
    <mergeCell ref="A526:B526"/>
    <mergeCell ref="F526:H526"/>
    <mergeCell ref="I526:K526"/>
    <mergeCell ref="L526:N526"/>
    <mergeCell ref="B379:N379"/>
    <mergeCell ref="B382:N382"/>
    <mergeCell ref="B383:N383"/>
    <mergeCell ref="B389:N389"/>
    <mergeCell ref="B412:N412"/>
    <mergeCell ref="B416:N416"/>
    <mergeCell ref="B334:N334"/>
    <mergeCell ref="B346:N346"/>
    <mergeCell ref="B353:N353"/>
    <mergeCell ref="B359:N359"/>
    <mergeCell ref="B364:N364"/>
    <mergeCell ref="B367:N367"/>
    <mergeCell ref="B221:N221"/>
    <mergeCell ref="B228:N228"/>
    <mergeCell ref="B236:N236"/>
    <mergeCell ref="B242:N242"/>
    <mergeCell ref="B322:N322"/>
    <mergeCell ref="B331:N331"/>
    <mergeCell ref="B163:N163"/>
    <mergeCell ref="B165:N165"/>
    <mergeCell ref="B168:N168"/>
    <mergeCell ref="B173:N173"/>
    <mergeCell ref="B183:N183"/>
    <mergeCell ref="B210:N210"/>
    <mergeCell ref="B137:N137"/>
    <mergeCell ref="B139:N139"/>
    <mergeCell ref="B142:N142"/>
    <mergeCell ref="B144:N144"/>
    <mergeCell ref="B150:N150"/>
    <mergeCell ref="B156:N156"/>
    <mergeCell ref="B102:N102"/>
    <mergeCell ref="B108:N108"/>
    <mergeCell ref="B114:N114"/>
    <mergeCell ref="B120:N120"/>
    <mergeCell ref="B124:N124"/>
    <mergeCell ref="B135:N135"/>
    <mergeCell ref="B70:N70"/>
    <mergeCell ref="B74:N74"/>
    <mergeCell ref="B83:N83"/>
    <mergeCell ref="B88:N88"/>
    <mergeCell ref="B92:N92"/>
    <mergeCell ref="B97:N97"/>
    <mergeCell ref="B52:N52"/>
    <mergeCell ref="B53:N53"/>
    <mergeCell ref="B56:N56"/>
    <mergeCell ref="B58:N58"/>
    <mergeCell ref="B60:N60"/>
    <mergeCell ref="B68:N68"/>
    <mergeCell ref="B28:N28"/>
    <mergeCell ref="B35:N35"/>
    <mergeCell ref="B41:N41"/>
    <mergeCell ref="B43:N43"/>
    <mergeCell ref="B47:N47"/>
    <mergeCell ref="B50:N50"/>
    <mergeCell ref="L12:L13"/>
    <mergeCell ref="M12:M13"/>
    <mergeCell ref="N12:N13"/>
    <mergeCell ref="B15:N15"/>
    <mergeCell ref="B16:N16"/>
    <mergeCell ref="B17:N17"/>
    <mergeCell ref="A9:C9"/>
    <mergeCell ref="A10:N10"/>
    <mergeCell ref="A12:A13"/>
    <mergeCell ref="B12:B13"/>
    <mergeCell ref="C12:C13"/>
    <mergeCell ref="D12:D13"/>
    <mergeCell ref="H12:H13"/>
    <mergeCell ref="I12:I13"/>
    <mergeCell ref="J12:J13"/>
    <mergeCell ref="K12:K13"/>
    <mergeCell ref="A8:C8"/>
    <mergeCell ref="E8:I8"/>
    <mergeCell ref="K8:M8"/>
    <mergeCell ref="A5:C5"/>
    <mergeCell ref="E5:I5"/>
    <mergeCell ref="K5:M5"/>
    <mergeCell ref="A6:C6"/>
    <mergeCell ref="E6:I6"/>
    <mergeCell ref="K6:M6"/>
    <mergeCell ref="A1:E1"/>
    <mergeCell ref="K1:N1"/>
    <mergeCell ref="A2:E2"/>
    <mergeCell ref="Z2:AJ2"/>
    <mergeCell ref="A3:N3"/>
    <mergeCell ref="A4:N4"/>
    <mergeCell ref="A7:C7"/>
    <mergeCell ref="E7:I7"/>
    <mergeCell ref="K7:M7"/>
  </mergeCells>
  <pageMargins left="0.5" right="0.1" top="0.5" bottom="0.4" header="0" footer="0"/>
  <pageSetup paperSize="9" orientation="landscape" r:id="rId1"/>
  <headerFooter differentFirst="1"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0"/>
  <sheetViews>
    <sheetView showWhiteSpace="0" topLeftCell="A625" zoomScaleNormal="100" zoomScaleSheetLayoutView="78" zoomScalePageLayoutView="84" workbookViewId="0">
      <selection activeCell="H646" sqref="H646"/>
    </sheetView>
  </sheetViews>
  <sheetFormatPr defaultColWidth="9.140625" defaultRowHeight="13.5"/>
  <cols>
    <col min="1" max="1" width="4.5703125" style="64" customWidth="1"/>
    <col min="2" max="2" width="22.7109375" style="65" customWidth="1"/>
    <col min="3" max="3" width="9.42578125" style="60" customWidth="1"/>
    <col min="4" max="4" width="6.42578125" style="64" customWidth="1"/>
    <col min="5" max="6" width="5.85546875" style="64" customWidth="1"/>
    <col min="7" max="7" width="6.42578125" style="143" customWidth="1"/>
    <col min="8" max="9" width="13.140625" style="144" customWidth="1"/>
    <col min="10" max="10" width="8" style="68" customWidth="1"/>
    <col min="11" max="11" width="10.7109375" style="60" customWidth="1"/>
    <col min="12" max="12" width="9.7109375" style="60" customWidth="1"/>
    <col min="13" max="13" width="9" style="69" customWidth="1"/>
    <col min="14" max="14" width="13" style="64" customWidth="1"/>
    <col min="15" max="15" width="9.7109375" style="60" bestFit="1" customWidth="1"/>
    <col min="16" max="16384" width="9.140625" style="60"/>
  </cols>
  <sheetData>
    <row r="1" spans="1:14" ht="15.75" customHeight="1">
      <c r="A1" s="481" t="s">
        <v>818</v>
      </c>
      <c r="B1" s="481"/>
      <c r="C1" s="481"/>
      <c r="D1" s="481"/>
      <c r="E1" s="481"/>
      <c r="F1" s="57"/>
      <c r="G1" s="58"/>
      <c r="H1" s="59"/>
      <c r="I1" s="59"/>
      <c r="J1" s="270"/>
      <c r="K1" s="482" t="s">
        <v>819</v>
      </c>
      <c r="L1" s="482"/>
      <c r="M1" s="482"/>
      <c r="N1" s="482"/>
    </row>
    <row r="2" spans="1:14" ht="15" customHeight="1">
      <c r="A2" s="481" t="s">
        <v>820</v>
      </c>
      <c r="B2" s="481"/>
      <c r="C2" s="481"/>
      <c r="D2" s="481"/>
      <c r="E2" s="481"/>
      <c r="F2" s="57"/>
      <c r="G2" s="58"/>
      <c r="H2" s="61"/>
      <c r="I2" s="61"/>
      <c r="J2" s="58"/>
      <c r="K2" s="58"/>
      <c r="L2" s="58"/>
      <c r="M2" s="58"/>
      <c r="N2" s="58"/>
    </row>
    <row r="3" spans="1:14" ht="46.5" customHeight="1">
      <c r="A3" s="483" t="s">
        <v>967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</row>
    <row r="4" spans="1:14" s="62" customFormat="1" ht="18" customHeight="1">
      <c r="A4" s="484" t="s">
        <v>968</v>
      </c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</row>
    <row r="5" spans="1:14" s="62" customFormat="1" ht="15" customHeight="1">
      <c r="A5" s="479" t="s">
        <v>821</v>
      </c>
      <c r="B5" s="479"/>
      <c r="C5" s="479"/>
      <c r="D5" s="268"/>
      <c r="E5" s="480" t="s">
        <v>822</v>
      </c>
      <c r="F5" s="480"/>
      <c r="G5" s="480"/>
      <c r="H5" s="480"/>
      <c r="I5" s="480"/>
      <c r="J5" s="269"/>
      <c r="K5" s="479" t="s">
        <v>829</v>
      </c>
      <c r="L5" s="479"/>
      <c r="M5" s="479"/>
      <c r="N5" s="269"/>
    </row>
    <row r="6" spans="1:14" s="62" customFormat="1" ht="15" customHeight="1">
      <c r="A6" s="479" t="s">
        <v>949</v>
      </c>
      <c r="B6" s="479"/>
      <c r="C6" s="479"/>
      <c r="D6" s="268"/>
      <c r="E6" s="480" t="s">
        <v>824</v>
      </c>
      <c r="F6" s="480"/>
      <c r="G6" s="480"/>
      <c r="H6" s="480"/>
      <c r="I6" s="480"/>
      <c r="J6" s="269"/>
      <c r="K6" s="479" t="s">
        <v>823</v>
      </c>
      <c r="L6" s="479"/>
      <c r="M6" s="479"/>
      <c r="N6" s="269"/>
    </row>
    <row r="7" spans="1:14" s="62" customFormat="1" ht="16.899999999999999" customHeight="1">
      <c r="A7" s="479" t="s">
        <v>950</v>
      </c>
      <c r="B7" s="479"/>
      <c r="C7" s="479"/>
      <c r="D7" s="268"/>
      <c r="E7" s="480" t="s">
        <v>969</v>
      </c>
      <c r="F7" s="480"/>
      <c r="G7" s="480"/>
      <c r="H7" s="480"/>
      <c r="I7" s="480"/>
      <c r="J7" s="269"/>
      <c r="K7" s="479" t="s">
        <v>826</v>
      </c>
      <c r="L7" s="479"/>
      <c r="M7" s="479"/>
      <c r="N7" s="269"/>
    </row>
    <row r="8" spans="1:14" s="62" customFormat="1" ht="15" customHeight="1">
      <c r="A8" s="479" t="s">
        <v>970</v>
      </c>
      <c r="B8" s="479"/>
      <c r="C8" s="479"/>
      <c r="D8" s="268"/>
      <c r="E8" s="480" t="s">
        <v>971</v>
      </c>
      <c r="F8" s="480"/>
      <c r="G8" s="480"/>
      <c r="H8" s="480"/>
      <c r="I8" s="480"/>
      <c r="J8" s="269"/>
      <c r="K8" s="479" t="s">
        <v>830</v>
      </c>
      <c r="L8" s="479"/>
      <c r="M8" s="479"/>
      <c r="N8" s="269"/>
    </row>
    <row r="9" spans="1:14" s="62" customFormat="1" ht="15" customHeight="1">
      <c r="A9" s="479" t="s">
        <v>952</v>
      </c>
      <c r="B9" s="479"/>
      <c r="C9" s="479"/>
      <c r="D9" s="63"/>
      <c r="E9" s="63"/>
      <c r="F9" s="269"/>
      <c r="G9" s="269"/>
      <c r="H9" s="61"/>
      <c r="I9" s="61"/>
      <c r="J9" s="269"/>
      <c r="K9" s="269"/>
      <c r="L9" s="269"/>
      <c r="M9" s="269"/>
      <c r="N9" s="269"/>
    </row>
    <row r="10" spans="1:14" s="62" customFormat="1" ht="15.75" customHeight="1">
      <c r="A10" s="479" t="s">
        <v>827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9"/>
    </row>
    <row r="11" spans="1:14" ht="12.75" customHeight="1">
      <c r="G11" s="66"/>
      <c r="H11" s="67"/>
      <c r="I11" s="67"/>
    </row>
    <row r="12" spans="1:14" s="70" customFormat="1" ht="38.25">
      <c r="A12" s="487" t="s">
        <v>0</v>
      </c>
      <c r="B12" s="487" t="s">
        <v>972</v>
      </c>
      <c r="C12" s="487" t="s">
        <v>973</v>
      </c>
      <c r="D12" s="487" t="s">
        <v>974</v>
      </c>
      <c r="E12" s="273" t="s">
        <v>4</v>
      </c>
      <c r="F12" s="272" t="s">
        <v>975</v>
      </c>
      <c r="G12" s="272" t="s">
        <v>6</v>
      </c>
      <c r="H12" s="486" t="s">
        <v>7</v>
      </c>
      <c r="I12" s="486" t="s">
        <v>8</v>
      </c>
      <c r="J12" s="487" t="s">
        <v>9</v>
      </c>
      <c r="K12" s="487" t="s">
        <v>10</v>
      </c>
      <c r="L12" s="487" t="s">
        <v>11</v>
      </c>
      <c r="M12" s="487" t="s">
        <v>12</v>
      </c>
      <c r="N12" s="487" t="s">
        <v>976</v>
      </c>
    </row>
    <row r="13" spans="1:14" s="70" customFormat="1" ht="12">
      <c r="A13" s="487"/>
      <c r="B13" s="487"/>
      <c r="C13" s="487"/>
      <c r="D13" s="487"/>
      <c r="E13" s="487" t="s">
        <v>14</v>
      </c>
      <c r="F13" s="487" t="s">
        <v>14</v>
      </c>
      <c r="G13" s="487" t="s">
        <v>14</v>
      </c>
      <c r="H13" s="486"/>
      <c r="I13" s="486"/>
      <c r="J13" s="488"/>
      <c r="K13" s="488"/>
      <c r="L13" s="487"/>
      <c r="M13" s="487"/>
      <c r="N13" s="489"/>
    </row>
    <row r="14" spans="1:14" s="70" customFormat="1" ht="12">
      <c r="A14" s="487"/>
      <c r="B14" s="487"/>
      <c r="C14" s="487"/>
      <c r="D14" s="487"/>
      <c r="E14" s="487"/>
      <c r="F14" s="487"/>
      <c r="G14" s="487"/>
      <c r="H14" s="486"/>
      <c r="I14" s="486"/>
      <c r="J14" s="488"/>
      <c r="K14" s="488"/>
      <c r="L14" s="487"/>
      <c r="M14" s="487"/>
      <c r="N14" s="489"/>
    </row>
    <row r="15" spans="1:14" s="70" customFormat="1" ht="12">
      <c r="A15" s="487"/>
      <c r="B15" s="487"/>
      <c r="C15" s="487"/>
      <c r="D15" s="487"/>
      <c r="E15" s="487"/>
      <c r="F15" s="487"/>
      <c r="G15" s="487"/>
      <c r="H15" s="486"/>
      <c r="I15" s="486"/>
      <c r="J15" s="488"/>
      <c r="K15" s="488"/>
      <c r="L15" s="487"/>
      <c r="M15" s="487"/>
      <c r="N15" s="489"/>
    </row>
    <row r="16" spans="1:14" s="71" customFormat="1" ht="20.100000000000001" customHeight="1">
      <c r="A16" s="273" t="s">
        <v>15</v>
      </c>
      <c r="B16" s="273" t="s">
        <v>16</v>
      </c>
      <c r="C16" s="273" t="s">
        <v>17</v>
      </c>
      <c r="D16" s="273" t="s">
        <v>18</v>
      </c>
      <c r="E16" s="273">
        <v>1</v>
      </c>
      <c r="F16" s="273">
        <v>2</v>
      </c>
      <c r="G16" s="272">
        <v>3</v>
      </c>
      <c r="H16" s="272">
        <v>4</v>
      </c>
      <c r="I16" s="272">
        <v>5</v>
      </c>
      <c r="J16" s="273">
        <v>6</v>
      </c>
      <c r="K16" s="273">
        <v>7</v>
      </c>
      <c r="L16" s="273">
        <v>8</v>
      </c>
      <c r="M16" s="273">
        <v>9</v>
      </c>
      <c r="N16" s="273">
        <v>10</v>
      </c>
    </row>
    <row r="17" spans="1:14" s="71" customFormat="1" ht="20.100000000000001" customHeight="1">
      <c r="A17" s="273"/>
      <c r="B17" s="490" t="s">
        <v>977</v>
      </c>
      <c r="C17" s="490"/>
      <c r="D17" s="490"/>
      <c r="E17" s="490"/>
      <c r="F17" s="490"/>
      <c r="G17" s="490"/>
      <c r="H17" s="490"/>
      <c r="I17" s="490"/>
      <c r="J17" s="490"/>
      <c r="K17" s="490"/>
      <c r="L17" s="490"/>
      <c r="M17" s="490"/>
      <c r="N17" s="490"/>
    </row>
    <row r="18" spans="1:14" s="75" customFormat="1" ht="51">
      <c r="A18" s="485">
        <v>1</v>
      </c>
      <c r="B18" s="72" t="s">
        <v>978</v>
      </c>
      <c r="C18" s="271" t="s">
        <v>979</v>
      </c>
      <c r="D18" s="271">
        <v>2006</v>
      </c>
      <c r="E18" s="271">
        <v>1</v>
      </c>
      <c r="F18" s="271">
        <v>1</v>
      </c>
      <c r="G18" s="73">
        <f>F18-E18</f>
        <v>0</v>
      </c>
      <c r="H18" s="272"/>
      <c r="I18" s="272"/>
      <c r="J18" s="74" t="s">
        <v>980</v>
      </c>
      <c r="K18" s="271" t="s">
        <v>981</v>
      </c>
      <c r="L18" s="271" t="s">
        <v>641</v>
      </c>
      <c r="M18" s="271" t="s">
        <v>54</v>
      </c>
      <c r="N18" s="271" t="s">
        <v>982</v>
      </c>
    </row>
    <row r="19" spans="1:14" s="75" customFormat="1" ht="15" customHeight="1">
      <c r="A19" s="485"/>
      <c r="B19" s="72" t="s">
        <v>983</v>
      </c>
      <c r="C19" s="273"/>
      <c r="D19" s="271"/>
      <c r="E19" s="271"/>
      <c r="F19" s="273"/>
      <c r="G19" s="73"/>
      <c r="H19" s="272"/>
      <c r="I19" s="272"/>
      <c r="J19" s="74"/>
      <c r="K19" s="273"/>
      <c r="L19" s="271"/>
      <c r="M19" s="271"/>
      <c r="N19" s="271"/>
    </row>
    <row r="20" spans="1:14" s="75" customFormat="1" ht="15" customHeight="1">
      <c r="A20" s="485"/>
      <c r="B20" s="72" t="s">
        <v>984</v>
      </c>
      <c r="C20" s="273"/>
      <c r="D20" s="271"/>
      <c r="E20" s="271"/>
      <c r="F20" s="273"/>
      <c r="G20" s="73"/>
      <c r="H20" s="272"/>
      <c r="I20" s="272"/>
      <c r="J20" s="74"/>
      <c r="K20" s="273"/>
      <c r="L20" s="271" t="s">
        <v>95</v>
      </c>
      <c r="M20" s="271"/>
      <c r="N20" s="271"/>
    </row>
    <row r="21" spans="1:14" s="75" customFormat="1" ht="15" customHeight="1">
      <c r="A21" s="485"/>
      <c r="B21" s="72" t="s">
        <v>985</v>
      </c>
      <c r="C21" s="273"/>
      <c r="D21" s="271"/>
      <c r="E21" s="271"/>
      <c r="F21" s="273"/>
      <c r="G21" s="73"/>
      <c r="H21" s="272"/>
      <c r="I21" s="272"/>
      <c r="J21" s="74"/>
      <c r="K21" s="273"/>
      <c r="L21" s="271"/>
      <c r="M21" s="271"/>
      <c r="N21" s="271"/>
    </row>
    <row r="22" spans="1:14" s="75" customFormat="1" ht="15" customHeight="1">
      <c r="A22" s="485"/>
      <c r="B22" s="72" t="s">
        <v>986</v>
      </c>
      <c r="C22" s="273"/>
      <c r="D22" s="271"/>
      <c r="E22" s="271"/>
      <c r="F22" s="273"/>
      <c r="G22" s="73"/>
      <c r="H22" s="272"/>
      <c r="I22" s="272"/>
      <c r="J22" s="74"/>
      <c r="K22" s="273"/>
      <c r="L22" s="271"/>
      <c r="M22" s="271"/>
      <c r="N22" s="271"/>
    </row>
    <row r="23" spans="1:14" s="75" customFormat="1" ht="51">
      <c r="A23" s="271">
        <v>2</v>
      </c>
      <c r="B23" s="72" t="s">
        <v>987</v>
      </c>
      <c r="C23" s="271" t="s">
        <v>988</v>
      </c>
      <c r="D23" s="271">
        <v>2010</v>
      </c>
      <c r="E23" s="271">
        <v>1</v>
      </c>
      <c r="F23" s="271">
        <v>1</v>
      </c>
      <c r="G23" s="73">
        <f>F23-E23</f>
        <v>0</v>
      </c>
      <c r="H23" s="272"/>
      <c r="I23" s="272"/>
      <c r="J23" s="74" t="s">
        <v>980</v>
      </c>
      <c r="K23" s="271" t="s">
        <v>981</v>
      </c>
      <c r="L23" s="271" t="s">
        <v>641</v>
      </c>
      <c r="M23" s="271" t="s">
        <v>54</v>
      </c>
      <c r="N23" s="271" t="s">
        <v>982</v>
      </c>
    </row>
    <row r="24" spans="1:14" s="75" customFormat="1" ht="51">
      <c r="A24" s="271">
        <v>3</v>
      </c>
      <c r="B24" s="72" t="s">
        <v>989</v>
      </c>
      <c r="C24" s="271" t="s">
        <v>990</v>
      </c>
      <c r="D24" s="271">
        <v>2010</v>
      </c>
      <c r="E24" s="271">
        <v>1</v>
      </c>
      <c r="F24" s="271">
        <v>1</v>
      </c>
      <c r="G24" s="73">
        <f t="shared" ref="G24:G87" si="0">F24-E24</f>
        <v>0</v>
      </c>
      <c r="H24" s="272"/>
      <c r="I24" s="272"/>
      <c r="J24" s="74" t="s">
        <v>980</v>
      </c>
      <c r="K24" s="271" t="s">
        <v>981</v>
      </c>
      <c r="L24" s="271" t="s">
        <v>991</v>
      </c>
      <c r="M24" s="271" t="s">
        <v>54</v>
      </c>
      <c r="N24" s="271" t="s">
        <v>992</v>
      </c>
    </row>
    <row r="25" spans="1:14" s="75" customFormat="1" ht="51">
      <c r="A25" s="271">
        <v>4</v>
      </c>
      <c r="B25" s="72" t="s">
        <v>993</v>
      </c>
      <c r="C25" s="271" t="s">
        <v>994</v>
      </c>
      <c r="D25" s="271">
        <v>2003</v>
      </c>
      <c r="E25" s="271">
        <v>1</v>
      </c>
      <c r="F25" s="271">
        <v>1</v>
      </c>
      <c r="G25" s="73">
        <f t="shared" si="0"/>
        <v>0</v>
      </c>
      <c r="H25" s="76">
        <v>30597300</v>
      </c>
      <c r="I25" s="76">
        <v>30597300</v>
      </c>
      <c r="J25" s="74" t="s">
        <v>980</v>
      </c>
      <c r="K25" s="271" t="s">
        <v>981</v>
      </c>
      <c r="L25" s="271" t="s">
        <v>641</v>
      </c>
      <c r="M25" s="271" t="s">
        <v>54</v>
      </c>
      <c r="N25" s="271" t="s">
        <v>982</v>
      </c>
    </row>
    <row r="26" spans="1:14" s="75" customFormat="1" ht="51">
      <c r="A26" s="271">
        <v>5</v>
      </c>
      <c r="B26" s="72" t="s">
        <v>995</v>
      </c>
      <c r="C26" s="271" t="s">
        <v>996</v>
      </c>
      <c r="D26" s="271">
        <v>2004</v>
      </c>
      <c r="E26" s="271">
        <v>1</v>
      </c>
      <c r="F26" s="271">
        <v>1</v>
      </c>
      <c r="G26" s="73">
        <f t="shared" si="0"/>
        <v>0</v>
      </c>
      <c r="H26" s="76">
        <v>101900000</v>
      </c>
      <c r="I26" s="76">
        <v>101900000</v>
      </c>
      <c r="J26" s="74" t="s">
        <v>980</v>
      </c>
      <c r="K26" s="271" t="s">
        <v>981</v>
      </c>
      <c r="L26" s="271" t="s">
        <v>641</v>
      </c>
      <c r="M26" s="271" t="s">
        <v>54</v>
      </c>
      <c r="N26" s="271" t="s">
        <v>982</v>
      </c>
    </row>
    <row r="27" spans="1:14" s="75" customFormat="1" ht="51">
      <c r="A27" s="271">
        <v>6</v>
      </c>
      <c r="B27" s="72" t="s">
        <v>997</v>
      </c>
      <c r="C27" s="271" t="s">
        <v>998</v>
      </c>
      <c r="D27" s="271">
        <v>1998</v>
      </c>
      <c r="E27" s="271">
        <v>1</v>
      </c>
      <c r="F27" s="271">
        <v>1</v>
      </c>
      <c r="G27" s="73">
        <f t="shared" si="0"/>
        <v>0</v>
      </c>
      <c r="H27" s="76">
        <v>14545600</v>
      </c>
      <c r="I27" s="76">
        <v>14545600</v>
      </c>
      <c r="J27" s="74" t="s">
        <v>980</v>
      </c>
      <c r="K27" s="271" t="s">
        <v>981</v>
      </c>
      <c r="L27" s="271" t="s">
        <v>641</v>
      </c>
      <c r="M27" s="271" t="s">
        <v>54</v>
      </c>
      <c r="N27" s="271" t="s">
        <v>982</v>
      </c>
    </row>
    <row r="28" spans="1:14" s="75" customFormat="1" ht="51">
      <c r="A28" s="271">
        <v>7</v>
      </c>
      <c r="B28" s="72" t="s">
        <v>999</v>
      </c>
      <c r="C28" s="271" t="s">
        <v>1000</v>
      </c>
      <c r="D28" s="271">
        <v>2004</v>
      </c>
      <c r="E28" s="271">
        <v>1</v>
      </c>
      <c r="F28" s="271">
        <v>1</v>
      </c>
      <c r="G28" s="73">
        <f t="shared" si="0"/>
        <v>0</v>
      </c>
      <c r="H28" s="76">
        <v>33800000</v>
      </c>
      <c r="I28" s="76">
        <v>33800000</v>
      </c>
      <c r="J28" s="74" t="s">
        <v>980</v>
      </c>
      <c r="K28" s="271" t="s">
        <v>981</v>
      </c>
      <c r="L28" s="271" t="s">
        <v>641</v>
      </c>
      <c r="M28" s="271" t="s">
        <v>54</v>
      </c>
      <c r="N28" s="271" t="s">
        <v>982</v>
      </c>
    </row>
    <row r="29" spans="1:14" s="75" customFormat="1" ht="76.5">
      <c r="A29" s="271">
        <v>8</v>
      </c>
      <c r="B29" s="72" t="s">
        <v>1001</v>
      </c>
      <c r="C29" s="271" t="s">
        <v>1002</v>
      </c>
      <c r="D29" s="271">
        <v>2002</v>
      </c>
      <c r="E29" s="271">
        <v>1</v>
      </c>
      <c r="F29" s="271">
        <v>1</v>
      </c>
      <c r="G29" s="73">
        <f t="shared" si="0"/>
        <v>0</v>
      </c>
      <c r="H29" s="76">
        <v>102200000</v>
      </c>
      <c r="I29" s="76">
        <v>102200000</v>
      </c>
      <c r="J29" s="74" t="s">
        <v>980</v>
      </c>
      <c r="K29" s="271" t="s">
        <v>981</v>
      </c>
      <c r="L29" s="271" t="s">
        <v>1003</v>
      </c>
      <c r="M29" s="271" t="s">
        <v>54</v>
      </c>
      <c r="N29" s="271" t="s">
        <v>1004</v>
      </c>
    </row>
    <row r="30" spans="1:14" s="75" customFormat="1" ht="51">
      <c r="A30" s="271">
        <v>9</v>
      </c>
      <c r="B30" s="72" t="s">
        <v>1005</v>
      </c>
      <c r="C30" s="271" t="s">
        <v>1006</v>
      </c>
      <c r="D30" s="271">
        <v>2003</v>
      </c>
      <c r="E30" s="271">
        <v>1</v>
      </c>
      <c r="F30" s="271">
        <v>1</v>
      </c>
      <c r="G30" s="73">
        <f t="shared" si="0"/>
        <v>0</v>
      </c>
      <c r="H30" s="76">
        <v>50000000</v>
      </c>
      <c r="I30" s="76">
        <v>50000000</v>
      </c>
      <c r="J30" s="74" t="s">
        <v>980</v>
      </c>
      <c r="K30" s="271" t="s">
        <v>981</v>
      </c>
      <c r="L30" s="271" t="s">
        <v>641</v>
      </c>
      <c r="M30" s="271" t="s">
        <v>54</v>
      </c>
      <c r="N30" s="271" t="s">
        <v>982</v>
      </c>
    </row>
    <row r="31" spans="1:14" s="75" customFormat="1" ht="51">
      <c r="A31" s="271">
        <v>10</v>
      </c>
      <c r="B31" s="72" t="s">
        <v>1007</v>
      </c>
      <c r="C31" s="271" t="s">
        <v>1008</v>
      </c>
      <c r="D31" s="271">
        <v>1998</v>
      </c>
      <c r="E31" s="271">
        <v>1</v>
      </c>
      <c r="F31" s="271">
        <v>1</v>
      </c>
      <c r="G31" s="73">
        <f t="shared" si="0"/>
        <v>0</v>
      </c>
      <c r="H31" s="76">
        <v>10044000</v>
      </c>
      <c r="I31" s="76">
        <v>10044000</v>
      </c>
      <c r="J31" s="74" t="s">
        <v>980</v>
      </c>
      <c r="K31" s="271" t="s">
        <v>981</v>
      </c>
      <c r="L31" s="271" t="s">
        <v>641</v>
      </c>
      <c r="M31" s="271" t="s">
        <v>54</v>
      </c>
      <c r="N31" s="271" t="s">
        <v>982</v>
      </c>
    </row>
    <row r="32" spans="1:14" s="75" customFormat="1" ht="51">
      <c r="A32" s="271">
        <v>11</v>
      </c>
      <c r="B32" s="74" t="s">
        <v>1009</v>
      </c>
      <c r="C32" s="271" t="s">
        <v>1010</v>
      </c>
      <c r="D32" s="77">
        <v>2012</v>
      </c>
      <c r="E32" s="271">
        <v>1</v>
      </c>
      <c r="F32" s="271">
        <v>1</v>
      </c>
      <c r="G32" s="73">
        <f t="shared" si="0"/>
        <v>0</v>
      </c>
      <c r="H32" s="76">
        <v>645500000</v>
      </c>
      <c r="I32" s="76">
        <v>645500000</v>
      </c>
      <c r="J32" s="74" t="s">
        <v>980</v>
      </c>
      <c r="K32" s="78" t="s">
        <v>1011</v>
      </c>
      <c r="L32" s="271" t="s">
        <v>232</v>
      </c>
      <c r="M32" s="271" t="s">
        <v>54</v>
      </c>
      <c r="N32" s="271" t="s">
        <v>982</v>
      </c>
    </row>
    <row r="33" spans="1:14" s="75" customFormat="1" ht="51">
      <c r="A33" s="271">
        <v>12</v>
      </c>
      <c r="B33" s="72" t="s">
        <v>1012</v>
      </c>
      <c r="C33" s="271" t="s">
        <v>1013</v>
      </c>
      <c r="D33" s="271">
        <v>2014</v>
      </c>
      <c r="E33" s="271">
        <v>1</v>
      </c>
      <c r="F33" s="271">
        <v>1</v>
      </c>
      <c r="G33" s="73">
        <f t="shared" si="0"/>
        <v>0</v>
      </c>
      <c r="H33" s="76">
        <v>550000000</v>
      </c>
      <c r="I33" s="76">
        <v>550000000</v>
      </c>
      <c r="J33" s="74" t="s">
        <v>980</v>
      </c>
      <c r="K33" s="74" t="s">
        <v>1014</v>
      </c>
      <c r="L33" s="271" t="s">
        <v>641</v>
      </c>
      <c r="M33" s="271" t="s">
        <v>54</v>
      </c>
      <c r="N33" s="271" t="s">
        <v>982</v>
      </c>
    </row>
    <row r="34" spans="1:14" s="75" customFormat="1" ht="51">
      <c r="A34" s="271">
        <v>13</v>
      </c>
      <c r="B34" s="72" t="s">
        <v>1015</v>
      </c>
      <c r="C34" s="271" t="s">
        <v>1016</v>
      </c>
      <c r="D34" s="271">
        <v>2016</v>
      </c>
      <c r="E34" s="271">
        <v>1</v>
      </c>
      <c r="F34" s="271">
        <v>1</v>
      </c>
      <c r="G34" s="73">
        <f t="shared" si="0"/>
        <v>0</v>
      </c>
      <c r="H34" s="76">
        <v>87350000</v>
      </c>
      <c r="I34" s="76">
        <v>87350000</v>
      </c>
      <c r="J34" s="74" t="s">
        <v>980</v>
      </c>
      <c r="K34" s="72" t="s">
        <v>1017</v>
      </c>
      <c r="L34" s="271" t="s">
        <v>641</v>
      </c>
      <c r="M34" s="271" t="s">
        <v>54</v>
      </c>
      <c r="N34" s="271" t="s">
        <v>982</v>
      </c>
    </row>
    <row r="35" spans="1:14" s="75" customFormat="1" ht="51">
      <c r="A35" s="271">
        <v>14</v>
      </c>
      <c r="B35" s="72" t="s">
        <v>1018</v>
      </c>
      <c r="C35" s="271" t="s">
        <v>1019</v>
      </c>
      <c r="D35" s="79">
        <v>2010</v>
      </c>
      <c r="E35" s="79">
        <v>1</v>
      </c>
      <c r="F35" s="79">
        <v>1</v>
      </c>
      <c r="G35" s="73">
        <f t="shared" si="0"/>
        <v>0</v>
      </c>
      <c r="H35" s="80">
        <v>349013333</v>
      </c>
      <c r="I35" s="80">
        <v>349013333</v>
      </c>
      <c r="J35" s="74" t="s">
        <v>980</v>
      </c>
      <c r="K35" s="72" t="s">
        <v>1020</v>
      </c>
      <c r="L35" s="271" t="s">
        <v>641</v>
      </c>
      <c r="M35" s="271" t="s">
        <v>54</v>
      </c>
      <c r="N35" s="271" t="s">
        <v>982</v>
      </c>
    </row>
    <row r="36" spans="1:14" s="75" customFormat="1" ht="51">
      <c r="A36" s="271">
        <v>15</v>
      </c>
      <c r="B36" s="72" t="s">
        <v>1021</v>
      </c>
      <c r="C36" s="271" t="s">
        <v>1022</v>
      </c>
      <c r="D36" s="79">
        <v>2010</v>
      </c>
      <c r="E36" s="79">
        <v>1</v>
      </c>
      <c r="F36" s="79">
        <v>1</v>
      </c>
      <c r="G36" s="73">
        <f t="shared" si="0"/>
        <v>0</v>
      </c>
      <c r="H36" s="80">
        <v>130370533</v>
      </c>
      <c r="I36" s="80">
        <v>130370533</v>
      </c>
      <c r="J36" s="74" t="s">
        <v>980</v>
      </c>
      <c r="K36" s="72" t="s">
        <v>1020</v>
      </c>
      <c r="L36" s="271" t="s">
        <v>641</v>
      </c>
      <c r="M36" s="271" t="s">
        <v>54</v>
      </c>
      <c r="N36" s="271" t="s">
        <v>982</v>
      </c>
    </row>
    <row r="37" spans="1:14" s="75" customFormat="1" ht="51">
      <c r="A37" s="271">
        <v>16</v>
      </c>
      <c r="B37" s="72" t="s">
        <v>1023</v>
      </c>
      <c r="C37" s="271" t="s">
        <v>1024</v>
      </c>
      <c r="D37" s="79">
        <v>2010</v>
      </c>
      <c r="E37" s="79">
        <v>1</v>
      </c>
      <c r="F37" s="79">
        <v>1</v>
      </c>
      <c r="G37" s="73">
        <f t="shared" si="0"/>
        <v>0</v>
      </c>
      <c r="H37" s="80">
        <v>38246344</v>
      </c>
      <c r="I37" s="80">
        <v>38246344</v>
      </c>
      <c r="J37" s="74" t="s">
        <v>980</v>
      </c>
      <c r="K37" s="72" t="s">
        <v>1020</v>
      </c>
      <c r="L37" s="271" t="s">
        <v>641</v>
      </c>
      <c r="M37" s="271" t="s">
        <v>54</v>
      </c>
      <c r="N37" s="271" t="s">
        <v>982</v>
      </c>
    </row>
    <row r="38" spans="1:14" s="75" customFormat="1" ht="51">
      <c r="A38" s="271">
        <v>17</v>
      </c>
      <c r="B38" s="72" t="s">
        <v>1025</v>
      </c>
      <c r="C38" s="271" t="s">
        <v>1026</v>
      </c>
      <c r="D38" s="79">
        <v>2010</v>
      </c>
      <c r="E38" s="79">
        <v>2</v>
      </c>
      <c r="F38" s="79">
        <v>2</v>
      </c>
      <c r="G38" s="73">
        <f t="shared" si="0"/>
        <v>0</v>
      </c>
      <c r="H38" s="80">
        <v>46994835.5</v>
      </c>
      <c r="I38" s="80">
        <f>93989671</f>
        <v>93989671</v>
      </c>
      <c r="J38" s="74" t="s">
        <v>980</v>
      </c>
      <c r="K38" s="72" t="s">
        <v>1020</v>
      </c>
      <c r="L38" s="271" t="s">
        <v>641</v>
      </c>
      <c r="M38" s="271" t="s">
        <v>54</v>
      </c>
      <c r="N38" s="271" t="s">
        <v>1027</v>
      </c>
    </row>
    <row r="39" spans="1:14" s="75" customFormat="1" ht="51">
      <c r="A39" s="271">
        <v>18</v>
      </c>
      <c r="B39" s="72" t="s">
        <v>1028</v>
      </c>
      <c r="C39" s="271" t="s">
        <v>1029</v>
      </c>
      <c r="D39" s="79">
        <v>2010</v>
      </c>
      <c r="E39" s="79">
        <v>1</v>
      </c>
      <c r="F39" s="79">
        <v>1</v>
      </c>
      <c r="G39" s="73">
        <f t="shared" si="0"/>
        <v>0</v>
      </c>
      <c r="H39" s="80">
        <v>16117809</v>
      </c>
      <c r="I39" s="80">
        <v>16117809</v>
      </c>
      <c r="J39" s="74" t="s">
        <v>980</v>
      </c>
      <c r="K39" s="72" t="s">
        <v>1020</v>
      </c>
      <c r="L39" s="271" t="s">
        <v>641</v>
      </c>
      <c r="M39" s="271" t="s">
        <v>54</v>
      </c>
      <c r="N39" s="271" t="s">
        <v>982</v>
      </c>
    </row>
    <row r="40" spans="1:14" s="75" customFormat="1" ht="51">
      <c r="A40" s="271">
        <v>19</v>
      </c>
      <c r="B40" s="72" t="s">
        <v>1030</v>
      </c>
      <c r="C40" s="271" t="s">
        <v>1031</v>
      </c>
      <c r="D40" s="79">
        <v>2010</v>
      </c>
      <c r="E40" s="79">
        <v>1</v>
      </c>
      <c r="F40" s="79">
        <v>1</v>
      </c>
      <c r="G40" s="73">
        <f t="shared" si="0"/>
        <v>0</v>
      </c>
      <c r="H40" s="80">
        <v>135931857</v>
      </c>
      <c r="I40" s="80">
        <v>135931857</v>
      </c>
      <c r="J40" s="74" t="s">
        <v>980</v>
      </c>
      <c r="K40" s="72" t="s">
        <v>1020</v>
      </c>
      <c r="L40" s="271" t="s">
        <v>641</v>
      </c>
      <c r="M40" s="271" t="s">
        <v>54</v>
      </c>
      <c r="N40" s="271" t="s">
        <v>982</v>
      </c>
    </row>
    <row r="41" spans="1:14" s="75" customFormat="1" ht="51">
      <c r="A41" s="271">
        <v>20</v>
      </c>
      <c r="B41" s="72" t="s">
        <v>1032</v>
      </c>
      <c r="C41" s="271" t="s">
        <v>1033</v>
      </c>
      <c r="D41" s="271">
        <v>2010</v>
      </c>
      <c r="E41" s="271">
        <v>1</v>
      </c>
      <c r="F41" s="271">
        <v>1</v>
      </c>
      <c r="G41" s="73">
        <f t="shared" si="0"/>
        <v>0</v>
      </c>
      <c r="H41" s="76">
        <v>31550561</v>
      </c>
      <c r="I41" s="76">
        <v>31550561</v>
      </c>
      <c r="J41" s="74" t="s">
        <v>980</v>
      </c>
      <c r="K41" s="72" t="s">
        <v>1020</v>
      </c>
      <c r="L41" s="271" t="s">
        <v>641</v>
      </c>
      <c r="M41" s="271" t="s">
        <v>54</v>
      </c>
      <c r="N41" s="271" t="s">
        <v>982</v>
      </c>
    </row>
    <row r="42" spans="1:14" s="75" customFormat="1" ht="51">
      <c r="A42" s="271">
        <v>21</v>
      </c>
      <c r="B42" s="72" t="s">
        <v>1034</v>
      </c>
      <c r="C42" s="271" t="s">
        <v>1035</v>
      </c>
      <c r="D42" s="271">
        <v>2010</v>
      </c>
      <c r="E42" s="271">
        <v>1</v>
      </c>
      <c r="F42" s="271">
        <v>1</v>
      </c>
      <c r="G42" s="73">
        <f t="shared" si="0"/>
        <v>0</v>
      </c>
      <c r="H42" s="76">
        <v>16742828</v>
      </c>
      <c r="I42" s="76">
        <v>16742828</v>
      </c>
      <c r="J42" s="74" t="s">
        <v>980</v>
      </c>
      <c r="K42" s="72" t="s">
        <v>1020</v>
      </c>
      <c r="L42" s="271" t="s">
        <v>641</v>
      </c>
      <c r="M42" s="271" t="s">
        <v>54</v>
      </c>
      <c r="N42" s="271" t="s">
        <v>982</v>
      </c>
    </row>
    <row r="43" spans="1:14" s="75" customFormat="1" ht="51">
      <c r="A43" s="271">
        <v>22</v>
      </c>
      <c r="B43" s="72" t="s">
        <v>1036</v>
      </c>
      <c r="C43" s="271" t="s">
        <v>1037</v>
      </c>
      <c r="D43" s="271">
        <v>2010</v>
      </c>
      <c r="E43" s="271">
        <v>2</v>
      </c>
      <c r="F43" s="271">
        <v>2</v>
      </c>
      <c r="G43" s="73">
        <f t="shared" si="0"/>
        <v>0</v>
      </c>
      <c r="H43" s="76">
        <v>16873305</v>
      </c>
      <c r="I43" s="76">
        <v>33746610</v>
      </c>
      <c r="J43" s="74" t="s">
        <v>980</v>
      </c>
      <c r="K43" s="72" t="s">
        <v>1020</v>
      </c>
      <c r="L43" s="271" t="s">
        <v>641</v>
      </c>
      <c r="M43" s="271" t="s">
        <v>54</v>
      </c>
      <c r="N43" s="271" t="s">
        <v>982</v>
      </c>
    </row>
    <row r="44" spans="1:14" s="75" customFormat="1" ht="51">
      <c r="A44" s="271">
        <v>23</v>
      </c>
      <c r="B44" s="81" t="s">
        <v>1038</v>
      </c>
      <c r="C44" s="271" t="s">
        <v>1039</v>
      </c>
      <c r="D44" s="271">
        <v>2012</v>
      </c>
      <c r="E44" s="271">
        <v>2</v>
      </c>
      <c r="F44" s="271">
        <v>2</v>
      </c>
      <c r="G44" s="73">
        <f t="shared" si="0"/>
        <v>0</v>
      </c>
      <c r="H44" s="76">
        <v>31037948</v>
      </c>
      <c r="I44" s="76">
        <v>62075896</v>
      </c>
      <c r="J44" s="74" t="s">
        <v>980</v>
      </c>
      <c r="K44" s="72" t="s">
        <v>1020</v>
      </c>
      <c r="L44" s="271" t="s">
        <v>641</v>
      </c>
      <c r="M44" s="271" t="s">
        <v>54</v>
      </c>
      <c r="N44" s="271" t="s">
        <v>982</v>
      </c>
    </row>
    <row r="45" spans="1:14" s="75" customFormat="1" ht="51">
      <c r="A45" s="271">
        <v>24</v>
      </c>
      <c r="B45" s="81" t="s">
        <v>1040</v>
      </c>
      <c r="C45" s="271" t="s">
        <v>1041</v>
      </c>
      <c r="D45" s="271">
        <v>2011</v>
      </c>
      <c r="E45" s="271">
        <v>1</v>
      </c>
      <c r="F45" s="271">
        <v>1</v>
      </c>
      <c r="G45" s="73">
        <f t="shared" si="0"/>
        <v>0</v>
      </c>
      <c r="H45" s="76">
        <v>102257643</v>
      </c>
      <c r="I45" s="76">
        <v>102257643</v>
      </c>
      <c r="J45" s="74" t="s">
        <v>980</v>
      </c>
      <c r="K45" s="72" t="s">
        <v>1020</v>
      </c>
      <c r="L45" s="271" t="s">
        <v>232</v>
      </c>
      <c r="M45" s="271" t="s">
        <v>54</v>
      </c>
      <c r="N45" s="271" t="s">
        <v>946</v>
      </c>
    </row>
    <row r="46" spans="1:14" s="75" customFormat="1" ht="51">
      <c r="A46" s="271">
        <v>25</v>
      </c>
      <c r="B46" s="72" t="s">
        <v>1042</v>
      </c>
      <c r="C46" s="271" t="s">
        <v>1043</v>
      </c>
      <c r="D46" s="271">
        <v>2011</v>
      </c>
      <c r="E46" s="271">
        <v>1</v>
      </c>
      <c r="F46" s="271">
        <v>1</v>
      </c>
      <c r="G46" s="73">
        <f t="shared" si="0"/>
        <v>0</v>
      </c>
      <c r="H46" s="76">
        <v>295513845</v>
      </c>
      <c r="I46" s="76">
        <v>295513845</v>
      </c>
      <c r="J46" s="74" t="s">
        <v>980</v>
      </c>
      <c r="K46" s="72" t="s">
        <v>1020</v>
      </c>
      <c r="L46" s="271" t="s">
        <v>641</v>
      </c>
      <c r="M46" s="271" t="s">
        <v>54</v>
      </c>
      <c r="N46" s="271" t="s">
        <v>982</v>
      </c>
    </row>
    <row r="47" spans="1:14" s="75" customFormat="1" ht="51">
      <c r="A47" s="271">
        <v>26</v>
      </c>
      <c r="B47" s="81" t="s">
        <v>1044</v>
      </c>
      <c r="C47" s="271" t="s">
        <v>1045</v>
      </c>
      <c r="D47" s="271">
        <v>2012</v>
      </c>
      <c r="E47" s="271">
        <v>1</v>
      </c>
      <c r="F47" s="271">
        <v>1</v>
      </c>
      <c r="G47" s="73">
        <f t="shared" si="0"/>
        <v>0</v>
      </c>
      <c r="H47" s="76">
        <v>33356920</v>
      </c>
      <c r="I47" s="76">
        <v>33356920</v>
      </c>
      <c r="J47" s="74" t="s">
        <v>980</v>
      </c>
      <c r="K47" s="72" t="s">
        <v>1020</v>
      </c>
      <c r="L47" s="271" t="s">
        <v>641</v>
      </c>
      <c r="M47" s="271" t="s">
        <v>54</v>
      </c>
      <c r="N47" s="271" t="s">
        <v>982</v>
      </c>
    </row>
    <row r="48" spans="1:14" s="75" customFormat="1" ht="76.5">
      <c r="A48" s="271">
        <v>27</v>
      </c>
      <c r="B48" s="81" t="s">
        <v>1046</v>
      </c>
      <c r="C48" s="271" t="s">
        <v>1047</v>
      </c>
      <c r="D48" s="271">
        <v>2017</v>
      </c>
      <c r="E48" s="271">
        <v>1</v>
      </c>
      <c r="F48" s="271">
        <v>1</v>
      </c>
      <c r="G48" s="73">
        <f t="shared" si="0"/>
        <v>0</v>
      </c>
      <c r="H48" s="76">
        <v>680000000</v>
      </c>
      <c r="I48" s="76">
        <v>680000000</v>
      </c>
      <c r="J48" s="74" t="s">
        <v>980</v>
      </c>
      <c r="K48" s="72" t="s">
        <v>1048</v>
      </c>
      <c r="L48" s="271" t="s">
        <v>232</v>
      </c>
      <c r="M48" s="271" t="s">
        <v>54</v>
      </c>
      <c r="N48" s="271" t="s">
        <v>982</v>
      </c>
    </row>
    <row r="49" spans="1:14" s="75" customFormat="1" ht="76.5">
      <c r="A49" s="271">
        <v>28</v>
      </c>
      <c r="B49" s="81" t="s">
        <v>1049</v>
      </c>
      <c r="C49" s="271" t="s">
        <v>1050</v>
      </c>
      <c r="D49" s="271">
        <v>2017</v>
      </c>
      <c r="E49" s="271">
        <v>1</v>
      </c>
      <c r="F49" s="271">
        <v>1</v>
      </c>
      <c r="G49" s="73">
        <f t="shared" si="0"/>
        <v>0</v>
      </c>
      <c r="H49" s="76">
        <v>6800000000</v>
      </c>
      <c r="I49" s="76">
        <v>6800000000</v>
      </c>
      <c r="J49" s="74" t="s">
        <v>980</v>
      </c>
      <c r="K49" s="72" t="s">
        <v>1048</v>
      </c>
      <c r="L49" s="271" t="s">
        <v>641</v>
      </c>
      <c r="M49" s="271" t="s">
        <v>54</v>
      </c>
      <c r="N49" s="271" t="s">
        <v>982</v>
      </c>
    </row>
    <row r="50" spans="1:14" s="75" customFormat="1" ht="51">
      <c r="A50" s="271">
        <v>29</v>
      </c>
      <c r="B50" s="72" t="s">
        <v>1051</v>
      </c>
      <c r="C50" s="271" t="s">
        <v>1052</v>
      </c>
      <c r="D50" s="271">
        <v>2021</v>
      </c>
      <c r="E50" s="271">
        <v>1</v>
      </c>
      <c r="F50" s="271">
        <v>1</v>
      </c>
      <c r="G50" s="73">
        <f t="shared" si="0"/>
        <v>0</v>
      </c>
      <c r="H50" s="82">
        <v>72418500</v>
      </c>
      <c r="I50" s="82">
        <v>72418500</v>
      </c>
      <c r="J50" s="74" t="s">
        <v>980</v>
      </c>
      <c r="K50" s="72" t="s">
        <v>1053</v>
      </c>
      <c r="L50" s="271" t="s">
        <v>641</v>
      </c>
      <c r="M50" s="271" t="s">
        <v>54</v>
      </c>
      <c r="N50" s="271" t="s">
        <v>982</v>
      </c>
    </row>
    <row r="51" spans="1:14" s="75" customFormat="1" ht="51">
      <c r="A51" s="271">
        <v>30</v>
      </c>
      <c r="B51" s="81" t="s">
        <v>1054</v>
      </c>
      <c r="C51" s="271" t="s">
        <v>1055</v>
      </c>
      <c r="D51" s="271">
        <v>2018</v>
      </c>
      <c r="E51" s="271">
        <v>1</v>
      </c>
      <c r="F51" s="271">
        <v>1</v>
      </c>
      <c r="G51" s="73">
        <f t="shared" si="0"/>
        <v>0</v>
      </c>
      <c r="H51" s="76">
        <v>1179000000</v>
      </c>
      <c r="I51" s="76">
        <v>1179000000</v>
      </c>
      <c r="J51" s="74" t="s">
        <v>980</v>
      </c>
      <c r="K51" s="74" t="s">
        <v>1056</v>
      </c>
      <c r="L51" s="271" t="s">
        <v>641</v>
      </c>
      <c r="M51" s="271" t="s">
        <v>54</v>
      </c>
      <c r="N51" s="271" t="s">
        <v>982</v>
      </c>
    </row>
    <row r="52" spans="1:14" s="75" customFormat="1" ht="51">
      <c r="A52" s="271">
        <v>31</v>
      </c>
      <c r="B52" s="72" t="s">
        <v>1057</v>
      </c>
      <c r="C52" s="271" t="s">
        <v>1058</v>
      </c>
      <c r="D52" s="271">
        <v>2003</v>
      </c>
      <c r="E52" s="271">
        <v>1</v>
      </c>
      <c r="F52" s="271">
        <v>1</v>
      </c>
      <c r="G52" s="73">
        <f t="shared" si="0"/>
        <v>0</v>
      </c>
      <c r="H52" s="82">
        <v>913987</v>
      </c>
      <c r="I52" s="82">
        <v>913987</v>
      </c>
      <c r="J52" s="74" t="s">
        <v>980</v>
      </c>
      <c r="K52" s="74" t="s">
        <v>981</v>
      </c>
      <c r="L52" s="271" t="s">
        <v>641</v>
      </c>
      <c r="M52" s="271" t="s">
        <v>54</v>
      </c>
      <c r="N52" s="271" t="s">
        <v>982</v>
      </c>
    </row>
    <row r="53" spans="1:14" s="75" customFormat="1" ht="51">
      <c r="A53" s="271">
        <v>32</v>
      </c>
      <c r="B53" s="74" t="s">
        <v>1059</v>
      </c>
      <c r="C53" s="271" t="s">
        <v>1060</v>
      </c>
      <c r="D53" s="271">
        <v>2012</v>
      </c>
      <c r="E53" s="275">
        <v>3</v>
      </c>
      <c r="F53" s="275">
        <v>3</v>
      </c>
      <c r="G53" s="73">
        <f t="shared" si="0"/>
        <v>0</v>
      </c>
      <c r="H53" s="82">
        <v>472500</v>
      </c>
      <c r="I53" s="82">
        <v>1417500</v>
      </c>
      <c r="J53" s="74" t="s">
        <v>980</v>
      </c>
      <c r="K53" s="74" t="s">
        <v>1061</v>
      </c>
      <c r="L53" s="271" t="s">
        <v>641</v>
      </c>
      <c r="M53" s="271" t="s">
        <v>54</v>
      </c>
      <c r="N53" s="271" t="s">
        <v>982</v>
      </c>
    </row>
    <row r="54" spans="1:14" s="83" customFormat="1" ht="51">
      <c r="A54" s="271">
        <v>33</v>
      </c>
      <c r="B54" s="72" t="s">
        <v>1062</v>
      </c>
      <c r="C54" s="271" t="s">
        <v>1063</v>
      </c>
      <c r="D54" s="271">
        <v>2012</v>
      </c>
      <c r="E54" s="275">
        <v>3</v>
      </c>
      <c r="F54" s="275">
        <v>3</v>
      </c>
      <c r="G54" s="73">
        <f t="shared" si="0"/>
        <v>0</v>
      </c>
      <c r="H54" s="82">
        <v>5303030</v>
      </c>
      <c r="I54" s="82">
        <v>15909090</v>
      </c>
      <c r="J54" s="74" t="s">
        <v>980</v>
      </c>
      <c r="K54" s="74" t="s">
        <v>1064</v>
      </c>
      <c r="L54" s="273"/>
      <c r="M54" s="271" t="s">
        <v>54</v>
      </c>
      <c r="N54" s="271" t="s">
        <v>1065</v>
      </c>
    </row>
    <row r="55" spans="1:14" s="83" customFormat="1" ht="38.25">
      <c r="A55" s="271">
        <v>34</v>
      </c>
      <c r="B55" s="72" t="s">
        <v>1066</v>
      </c>
      <c r="C55" s="271" t="s">
        <v>1067</v>
      </c>
      <c r="D55" s="271">
        <v>2004</v>
      </c>
      <c r="E55" s="271">
        <v>1</v>
      </c>
      <c r="F55" s="271">
        <v>1</v>
      </c>
      <c r="G55" s="73">
        <f t="shared" si="0"/>
        <v>0</v>
      </c>
      <c r="H55" s="82">
        <v>43700000</v>
      </c>
      <c r="I55" s="82">
        <v>43700000</v>
      </c>
      <c r="J55" s="82" t="s">
        <v>1068</v>
      </c>
      <c r="K55" s="72" t="s">
        <v>1069</v>
      </c>
      <c r="L55" s="271" t="s">
        <v>641</v>
      </c>
      <c r="M55" s="271" t="s">
        <v>1070</v>
      </c>
      <c r="N55" s="271" t="s">
        <v>982</v>
      </c>
    </row>
    <row r="56" spans="1:14" s="83" customFormat="1" ht="38.25">
      <c r="A56" s="271">
        <v>35</v>
      </c>
      <c r="B56" s="81" t="s">
        <v>1071</v>
      </c>
      <c r="C56" s="271" t="s">
        <v>1072</v>
      </c>
      <c r="D56" s="271">
        <v>2012</v>
      </c>
      <c r="E56" s="271">
        <v>1</v>
      </c>
      <c r="F56" s="271">
        <v>1</v>
      </c>
      <c r="G56" s="73">
        <f t="shared" si="0"/>
        <v>0</v>
      </c>
      <c r="H56" s="76">
        <f>86493475/5*1</f>
        <v>17298695</v>
      </c>
      <c r="I56" s="76">
        <f>86493475/5*1</f>
        <v>17298695</v>
      </c>
      <c r="J56" s="82" t="s">
        <v>1068</v>
      </c>
      <c r="K56" s="72" t="s">
        <v>1073</v>
      </c>
      <c r="L56" s="271" t="s">
        <v>641</v>
      </c>
      <c r="M56" s="271" t="s">
        <v>54</v>
      </c>
      <c r="N56" s="271" t="s">
        <v>982</v>
      </c>
    </row>
    <row r="57" spans="1:14" s="83" customFormat="1" ht="63.75">
      <c r="A57" s="271">
        <v>36</v>
      </c>
      <c r="B57" s="72" t="s">
        <v>1074</v>
      </c>
      <c r="C57" s="271" t="s">
        <v>1075</v>
      </c>
      <c r="D57" s="271">
        <v>2008</v>
      </c>
      <c r="E57" s="271">
        <v>1</v>
      </c>
      <c r="F57" s="271">
        <v>1</v>
      </c>
      <c r="G57" s="73">
        <f t="shared" si="0"/>
        <v>0</v>
      </c>
      <c r="H57" s="76">
        <v>22672000</v>
      </c>
      <c r="I57" s="76">
        <v>22672000</v>
      </c>
      <c r="J57" s="82" t="s">
        <v>1068</v>
      </c>
      <c r="K57" s="74" t="s">
        <v>1076</v>
      </c>
      <c r="L57" s="271" t="s">
        <v>95</v>
      </c>
      <c r="M57" s="271" t="s">
        <v>54</v>
      </c>
      <c r="N57" s="271" t="s">
        <v>1077</v>
      </c>
    </row>
    <row r="58" spans="1:14" s="83" customFormat="1" ht="38.25">
      <c r="A58" s="271">
        <v>37</v>
      </c>
      <c r="B58" s="72" t="s">
        <v>1078</v>
      </c>
      <c r="C58" s="271" t="s">
        <v>1079</v>
      </c>
      <c r="D58" s="271"/>
      <c r="E58" s="271">
        <v>1</v>
      </c>
      <c r="F58" s="271">
        <v>1</v>
      </c>
      <c r="G58" s="73">
        <f t="shared" si="0"/>
        <v>0</v>
      </c>
      <c r="H58" s="84"/>
      <c r="I58" s="84"/>
      <c r="J58" s="82" t="s">
        <v>1068</v>
      </c>
      <c r="K58" s="72" t="s">
        <v>1069</v>
      </c>
      <c r="L58" s="271" t="s">
        <v>641</v>
      </c>
      <c r="M58" s="271"/>
      <c r="N58" s="271" t="s">
        <v>982</v>
      </c>
    </row>
    <row r="59" spans="1:14" s="83" customFormat="1" ht="38.25">
      <c r="A59" s="271">
        <v>38</v>
      </c>
      <c r="B59" s="74" t="s">
        <v>1080</v>
      </c>
      <c r="C59" s="271" t="s">
        <v>1081</v>
      </c>
      <c r="D59" s="271">
        <v>2009</v>
      </c>
      <c r="E59" s="271">
        <v>1</v>
      </c>
      <c r="F59" s="271">
        <v>1</v>
      </c>
      <c r="G59" s="73">
        <f t="shared" si="0"/>
        <v>0</v>
      </c>
      <c r="H59" s="76">
        <v>8704000</v>
      </c>
      <c r="I59" s="76">
        <v>8704000</v>
      </c>
      <c r="J59" s="82" t="s">
        <v>1068</v>
      </c>
      <c r="K59" s="78" t="s">
        <v>1082</v>
      </c>
      <c r="L59" s="271" t="s">
        <v>641</v>
      </c>
      <c r="M59" s="271" t="s">
        <v>54</v>
      </c>
      <c r="N59" s="271" t="s">
        <v>1083</v>
      </c>
    </row>
    <row r="60" spans="1:14" s="83" customFormat="1" ht="38.25">
      <c r="A60" s="271">
        <v>39</v>
      </c>
      <c r="B60" s="72" t="s">
        <v>1084</v>
      </c>
      <c r="C60" s="271" t="s">
        <v>1085</v>
      </c>
      <c r="D60" s="271">
        <v>2006</v>
      </c>
      <c r="E60" s="271">
        <v>1</v>
      </c>
      <c r="F60" s="271">
        <v>1</v>
      </c>
      <c r="G60" s="73">
        <f t="shared" si="0"/>
        <v>0</v>
      </c>
      <c r="H60" s="82">
        <v>41254200</v>
      </c>
      <c r="I60" s="82">
        <v>41254200</v>
      </c>
      <c r="J60" s="82" t="s">
        <v>1068</v>
      </c>
      <c r="K60" s="72" t="s">
        <v>1069</v>
      </c>
      <c r="L60" s="271" t="s">
        <v>641</v>
      </c>
      <c r="M60" s="271" t="s">
        <v>1070</v>
      </c>
      <c r="N60" s="271" t="s">
        <v>982</v>
      </c>
    </row>
    <row r="61" spans="1:14" s="83" customFormat="1" ht="38.25">
      <c r="A61" s="271">
        <v>40</v>
      </c>
      <c r="B61" s="72" t="s">
        <v>1086</v>
      </c>
      <c r="C61" s="271" t="s">
        <v>1087</v>
      </c>
      <c r="D61" s="271">
        <v>2009</v>
      </c>
      <c r="E61" s="271">
        <v>1</v>
      </c>
      <c r="F61" s="271">
        <v>1</v>
      </c>
      <c r="G61" s="73">
        <f t="shared" si="0"/>
        <v>0</v>
      </c>
      <c r="H61" s="82">
        <v>6530879</v>
      </c>
      <c r="I61" s="82">
        <v>6530879</v>
      </c>
      <c r="J61" s="82" t="s">
        <v>1068</v>
      </c>
      <c r="K61" s="72" t="s">
        <v>1069</v>
      </c>
      <c r="L61" s="271" t="s">
        <v>232</v>
      </c>
      <c r="M61" s="271" t="s">
        <v>1070</v>
      </c>
      <c r="N61" s="271" t="s">
        <v>982</v>
      </c>
    </row>
    <row r="62" spans="1:14" s="83" customFormat="1" ht="38.25">
      <c r="A62" s="271">
        <v>41</v>
      </c>
      <c r="B62" s="74" t="s">
        <v>1088</v>
      </c>
      <c r="C62" s="271" t="s">
        <v>1089</v>
      </c>
      <c r="D62" s="271">
        <v>2019</v>
      </c>
      <c r="E62" s="271">
        <v>1</v>
      </c>
      <c r="F62" s="271">
        <v>1</v>
      </c>
      <c r="G62" s="73">
        <f t="shared" si="0"/>
        <v>0</v>
      </c>
      <c r="H62" s="82">
        <v>897000000</v>
      </c>
      <c r="I62" s="82">
        <v>897000000</v>
      </c>
      <c r="J62" s="82" t="s">
        <v>1068</v>
      </c>
      <c r="K62" s="271" t="s">
        <v>1090</v>
      </c>
      <c r="L62" s="271" t="s">
        <v>232</v>
      </c>
      <c r="M62" s="271"/>
      <c r="N62" s="271" t="s">
        <v>982</v>
      </c>
    </row>
    <row r="63" spans="1:14" s="83" customFormat="1" ht="38.25">
      <c r="A63" s="271">
        <v>42</v>
      </c>
      <c r="B63" s="74" t="s">
        <v>1091</v>
      </c>
      <c r="C63" s="271" t="s">
        <v>1092</v>
      </c>
      <c r="D63" s="271">
        <v>2019</v>
      </c>
      <c r="E63" s="271">
        <v>1</v>
      </c>
      <c r="F63" s="271">
        <v>1</v>
      </c>
      <c r="G63" s="73">
        <f t="shared" si="0"/>
        <v>0</v>
      </c>
      <c r="H63" s="82">
        <v>916000000</v>
      </c>
      <c r="I63" s="82">
        <v>916000000</v>
      </c>
      <c r="J63" s="82" t="s">
        <v>1068</v>
      </c>
      <c r="K63" s="271" t="s">
        <v>1090</v>
      </c>
      <c r="L63" s="271" t="s">
        <v>232</v>
      </c>
      <c r="M63" s="271"/>
      <c r="N63" s="271" t="s">
        <v>982</v>
      </c>
    </row>
    <row r="64" spans="1:14" s="83" customFormat="1" ht="51">
      <c r="A64" s="271">
        <v>43</v>
      </c>
      <c r="B64" s="74" t="s">
        <v>1093</v>
      </c>
      <c r="C64" s="271" t="s">
        <v>1094</v>
      </c>
      <c r="D64" s="271">
        <v>2019</v>
      </c>
      <c r="E64" s="271">
        <v>1</v>
      </c>
      <c r="F64" s="271">
        <v>1</v>
      </c>
      <c r="G64" s="73">
        <f t="shared" si="0"/>
        <v>0</v>
      </c>
      <c r="H64" s="82">
        <v>13491000000</v>
      </c>
      <c r="I64" s="82">
        <v>13491000000</v>
      </c>
      <c r="J64" s="82" t="s">
        <v>1068</v>
      </c>
      <c r="K64" s="271" t="s">
        <v>1090</v>
      </c>
      <c r="L64" s="271" t="s">
        <v>641</v>
      </c>
      <c r="M64" s="271"/>
      <c r="N64" s="271" t="s">
        <v>982</v>
      </c>
    </row>
    <row r="65" spans="1:14" s="83" customFormat="1" ht="38.25">
      <c r="A65" s="271">
        <v>44</v>
      </c>
      <c r="B65" s="74" t="s">
        <v>1095</v>
      </c>
      <c r="C65" s="271" t="s">
        <v>1096</v>
      </c>
      <c r="D65" s="271">
        <v>2019</v>
      </c>
      <c r="E65" s="271">
        <v>1</v>
      </c>
      <c r="F65" s="271">
        <v>1</v>
      </c>
      <c r="G65" s="73">
        <f t="shared" si="0"/>
        <v>0</v>
      </c>
      <c r="H65" s="82">
        <v>2526000000</v>
      </c>
      <c r="I65" s="82">
        <v>2526000000</v>
      </c>
      <c r="J65" s="82" t="s">
        <v>1068</v>
      </c>
      <c r="K65" s="271" t="s">
        <v>1090</v>
      </c>
      <c r="L65" s="271" t="s">
        <v>641</v>
      </c>
      <c r="M65" s="271"/>
      <c r="N65" s="271" t="s">
        <v>982</v>
      </c>
    </row>
    <row r="66" spans="1:14" s="83" customFormat="1" ht="63.75">
      <c r="A66" s="271">
        <v>45</v>
      </c>
      <c r="B66" s="74" t="s">
        <v>1097</v>
      </c>
      <c r="C66" s="271" t="s">
        <v>1098</v>
      </c>
      <c r="D66" s="271">
        <v>2017</v>
      </c>
      <c r="E66" s="271">
        <v>1</v>
      </c>
      <c r="F66" s="271">
        <v>1</v>
      </c>
      <c r="G66" s="73">
        <f t="shared" si="0"/>
        <v>0</v>
      </c>
      <c r="H66" s="76">
        <v>2212000000</v>
      </c>
      <c r="I66" s="76">
        <v>2212000000</v>
      </c>
      <c r="J66" s="82" t="s">
        <v>1068</v>
      </c>
      <c r="K66" s="72" t="s">
        <v>1069</v>
      </c>
      <c r="L66" s="271" t="s">
        <v>641</v>
      </c>
      <c r="M66" s="271"/>
      <c r="N66" s="271" t="s">
        <v>982</v>
      </c>
    </row>
    <row r="67" spans="1:14" s="75" customFormat="1" ht="51">
      <c r="A67" s="271">
        <v>46</v>
      </c>
      <c r="B67" s="74" t="s">
        <v>1099</v>
      </c>
      <c r="C67" s="271" t="s">
        <v>1100</v>
      </c>
      <c r="D67" s="271">
        <v>2021</v>
      </c>
      <c r="E67" s="271">
        <v>1</v>
      </c>
      <c r="F67" s="271">
        <v>1</v>
      </c>
      <c r="G67" s="73">
        <f t="shared" si="0"/>
        <v>0</v>
      </c>
      <c r="H67" s="85">
        <v>7774605000</v>
      </c>
      <c r="I67" s="85">
        <v>7774605000</v>
      </c>
      <c r="J67" s="82" t="s">
        <v>1068</v>
      </c>
      <c r="K67" s="72" t="s">
        <v>1069</v>
      </c>
      <c r="L67" s="271" t="s">
        <v>641</v>
      </c>
      <c r="M67" s="271"/>
      <c r="N67" s="271" t="s">
        <v>982</v>
      </c>
    </row>
    <row r="68" spans="1:14" s="75" customFormat="1" ht="38.25">
      <c r="A68" s="271">
        <v>47</v>
      </c>
      <c r="B68" s="74" t="s">
        <v>1101</v>
      </c>
      <c r="C68" s="271" t="s">
        <v>1102</v>
      </c>
      <c r="D68" s="271"/>
      <c r="E68" s="271">
        <v>1</v>
      </c>
      <c r="F68" s="271">
        <v>1</v>
      </c>
      <c r="G68" s="73">
        <f t="shared" si="0"/>
        <v>0</v>
      </c>
      <c r="H68" s="84"/>
      <c r="I68" s="84"/>
      <c r="J68" s="82" t="s">
        <v>1068</v>
      </c>
      <c r="K68" s="72" t="s">
        <v>1069</v>
      </c>
      <c r="L68" s="271" t="s">
        <v>232</v>
      </c>
      <c r="M68" s="271" t="s">
        <v>54</v>
      </c>
      <c r="N68" s="271" t="s">
        <v>982</v>
      </c>
    </row>
    <row r="69" spans="1:14" s="75" customFormat="1" ht="38.25">
      <c r="A69" s="271">
        <v>48</v>
      </c>
      <c r="B69" s="74" t="s">
        <v>1103</v>
      </c>
      <c r="C69" s="271" t="s">
        <v>1104</v>
      </c>
      <c r="D69" s="271">
        <v>2010</v>
      </c>
      <c r="E69" s="271">
        <v>1</v>
      </c>
      <c r="F69" s="271">
        <v>1</v>
      </c>
      <c r="G69" s="73">
        <f t="shared" si="0"/>
        <v>0</v>
      </c>
      <c r="H69" s="84"/>
      <c r="I69" s="84"/>
      <c r="J69" s="82" t="s">
        <v>1068</v>
      </c>
      <c r="K69" s="72" t="s">
        <v>1069</v>
      </c>
      <c r="L69" s="271" t="s">
        <v>641</v>
      </c>
      <c r="M69" s="271"/>
      <c r="N69" s="271" t="s">
        <v>982</v>
      </c>
    </row>
    <row r="70" spans="1:14" s="75" customFormat="1" ht="51">
      <c r="A70" s="271">
        <v>49</v>
      </c>
      <c r="B70" s="74" t="s">
        <v>1105</v>
      </c>
      <c r="C70" s="271" t="s">
        <v>1106</v>
      </c>
      <c r="D70" s="271"/>
      <c r="E70" s="271"/>
      <c r="F70" s="271">
        <v>2</v>
      </c>
      <c r="G70" s="73">
        <f t="shared" si="0"/>
        <v>2</v>
      </c>
      <c r="H70" s="84"/>
      <c r="I70" s="84"/>
      <c r="J70" s="82" t="s">
        <v>1068</v>
      </c>
      <c r="K70" s="72" t="s">
        <v>1069</v>
      </c>
      <c r="L70" s="271" t="s">
        <v>641</v>
      </c>
      <c r="M70" s="271"/>
      <c r="N70" s="271" t="s">
        <v>1107</v>
      </c>
    </row>
    <row r="71" spans="1:14" s="75" customFormat="1" ht="38.25">
      <c r="A71" s="485">
        <v>50</v>
      </c>
      <c r="B71" s="74" t="s">
        <v>1108</v>
      </c>
      <c r="C71" s="273"/>
      <c r="D71" s="271">
        <v>2009</v>
      </c>
      <c r="E71" s="271">
        <v>1</v>
      </c>
      <c r="F71" s="271">
        <v>1</v>
      </c>
      <c r="G71" s="73">
        <f>F71-E71</f>
        <v>0</v>
      </c>
      <c r="H71" s="76">
        <v>200250879</v>
      </c>
      <c r="I71" s="76">
        <v>200250879</v>
      </c>
      <c r="J71" s="82" t="s">
        <v>1068</v>
      </c>
      <c r="K71" s="74" t="s">
        <v>1109</v>
      </c>
      <c r="L71" s="271" t="s">
        <v>641</v>
      </c>
      <c r="M71" s="271" t="s">
        <v>54</v>
      </c>
      <c r="N71" s="271"/>
    </row>
    <row r="72" spans="1:14" s="75" customFormat="1" ht="25.5">
      <c r="A72" s="485"/>
      <c r="B72" s="74" t="s">
        <v>1110</v>
      </c>
      <c r="C72" s="271" t="s">
        <v>1111</v>
      </c>
      <c r="D72" s="271">
        <v>2009</v>
      </c>
      <c r="E72" s="271">
        <v>1</v>
      </c>
      <c r="F72" s="271">
        <v>1</v>
      </c>
      <c r="G72" s="73">
        <f t="shared" si="0"/>
        <v>0</v>
      </c>
      <c r="H72" s="272"/>
      <c r="I72" s="272"/>
      <c r="J72" s="82"/>
      <c r="K72" s="273"/>
      <c r="L72" s="271" t="s">
        <v>232</v>
      </c>
      <c r="M72" s="271" t="s">
        <v>54</v>
      </c>
      <c r="N72" s="271" t="s">
        <v>1112</v>
      </c>
    </row>
    <row r="73" spans="1:14" s="75" customFormat="1" ht="25.5">
      <c r="A73" s="485"/>
      <c r="B73" s="74" t="s">
        <v>1113</v>
      </c>
      <c r="C73" s="271" t="s">
        <v>1114</v>
      </c>
      <c r="D73" s="271">
        <v>2009</v>
      </c>
      <c r="E73" s="271">
        <v>1</v>
      </c>
      <c r="F73" s="271">
        <v>1</v>
      </c>
      <c r="G73" s="73">
        <f t="shared" si="0"/>
        <v>0</v>
      </c>
      <c r="H73" s="272"/>
      <c r="I73" s="272"/>
      <c r="J73" s="82"/>
      <c r="K73" s="273"/>
      <c r="L73" s="271" t="s">
        <v>232</v>
      </c>
      <c r="M73" s="271" t="s">
        <v>54</v>
      </c>
      <c r="N73" s="271" t="s">
        <v>982</v>
      </c>
    </row>
    <row r="74" spans="1:14" s="75" customFormat="1" ht="25.5">
      <c r="A74" s="485"/>
      <c r="B74" s="74" t="s">
        <v>1115</v>
      </c>
      <c r="C74" s="271" t="s">
        <v>1116</v>
      </c>
      <c r="D74" s="271">
        <v>2009</v>
      </c>
      <c r="E74" s="271">
        <v>1</v>
      </c>
      <c r="F74" s="271">
        <v>1</v>
      </c>
      <c r="G74" s="73">
        <f t="shared" si="0"/>
        <v>0</v>
      </c>
      <c r="H74" s="272"/>
      <c r="I74" s="272"/>
      <c r="J74" s="82"/>
      <c r="K74" s="273"/>
      <c r="L74" s="271" t="s">
        <v>232</v>
      </c>
      <c r="M74" s="271" t="s">
        <v>54</v>
      </c>
      <c r="N74" s="485" t="s">
        <v>1117</v>
      </c>
    </row>
    <row r="75" spans="1:14" s="75" customFormat="1" ht="25.5">
      <c r="A75" s="485"/>
      <c r="B75" s="74" t="s">
        <v>1118</v>
      </c>
      <c r="C75" s="271" t="s">
        <v>1119</v>
      </c>
      <c r="D75" s="271">
        <v>2009</v>
      </c>
      <c r="E75" s="271">
        <v>1</v>
      </c>
      <c r="F75" s="271">
        <v>1</v>
      </c>
      <c r="G75" s="73">
        <f t="shared" si="0"/>
        <v>0</v>
      </c>
      <c r="H75" s="272"/>
      <c r="I75" s="272"/>
      <c r="J75" s="82"/>
      <c r="K75" s="273"/>
      <c r="L75" s="271" t="s">
        <v>232</v>
      </c>
      <c r="M75" s="271" t="s">
        <v>54</v>
      </c>
      <c r="N75" s="485"/>
    </row>
    <row r="76" spans="1:14" s="75" customFormat="1" ht="38.25">
      <c r="A76" s="485"/>
      <c r="B76" s="74" t="s">
        <v>1120</v>
      </c>
      <c r="C76" s="271" t="s">
        <v>1121</v>
      </c>
      <c r="D76" s="271">
        <v>2009</v>
      </c>
      <c r="E76" s="271">
        <v>1</v>
      </c>
      <c r="F76" s="271">
        <v>1</v>
      </c>
      <c r="G76" s="73">
        <f t="shared" si="0"/>
        <v>0</v>
      </c>
      <c r="H76" s="272"/>
      <c r="I76" s="272"/>
      <c r="J76" s="82"/>
      <c r="K76" s="273"/>
      <c r="L76" s="271" t="s">
        <v>1122</v>
      </c>
      <c r="M76" s="271" t="s">
        <v>54</v>
      </c>
      <c r="N76" s="271" t="s">
        <v>1123</v>
      </c>
    </row>
    <row r="77" spans="1:14" s="75" customFormat="1" ht="38.25">
      <c r="A77" s="271">
        <v>51</v>
      </c>
      <c r="B77" s="74" t="s">
        <v>1124</v>
      </c>
      <c r="C77" s="271" t="s">
        <v>1125</v>
      </c>
      <c r="D77" s="271"/>
      <c r="E77" s="271">
        <v>1</v>
      </c>
      <c r="F77" s="271">
        <v>1</v>
      </c>
      <c r="G77" s="73">
        <f t="shared" si="0"/>
        <v>0</v>
      </c>
      <c r="H77" s="272"/>
      <c r="I77" s="272"/>
      <c r="J77" s="82" t="s">
        <v>1068</v>
      </c>
      <c r="K77" s="273"/>
      <c r="L77" s="271" t="s">
        <v>641</v>
      </c>
      <c r="M77" s="271" t="s">
        <v>54</v>
      </c>
      <c r="N77" s="271" t="s">
        <v>982</v>
      </c>
    </row>
    <row r="78" spans="1:14" s="75" customFormat="1" ht="38.25">
      <c r="A78" s="271">
        <v>52</v>
      </c>
      <c r="B78" s="72" t="s">
        <v>1126</v>
      </c>
      <c r="C78" s="271" t="s">
        <v>1127</v>
      </c>
      <c r="D78" s="271">
        <v>2015</v>
      </c>
      <c r="E78" s="271">
        <v>1</v>
      </c>
      <c r="F78" s="271">
        <v>1</v>
      </c>
      <c r="G78" s="73">
        <f t="shared" si="0"/>
        <v>0</v>
      </c>
      <c r="H78" s="84"/>
      <c r="I78" s="84"/>
      <c r="J78" s="82" t="s">
        <v>1068</v>
      </c>
      <c r="K78" s="72" t="s">
        <v>1069</v>
      </c>
      <c r="L78" s="271" t="s">
        <v>641</v>
      </c>
      <c r="M78" s="271" t="s">
        <v>1070</v>
      </c>
      <c r="N78" s="271" t="s">
        <v>982</v>
      </c>
    </row>
    <row r="79" spans="1:14" s="75" customFormat="1" ht="38.25">
      <c r="A79" s="271">
        <v>53</v>
      </c>
      <c r="B79" s="74" t="s">
        <v>1128</v>
      </c>
      <c r="C79" s="271" t="s">
        <v>1129</v>
      </c>
      <c r="D79" s="271"/>
      <c r="E79" s="271">
        <v>1</v>
      </c>
      <c r="F79" s="271">
        <v>1</v>
      </c>
      <c r="G79" s="73">
        <f t="shared" si="0"/>
        <v>0</v>
      </c>
      <c r="H79" s="272"/>
      <c r="I79" s="272"/>
      <c r="J79" s="82" t="s">
        <v>1068</v>
      </c>
      <c r="K79" s="273"/>
      <c r="L79" s="271" t="s">
        <v>641</v>
      </c>
      <c r="M79" s="271" t="s">
        <v>54</v>
      </c>
      <c r="N79" s="271" t="s">
        <v>982</v>
      </c>
    </row>
    <row r="80" spans="1:14" s="75" customFormat="1" ht="38.25">
      <c r="A80" s="271">
        <v>54</v>
      </c>
      <c r="B80" s="74" t="s">
        <v>1130</v>
      </c>
      <c r="C80" s="271" t="s">
        <v>1131</v>
      </c>
      <c r="D80" s="271"/>
      <c r="E80" s="271">
        <v>2</v>
      </c>
      <c r="F80" s="271">
        <v>2</v>
      </c>
      <c r="G80" s="73">
        <f t="shared" si="0"/>
        <v>0</v>
      </c>
      <c r="H80" s="272"/>
      <c r="I80" s="272"/>
      <c r="J80" s="82" t="s">
        <v>1068</v>
      </c>
      <c r="K80" s="273"/>
      <c r="L80" s="271" t="s">
        <v>641</v>
      </c>
      <c r="M80" s="271" t="s">
        <v>54</v>
      </c>
      <c r="N80" s="271" t="s">
        <v>982</v>
      </c>
    </row>
    <row r="81" spans="1:14" s="75" customFormat="1" ht="38.25">
      <c r="A81" s="271">
        <v>55</v>
      </c>
      <c r="B81" s="74" t="s">
        <v>1132</v>
      </c>
      <c r="C81" s="271" t="s">
        <v>1133</v>
      </c>
      <c r="D81" s="271"/>
      <c r="E81" s="271">
        <v>3</v>
      </c>
      <c r="F81" s="271">
        <v>3</v>
      </c>
      <c r="G81" s="73">
        <f t="shared" si="0"/>
        <v>0</v>
      </c>
      <c r="H81" s="272"/>
      <c r="I81" s="272"/>
      <c r="J81" s="82" t="s">
        <v>1068</v>
      </c>
      <c r="K81" s="273"/>
      <c r="L81" s="271" t="s">
        <v>641</v>
      </c>
      <c r="M81" s="271" t="s">
        <v>54</v>
      </c>
      <c r="N81" s="271" t="s">
        <v>982</v>
      </c>
    </row>
    <row r="82" spans="1:14" s="75" customFormat="1" ht="38.25">
      <c r="A82" s="271">
        <v>56</v>
      </c>
      <c r="B82" s="74" t="s">
        <v>1134</v>
      </c>
      <c r="C82" s="271" t="s">
        <v>1135</v>
      </c>
      <c r="D82" s="271"/>
      <c r="E82" s="271">
        <v>1</v>
      </c>
      <c r="F82" s="271">
        <v>1</v>
      </c>
      <c r="G82" s="73">
        <f t="shared" si="0"/>
        <v>0</v>
      </c>
      <c r="H82" s="272"/>
      <c r="I82" s="272"/>
      <c r="J82" s="82" t="s">
        <v>1068</v>
      </c>
      <c r="K82" s="273"/>
      <c r="L82" s="271" t="s">
        <v>641</v>
      </c>
      <c r="M82" s="271" t="s">
        <v>54</v>
      </c>
      <c r="N82" s="271" t="s">
        <v>982</v>
      </c>
    </row>
    <row r="83" spans="1:14" s="75" customFormat="1" ht="38.25">
      <c r="A83" s="271">
        <v>57</v>
      </c>
      <c r="B83" s="74" t="s">
        <v>1136</v>
      </c>
      <c r="C83" s="271" t="s">
        <v>1137</v>
      </c>
      <c r="D83" s="271"/>
      <c r="E83" s="271">
        <v>1</v>
      </c>
      <c r="F83" s="271">
        <v>1</v>
      </c>
      <c r="G83" s="73">
        <f t="shared" si="0"/>
        <v>0</v>
      </c>
      <c r="H83" s="272"/>
      <c r="I83" s="272"/>
      <c r="J83" s="82" t="s">
        <v>1068</v>
      </c>
      <c r="K83" s="273"/>
      <c r="L83" s="271" t="s">
        <v>641</v>
      </c>
      <c r="M83" s="271" t="s">
        <v>54</v>
      </c>
      <c r="N83" s="271" t="s">
        <v>982</v>
      </c>
    </row>
    <row r="84" spans="1:14" s="75" customFormat="1" ht="38.25">
      <c r="A84" s="271">
        <v>58</v>
      </c>
      <c r="B84" s="74" t="s">
        <v>1138</v>
      </c>
      <c r="C84" s="271" t="s">
        <v>1111</v>
      </c>
      <c r="D84" s="271">
        <v>2012</v>
      </c>
      <c r="E84" s="271">
        <v>1</v>
      </c>
      <c r="F84" s="271">
        <v>1</v>
      </c>
      <c r="G84" s="73">
        <f>F84-E84</f>
        <v>0</v>
      </c>
      <c r="H84" s="76">
        <v>17550000</v>
      </c>
      <c r="I84" s="76">
        <v>17550000</v>
      </c>
      <c r="J84" s="82" t="s">
        <v>1068</v>
      </c>
      <c r="K84" s="78" t="s">
        <v>1139</v>
      </c>
      <c r="L84" s="271" t="s">
        <v>641</v>
      </c>
      <c r="M84" s="271" t="s">
        <v>54</v>
      </c>
      <c r="N84" s="271" t="s">
        <v>982</v>
      </c>
    </row>
    <row r="85" spans="1:14" s="75" customFormat="1" ht="63.75">
      <c r="A85" s="271">
        <v>59</v>
      </c>
      <c r="B85" s="74" t="s">
        <v>1140</v>
      </c>
      <c r="C85" s="271" t="s">
        <v>1141</v>
      </c>
      <c r="D85" s="271">
        <v>2020</v>
      </c>
      <c r="E85" s="271">
        <v>1</v>
      </c>
      <c r="F85" s="271">
        <v>1</v>
      </c>
      <c r="G85" s="73">
        <f t="shared" si="0"/>
        <v>0</v>
      </c>
      <c r="H85" s="82">
        <v>15884000</v>
      </c>
      <c r="I85" s="82">
        <v>15884000</v>
      </c>
      <c r="J85" s="82" t="s">
        <v>1142</v>
      </c>
      <c r="K85" s="72" t="s">
        <v>1069</v>
      </c>
      <c r="L85" s="271" t="s">
        <v>641</v>
      </c>
      <c r="M85" s="271"/>
      <c r="N85" s="271" t="s">
        <v>982</v>
      </c>
    </row>
    <row r="86" spans="1:14" s="75" customFormat="1" ht="51">
      <c r="A86" s="271">
        <v>60</v>
      </c>
      <c r="B86" s="74" t="s">
        <v>1143</v>
      </c>
      <c r="C86" s="271" t="s">
        <v>1144</v>
      </c>
      <c r="D86" s="271">
        <v>2009</v>
      </c>
      <c r="E86" s="271"/>
      <c r="F86" s="271">
        <v>2</v>
      </c>
      <c r="G86" s="73">
        <f t="shared" si="0"/>
        <v>2</v>
      </c>
      <c r="H86" s="86"/>
      <c r="I86" s="86"/>
      <c r="J86" s="78"/>
      <c r="K86" s="273"/>
      <c r="L86" s="271" t="s">
        <v>1145</v>
      </c>
      <c r="M86" s="273"/>
      <c r="N86" s="271" t="s">
        <v>1146</v>
      </c>
    </row>
    <row r="87" spans="1:14" s="75" customFormat="1" ht="25.5">
      <c r="A87" s="271">
        <v>61</v>
      </c>
      <c r="B87" s="72" t="s">
        <v>1147</v>
      </c>
      <c r="C87" s="271" t="s">
        <v>1148</v>
      </c>
      <c r="D87" s="271">
        <v>2004</v>
      </c>
      <c r="E87" s="271">
        <v>1</v>
      </c>
      <c r="F87" s="271">
        <v>1</v>
      </c>
      <c r="G87" s="73">
        <f t="shared" si="0"/>
        <v>0</v>
      </c>
      <c r="H87" s="76">
        <v>86200000</v>
      </c>
      <c r="I87" s="76">
        <v>86200000</v>
      </c>
      <c r="J87" s="74" t="s">
        <v>981</v>
      </c>
      <c r="K87" s="271"/>
      <c r="L87" s="271" t="s">
        <v>641</v>
      </c>
      <c r="M87" s="271" t="s">
        <v>54</v>
      </c>
      <c r="N87" s="271" t="s">
        <v>1112</v>
      </c>
    </row>
    <row r="88" spans="1:14" s="75" customFormat="1" ht="25.5">
      <c r="A88" s="271">
        <v>62</v>
      </c>
      <c r="B88" s="72" t="s">
        <v>1149</v>
      </c>
      <c r="C88" s="271" t="s">
        <v>1150</v>
      </c>
      <c r="D88" s="271">
        <v>2004</v>
      </c>
      <c r="E88" s="271">
        <v>1</v>
      </c>
      <c r="F88" s="271">
        <v>1</v>
      </c>
      <c r="G88" s="73">
        <f t="shared" ref="G88:G93" si="1">F88-E88</f>
        <v>0</v>
      </c>
      <c r="H88" s="76">
        <v>64050000</v>
      </c>
      <c r="I88" s="76">
        <v>64050000</v>
      </c>
      <c r="J88" s="74" t="s">
        <v>981</v>
      </c>
      <c r="K88" s="271"/>
      <c r="L88" s="271" t="s">
        <v>641</v>
      </c>
      <c r="M88" s="271" t="s">
        <v>54</v>
      </c>
      <c r="N88" s="271" t="s">
        <v>1112</v>
      </c>
    </row>
    <row r="89" spans="1:14" s="75" customFormat="1" ht="63.75">
      <c r="A89" s="271">
        <v>63</v>
      </c>
      <c r="B89" s="72" t="s">
        <v>1151</v>
      </c>
      <c r="C89" s="271" t="s">
        <v>1152</v>
      </c>
      <c r="D89" s="271">
        <v>2011</v>
      </c>
      <c r="E89" s="271">
        <v>1</v>
      </c>
      <c r="F89" s="271">
        <v>1</v>
      </c>
      <c r="G89" s="73">
        <f t="shared" si="1"/>
        <v>0</v>
      </c>
      <c r="H89" s="76">
        <v>285120000</v>
      </c>
      <c r="I89" s="76">
        <v>285120000</v>
      </c>
      <c r="J89" s="74" t="s">
        <v>1153</v>
      </c>
      <c r="K89" s="273"/>
      <c r="L89" s="271" t="s">
        <v>641</v>
      </c>
      <c r="M89" s="271" t="s">
        <v>54</v>
      </c>
      <c r="N89" s="271" t="s">
        <v>1112</v>
      </c>
    </row>
    <row r="90" spans="1:14" s="75" customFormat="1" ht="63.75">
      <c r="A90" s="271">
        <v>64</v>
      </c>
      <c r="B90" s="74" t="s">
        <v>1154</v>
      </c>
      <c r="C90" s="271"/>
      <c r="D90" s="271">
        <v>2009</v>
      </c>
      <c r="E90" s="271">
        <v>1</v>
      </c>
      <c r="F90" s="271">
        <v>1</v>
      </c>
      <c r="G90" s="73">
        <f t="shared" si="1"/>
        <v>0</v>
      </c>
      <c r="H90" s="76">
        <v>103611517</v>
      </c>
      <c r="I90" s="76">
        <v>103611517</v>
      </c>
      <c r="J90" s="74" t="s">
        <v>1109</v>
      </c>
      <c r="K90" s="273"/>
      <c r="L90" s="273"/>
      <c r="M90" s="271" t="s">
        <v>54</v>
      </c>
      <c r="N90" s="271"/>
    </row>
    <row r="91" spans="1:14" s="75" customFormat="1" ht="25.5">
      <c r="A91" s="271">
        <v>65</v>
      </c>
      <c r="B91" s="74" t="s">
        <v>1155</v>
      </c>
      <c r="C91" s="271" t="s">
        <v>1156</v>
      </c>
      <c r="D91" s="271">
        <v>2009</v>
      </c>
      <c r="E91" s="271">
        <v>1</v>
      </c>
      <c r="F91" s="271">
        <v>1</v>
      </c>
      <c r="G91" s="73">
        <f t="shared" si="1"/>
        <v>0</v>
      </c>
      <c r="H91" s="272"/>
      <c r="I91" s="272"/>
      <c r="J91" s="74"/>
      <c r="K91" s="273"/>
      <c r="L91" s="271" t="s">
        <v>641</v>
      </c>
      <c r="M91" s="271" t="s">
        <v>54</v>
      </c>
      <c r="N91" s="271" t="s">
        <v>1112</v>
      </c>
    </row>
    <row r="92" spans="1:14" s="75" customFormat="1" ht="25.5">
      <c r="A92" s="271">
        <v>66</v>
      </c>
      <c r="B92" s="74" t="s">
        <v>1157</v>
      </c>
      <c r="C92" s="271" t="s">
        <v>1158</v>
      </c>
      <c r="D92" s="271">
        <v>2009</v>
      </c>
      <c r="E92" s="271">
        <v>1</v>
      </c>
      <c r="F92" s="271">
        <v>1</v>
      </c>
      <c r="G92" s="73">
        <f t="shared" si="1"/>
        <v>0</v>
      </c>
      <c r="H92" s="272"/>
      <c r="I92" s="272"/>
      <c r="J92" s="74"/>
      <c r="K92" s="273"/>
      <c r="L92" s="271" t="s">
        <v>95</v>
      </c>
      <c r="M92" s="271" t="s">
        <v>54</v>
      </c>
      <c r="N92" s="271" t="s">
        <v>1159</v>
      </c>
    </row>
    <row r="93" spans="1:14" s="75" customFormat="1" ht="38.25">
      <c r="A93" s="271">
        <v>67</v>
      </c>
      <c r="B93" s="74" t="s">
        <v>1160</v>
      </c>
      <c r="C93" s="271" t="s">
        <v>1161</v>
      </c>
      <c r="D93" s="271">
        <v>2009</v>
      </c>
      <c r="E93" s="271">
        <v>1</v>
      </c>
      <c r="F93" s="271">
        <v>1</v>
      </c>
      <c r="G93" s="73">
        <f t="shared" si="1"/>
        <v>0</v>
      </c>
      <c r="H93" s="272"/>
      <c r="I93" s="272"/>
      <c r="J93" s="74"/>
      <c r="K93" s="273"/>
      <c r="L93" s="271" t="s">
        <v>641</v>
      </c>
      <c r="M93" s="271" t="s">
        <v>54</v>
      </c>
      <c r="N93" s="271" t="s">
        <v>1112</v>
      </c>
    </row>
    <row r="94" spans="1:14" s="75" customFormat="1" ht="51">
      <c r="A94" s="271">
        <v>68</v>
      </c>
      <c r="B94" s="72" t="s">
        <v>1162</v>
      </c>
      <c r="C94" s="271" t="s">
        <v>1163</v>
      </c>
      <c r="D94" s="271">
        <v>2014</v>
      </c>
      <c r="E94" s="271">
        <v>2</v>
      </c>
      <c r="F94" s="271">
        <v>2</v>
      </c>
      <c r="G94" s="73">
        <f>F94-E94</f>
        <v>0</v>
      </c>
      <c r="H94" s="76">
        <v>5590909</v>
      </c>
      <c r="I94" s="76">
        <v>11181818</v>
      </c>
      <c r="J94" s="74" t="s">
        <v>1164</v>
      </c>
      <c r="K94" s="273"/>
      <c r="L94" s="271" t="s">
        <v>641</v>
      </c>
      <c r="M94" s="271" t="s">
        <v>54</v>
      </c>
      <c r="N94" s="271" t="s">
        <v>1165</v>
      </c>
    </row>
    <row r="95" spans="1:14" s="75" customFormat="1" ht="89.25">
      <c r="A95" s="271">
        <v>69</v>
      </c>
      <c r="B95" s="72" t="s">
        <v>1166</v>
      </c>
      <c r="C95" s="271" t="s">
        <v>1167</v>
      </c>
      <c r="D95" s="271">
        <v>2013</v>
      </c>
      <c r="E95" s="271">
        <v>1</v>
      </c>
      <c r="F95" s="271">
        <v>1</v>
      </c>
      <c r="G95" s="73">
        <f t="shared" ref="G95:G100" si="2">F95-E95</f>
        <v>0</v>
      </c>
      <c r="H95" s="76">
        <v>45000000</v>
      </c>
      <c r="I95" s="76">
        <v>45000000</v>
      </c>
      <c r="J95" s="74" t="s">
        <v>1168</v>
      </c>
      <c r="K95" s="273"/>
      <c r="L95" s="271" t="s">
        <v>641</v>
      </c>
      <c r="M95" s="271" t="s">
        <v>54</v>
      </c>
      <c r="N95" s="271" t="s">
        <v>1112</v>
      </c>
    </row>
    <row r="96" spans="1:14" s="75" customFormat="1" ht="51">
      <c r="A96" s="271">
        <v>70</v>
      </c>
      <c r="B96" s="72" t="s">
        <v>1169</v>
      </c>
      <c r="C96" s="271" t="s">
        <v>1170</v>
      </c>
      <c r="D96" s="271">
        <v>2016</v>
      </c>
      <c r="E96" s="271">
        <v>1</v>
      </c>
      <c r="F96" s="271">
        <v>1</v>
      </c>
      <c r="G96" s="73">
        <f t="shared" si="2"/>
        <v>0</v>
      </c>
      <c r="H96" s="76">
        <v>65000000</v>
      </c>
      <c r="I96" s="76">
        <v>65000000</v>
      </c>
      <c r="J96" s="72" t="s">
        <v>1017</v>
      </c>
      <c r="K96" s="273"/>
      <c r="L96" s="271" t="s">
        <v>641</v>
      </c>
      <c r="M96" s="271" t="s">
        <v>54</v>
      </c>
      <c r="N96" s="271" t="s">
        <v>1112</v>
      </c>
    </row>
    <row r="97" spans="1:14" s="83" customFormat="1" ht="51">
      <c r="A97" s="271">
        <v>71</v>
      </c>
      <c r="B97" s="72" t="s">
        <v>1171</v>
      </c>
      <c r="C97" s="271" t="s">
        <v>1172</v>
      </c>
      <c r="D97" s="79">
        <v>2010</v>
      </c>
      <c r="E97" s="79">
        <v>1</v>
      </c>
      <c r="F97" s="79">
        <v>1</v>
      </c>
      <c r="G97" s="73">
        <f t="shared" si="2"/>
        <v>0</v>
      </c>
      <c r="H97" s="80">
        <v>175093330</v>
      </c>
      <c r="I97" s="80">
        <v>175093330</v>
      </c>
      <c r="J97" s="72" t="s">
        <v>1020</v>
      </c>
      <c r="K97" s="273"/>
      <c r="L97" s="271" t="s">
        <v>641</v>
      </c>
      <c r="M97" s="271" t="s">
        <v>54</v>
      </c>
      <c r="N97" s="271" t="s">
        <v>1083</v>
      </c>
    </row>
    <row r="98" spans="1:14" s="83" customFormat="1" ht="51">
      <c r="A98" s="271">
        <v>72</v>
      </c>
      <c r="B98" s="72" t="s">
        <v>1173</v>
      </c>
      <c r="C98" s="271" t="s">
        <v>1174</v>
      </c>
      <c r="D98" s="79">
        <v>2010</v>
      </c>
      <c r="E98" s="79">
        <v>1</v>
      </c>
      <c r="F98" s="79">
        <v>1</v>
      </c>
      <c r="G98" s="73">
        <f t="shared" si="2"/>
        <v>0</v>
      </c>
      <c r="H98" s="80">
        <v>172353701</v>
      </c>
      <c r="I98" s="80">
        <v>172353701</v>
      </c>
      <c r="J98" s="72" t="s">
        <v>1020</v>
      </c>
      <c r="K98" s="273"/>
      <c r="L98" s="271" t="s">
        <v>232</v>
      </c>
      <c r="M98" s="271" t="s">
        <v>54</v>
      </c>
      <c r="N98" s="271" t="s">
        <v>946</v>
      </c>
    </row>
    <row r="99" spans="1:14" s="83" customFormat="1" ht="51">
      <c r="A99" s="271">
        <v>73</v>
      </c>
      <c r="B99" s="72" t="s">
        <v>1175</v>
      </c>
      <c r="C99" s="271" t="s">
        <v>1176</v>
      </c>
      <c r="D99" s="79">
        <v>2010</v>
      </c>
      <c r="E99" s="79">
        <v>1</v>
      </c>
      <c r="F99" s="79">
        <v>1</v>
      </c>
      <c r="G99" s="73">
        <f t="shared" si="2"/>
        <v>0</v>
      </c>
      <c r="H99" s="80">
        <v>68608754</v>
      </c>
      <c r="I99" s="80">
        <v>68608754</v>
      </c>
      <c r="J99" s="72" t="s">
        <v>1020</v>
      </c>
      <c r="K99" s="273"/>
      <c r="L99" s="271" t="s">
        <v>641</v>
      </c>
      <c r="M99" s="271" t="s">
        <v>54</v>
      </c>
      <c r="N99" s="271" t="s">
        <v>1112</v>
      </c>
    </row>
    <row r="100" spans="1:14" s="83" customFormat="1" ht="51">
      <c r="A100" s="271">
        <v>74</v>
      </c>
      <c r="B100" s="72" t="s">
        <v>1177</v>
      </c>
      <c r="C100" s="271" t="s">
        <v>1178</v>
      </c>
      <c r="D100" s="79">
        <v>2010</v>
      </c>
      <c r="E100" s="79">
        <v>1</v>
      </c>
      <c r="F100" s="79">
        <v>1</v>
      </c>
      <c r="G100" s="73">
        <f t="shared" si="2"/>
        <v>0</v>
      </c>
      <c r="H100" s="80">
        <v>38596284</v>
      </c>
      <c r="I100" s="80">
        <v>38596284</v>
      </c>
      <c r="J100" s="72" t="s">
        <v>1020</v>
      </c>
      <c r="K100" s="273"/>
      <c r="L100" s="271" t="s">
        <v>232</v>
      </c>
      <c r="M100" s="271" t="s">
        <v>54</v>
      </c>
      <c r="N100" s="271" t="s">
        <v>946</v>
      </c>
    </row>
    <row r="101" spans="1:14" s="83" customFormat="1" ht="51">
      <c r="A101" s="271">
        <v>75</v>
      </c>
      <c r="B101" s="72" t="s">
        <v>1179</v>
      </c>
      <c r="C101" s="271" t="s">
        <v>1180</v>
      </c>
      <c r="D101" s="79">
        <v>2010</v>
      </c>
      <c r="E101" s="79">
        <v>1</v>
      </c>
      <c r="F101" s="79">
        <v>1</v>
      </c>
      <c r="G101" s="73">
        <f>F101-E101</f>
        <v>0</v>
      </c>
      <c r="H101" s="76">
        <v>85526439</v>
      </c>
      <c r="I101" s="76">
        <v>85526439</v>
      </c>
      <c r="J101" s="72" t="s">
        <v>1020</v>
      </c>
      <c r="K101" s="273"/>
      <c r="L101" s="271" t="s">
        <v>641</v>
      </c>
      <c r="M101" s="271" t="s">
        <v>54</v>
      </c>
      <c r="N101" s="271" t="s">
        <v>1112</v>
      </c>
    </row>
    <row r="102" spans="1:14" s="83" customFormat="1" ht="51">
      <c r="A102" s="271">
        <v>76</v>
      </c>
      <c r="B102" s="72" t="s">
        <v>1181</v>
      </c>
      <c r="C102" s="271" t="s">
        <v>1182</v>
      </c>
      <c r="D102" s="79">
        <v>2010</v>
      </c>
      <c r="E102" s="79">
        <v>1</v>
      </c>
      <c r="F102" s="79">
        <v>1</v>
      </c>
      <c r="G102" s="73">
        <f t="shared" ref="G102:G107" si="3">F102-E102</f>
        <v>0</v>
      </c>
      <c r="H102" s="76">
        <v>73033390</v>
      </c>
      <c r="I102" s="76">
        <v>73033390</v>
      </c>
      <c r="J102" s="72" t="s">
        <v>1020</v>
      </c>
      <c r="K102" s="273"/>
      <c r="L102" s="271" t="s">
        <v>1183</v>
      </c>
      <c r="M102" s="271" t="s">
        <v>54</v>
      </c>
      <c r="N102" s="271" t="s">
        <v>946</v>
      </c>
    </row>
    <row r="103" spans="1:14" s="83" customFormat="1" ht="51">
      <c r="A103" s="271">
        <v>77</v>
      </c>
      <c r="B103" s="72" t="s">
        <v>1184</v>
      </c>
      <c r="C103" s="271" t="s">
        <v>1185</v>
      </c>
      <c r="D103" s="79">
        <v>2010</v>
      </c>
      <c r="E103" s="79">
        <v>1</v>
      </c>
      <c r="F103" s="79">
        <v>1</v>
      </c>
      <c r="G103" s="73">
        <f t="shared" si="3"/>
        <v>0</v>
      </c>
      <c r="H103" s="76">
        <v>29628532</v>
      </c>
      <c r="I103" s="76">
        <v>29628532</v>
      </c>
      <c r="J103" s="72" t="s">
        <v>1020</v>
      </c>
      <c r="K103" s="273"/>
      <c r="L103" s="271" t="s">
        <v>641</v>
      </c>
      <c r="M103" s="271" t="s">
        <v>54</v>
      </c>
      <c r="N103" s="271" t="s">
        <v>1112</v>
      </c>
    </row>
    <row r="104" spans="1:14" s="83" customFormat="1" ht="51">
      <c r="A104" s="271">
        <v>78</v>
      </c>
      <c r="B104" s="72" t="s">
        <v>1186</v>
      </c>
      <c r="C104" s="271" t="s">
        <v>1187</v>
      </c>
      <c r="D104" s="271">
        <v>2010</v>
      </c>
      <c r="E104" s="271">
        <v>1</v>
      </c>
      <c r="F104" s="271">
        <v>1</v>
      </c>
      <c r="G104" s="73">
        <f t="shared" si="3"/>
        <v>0</v>
      </c>
      <c r="H104" s="76">
        <v>113074782</v>
      </c>
      <c r="I104" s="76">
        <v>113074782</v>
      </c>
      <c r="J104" s="72" t="s">
        <v>1020</v>
      </c>
      <c r="K104" s="273"/>
      <c r="L104" s="271" t="s">
        <v>641</v>
      </c>
      <c r="M104" s="271" t="s">
        <v>54</v>
      </c>
      <c r="N104" s="271" t="s">
        <v>1112</v>
      </c>
    </row>
    <row r="105" spans="1:14" s="83" customFormat="1" ht="51">
      <c r="A105" s="271">
        <v>79</v>
      </c>
      <c r="B105" s="72" t="s">
        <v>1188</v>
      </c>
      <c r="C105" s="271" t="s">
        <v>1189</v>
      </c>
      <c r="D105" s="271">
        <v>2011</v>
      </c>
      <c r="E105" s="271">
        <v>1</v>
      </c>
      <c r="F105" s="271">
        <v>1</v>
      </c>
      <c r="G105" s="73">
        <f t="shared" si="3"/>
        <v>0</v>
      </c>
      <c r="H105" s="76">
        <v>40776329</v>
      </c>
      <c r="I105" s="76">
        <v>40776329</v>
      </c>
      <c r="J105" s="72" t="s">
        <v>1020</v>
      </c>
      <c r="K105" s="273"/>
      <c r="L105" s="271" t="s">
        <v>641</v>
      </c>
      <c r="M105" s="271" t="s">
        <v>54</v>
      </c>
      <c r="N105" s="271" t="s">
        <v>1112</v>
      </c>
    </row>
    <row r="106" spans="1:14" s="83" customFormat="1" ht="102">
      <c r="A106" s="271">
        <v>80</v>
      </c>
      <c r="B106" s="81" t="s">
        <v>1190</v>
      </c>
      <c r="C106" s="271" t="s">
        <v>1191</v>
      </c>
      <c r="D106" s="271">
        <v>2017</v>
      </c>
      <c r="E106" s="271">
        <v>1</v>
      </c>
      <c r="F106" s="271">
        <v>1</v>
      </c>
      <c r="G106" s="73">
        <f t="shared" si="3"/>
        <v>0</v>
      </c>
      <c r="H106" s="76">
        <v>278000000</v>
      </c>
      <c r="I106" s="76">
        <v>278000000</v>
      </c>
      <c r="J106" s="72" t="s">
        <v>1048</v>
      </c>
      <c r="K106" s="273"/>
      <c r="L106" s="271" t="s">
        <v>641</v>
      </c>
      <c r="M106" s="271" t="s">
        <v>54</v>
      </c>
      <c r="N106" s="271" t="s">
        <v>1112</v>
      </c>
    </row>
    <row r="107" spans="1:14" s="83" customFormat="1" ht="63.75">
      <c r="A107" s="271">
        <v>81</v>
      </c>
      <c r="B107" s="81" t="s">
        <v>1192</v>
      </c>
      <c r="C107" s="271" t="s">
        <v>1193</v>
      </c>
      <c r="D107" s="271">
        <v>2017</v>
      </c>
      <c r="E107" s="271">
        <v>2</v>
      </c>
      <c r="F107" s="271">
        <v>2</v>
      </c>
      <c r="G107" s="73">
        <f t="shared" si="3"/>
        <v>0</v>
      </c>
      <c r="H107" s="76">
        <v>38700000</v>
      </c>
      <c r="I107" s="76">
        <v>77400000</v>
      </c>
      <c r="J107" s="72" t="s">
        <v>1194</v>
      </c>
      <c r="K107" s="273"/>
      <c r="L107" s="271" t="s">
        <v>641</v>
      </c>
      <c r="M107" s="271" t="s">
        <v>54</v>
      </c>
      <c r="N107" s="271" t="s">
        <v>1112</v>
      </c>
    </row>
    <row r="108" spans="1:14" s="75" customFormat="1" ht="63.75">
      <c r="A108" s="271">
        <v>82</v>
      </c>
      <c r="B108" s="81" t="s">
        <v>1195</v>
      </c>
      <c r="C108" s="271" t="s">
        <v>1196</v>
      </c>
      <c r="D108" s="271">
        <v>2017</v>
      </c>
      <c r="E108" s="271">
        <v>2</v>
      </c>
      <c r="F108" s="271">
        <v>2</v>
      </c>
      <c r="G108" s="73">
        <f>F108-E108</f>
        <v>0</v>
      </c>
      <c r="H108" s="76">
        <v>21500000</v>
      </c>
      <c r="I108" s="76">
        <f>21500000*2</f>
        <v>43000000</v>
      </c>
      <c r="J108" s="72" t="s">
        <v>1194</v>
      </c>
      <c r="K108" s="273"/>
      <c r="L108" s="271" t="s">
        <v>641</v>
      </c>
      <c r="M108" s="271" t="s">
        <v>54</v>
      </c>
      <c r="N108" s="271" t="s">
        <v>1197</v>
      </c>
    </row>
    <row r="109" spans="1:14" s="75" customFormat="1" ht="25.5">
      <c r="A109" s="271">
        <v>83</v>
      </c>
      <c r="B109" s="72" t="s">
        <v>1198</v>
      </c>
      <c r="C109" s="271" t="s">
        <v>1060</v>
      </c>
      <c r="D109" s="271">
        <v>2000</v>
      </c>
      <c r="E109" s="271">
        <v>1</v>
      </c>
      <c r="F109" s="271">
        <v>1</v>
      </c>
      <c r="G109" s="73">
        <f t="shared" ref="G109:G115" si="4">F109-E109</f>
        <v>0</v>
      </c>
      <c r="H109" s="82">
        <v>63750</v>
      </c>
      <c r="I109" s="82">
        <v>63750</v>
      </c>
      <c r="J109" s="271" t="s">
        <v>981</v>
      </c>
      <c r="K109" s="273"/>
      <c r="L109" s="271" t="s">
        <v>641</v>
      </c>
      <c r="M109" s="271" t="s">
        <v>54</v>
      </c>
      <c r="N109" s="271" t="s">
        <v>1112</v>
      </c>
    </row>
    <row r="110" spans="1:14" s="75" customFormat="1" ht="38.25">
      <c r="A110" s="271">
        <v>84</v>
      </c>
      <c r="B110" s="72" t="s">
        <v>1199</v>
      </c>
      <c r="C110" s="271" t="s">
        <v>1200</v>
      </c>
      <c r="D110" s="271">
        <v>2015</v>
      </c>
      <c r="E110" s="271"/>
      <c r="F110" s="271">
        <v>1</v>
      </c>
      <c r="G110" s="73">
        <f t="shared" si="4"/>
        <v>1</v>
      </c>
      <c r="H110" s="84"/>
      <c r="I110" s="84"/>
      <c r="J110" s="82" t="s">
        <v>1068</v>
      </c>
      <c r="K110" s="72" t="s">
        <v>1069</v>
      </c>
      <c r="L110" s="271" t="s">
        <v>991</v>
      </c>
      <c r="M110" s="271" t="s">
        <v>1070</v>
      </c>
      <c r="N110" s="271" t="s">
        <v>1201</v>
      </c>
    </row>
    <row r="111" spans="1:14" s="75" customFormat="1" ht="38.25">
      <c r="A111" s="271">
        <v>85</v>
      </c>
      <c r="B111" s="72" t="s">
        <v>1202</v>
      </c>
      <c r="C111" s="271" t="s">
        <v>1203</v>
      </c>
      <c r="D111" s="271">
        <v>2015</v>
      </c>
      <c r="E111" s="271">
        <v>1</v>
      </c>
      <c r="F111" s="271">
        <v>1</v>
      </c>
      <c r="G111" s="73">
        <f t="shared" si="4"/>
        <v>0</v>
      </c>
      <c r="H111" s="76">
        <v>5060000</v>
      </c>
      <c r="I111" s="76">
        <v>5060000</v>
      </c>
      <c r="J111" s="82" t="s">
        <v>1068</v>
      </c>
      <c r="K111" s="72" t="s">
        <v>1069</v>
      </c>
      <c r="L111" s="271" t="s">
        <v>641</v>
      </c>
      <c r="M111" s="271" t="s">
        <v>1070</v>
      </c>
      <c r="N111" s="271" t="s">
        <v>1083</v>
      </c>
    </row>
    <row r="112" spans="1:14" s="75" customFormat="1" ht="38.25">
      <c r="A112" s="271">
        <v>86</v>
      </c>
      <c r="B112" s="72" t="s">
        <v>1204</v>
      </c>
      <c r="C112" s="271" t="s">
        <v>1205</v>
      </c>
      <c r="D112" s="271">
        <v>2017</v>
      </c>
      <c r="E112" s="271">
        <v>1</v>
      </c>
      <c r="F112" s="271">
        <v>1</v>
      </c>
      <c r="G112" s="73">
        <f t="shared" si="4"/>
        <v>0</v>
      </c>
      <c r="H112" s="76">
        <v>5038000</v>
      </c>
      <c r="I112" s="76">
        <v>5038000</v>
      </c>
      <c r="J112" s="82" t="s">
        <v>1068</v>
      </c>
      <c r="K112" s="72" t="s">
        <v>1069</v>
      </c>
      <c r="L112" s="271" t="s">
        <v>95</v>
      </c>
      <c r="M112" s="271" t="s">
        <v>1070</v>
      </c>
      <c r="N112" s="271" t="s">
        <v>946</v>
      </c>
    </row>
    <row r="113" spans="1:15" s="75" customFormat="1" ht="76.5">
      <c r="A113" s="271">
        <v>87</v>
      </c>
      <c r="B113" s="74" t="s">
        <v>1206</v>
      </c>
      <c r="C113" s="271" t="s">
        <v>1207</v>
      </c>
      <c r="D113" s="271">
        <v>2020</v>
      </c>
      <c r="E113" s="271">
        <v>2</v>
      </c>
      <c r="F113" s="271">
        <v>2</v>
      </c>
      <c r="G113" s="73">
        <f t="shared" si="4"/>
        <v>0</v>
      </c>
      <c r="H113" s="82">
        <v>486000000</v>
      </c>
      <c r="I113" s="82">
        <v>972000000</v>
      </c>
      <c r="J113" s="82" t="s">
        <v>1208</v>
      </c>
      <c r="K113" s="72" t="s">
        <v>1069</v>
      </c>
      <c r="L113" s="271" t="s">
        <v>232</v>
      </c>
      <c r="M113" s="271"/>
      <c r="N113" s="271" t="s">
        <v>1083</v>
      </c>
    </row>
    <row r="114" spans="1:15" s="75" customFormat="1" ht="25.5">
      <c r="A114" s="271">
        <v>88</v>
      </c>
      <c r="B114" s="72" t="s">
        <v>1209</v>
      </c>
      <c r="C114" s="271" t="s">
        <v>1210</v>
      </c>
      <c r="D114" s="271"/>
      <c r="E114" s="271"/>
      <c r="F114" s="271">
        <v>2</v>
      </c>
      <c r="G114" s="73">
        <f t="shared" si="4"/>
        <v>2</v>
      </c>
      <c r="H114" s="84"/>
      <c r="I114" s="84"/>
      <c r="J114" s="82"/>
      <c r="K114" s="72" t="s">
        <v>1069</v>
      </c>
      <c r="L114" s="271" t="s">
        <v>641</v>
      </c>
      <c r="M114" s="271"/>
      <c r="N114" s="271" t="s">
        <v>1083</v>
      </c>
    </row>
    <row r="115" spans="1:15" s="75" customFormat="1" ht="51">
      <c r="A115" s="271">
        <v>89</v>
      </c>
      <c r="B115" s="87" t="s">
        <v>1211</v>
      </c>
      <c r="C115" s="271" t="s">
        <v>1212</v>
      </c>
      <c r="D115" s="271">
        <v>2013</v>
      </c>
      <c r="E115" s="271">
        <v>2</v>
      </c>
      <c r="F115" s="271">
        <v>2</v>
      </c>
      <c r="G115" s="73">
        <f t="shared" si="4"/>
        <v>0</v>
      </c>
      <c r="H115" s="82">
        <v>14627514</v>
      </c>
      <c r="I115" s="76">
        <v>29255028</v>
      </c>
      <c r="J115" s="74" t="s">
        <v>980</v>
      </c>
      <c r="K115" s="72" t="s">
        <v>1020</v>
      </c>
      <c r="L115" s="273" t="s">
        <v>95</v>
      </c>
      <c r="M115" s="271" t="s">
        <v>54</v>
      </c>
      <c r="N115" s="271" t="s">
        <v>946</v>
      </c>
    </row>
    <row r="116" spans="1:15" s="75" customFormat="1" ht="38.25">
      <c r="A116" s="271">
        <v>90</v>
      </c>
      <c r="B116" s="72" t="s">
        <v>1213</v>
      </c>
      <c r="C116" s="271" t="s">
        <v>1214</v>
      </c>
      <c r="D116" s="271">
        <v>2002</v>
      </c>
      <c r="E116" s="271">
        <v>1</v>
      </c>
      <c r="F116" s="271">
        <v>1</v>
      </c>
      <c r="G116" s="73">
        <f>F116-E116</f>
        <v>0</v>
      </c>
      <c r="H116" s="76">
        <v>13600000</v>
      </c>
      <c r="I116" s="76">
        <v>13600000</v>
      </c>
      <c r="J116" s="82" t="s">
        <v>1068</v>
      </c>
      <c r="K116" s="273"/>
      <c r="L116" s="271" t="s">
        <v>95</v>
      </c>
      <c r="M116" s="271" t="s">
        <v>54</v>
      </c>
      <c r="N116" s="271" t="s">
        <v>946</v>
      </c>
    </row>
    <row r="117" spans="1:15" s="75" customFormat="1" ht="51">
      <c r="A117" s="271">
        <v>91</v>
      </c>
      <c r="B117" s="72" t="s">
        <v>1215</v>
      </c>
      <c r="C117" s="271" t="s">
        <v>1216</v>
      </c>
      <c r="D117" s="79">
        <v>2010</v>
      </c>
      <c r="E117" s="79">
        <v>2</v>
      </c>
      <c r="F117" s="79">
        <v>2</v>
      </c>
      <c r="G117" s="73">
        <f t="shared" ref="G117:G124" si="5">F117-E117</f>
        <v>0</v>
      </c>
      <c r="H117" s="76">
        <v>16984510</v>
      </c>
      <c r="I117" s="76">
        <v>33969020</v>
      </c>
      <c r="J117" s="72" t="s">
        <v>1020</v>
      </c>
      <c r="K117" s="273"/>
      <c r="L117" s="273"/>
      <c r="M117" s="271" t="s">
        <v>54</v>
      </c>
      <c r="N117" s="271" t="s">
        <v>1217</v>
      </c>
    </row>
    <row r="118" spans="1:15" s="75" customFormat="1" ht="38.25">
      <c r="A118" s="271">
        <v>92</v>
      </c>
      <c r="B118" s="72" t="s">
        <v>1218</v>
      </c>
      <c r="C118" s="271" t="s">
        <v>1219</v>
      </c>
      <c r="D118" s="271">
        <v>2005</v>
      </c>
      <c r="E118" s="271">
        <v>1</v>
      </c>
      <c r="F118" s="271">
        <v>1</v>
      </c>
      <c r="G118" s="73">
        <f t="shared" si="5"/>
        <v>0</v>
      </c>
      <c r="H118" s="84"/>
      <c r="I118" s="84"/>
      <c r="J118" s="82" t="s">
        <v>1068</v>
      </c>
      <c r="K118" s="72" t="s">
        <v>1069</v>
      </c>
      <c r="L118" s="72"/>
      <c r="M118" s="271" t="s">
        <v>1070</v>
      </c>
      <c r="N118" s="271" t="s">
        <v>1217</v>
      </c>
    </row>
    <row r="119" spans="1:15" s="75" customFormat="1" ht="38.25">
      <c r="A119" s="271">
        <v>93</v>
      </c>
      <c r="B119" s="72" t="s">
        <v>1220</v>
      </c>
      <c r="C119" s="271" t="s">
        <v>1221</v>
      </c>
      <c r="D119" s="271">
        <v>2009</v>
      </c>
      <c r="E119" s="271">
        <v>1</v>
      </c>
      <c r="F119" s="271">
        <v>1</v>
      </c>
      <c r="G119" s="73">
        <f t="shared" si="5"/>
        <v>0</v>
      </c>
      <c r="H119" s="84"/>
      <c r="I119" s="84"/>
      <c r="J119" s="82" t="s">
        <v>1068</v>
      </c>
      <c r="K119" s="72" t="s">
        <v>1069</v>
      </c>
      <c r="L119" s="271" t="s">
        <v>232</v>
      </c>
      <c r="M119" s="271" t="s">
        <v>1070</v>
      </c>
      <c r="N119" s="271" t="s">
        <v>1217</v>
      </c>
    </row>
    <row r="120" spans="1:15" s="75" customFormat="1" ht="38.25">
      <c r="A120" s="271">
        <v>94</v>
      </c>
      <c r="B120" s="74" t="s">
        <v>1222</v>
      </c>
      <c r="C120" s="271" t="s">
        <v>1223</v>
      </c>
      <c r="D120" s="271">
        <v>2005</v>
      </c>
      <c r="E120" s="271">
        <v>1</v>
      </c>
      <c r="F120" s="271">
        <v>1</v>
      </c>
      <c r="G120" s="73">
        <f t="shared" si="5"/>
        <v>0</v>
      </c>
      <c r="H120" s="76">
        <v>3770942</v>
      </c>
      <c r="I120" s="76">
        <v>3770942</v>
      </c>
      <c r="J120" s="82" t="s">
        <v>1068</v>
      </c>
      <c r="K120" s="72" t="s">
        <v>1069</v>
      </c>
      <c r="L120" s="72"/>
      <c r="M120" s="271" t="s">
        <v>1070</v>
      </c>
      <c r="N120" s="271" t="s">
        <v>1217</v>
      </c>
    </row>
    <row r="121" spans="1:15" s="75" customFormat="1" ht="38.25">
      <c r="A121" s="271">
        <v>95</v>
      </c>
      <c r="B121" s="74" t="s">
        <v>1224</v>
      </c>
      <c r="C121" s="271"/>
      <c r="D121" s="271"/>
      <c r="E121" s="271">
        <v>1</v>
      </c>
      <c r="F121" s="271">
        <v>1</v>
      </c>
      <c r="G121" s="73">
        <f t="shared" si="5"/>
        <v>0</v>
      </c>
      <c r="H121" s="82">
        <v>6300000</v>
      </c>
      <c r="I121" s="82">
        <v>6300000</v>
      </c>
      <c r="J121" s="82" t="s">
        <v>1068</v>
      </c>
      <c r="K121" s="72" t="s">
        <v>1069</v>
      </c>
      <c r="L121" s="271" t="s">
        <v>232</v>
      </c>
      <c r="M121" s="271" t="s">
        <v>1070</v>
      </c>
      <c r="N121" s="271" t="s">
        <v>946</v>
      </c>
      <c r="O121" s="71"/>
    </row>
    <row r="122" spans="1:15" s="75" customFormat="1" ht="25.5">
      <c r="A122" s="485">
        <v>96</v>
      </c>
      <c r="B122" s="72" t="s">
        <v>1225</v>
      </c>
      <c r="C122" s="72"/>
      <c r="D122" s="485">
        <v>2009</v>
      </c>
      <c r="E122" s="271"/>
      <c r="F122" s="271">
        <v>1</v>
      </c>
      <c r="G122" s="73">
        <f t="shared" si="5"/>
        <v>1</v>
      </c>
      <c r="H122" s="84"/>
      <c r="I122" s="84"/>
      <c r="J122" s="491" t="s">
        <v>1068</v>
      </c>
      <c r="K122" s="485" t="s">
        <v>1069</v>
      </c>
      <c r="L122" s="271" t="s">
        <v>232</v>
      </c>
      <c r="M122" s="271" t="s">
        <v>1070</v>
      </c>
      <c r="N122" s="271"/>
    </row>
    <row r="123" spans="1:15" s="75" customFormat="1" ht="25.5">
      <c r="A123" s="485"/>
      <c r="B123" s="72" t="s">
        <v>1086</v>
      </c>
      <c r="C123" s="271" t="s">
        <v>1226</v>
      </c>
      <c r="D123" s="485"/>
      <c r="E123" s="271"/>
      <c r="F123" s="271">
        <v>1</v>
      </c>
      <c r="G123" s="73">
        <f t="shared" si="5"/>
        <v>1</v>
      </c>
      <c r="H123" s="84"/>
      <c r="I123" s="84"/>
      <c r="J123" s="491"/>
      <c r="K123" s="485"/>
      <c r="L123" s="271" t="s">
        <v>232</v>
      </c>
      <c r="M123" s="271" t="s">
        <v>1070</v>
      </c>
      <c r="N123" s="271" t="s">
        <v>982</v>
      </c>
    </row>
    <row r="124" spans="1:15" s="75" customFormat="1" ht="25.5">
      <c r="A124" s="485"/>
      <c r="B124" s="72" t="s">
        <v>1227</v>
      </c>
      <c r="C124" s="271" t="s">
        <v>1228</v>
      </c>
      <c r="D124" s="485"/>
      <c r="E124" s="271">
        <v>1</v>
      </c>
      <c r="F124" s="271">
        <v>1</v>
      </c>
      <c r="G124" s="73">
        <f t="shared" si="5"/>
        <v>0</v>
      </c>
      <c r="H124" s="84"/>
      <c r="I124" s="84"/>
      <c r="J124" s="491"/>
      <c r="K124" s="485"/>
      <c r="L124" s="271" t="s">
        <v>232</v>
      </c>
      <c r="M124" s="271" t="s">
        <v>1070</v>
      </c>
      <c r="N124" s="271" t="s">
        <v>1217</v>
      </c>
    </row>
    <row r="125" spans="1:15" s="75" customFormat="1" ht="38.25">
      <c r="A125" s="271">
        <v>97</v>
      </c>
      <c r="B125" s="72" t="s">
        <v>1229</v>
      </c>
      <c r="C125" s="271" t="s">
        <v>1230</v>
      </c>
      <c r="D125" s="271"/>
      <c r="E125" s="271"/>
      <c r="F125" s="271">
        <v>1</v>
      </c>
      <c r="G125" s="73">
        <f>F125-E125</f>
        <v>1</v>
      </c>
      <c r="H125" s="82">
        <v>9708064</v>
      </c>
      <c r="I125" s="82">
        <v>9708064</v>
      </c>
      <c r="J125" s="82" t="s">
        <v>1068</v>
      </c>
      <c r="K125" s="74" t="s">
        <v>1069</v>
      </c>
      <c r="L125" s="72"/>
      <c r="M125" s="271"/>
      <c r="N125" s="271" t="s">
        <v>946</v>
      </c>
    </row>
    <row r="126" spans="1:15" s="75" customFormat="1" ht="38.25">
      <c r="A126" s="271">
        <v>98</v>
      </c>
      <c r="B126" s="72" t="s">
        <v>1231</v>
      </c>
      <c r="C126" s="271" t="s">
        <v>1232</v>
      </c>
      <c r="D126" s="271"/>
      <c r="E126" s="271"/>
      <c r="F126" s="271">
        <v>1</v>
      </c>
      <c r="G126" s="73">
        <f t="shared" ref="G126:G132" si="6">F126-E126</f>
        <v>1</v>
      </c>
      <c r="H126" s="72"/>
      <c r="I126" s="72"/>
      <c r="J126" s="82" t="s">
        <v>1068</v>
      </c>
      <c r="K126" s="74" t="s">
        <v>1069</v>
      </c>
      <c r="L126" s="72"/>
      <c r="M126" s="271"/>
      <c r="N126" s="271" t="s">
        <v>946</v>
      </c>
    </row>
    <row r="127" spans="1:15" s="83" customFormat="1" ht="51">
      <c r="A127" s="271">
        <v>99</v>
      </c>
      <c r="B127" s="72" t="s">
        <v>1233</v>
      </c>
      <c r="C127" s="271" t="s">
        <v>1234</v>
      </c>
      <c r="D127" s="271">
        <v>2011</v>
      </c>
      <c r="E127" s="271">
        <v>1</v>
      </c>
      <c r="F127" s="271">
        <v>1</v>
      </c>
      <c r="G127" s="73">
        <f t="shared" si="6"/>
        <v>0</v>
      </c>
      <c r="H127" s="76">
        <v>5877079</v>
      </c>
      <c r="I127" s="76">
        <v>5877079</v>
      </c>
      <c r="J127" s="72" t="s">
        <v>1235</v>
      </c>
      <c r="K127" s="72" t="s">
        <v>1069</v>
      </c>
      <c r="L127" s="271" t="s">
        <v>641</v>
      </c>
      <c r="M127" s="271" t="s">
        <v>54</v>
      </c>
      <c r="N127" s="271" t="s">
        <v>982</v>
      </c>
    </row>
    <row r="128" spans="1:15" s="83" customFormat="1" ht="38.25">
      <c r="A128" s="271">
        <v>100</v>
      </c>
      <c r="B128" s="72" t="s">
        <v>1204</v>
      </c>
      <c r="C128" s="271" t="s">
        <v>1236</v>
      </c>
      <c r="D128" s="271">
        <v>2009</v>
      </c>
      <c r="E128" s="271">
        <v>1</v>
      </c>
      <c r="F128" s="271">
        <v>1</v>
      </c>
      <c r="G128" s="73">
        <f t="shared" si="6"/>
        <v>0</v>
      </c>
      <c r="H128" s="76">
        <v>4236246</v>
      </c>
      <c r="I128" s="76">
        <v>4236246</v>
      </c>
      <c r="J128" s="82" t="s">
        <v>1068</v>
      </c>
      <c r="K128" s="72" t="s">
        <v>1069</v>
      </c>
      <c r="L128" s="271" t="s">
        <v>95</v>
      </c>
      <c r="M128" s="271" t="s">
        <v>1070</v>
      </c>
      <c r="N128" s="271" t="s">
        <v>1237</v>
      </c>
    </row>
    <row r="129" spans="1:15" s="83" customFormat="1" ht="38.25">
      <c r="A129" s="271">
        <v>101</v>
      </c>
      <c r="B129" s="81" t="s">
        <v>1071</v>
      </c>
      <c r="C129" s="271" t="s">
        <v>1238</v>
      </c>
      <c r="D129" s="271">
        <v>2012</v>
      </c>
      <c r="E129" s="271">
        <v>1</v>
      </c>
      <c r="F129" s="271">
        <v>1</v>
      </c>
      <c r="G129" s="73">
        <f t="shared" si="6"/>
        <v>0</v>
      </c>
      <c r="H129" s="88">
        <f>86493475/5</f>
        <v>17298695</v>
      </c>
      <c r="I129" s="88">
        <f>86493475/5</f>
        <v>17298695</v>
      </c>
      <c r="J129" s="72" t="s">
        <v>1073</v>
      </c>
      <c r="K129" s="271" t="s">
        <v>1069</v>
      </c>
      <c r="L129" s="271" t="s">
        <v>641</v>
      </c>
      <c r="M129" s="271" t="s">
        <v>54</v>
      </c>
      <c r="N129" s="271"/>
    </row>
    <row r="130" spans="1:15" s="71" customFormat="1" ht="25.5">
      <c r="A130" s="271">
        <v>102</v>
      </c>
      <c r="B130" s="81" t="s">
        <v>1239</v>
      </c>
      <c r="C130" s="271"/>
      <c r="D130" s="271">
        <v>2025</v>
      </c>
      <c r="E130" s="271">
        <v>1</v>
      </c>
      <c r="F130" s="271">
        <v>1</v>
      </c>
      <c r="G130" s="73">
        <f t="shared" si="6"/>
        <v>0</v>
      </c>
      <c r="H130" s="89">
        <v>13640400</v>
      </c>
      <c r="I130" s="89">
        <v>13640400</v>
      </c>
      <c r="J130" s="72" t="s">
        <v>1240</v>
      </c>
      <c r="K130" s="271" t="s">
        <v>1069</v>
      </c>
      <c r="L130" s="271" t="s">
        <v>641</v>
      </c>
      <c r="M130" s="271" t="s">
        <v>1241</v>
      </c>
      <c r="N130" s="271"/>
    </row>
    <row r="131" spans="1:15" s="71" customFormat="1" ht="25.5">
      <c r="A131" s="271">
        <v>103</v>
      </c>
      <c r="B131" s="81" t="s">
        <v>1242</v>
      </c>
      <c r="C131" s="271"/>
      <c r="D131" s="271">
        <v>2025</v>
      </c>
      <c r="E131" s="271">
        <v>1</v>
      </c>
      <c r="F131" s="271">
        <v>1</v>
      </c>
      <c r="G131" s="73">
        <f t="shared" si="6"/>
        <v>0</v>
      </c>
      <c r="H131" s="272"/>
      <c r="I131" s="272"/>
      <c r="J131" s="72" t="s">
        <v>1240</v>
      </c>
      <c r="K131" s="271" t="s">
        <v>1069</v>
      </c>
      <c r="L131" s="271" t="s">
        <v>641</v>
      </c>
      <c r="M131" s="271" t="s">
        <v>1241</v>
      </c>
      <c r="N131" s="271"/>
    </row>
    <row r="132" spans="1:15" s="71" customFormat="1" ht="38.25">
      <c r="A132" s="271">
        <v>104</v>
      </c>
      <c r="B132" s="90" t="s">
        <v>1243</v>
      </c>
      <c r="C132" s="91" t="s">
        <v>1244</v>
      </c>
      <c r="D132" s="91">
        <v>2011</v>
      </c>
      <c r="E132" s="91">
        <v>1</v>
      </c>
      <c r="F132" s="91">
        <v>1</v>
      </c>
      <c r="G132" s="73">
        <f t="shared" si="6"/>
        <v>0</v>
      </c>
      <c r="H132" s="92">
        <v>47300000</v>
      </c>
      <c r="I132" s="92">
        <v>47300000</v>
      </c>
      <c r="J132" s="93" t="s">
        <v>1240</v>
      </c>
      <c r="K132" s="91" t="s">
        <v>1069</v>
      </c>
      <c r="L132" s="91" t="s">
        <v>641</v>
      </c>
      <c r="M132" s="91" t="s">
        <v>1245</v>
      </c>
      <c r="N132" s="91" t="s">
        <v>1246</v>
      </c>
    </row>
    <row r="133" spans="1:15" s="71" customFormat="1" ht="20.100000000000001" customHeight="1">
      <c r="A133" s="271"/>
      <c r="B133" s="274" t="s">
        <v>775</v>
      </c>
      <c r="C133" s="271"/>
      <c r="D133" s="271"/>
      <c r="E133" s="271"/>
      <c r="F133" s="271"/>
      <c r="G133" s="84"/>
      <c r="H133" s="84"/>
      <c r="I133" s="84"/>
      <c r="J133" s="82"/>
      <c r="K133" s="72"/>
      <c r="L133" s="271"/>
      <c r="M133" s="271"/>
      <c r="N133" s="271"/>
    </row>
    <row r="134" spans="1:15" s="75" customFormat="1" ht="38.25">
      <c r="A134" s="271">
        <v>1</v>
      </c>
      <c r="B134" s="72" t="s">
        <v>1247</v>
      </c>
      <c r="C134" s="271" t="s">
        <v>1248</v>
      </c>
      <c r="D134" s="271"/>
      <c r="E134" s="271">
        <v>2</v>
      </c>
      <c r="F134" s="271">
        <v>2</v>
      </c>
      <c r="G134" s="94">
        <f>F134-E134</f>
        <v>0</v>
      </c>
      <c r="H134" s="84"/>
      <c r="I134" s="84"/>
      <c r="J134" s="82" t="s">
        <v>1068</v>
      </c>
      <c r="K134" s="72" t="s">
        <v>1069</v>
      </c>
      <c r="L134" s="271" t="s">
        <v>641</v>
      </c>
      <c r="M134" s="271"/>
      <c r="N134" s="271" t="s">
        <v>1249</v>
      </c>
    </row>
    <row r="135" spans="1:15" s="83" customFormat="1" ht="38.25">
      <c r="A135" s="91">
        <v>2</v>
      </c>
      <c r="B135" s="74" t="s">
        <v>1250</v>
      </c>
      <c r="C135" s="271" t="s">
        <v>1251</v>
      </c>
      <c r="D135" s="271"/>
      <c r="E135" s="271">
        <v>1</v>
      </c>
      <c r="F135" s="271">
        <v>1</v>
      </c>
      <c r="G135" s="94">
        <f t="shared" ref="G135:G151" si="7">F135-E135</f>
        <v>0</v>
      </c>
      <c r="H135" s="84"/>
      <c r="I135" s="84"/>
      <c r="J135" s="82" t="s">
        <v>1068</v>
      </c>
      <c r="K135" s="72" t="s">
        <v>1069</v>
      </c>
      <c r="L135" s="271" t="s">
        <v>641</v>
      </c>
      <c r="M135" s="271"/>
      <c r="N135" s="271" t="s">
        <v>982</v>
      </c>
    </row>
    <row r="136" spans="1:15" s="83" customFormat="1" ht="38.25">
      <c r="A136" s="271">
        <v>3</v>
      </c>
      <c r="B136" s="74" t="s">
        <v>1252</v>
      </c>
      <c r="C136" s="271" t="s">
        <v>1253</v>
      </c>
      <c r="D136" s="271"/>
      <c r="E136" s="271">
        <v>1</v>
      </c>
      <c r="F136" s="271">
        <v>1</v>
      </c>
      <c r="G136" s="94">
        <f t="shared" si="7"/>
        <v>0</v>
      </c>
      <c r="H136" s="84"/>
      <c r="I136" s="84"/>
      <c r="J136" s="82" t="s">
        <v>1068</v>
      </c>
      <c r="K136" s="72" t="s">
        <v>1069</v>
      </c>
      <c r="L136" s="271" t="s">
        <v>641</v>
      </c>
      <c r="M136" s="271"/>
      <c r="N136" s="271" t="s">
        <v>982</v>
      </c>
    </row>
    <row r="137" spans="1:15" s="83" customFormat="1" ht="38.25">
      <c r="A137" s="91">
        <v>4</v>
      </c>
      <c r="B137" s="74" t="s">
        <v>1254</v>
      </c>
      <c r="C137" s="271" t="s">
        <v>1255</v>
      </c>
      <c r="D137" s="271"/>
      <c r="E137" s="271">
        <v>1</v>
      </c>
      <c r="F137" s="271">
        <v>1</v>
      </c>
      <c r="G137" s="94">
        <f t="shared" si="7"/>
        <v>0</v>
      </c>
      <c r="H137" s="84"/>
      <c r="I137" s="84"/>
      <c r="J137" s="82" t="s">
        <v>1068</v>
      </c>
      <c r="K137" s="72" t="s">
        <v>1069</v>
      </c>
      <c r="L137" s="271" t="s">
        <v>641</v>
      </c>
      <c r="M137" s="271"/>
      <c r="N137" s="271" t="s">
        <v>982</v>
      </c>
    </row>
    <row r="138" spans="1:15" s="83" customFormat="1" ht="38.25">
      <c r="A138" s="271">
        <v>5</v>
      </c>
      <c r="B138" s="74" t="s">
        <v>1256</v>
      </c>
      <c r="C138" s="271" t="s">
        <v>1257</v>
      </c>
      <c r="D138" s="271"/>
      <c r="E138" s="271">
        <v>4</v>
      </c>
      <c r="F138" s="271">
        <v>4</v>
      </c>
      <c r="G138" s="94">
        <f t="shared" si="7"/>
        <v>0</v>
      </c>
      <c r="H138" s="84"/>
      <c r="I138" s="84"/>
      <c r="J138" s="82" t="s">
        <v>1068</v>
      </c>
      <c r="K138" s="72" t="s">
        <v>1069</v>
      </c>
      <c r="L138" s="271" t="s">
        <v>641</v>
      </c>
      <c r="M138" s="271"/>
      <c r="N138" s="271" t="s">
        <v>982</v>
      </c>
    </row>
    <row r="139" spans="1:15" s="83" customFormat="1" ht="38.25">
      <c r="A139" s="91">
        <v>6</v>
      </c>
      <c r="B139" s="74" t="s">
        <v>1258</v>
      </c>
      <c r="C139" s="271" t="s">
        <v>1259</v>
      </c>
      <c r="D139" s="271"/>
      <c r="E139" s="271">
        <v>2</v>
      </c>
      <c r="F139" s="271">
        <v>2</v>
      </c>
      <c r="G139" s="94">
        <f t="shared" si="7"/>
        <v>0</v>
      </c>
      <c r="H139" s="84"/>
      <c r="I139" s="84"/>
      <c r="J139" s="82" t="s">
        <v>1068</v>
      </c>
      <c r="K139" s="72" t="s">
        <v>1069</v>
      </c>
      <c r="L139" s="271" t="s">
        <v>641</v>
      </c>
      <c r="M139" s="271"/>
      <c r="N139" s="271" t="s">
        <v>982</v>
      </c>
    </row>
    <row r="140" spans="1:15" s="83" customFormat="1" ht="38.25">
      <c r="A140" s="271">
        <v>7</v>
      </c>
      <c r="B140" s="95" t="s">
        <v>1260</v>
      </c>
      <c r="C140" s="271" t="s">
        <v>1261</v>
      </c>
      <c r="D140" s="96">
        <v>2010</v>
      </c>
      <c r="E140" s="96">
        <v>2</v>
      </c>
      <c r="F140" s="96">
        <v>2</v>
      </c>
      <c r="G140" s="94">
        <f t="shared" si="7"/>
        <v>0</v>
      </c>
      <c r="H140" s="272"/>
      <c r="I140" s="272"/>
      <c r="J140" s="271" t="s">
        <v>1073</v>
      </c>
      <c r="K140" s="273"/>
      <c r="L140" s="271" t="s">
        <v>641</v>
      </c>
      <c r="M140" s="271" t="s">
        <v>54</v>
      </c>
      <c r="N140" s="271" t="s">
        <v>1262</v>
      </c>
    </row>
    <row r="141" spans="1:15" s="83" customFormat="1" ht="63.75">
      <c r="A141" s="91">
        <v>8</v>
      </c>
      <c r="B141" s="95" t="s">
        <v>1263</v>
      </c>
      <c r="C141" s="271" t="s">
        <v>1264</v>
      </c>
      <c r="D141" s="271"/>
      <c r="E141" s="275">
        <v>2</v>
      </c>
      <c r="F141" s="275">
        <v>2</v>
      </c>
      <c r="G141" s="94">
        <f t="shared" si="7"/>
        <v>0</v>
      </c>
      <c r="H141" s="85">
        <v>427700</v>
      </c>
      <c r="I141" s="85">
        <v>855400</v>
      </c>
      <c r="J141" s="275" t="s">
        <v>1265</v>
      </c>
      <c r="K141" s="273"/>
      <c r="L141" s="271" t="s">
        <v>641</v>
      </c>
      <c r="M141" s="271" t="s">
        <v>54</v>
      </c>
      <c r="N141" s="271" t="s">
        <v>1266</v>
      </c>
    </row>
    <row r="142" spans="1:15" s="83" customFormat="1" ht="38.25">
      <c r="A142" s="271">
        <v>9</v>
      </c>
      <c r="B142" s="72" t="s">
        <v>1267</v>
      </c>
      <c r="C142" s="271" t="s">
        <v>1268</v>
      </c>
      <c r="D142" s="271"/>
      <c r="E142" s="271">
        <v>8</v>
      </c>
      <c r="F142" s="271">
        <v>8</v>
      </c>
      <c r="G142" s="94">
        <f t="shared" si="7"/>
        <v>0</v>
      </c>
      <c r="H142" s="84"/>
      <c r="I142" s="84"/>
      <c r="J142" s="82" t="s">
        <v>1068</v>
      </c>
      <c r="K142" s="72" t="s">
        <v>1069</v>
      </c>
      <c r="L142" s="271" t="s">
        <v>641</v>
      </c>
      <c r="M142" s="271"/>
      <c r="N142" s="271" t="s">
        <v>1269</v>
      </c>
    </row>
    <row r="143" spans="1:15" s="83" customFormat="1" ht="25.5">
      <c r="A143" s="91">
        <v>10</v>
      </c>
      <c r="B143" s="72" t="s">
        <v>1270</v>
      </c>
      <c r="C143" s="271" t="s">
        <v>1271</v>
      </c>
      <c r="D143" s="271"/>
      <c r="E143" s="275">
        <v>2</v>
      </c>
      <c r="F143" s="97">
        <v>2</v>
      </c>
      <c r="G143" s="94">
        <f t="shared" si="7"/>
        <v>0</v>
      </c>
      <c r="H143" s="82"/>
      <c r="I143" s="82"/>
      <c r="J143" s="74"/>
      <c r="K143" s="72" t="s">
        <v>1069</v>
      </c>
      <c r="L143" s="271" t="s">
        <v>641</v>
      </c>
      <c r="M143" s="271" t="s">
        <v>1272</v>
      </c>
      <c r="N143" s="271" t="s">
        <v>1083</v>
      </c>
      <c r="O143" s="98"/>
    </row>
    <row r="144" spans="1:15" s="83" customFormat="1" ht="25.5">
      <c r="A144" s="271">
        <v>11</v>
      </c>
      <c r="B144" s="72" t="s">
        <v>1252</v>
      </c>
      <c r="C144" s="271" t="s">
        <v>1273</v>
      </c>
      <c r="D144" s="271"/>
      <c r="E144" s="271"/>
      <c r="F144" s="271">
        <v>2</v>
      </c>
      <c r="G144" s="94">
        <f t="shared" si="7"/>
        <v>2</v>
      </c>
      <c r="H144" s="84"/>
      <c r="I144" s="84"/>
      <c r="J144" s="82"/>
      <c r="K144" s="72" t="s">
        <v>1069</v>
      </c>
      <c r="L144" s="271" t="s">
        <v>641</v>
      </c>
      <c r="M144" s="271"/>
      <c r="N144" s="271" t="s">
        <v>1083</v>
      </c>
    </row>
    <row r="145" spans="1:15" s="83" customFormat="1" ht="25.5">
      <c r="A145" s="91">
        <v>12</v>
      </c>
      <c r="B145" s="72" t="s">
        <v>1274</v>
      </c>
      <c r="C145" s="271" t="s">
        <v>1275</v>
      </c>
      <c r="D145" s="271"/>
      <c r="E145" s="271"/>
      <c r="F145" s="271">
        <v>1</v>
      </c>
      <c r="G145" s="94">
        <f t="shared" si="7"/>
        <v>1</v>
      </c>
      <c r="H145" s="84"/>
      <c r="I145" s="84"/>
      <c r="J145" s="82"/>
      <c r="K145" s="72" t="s">
        <v>1069</v>
      </c>
      <c r="L145" s="271" t="s">
        <v>641</v>
      </c>
      <c r="M145" s="271"/>
      <c r="N145" s="271" t="s">
        <v>1083</v>
      </c>
    </row>
    <row r="146" spans="1:15" s="83" customFormat="1" ht="38.25">
      <c r="A146" s="271">
        <v>13</v>
      </c>
      <c r="B146" s="72" t="s">
        <v>1276</v>
      </c>
      <c r="C146" s="271" t="s">
        <v>1277</v>
      </c>
      <c r="D146" s="271"/>
      <c r="E146" s="271"/>
      <c r="F146" s="271">
        <v>13</v>
      </c>
      <c r="G146" s="94">
        <f t="shared" si="7"/>
        <v>13</v>
      </c>
      <c r="H146" s="84"/>
      <c r="I146" s="84"/>
      <c r="J146" s="82" t="s">
        <v>1068</v>
      </c>
      <c r="K146" s="72" t="s">
        <v>1069</v>
      </c>
      <c r="L146" s="271" t="s">
        <v>641</v>
      </c>
      <c r="M146" s="271"/>
      <c r="N146" s="271" t="s">
        <v>1069</v>
      </c>
    </row>
    <row r="147" spans="1:15" s="83" customFormat="1" ht="89.25">
      <c r="A147" s="91">
        <v>14</v>
      </c>
      <c r="B147" s="95" t="s">
        <v>1278</v>
      </c>
      <c r="C147" s="271" t="s">
        <v>1279</v>
      </c>
      <c r="D147" s="271"/>
      <c r="E147" s="275">
        <v>4</v>
      </c>
      <c r="F147" s="275">
        <v>4</v>
      </c>
      <c r="G147" s="94">
        <f t="shared" si="7"/>
        <v>0</v>
      </c>
      <c r="H147" s="82">
        <v>19282000</v>
      </c>
      <c r="I147" s="82">
        <v>77128000</v>
      </c>
      <c r="J147" s="275" t="s">
        <v>1280</v>
      </c>
      <c r="K147" s="273"/>
      <c r="L147" s="273"/>
      <c r="M147" s="271" t="s">
        <v>54</v>
      </c>
      <c r="N147" s="271" t="s">
        <v>1281</v>
      </c>
    </row>
    <row r="148" spans="1:15" s="83" customFormat="1" ht="25.5">
      <c r="A148" s="271">
        <v>15</v>
      </c>
      <c r="B148" s="72" t="s">
        <v>1282</v>
      </c>
      <c r="C148" s="271" t="s">
        <v>1283</v>
      </c>
      <c r="D148" s="271">
        <v>1999</v>
      </c>
      <c r="E148" s="271">
        <v>1</v>
      </c>
      <c r="F148" s="271">
        <v>1</v>
      </c>
      <c r="G148" s="94">
        <f t="shared" si="7"/>
        <v>0</v>
      </c>
      <c r="H148" s="272"/>
      <c r="I148" s="272"/>
      <c r="J148" s="271" t="s">
        <v>981</v>
      </c>
      <c r="K148" s="273"/>
      <c r="L148" s="271" t="s">
        <v>95</v>
      </c>
      <c r="M148" s="271" t="s">
        <v>54</v>
      </c>
      <c r="N148" s="271" t="s">
        <v>1284</v>
      </c>
    </row>
    <row r="149" spans="1:15" s="83" customFormat="1" ht="38.25">
      <c r="A149" s="91">
        <v>16</v>
      </c>
      <c r="B149" s="72" t="s">
        <v>1285</v>
      </c>
      <c r="C149" s="271" t="s">
        <v>1286</v>
      </c>
      <c r="D149" s="271"/>
      <c r="E149" s="271">
        <v>2</v>
      </c>
      <c r="F149" s="271">
        <v>2</v>
      </c>
      <c r="G149" s="94">
        <f t="shared" si="7"/>
        <v>0</v>
      </c>
      <c r="H149" s="84"/>
      <c r="I149" s="84"/>
      <c r="J149" s="82" t="s">
        <v>1068</v>
      </c>
      <c r="K149" s="72" t="s">
        <v>1069</v>
      </c>
      <c r="L149" s="72" t="s">
        <v>641</v>
      </c>
      <c r="M149" s="271"/>
      <c r="N149" s="271" t="s">
        <v>1287</v>
      </c>
    </row>
    <row r="150" spans="1:15" s="83" customFormat="1" ht="38.25">
      <c r="A150" s="271">
        <v>17</v>
      </c>
      <c r="B150" s="72" t="s">
        <v>1288</v>
      </c>
      <c r="C150" s="271" t="s">
        <v>1289</v>
      </c>
      <c r="D150" s="271"/>
      <c r="E150" s="271">
        <v>1</v>
      </c>
      <c r="F150" s="271">
        <v>1</v>
      </c>
      <c r="G150" s="94">
        <f t="shared" si="7"/>
        <v>0</v>
      </c>
      <c r="H150" s="84"/>
      <c r="I150" s="84"/>
      <c r="J150" s="82" t="s">
        <v>1068</v>
      </c>
      <c r="K150" s="72" t="s">
        <v>1069</v>
      </c>
      <c r="L150" s="72" t="s">
        <v>641</v>
      </c>
      <c r="M150" s="271"/>
      <c r="N150" s="271" t="s">
        <v>1290</v>
      </c>
    </row>
    <row r="151" spans="1:15" s="83" customFormat="1" ht="51">
      <c r="A151" s="91">
        <v>18</v>
      </c>
      <c r="B151" s="72" t="s">
        <v>1291</v>
      </c>
      <c r="C151" s="271" t="s">
        <v>1292</v>
      </c>
      <c r="D151" s="271">
        <v>2015</v>
      </c>
      <c r="E151" s="275">
        <v>0</v>
      </c>
      <c r="F151" s="275">
        <v>1</v>
      </c>
      <c r="G151" s="94">
        <f t="shared" si="7"/>
        <v>1</v>
      </c>
      <c r="H151" s="272"/>
      <c r="I151" s="272"/>
      <c r="J151" s="74" t="s">
        <v>1293</v>
      </c>
      <c r="K151" s="271" t="s">
        <v>1294</v>
      </c>
      <c r="L151" s="271" t="s">
        <v>232</v>
      </c>
      <c r="M151" s="271" t="s">
        <v>1272</v>
      </c>
      <c r="N151" s="271" t="s">
        <v>1295</v>
      </c>
      <c r="O151" s="99"/>
    </row>
    <row r="152" spans="1:15" s="71" customFormat="1" ht="20.100000000000001" customHeight="1">
      <c r="A152" s="271"/>
      <c r="B152" s="492" t="s">
        <v>1296</v>
      </c>
      <c r="C152" s="493"/>
      <c r="D152" s="493"/>
      <c r="E152" s="493"/>
      <c r="F152" s="493"/>
      <c r="G152" s="493"/>
      <c r="H152" s="493"/>
      <c r="I152" s="493"/>
      <c r="J152" s="493"/>
      <c r="K152" s="493"/>
      <c r="L152" s="493"/>
      <c r="M152" s="493"/>
      <c r="N152" s="494"/>
    </row>
    <row r="153" spans="1:15" s="101" customFormat="1" ht="140.25">
      <c r="A153" s="271">
        <v>1</v>
      </c>
      <c r="B153" s="74" t="s">
        <v>1297</v>
      </c>
      <c r="C153" s="271" t="s">
        <v>1298</v>
      </c>
      <c r="D153" s="271">
        <v>2021</v>
      </c>
      <c r="E153" s="271">
        <v>1</v>
      </c>
      <c r="F153" s="271">
        <v>1</v>
      </c>
      <c r="G153" s="94">
        <f>F153-E153</f>
        <v>0</v>
      </c>
      <c r="H153" s="100">
        <v>1050000000</v>
      </c>
      <c r="I153" s="100">
        <v>1050000000</v>
      </c>
      <c r="J153" s="82" t="s">
        <v>1299</v>
      </c>
      <c r="K153" s="72" t="s">
        <v>1300</v>
      </c>
      <c r="L153" s="271" t="s">
        <v>641</v>
      </c>
      <c r="M153" s="271"/>
      <c r="N153" s="271" t="s">
        <v>1301</v>
      </c>
    </row>
    <row r="154" spans="1:15" s="101" customFormat="1" ht="102">
      <c r="A154" s="271">
        <v>2</v>
      </c>
      <c r="B154" s="81" t="s">
        <v>1302</v>
      </c>
      <c r="C154" s="271" t="s">
        <v>1303</v>
      </c>
      <c r="D154" s="271">
        <v>2017</v>
      </c>
      <c r="E154" s="271">
        <v>1</v>
      </c>
      <c r="F154" s="271">
        <v>1</v>
      </c>
      <c r="G154" s="94">
        <f t="shared" ref="G154:G196" si="8">F154-E154</f>
        <v>0</v>
      </c>
      <c r="H154" s="76">
        <v>1953175000</v>
      </c>
      <c r="I154" s="76">
        <v>1953175000</v>
      </c>
      <c r="J154" s="72" t="s">
        <v>1304</v>
      </c>
      <c r="K154" s="72" t="s">
        <v>1300</v>
      </c>
      <c r="L154" s="271" t="s">
        <v>641</v>
      </c>
      <c r="M154" s="271" t="s">
        <v>54</v>
      </c>
      <c r="N154" s="271"/>
    </row>
    <row r="155" spans="1:15" s="101" customFormat="1" ht="76.5">
      <c r="A155" s="271">
        <v>3</v>
      </c>
      <c r="B155" s="74" t="s">
        <v>1305</v>
      </c>
      <c r="C155" s="271" t="s">
        <v>1306</v>
      </c>
      <c r="D155" s="271">
        <v>2020</v>
      </c>
      <c r="E155" s="275">
        <v>1</v>
      </c>
      <c r="F155" s="275">
        <v>1</v>
      </c>
      <c r="G155" s="94">
        <f t="shared" si="8"/>
        <v>0</v>
      </c>
      <c r="H155" s="76">
        <v>1385000000</v>
      </c>
      <c r="I155" s="76">
        <v>1385000000</v>
      </c>
      <c r="J155" s="72" t="s">
        <v>1307</v>
      </c>
      <c r="K155" s="72" t="s">
        <v>1300</v>
      </c>
      <c r="L155" s="271" t="s">
        <v>1308</v>
      </c>
      <c r="M155" s="271" t="s">
        <v>54</v>
      </c>
      <c r="N155" s="271" t="s">
        <v>1309</v>
      </c>
    </row>
    <row r="156" spans="1:15" s="101" customFormat="1" ht="140.25">
      <c r="A156" s="271">
        <v>4</v>
      </c>
      <c r="B156" s="74" t="s">
        <v>1310</v>
      </c>
      <c r="C156" s="271" t="s">
        <v>1311</v>
      </c>
      <c r="D156" s="271">
        <v>2021</v>
      </c>
      <c r="E156" s="271">
        <v>1</v>
      </c>
      <c r="F156" s="271">
        <v>1</v>
      </c>
      <c r="G156" s="94">
        <f t="shared" si="8"/>
        <v>0</v>
      </c>
      <c r="H156" s="100">
        <v>1540000000</v>
      </c>
      <c r="I156" s="100">
        <v>1540000000</v>
      </c>
      <c r="J156" s="82" t="s">
        <v>1299</v>
      </c>
      <c r="K156" s="72" t="s">
        <v>1300</v>
      </c>
      <c r="L156" s="271" t="s">
        <v>641</v>
      </c>
      <c r="M156" s="271"/>
      <c r="N156" s="271" t="s">
        <v>1301</v>
      </c>
    </row>
    <row r="157" spans="1:15" s="101" customFormat="1" ht="89.25">
      <c r="A157" s="271">
        <v>5</v>
      </c>
      <c r="B157" s="74" t="s">
        <v>1312</v>
      </c>
      <c r="C157" s="271" t="s">
        <v>1313</v>
      </c>
      <c r="D157" s="271">
        <v>2021</v>
      </c>
      <c r="E157" s="271">
        <v>1</v>
      </c>
      <c r="F157" s="271">
        <v>1</v>
      </c>
      <c r="G157" s="94">
        <f t="shared" si="8"/>
        <v>0</v>
      </c>
      <c r="H157" s="100">
        <v>2402400000</v>
      </c>
      <c r="I157" s="100">
        <v>2402400000</v>
      </c>
      <c r="J157" s="82" t="s">
        <v>1314</v>
      </c>
      <c r="K157" s="72" t="s">
        <v>1300</v>
      </c>
      <c r="L157" s="271" t="s">
        <v>641</v>
      </c>
      <c r="M157" s="271"/>
      <c r="N157" s="271" t="s">
        <v>1301</v>
      </c>
    </row>
    <row r="158" spans="1:15" s="103" customFormat="1" ht="114.75">
      <c r="A158" s="271">
        <v>6</v>
      </c>
      <c r="B158" s="74" t="s">
        <v>1315</v>
      </c>
      <c r="C158" s="271" t="s">
        <v>1316</v>
      </c>
      <c r="D158" s="271">
        <v>2021</v>
      </c>
      <c r="E158" s="271">
        <v>1</v>
      </c>
      <c r="F158" s="271">
        <v>1</v>
      </c>
      <c r="G158" s="94">
        <f t="shared" si="8"/>
        <v>0</v>
      </c>
      <c r="H158" s="102">
        <v>13125000000</v>
      </c>
      <c r="I158" s="102">
        <v>13125000000</v>
      </c>
      <c r="J158" s="82" t="s">
        <v>1317</v>
      </c>
      <c r="K158" s="72" t="s">
        <v>1300</v>
      </c>
      <c r="L158" s="271" t="s">
        <v>232</v>
      </c>
      <c r="M158" s="271"/>
      <c r="N158" s="271" t="s">
        <v>1301</v>
      </c>
    </row>
    <row r="159" spans="1:15" s="101" customFormat="1" ht="114.75">
      <c r="A159" s="271">
        <v>7</v>
      </c>
      <c r="B159" s="74" t="s">
        <v>1318</v>
      </c>
      <c r="C159" s="271" t="s">
        <v>1319</v>
      </c>
      <c r="D159" s="271">
        <v>2021</v>
      </c>
      <c r="E159" s="271">
        <v>1</v>
      </c>
      <c r="F159" s="271">
        <v>1</v>
      </c>
      <c r="G159" s="94">
        <f t="shared" si="8"/>
        <v>0</v>
      </c>
      <c r="H159" s="102">
        <v>318573000</v>
      </c>
      <c r="I159" s="102">
        <v>318573000</v>
      </c>
      <c r="J159" s="82" t="s">
        <v>1317</v>
      </c>
      <c r="K159" s="72" t="s">
        <v>1300</v>
      </c>
      <c r="L159" s="271" t="s">
        <v>232</v>
      </c>
      <c r="M159" s="271"/>
      <c r="N159" s="271" t="s">
        <v>1301</v>
      </c>
    </row>
    <row r="160" spans="1:15" s="101" customFormat="1" ht="63.75">
      <c r="A160" s="271">
        <v>8</v>
      </c>
      <c r="B160" s="72" t="s">
        <v>1320</v>
      </c>
      <c r="C160" s="271" t="s">
        <v>1321</v>
      </c>
      <c r="D160" s="271">
        <v>2015</v>
      </c>
      <c r="E160" s="275">
        <v>2</v>
      </c>
      <c r="F160" s="275">
        <v>2</v>
      </c>
      <c r="G160" s="94">
        <f t="shared" si="8"/>
        <v>0</v>
      </c>
      <c r="H160" s="272"/>
      <c r="I160" s="272"/>
      <c r="J160" s="82" t="s">
        <v>1068</v>
      </c>
      <c r="K160" s="72" t="s">
        <v>1300</v>
      </c>
      <c r="L160" s="271" t="s">
        <v>641</v>
      </c>
      <c r="M160" s="271" t="s">
        <v>54</v>
      </c>
      <c r="N160" s="271" t="s">
        <v>1322</v>
      </c>
    </row>
    <row r="161" spans="1:14" s="101" customFormat="1" ht="38.25">
      <c r="A161" s="271">
        <v>9</v>
      </c>
      <c r="B161" s="74" t="s">
        <v>1323</v>
      </c>
      <c r="C161" s="271" t="s">
        <v>1324</v>
      </c>
      <c r="D161" s="271">
        <v>2019</v>
      </c>
      <c r="E161" s="271"/>
      <c r="F161" s="271">
        <v>2</v>
      </c>
      <c r="G161" s="94">
        <f t="shared" si="8"/>
        <v>2</v>
      </c>
      <c r="H161" s="82">
        <v>92500000</v>
      </c>
      <c r="I161" s="82">
        <v>185000000</v>
      </c>
      <c r="J161" s="82" t="s">
        <v>1068</v>
      </c>
      <c r="K161" s="72" t="s">
        <v>1300</v>
      </c>
      <c r="L161" s="271" t="s">
        <v>641</v>
      </c>
      <c r="M161" s="271"/>
      <c r="N161" s="271" t="s">
        <v>1090</v>
      </c>
    </row>
    <row r="162" spans="1:14" s="101" customFormat="1" ht="38.25">
      <c r="A162" s="271">
        <v>10</v>
      </c>
      <c r="B162" s="72" t="s">
        <v>1325</v>
      </c>
      <c r="C162" s="271" t="s">
        <v>1326</v>
      </c>
      <c r="D162" s="271">
        <v>2008</v>
      </c>
      <c r="E162" s="271">
        <v>1</v>
      </c>
      <c r="F162" s="271">
        <v>1</v>
      </c>
      <c r="G162" s="94">
        <f t="shared" si="8"/>
        <v>0</v>
      </c>
      <c r="H162" s="76">
        <v>29000000</v>
      </c>
      <c r="I162" s="76">
        <v>29000000</v>
      </c>
      <c r="J162" s="74" t="s">
        <v>1327</v>
      </c>
      <c r="K162" s="273"/>
      <c r="L162" s="271" t="s">
        <v>641</v>
      </c>
      <c r="M162" s="271" t="s">
        <v>54</v>
      </c>
      <c r="N162" s="271"/>
    </row>
    <row r="163" spans="1:14" s="101" customFormat="1" ht="38.25">
      <c r="A163" s="271">
        <v>11</v>
      </c>
      <c r="B163" s="72" t="s">
        <v>1328</v>
      </c>
      <c r="C163" s="271" t="s">
        <v>1329</v>
      </c>
      <c r="D163" s="271">
        <v>2007</v>
      </c>
      <c r="E163" s="271">
        <v>1</v>
      </c>
      <c r="F163" s="271">
        <v>1</v>
      </c>
      <c r="G163" s="94">
        <f>F163-E163</f>
        <v>0</v>
      </c>
      <c r="H163" s="76">
        <v>96800000</v>
      </c>
      <c r="I163" s="76">
        <v>96800000</v>
      </c>
      <c r="J163" s="74" t="s">
        <v>1327</v>
      </c>
      <c r="K163" s="273"/>
      <c r="L163" s="271" t="s">
        <v>641</v>
      </c>
      <c r="M163" s="271" t="s">
        <v>54</v>
      </c>
      <c r="N163" s="271"/>
    </row>
    <row r="164" spans="1:14" s="101" customFormat="1" ht="127.5">
      <c r="A164" s="271">
        <v>12</v>
      </c>
      <c r="B164" s="72" t="s">
        <v>1330</v>
      </c>
      <c r="C164" s="271" t="s">
        <v>1331</v>
      </c>
      <c r="D164" s="271">
        <v>2016</v>
      </c>
      <c r="E164" s="271">
        <v>1</v>
      </c>
      <c r="F164" s="271">
        <v>1</v>
      </c>
      <c r="G164" s="94">
        <f t="shared" si="8"/>
        <v>0</v>
      </c>
      <c r="H164" s="76">
        <v>37900000</v>
      </c>
      <c r="I164" s="76">
        <v>37900000</v>
      </c>
      <c r="J164" s="72" t="s">
        <v>1332</v>
      </c>
      <c r="K164" s="72" t="s">
        <v>1300</v>
      </c>
      <c r="L164" s="271" t="s">
        <v>641</v>
      </c>
      <c r="M164" s="271" t="s">
        <v>54</v>
      </c>
      <c r="N164" s="271"/>
    </row>
    <row r="165" spans="1:14" s="101" customFormat="1" ht="38.25">
      <c r="A165" s="271">
        <v>13</v>
      </c>
      <c r="B165" s="74" t="s">
        <v>1333</v>
      </c>
      <c r="C165" s="271" t="s">
        <v>1334</v>
      </c>
      <c r="D165" s="271">
        <v>2019</v>
      </c>
      <c r="E165" s="271"/>
      <c r="F165" s="271">
        <v>1</v>
      </c>
      <c r="G165" s="94">
        <f t="shared" si="8"/>
        <v>1</v>
      </c>
      <c r="H165" s="82">
        <v>163800000</v>
      </c>
      <c r="I165" s="82">
        <v>163800000</v>
      </c>
      <c r="J165" s="82" t="s">
        <v>1068</v>
      </c>
      <c r="K165" s="72" t="s">
        <v>1300</v>
      </c>
      <c r="L165" s="271" t="s">
        <v>641</v>
      </c>
      <c r="M165" s="271"/>
      <c r="N165" s="271" t="s">
        <v>1090</v>
      </c>
    </row>
    <row r="166" spans="1:14" s="101" customFormat="1" ht="25.5">
      <c r="A166" s="271">
        <v>14</v>
      </c>
      <c r="B166" s="72" t="s">
        <v>1335</v>
      </c>
      <c r="C166" s="271" t="s">
        <v>1336</v>
      </c>
      <c r="D166" s="271">
        <v>2011</v>
      </c>
      <c r="E166" s="271">
        <v>1</v>
      </c>
      <c r="F166" s="271">
        <v>1</v>
      </c>
      <c r="G166" s="94">
        <f t="shared" si="8"/>
        <v>0</v>
      </c>
      <c r="H166" s="76">
        <v>41500000</v>
      </c>
      <c r="I166" s="76">
        <v>41500000</v>
      </c>
      <c r="J166" s="74" t="s">
        <v>1337</v>
      </c>
      <c r="K166" s="72" t="s">
        <v>1300</v>
      </c>
      <c r="L166" s="271" t="s">
        <v>641</v>
      </c>
      <c r="M166" s="271" t="s">
        <v>54</v>
      </c>
      <c r="N166" s="271"/>
    </row>
    <row r="167" spans="1:14" s="101" customFormat="1" ht="38.25">
      <c r="A167" s="271">
        <v>15</v>
      </c>
      <c r="B167" s="74" t="s">
        <v>1338</v>
      </c>
      <c r="C167" s="271" t="s">
        <v>1339</v>
      </c>
      <c r="D167" s="271">
        <v>2008</v>
      </c>
      <c r="E167" s="275">
        <v>1</v>
      </c>
      <c r="F167" s="275">
        <v>1</v>
      </c>
      <c r="G167" s="94">
        <f t="shared" si="8"/>
        <v>0</v>
      </c>
      <c r="H167" s="82">
        <v>114000000</v>
      </c>
      <c r="I167" s="82">
        <v>114000000</v>
      </c>
      <c r="J167" s="82" t="s">
        <v>1068</v>
      </c>
      <c r="K167" s="72" t="s">
        <v>1300</v>
      </c>
      <c r="L167" s="271" t="s">
        <v>641</v>
      </c>
      <c r="M167" s="271" t="s">
        <v>54</v>
      </c>
      <c r="N167" s="271" t="s">
        <v>1340</v>
      </c>
    </row>
    <row r="168" spans="1:14" s="101" customFormat="1" ht="102">
      <c r="A168" s="271">
        <v>16</v>
      </c>
      <c r="B168" s="72" t="s">
        <v>1341</v>
      </c>
      <c r="C168" s="271" t="s">
        <v>1342</v>
      </c>
      <c r="D168" s="271">
        <v>2015</v>
      </c>
      <c r="E168" s="275">
        <v>2</v>
      </c>
      <c r="F168" s="275">
        <v>2</v>
      </c>
      <c r="G168" s="94">
        <f t="shared" si="8"/>
        <v>0</v>
      </c>
      <c r="H168" s="272"/>
      <c r="I168" s="272"/>
      <c r="J168" s="82" t="s">
        <v>1068</v>
      </c>
      <c r="K168" s="72" t="s">
        <v>1300</v>
      </c>
      <c r="L168" s="271" t="s">
        <v>641</v>
      </c>
      <c r="M168" s="271" t="s">
        <v>54</v>
      </c>
      <c r="N168" s="271" t="s">
        <v>1343</v>
      </c>
    </row>
    <row r="169" spans="1:14" s="103" customFormat="1" ht="38.25">
      <c r="A169" s="271">
        <v>17</v>
      </c>
      <c r="B169" s="74" t="s">
        <v>1344</v>
      </c>
      <c r="C169" s="271" t="s">
        <v>1345</v>
      </c>
      <c r="D169" s="271"/>
      <c r="E169" s="271">
        <v>1</v>
      </c>
      <c r="F169" s="271">
        <v>1</v>
      </c>
      <c r="G169" s="94">
        <f t="shared" si="8"/>
        <v>0</v>
      </c>
      <c r="H169" s="272"/>
      <c r="I169" s="272"/>
      <c r="J169" s="82" t="s">
        <v>1068</v>
      </c>
      <c r="K169" s="72" t="s">
        <v>1300</v>
      </c>
      <c r="L169" s="271" t="s">
        <v>641</v>
      </c>
      <c r="M169" s="271"/>
      <c r="N169" s="271"/>
    </row>
    <row r="170" spans="1:14" s="103" customFormat="1" ht="38.25">
      <c r="A170" s="271">
        <v>18</v>
      </c>
      <c r="B170" s="74" t="s">
        <v>1346</v>
      </c>
      <c r="C170" s="271" t="s">
        <v>1347</v>
      </c>
      <c r="D170" s="271"/>
      <c r="E170" s="271">
        <v>6</v>
      </c>
      <c r="F170" s="271">
        <v>6</v>
      </c>
      <c r="G170" s="94">
        <f t="shared" si="8"/>
        <v>0</v>
      </c>
      <c r="H170" s="272"/>
      <c r="I170" s="272"/>
      <c r="J170" s="82" t="s">
        <v>1068</v>
      </c>
      <c r="K170" s="72" t="s">
        <v>1300</v>
      </c>
      <c r="L170" s="271" t="s">
        <v>641</v>
      </c>
      <c r="M170" s="271"/>
      <c r="N170" s="271"/>
    </row>
    <row r="171" spans="1:14" s="103" customFormat="1" ht="63.75">
      <c r="A171" s="271">
        <v>19</v>
      </c>
      <c r="B171" s="72" t="s">
        <v>1348</v>
      </c>
      <c r="C171" s="271" t="s">
        <v>1349</v>
      </c>
      <c r="D171" s="271">
        <v>2015</v>
      </c>
      <c r="E171" s="275">
        <v>1</v>
      </c>
      <c r="F171" s="275">
        <v>1</v>
      </c>
      <c r="G171" s="94">
        <f>F171-E171</f>
        <v>0</v>
      </c>
      <c r="H171" s="272"/>
      <c r="I171" s="272"/>
      <c r="J171" s="82" t="s">
        <v>1068</v>
      </c>
      <c r="K171" s="72" t="s">
        <v>1300</v>
      </c>
      <c r="L171" s="271" t="s">
        <v>641</v>
      </c>
      <c r="M171" s="271" t="s">
        <v>54</v>
      </c>
      <c r="N171" s="271" t="s">
        <v>1322</v>
      </c>
    </row>
    <row r="172" spans="1:14" s="101" customFormat="1" ht="51">
      <c r="A172" s="271">
        <v>20</v>
      </c>
      <c r="B172" s="74" t="s">
        <v>1350</v>
      </c>
      <c r="C172" s="271" t="s">
        <v>1351</v>
      </c>
      <c r="D172" s="271">
        <v>2020</v>
      </c>
      <c r="E172" s="275">
        <v>1</v>
      </c>
      <c r="F172" s="275">
        <v>1</v>
      </c>
      <c r="G172" s="94">
        <f t="shared" si="8"/>
        <v>0</v>
      </c>
      <c r="H172" s="76">
        <v>8550000</v>
      </c>
      <c r="I172" s="76">
        <v>8550000</v>
      </c>
      <c r="J172" s="82" t="s">
        <v>1068</v>
      </c>
      <c r="K172" s="72" t="s">
        <v>1300</v>
      </c>
      <c r="L172" s="271" t="s">
        <v>641</v>
      </c>
      <c r="M172" s="271"/>
      <c r="N172" s="271"/>
    </row>
    <row r="173" spans="1:14" s="101" customFormat="1" ht="51">
      <c r="A173" s="271">
        <v>21</v>
      </c>
      <c r="B173" s="74" t="s">
        <v>1352</v>
      </c>
      <c r="C173" s="271" t="s">
        <v>1353</v>
      </c>
      <c r="D173" s="271">
        <v>2011</v>
      </c>
      <c r="E173" s="275">
        <v>2</v>
      </c>
      <c r="F173" s="275">
        <v>2</v>
      </c>
      <c r="G173" s="94">
        <f t="shared" si="8"/>
        <v>0</v>
      </c>
      <c r="H173" s="272"/>
      <c r="I173" s="272"/>
      <c r="J173" s="74" t="s">
        <v>1354</v>
      </c>
      <c r="K173" s="273"/>
      <c r="L173" s="271"/>
      <c r="M173" s="271" t="s">
        <v>54</v>
      </c>
      <c r="N173" s="271"/>
    </row>
    <row r="174" spans="1:14" s="101" customFormat="1" ht="38.25">
      <c r="A174" s="271">
        <v>22</v>
      </c>
      <c r="B174" s="72" t="s">
        <v>1355</v>
      </c>
      <c r="C174" s="273"/>
      <c r="D174" s="79"/>
      <c r="E174" s="271"/>
      <c r="F174" s="271">
        <v>1</v>
      </c>
      <c r="G174" s="94">
        <f t="shared" si="8"/>
        <v>1</v>
      </c>
      <c r="H174" s="272"/>
      <c r="I174" s="272"/>
      <c r="J174" s="82" t="s">
        <v>1068</v>
      </c>
      <c r="K174" s="72" t="s">
        <v>1300</v>
      </c>
      <c r="L174" s="273"/>
      <c r="M174" s="271"/>
      <c r="N174" s="271"/>
    </row>
    <row r="175" spans="1:14" s="101" customFormat="1" ht="51">
      <c r="A175" s="271">
        <v>23</v>
      </c>
      <c r="B175" s="72" t="s">
        <v>1356</v>
      </c>
      <c r="C175" s="271" t="s">
        <v>1357</v>
      </c>
      <c r="D175" s="271">
        <v>2015</v>
      </c>
      <c r="E175" s="275">
        <v>1</v>
      </c>
      <c r="F175" s="275">
        <v>1</v>
      </c>
      <c r="G175" s="94">
        <f t="shared" si="8"/>
        <v>0</v>
      </c>
      <c r="H175" s="272"/>
      <c r="I175" s="272"/>
      <c r="J175" s="82" t="s">
        <v>1068</v>
      </c>
      <c r="K175" s="72" t="s">
        <v>1300</v>
      </c>
      <c r="L175" s="271" t="s">
        <v>641</v>
      </c>
      <c r="M175" s="271" t="s">
        <v>54</v>
      </c>
      <c r="N175" s="271" t="s">
        <v>1358</v>
      </c>
    </row>
    <row r="176" spans="1:14" s="101" customFormat="1" ht="51">
      <c r="A176" s="271">
        <v>24</v>
      </c>
      <c r="B176" s="74" t="s">
        <v>1359</v>
      </c>
      <c r="C176" s="271" t="s">
        <v>1360</v>
      </c>
      <c r="D176" s="271">
        <v>2020</v>
      </c>
      <c r="E176" s="275">
        <v>1</v>
      </c>
      <c r="F176" s="275">
        <v>1</v>
      </c>
      <c r="G176" s="94">
        <f t="shared" si="8"/>
        <v>0</v>
      </c>
      <c r="H176" s="76">
        <v>8550000</v>
      </c>
      <c r="I176" s="76">
        <v>8550000</v>
      </c>
      <c r="J176" s="82" t="s">
        <v>1068</v>
      </c>
      <c r="K176" s="72" t="s">
        <v>1300</v>
      </c>
      <c r="L176" s="271" t="s">
        <v>641</v>
      </c>
      <c r="M176" s="271"/>
      <c r="N176" s="271"/>
    </row>
    <row r="177" spans="1:14" s="101" customFormat="1" ht="51">
      <c r="A177" s="271">
        <v>25</v>
      </c>
      <c r="B177" s="72" t="s">
        <v>1361</v>
      </c>
      <c r="C177" s="271" t="s">
        <v>1362</v>
      </c>
      <c r="D177" s="271">
        <v>2015</v>
      </c>
      <c r="E177" s="275">
        <v>1</v>
      </c>
      <c r="F177" s="275">
        <v>1</v>
      </c>
      <c r="G177" s="94">
        <f>F177-E177</f>
        <v>0</v>
      </c>
      <c r="H177" s="272"/>
      <c r="I177" s="272"/>
      <c r="J177" s="82" t="s">
        <v>1068</v>
      </c>
      <c r="K177" s="72" t="s">
        <v>1300</v>
      </c>
      <c r="L177" s="271" t="s">
        <v>641</v>
      </c>
      <c r="M177" s="271" t="s">
        <v>54</v>
      </c>
      <c r="N177" s="271" t="s">
        <v>1358</v>
      </c>
    </row>
    <row r="178" spans="1:14" s="101" customFormat="1" ht="51">
      <c r="A178" s="271">
        <v>26</v>
      </c>
      <c r="B178" s="74" t="s">
        <v>1363</v>
      </c>
      <c r="C178" s="271" t="s">
        <v>1364</v>
      </c>
      <c r="D178" s="271">
        <v>2020</v>
      </c>
      <c r="E178" s="275">
        <v>1</v>
      </c>
      <c r="F178" s="275">
        <v>1</v>
      </c>
      <c r="G178" s="94">
        <f t="shared" si="8"/>
        <v>0</v>
      </c>
      <c r="H178" s="76">
        <v>8550000</v>
      </c>
      <c r="I178" s="76">
        <v>8550000</v>
      </c>
      <c r="J178" s="82" t="s">
        <v>1068</v>
      </c>
      <c r="K178" s="72" t="s">
        <v>1300</v>
      </c>
      <c r="L178" s="271" t="s">
        <v>641</v>
      </c>
      <c r="M178" s="271"/>
      <c r="N178" s="271"/>
    </row>
    <row r="179" spans="1:14" s="101" customFormat="1" ht="51">
      <c r="A179" s="271">
        <v>27</v>
      </c>
      <c r="B179" s="74" t="s">
        <v>1365</v>
      </c>
      <c r="C179" s="271" t="s">
        <v>1366</v>
      </c>
      <c r="D179" s="271">
        <v>2011</v>
      </c>
      <c r="E179" s="275">
        <v>1</v>
      </c>
      <c r="F179" s="275">
        <v>1</v>
      </c>
      <c r="G179" s="94">
        <f t="shared" si="8"/>
        <v>0</v>
      </c>
      <c r="H179" s="272"/>
      <c r="I179" s="272"/>
      <c r="J179" s="74" t="s">
        <v>1354</v>
      </c>
      <c r="K179" s="273"/>
      <c r="L179" s="271"/>
      <c r="M179" s="271" t="s">
        <v>54</v>
      </c>
      <c r="N179" s="271" t="s">
        <v>244</v>
      </c>
    </row>
    <row r="180" spans="1:14" s="101" customFormat="1" ht="51">
      <c r="A180" s="271">
        <v>28</v>
      </c>
      <c r="B180" s="74" t="s">
        <v>1367</v>
      </c>
      <c r="C180" s="271" t="s">
        <v>1368</v>
      </c>
      <c r="D180" s="271">
        <v>2011</v>
      </c>
      <c r="E180" s="275">
        <v>2</v>
      </c>
      <c r="F180" s="275">
        <v>2</v>
      </c>
      <c r="G180" s="94">
        <f t="shared" si="8"/>
        <v>0</v>
      </c>
      <c r="H180" s="272"/>
      <c r="I180" s="272"/>
      <c r="J180" s="74" t="s">
        <v>1354</v>
      </c>
      <c r="K180" s="273"/>
      <c r="L180" s="273"/>
      <c r="M180" s="271" t="s">
        <v>54</v>
      </c>
      <c r="N180" s="271" t="s">
        <v>244</v>
      </c>
    </row>
    <row r="181" spans="1:14" s="101" customFormat="1" ht="51">
      <c r="A181" s="271">
        <v>29</v>
      </c>
      <c r="B181" s="72" t="s">
        <v>1369</v>
      </c>
      <c r="C181" s="271" t="s">
        <v>1370</v>
      </c>
      <c r="D181" s="271">
        <v>2015</v>
      </c>
      <c r="E181" s="275">
        <v>1</v>
      </c>
      <c r="F181" s="275">
        <v>1</v>
      </c>
      <c r="G181" s="94">
        <f>F181-E181</f>
        <v>0</v>
      </c>
      <c r="H181" s="272"/>
      <c r="I181" s="272"/>
      <c r="J181" s="82" t="s">
        <v>1068</v>
      </c>
      <c r="K181" s="72" t="s">
        <v>1300</v>
      </c>
      <c r="L181" s="271" t="s">
        <v>641</v>
      </c>
      <c r="M181" s="271" t="s">
        <v>54</v>
      </c>
      <c r="N181" s="271" t="s">
        <v>1358</v>
      </c>
    </row>
    <row r="182" spans="1:14" s="101" customFormat="1" ht="38.25">
      <c r="A182" s="271">
        <v>30</v>
      </c>
      <c r="B182" s="72" t="s">
        <v>1371</v>
      </c>
      <c r="C182" s="273"/>
      <c r="D182" s="79"/>
      <c r="E182" s="271"/>
      <c r="F182" s="271">
        <v>1</v>
      </c>
      <c r="G182" s="94">
        <f t="shared" si="8"/>
        <v>1</v>
      </c>
      <c r="H182" s="272"/>
      <c r="I182" s="272"/>
      <c r="J182" s="82" t="s">
        <v>1068</v>
      </c>
      <c r="K182" s="72" t="s">
        <v>1300</v>
      </c>
      <c r="L182" s="271" t="s">
        <v>641</v>
      </c>
      <c r="M182" s="271"/>
      <c r="N182" s="271"/>
    </row>
    <row r="183" spans="1:14" s="101" customFormat="1" ht="51">
      <c r="A183" s="271">
        <v>31</v>
      </c>
      <c r="B183" s="72" t="s">
        <v>1372</v>
      </c>
      <c r="C183" s="271" t="s">
        <v>1373</v>
      </c>
      <c r="D183" s="271">
        <v>2015</v>
      </c>
      <c r="E183" s="275">
        <v>1</v>
      </c>
      <c r="F183" s="275">
        <v>1</v>
      </c>
      <c r="G183" s="94">
        <f t="shared" si="8"/>
        <v>0</v>
      </c>
      <c r="H183" s="272"/>
      <c r="I183" s="272"/>
      <c r="J183" s="82" t="s">
        <v>1068</v>
      </c>
      <c r="K183" s="72" t="s">
        <v>1300</v>
      </c>
      <c r="L183" s="271" t="s">
        <v>641</v>
      </c>
      <c r="M183" s="271" t="s">
        <v>54</v>
      </c>
      <c r="N183" s="271" t="s">
        <v>1358</v>
      </c>
    </row>
    <row r="184" spans="1:14" s="101" customFormat="1" ht="38.25">
      <c r="A184" s="271">
        <v>32</v>
      </c>
      <c r="B184" s="72" t="s">
        <v>1374</v>
      </c>
      <c r="C184" s="273"/>
      <c r="D184" s="79"/>
      <c r="E184" s="271"/>
      <c r="F184" s="271">
        <v>2</v>
      </c>
      <c r="G184" s="94">
        <f t="shared" si="8"/>
        <v>2</v>
      </c>
      <c r="H184" s="272"/>
      <c r="I184" s="272"/>
      <c r="J184" s="82" t="s">
        <v>1068</v>
      </c>
      <c r="K184" s="72" t="s">
        <v>1300</v>
      </c>
      <c r="L184" s="271" t="s">
        <v>641</v>
      </c>
      <c r="M184" s="271"/>
      <c r="N184" s="271"/>
    </row>
    <row r="185" spans="1:14" s="101" customFormat="1" ht="51">
      <c r="A185" s="271">
        <v>33</v>
      </c>
      <c r="B185" s="72" t="s">
        <v>1375</v>
      </c>
      <c r="C185" s="271" t="s">
        <v>1376</v>
      </c>
      <c r="D185" s="271">
        <v>2015</v>
      </c>
      <c r="E185" s="275">
        <v>1</v>
      </c>
      <c r="F185" s="275">
        <v>1</v>
      </c>
      <c r="G185" s="94">
        <f t="shared" si="8"/>
        <v>0</v>
      </c>
      <c r="H185" s="272"/>
      <c r="I185" s="272"/>
      <c r="J185" s="82" t="s">
        <v>1068</v>
      </c>
      <c r="K185" s="72" t="s">
        <v>1300</v>
      </c>
      <c r="L185" s="271" t="s">
        <v>641</v>
      </c>
      <c r="M185" s="271" t="s">
        <v>54</v>
      </c>
      <c r="N185" s="271" t="s">
        <v>1358</v>
      </c>
    </row>
    <row r="186" spans="1:14" s="101" customFormat="1" ht="51">
      <c r="A186" s="271">
        <v>34</v>
      </c>
      <c r="B186" s="74" t="s">
        <v>1377</v>
      </c>
      <c r="C186" s="271" t="s">
        <v>1378</v>
      </c>
      <c r="D186" s="271">
        <v>2020</v>
      </c>
      <c r="E186" s="275">
        <v>1</v>
      </c>
      <c r="F186" s="275">
        <v>1</v>
      </c>
      <c r="G186" s="94">
        <f t="shared" si="8"/>
        <v>0</v>
      </c>
      <c r="H186" s="76">
        <v>8550000</v>
      </c>
      <c r="I186" s="76">
        <v>8550000</v>
      </c>
      <c r="J186" s="82" t="s">
        <v>1068</v>
      </c>
      <c r="K186" s="72" t="s">
        <v>1300</v>
      </c>
      <c r="L186" s="271" t="s">
        <v>641</v>
      </c>
      <c r="M186" s="271"/>
      <c r="N186" s="271"/>
    </row>
    <row r="187" spans="1:14" s="101" customFormat="1" ht="38.25">
      <c r="A187" s="271">
        <v>35</v>
      </c>
      <c r="B187" s="72" t="s">
        <v>1379</v>
      </c>
      <c r="C187" s="273"/>
      <c r="D187" s="79"/>
      <c r="E187" s="271"/>
      <c r="F187" s="271">
        <v>1</v>
      </c>
      <c r="G187" s="94">
        <f t="shared" si="8"/>
        <v>1</v>
      </c>
      <c r="H187" s="272"/>
      <c r="I187" s="272"/>
      <c r="J187" s="82" t="s">
        <v>1068</v>
      </c>
      <c r="K187" s="72" t="s">
        <v>1300</v>
      </c>
      <c r="L187" s="271" t="s">
        <v>641</v>
      </c>
      <c r="M187" s="271"/>
      <c r="N187" s="271"/>
    </row>
    <row r="188" spans="1:14" s="101" customFormat="1" ht="38.25">
      <c r="A188" s="271">
        <v>36</v>
      </c>
      <c r="B188" s="72" t="s">
        <v>1380</v>
      </c>
      <c r="C188" s="271" t="s">
        <v>1381</v>
      </c>
      <c r="D188" s="79">
        <v>2020</v>
      </c>
      <c r="E188" s="271">
        <v>1</v>
      </c>
      <c r="F188" s="271">
        <v>1</v>
      </c>
      <c r="G188" s="94">
        <f t="shared" si="8"/>
        <v>0</v>
      </c>
      <c r="H188" s="76">
        <v>18700000</v>
      </c>
      <c r="I188" s="76">
        <v>18700000</v>
      </c>
      <c r="J188" s="72" t="s">
        <v>1382</v>
      </c>
      <c r="K188" s="72" t="s">
        <v>1300</v>
      </c>
      <c r="L188" s="271" t="s">
        <v>641</v>
      </c>
      <c r="M188" s="271" t="s">
        <v>54</v>
      </c>
      <c r="N188" s="271" t="s">
        <v>127</v>
      </c>
    </row>
    <row r="189" spans="1:14" s="75" customFormat="1" ht="51">
      <c r="A189" s="271">
        <v>37</v>
      </c>
      <c r="B189" s="72" t="s">
        <v>1383</v>
      </c>
      <c r="C189" s="271" t="s">
        <v>1384</v>
      </c>
      <c r="D189" s="271">
        <v>2011</v>
      </c>
      <c r="E189" s="271">
        <v>2</v>
      </c>
      <c r="F189" s="271">
        <v>2</v>
      </c>
      <c r="G189" s="94">
        <f t="shared" si="8"/>
        <v>0</v>
      </c>
      <c r="H189" s="76">
        <v>26167605.5</v>
      </c>
      <c r="I189" s="76">
        <v>52335211</v>
      </c>
      <c r="J189" s="72" t="s">
        <v>1385</v>
      </c>
      <c r="K189" s="273"/>
      <c r="L189" s="273"/>
      <c r="M189" s="271" t="s">
        <v>54</v>
      </c>
      <c r="N189" s="271"/>
    </row>
    <row r="190" spans="1:14" s="101" customFormat="1" ht="38.25">
      <c r="A190" s="271">
        <v>38</v>
      </c>
      <c r="B190" s="74" t="s">
        <v>1386</v>
      </c>
      <c r="C190" s="271" t="s">
        <v>1387</v>
      </c>
      <c r="D190" s="271">
        <v>2020</v>
      </c>
      <c r="E190" s="275">
        <v>1</v>
      </c>
      <c r="F190" s="275">
        <v>1</v>
      </c>
      <c r="G190" s="94">
        <f>F190-E190</f>
        <v>0</v>
      </c>
      <c r="H190" s="76">
        <v>18700000</v>
      </c>
      <c r="I190" s="76">
        <v>18700000</v>
      </c>
      <c r="J190" s="72" t="s">
        <v>1382</v>
      </c>
      <c r="K190" s="72" t="s">
        <v>1300</v>
      </c>
      <c r="L190" s="271" t="s">
        <v>641</v>
      </c>
      <c r="M190" s="271" t="s">
        <v>54</v>
      </c>
      <c r="N190" s="271" t="s">
        <v>127</v>
      </c>
    </row>
    <row r="191" spans="1:14" s="101" customFormat="1" ht="51">
      <c r="A191" s="271">
        <v>39</v>
      </c>
      <c r="B191" s="72" t="s">
        <v>1388</v>
      </c>
      <c r="C191" s="271" t="s">
        <v>1389</v>
      </c>
      <c r="D191" s="271">
        <v>2011</v>
      </c>
      <c r="E191" s="271">
        <v>2</v>
      </c>
      <c r="F191" s="271">
        <v>2</v>
      </c>
      <c r="G191" s="94">
        <f t="shared" si="8"/>
        <v>0</v>
      </c>
      <c r="H191" s="76">
        <v>33100903</v>
      </c>
      <c r="I191" s="76">
        <v>66201806</v>
      </c>
      <c r="J191" s="72" t="s">
        <v>1385</v>
      </c>
      <c r="K191" s="273"/>
      <c r="L191" s="273"/>
      <c r="M191" s="271" t="s">
        <v>54</v>
      </c>
      <c r="N191" s="271" t="s">
        <v>244</v>
      </c>
    </row>
    <row r="192" spans="1:14" s="101" customFormat="1" ht="25.5">
      <c r="A192" s="271">
        <v>40</v>
      </c>
      <c r="B192" s="74" t="s">
        <v>1390</v>
      </c>
      <c r="C192" s="271" t="s">
        <v>1391</v>
      </c>
      <c r="D192" s="271">
        <v>2009</v>
      </c>
      <c r="E192" s="271">
        <v>1</v>
      </c>
      <c r="F192" s="271">
        <v>1</v>
      </c>
      <c r="G192" s="94">
        <f t="shared" si="8"/>
        <v>0</v>
      </c>
      <c r="H192" s="76">
        <v>26114000</v>
      </c>
      <c r="I192" s="76">
        <v>26114000</v>
      </c>
      <c r="J192" s="74" t="s">
        <v>1392</v>
      </c>
      <c r="K192" s="72" t="s">
        <v>1300</v>
      </c>
      <c r="L192" s="271" t="s">
        <v>641</v>
      </c>
      <c r="M192" s="271" t="s">
        <v>54</v>
      </c>
      <c r="N192" s="271"/>
    </row>
    <row r="193" spans="1:15" s="101" customFormat="1" ht="76.5">
      <c r="A193" s="271">
        <v>41</v>
      </c>
      <c r="B193" s="74" t="s">
        <v>1393</v>
      </c>
      <c r="C193" s="271" t="s">
        <v>1394</v>
      </c>
      <c r="D193" s="271">
        <v>2020</v>
      </c>
      <c r="E193" s="271">
        <v>1</v>
      </c>
      <c r="F193" s="271">
        <v>1</v>
      </c>
      <c r="G193" s="94">
        <f t="shared" si="8"/>
        <v>0</v>
      </c>
      <c r="H193" s="76">
        <v>342000000</v>
      </c>
      <c r="I193" s="76">
        <v>342000000</v>
      </c>
      <c r="J193" s="72" t="s">
        <v>1307</v>
      </c>
      <c r="K193" s="72" t="s">
        <v>1300</v>
      </c>
      <c r="L193" s="271" t="s">
        <v>641</v>
      </c>
      <c r="M193" s="271" t="s">
        <v>54</v>
      </c>
      <c r="N193" s="271" t="s">
        <v>127</v>
      </c>
    </row>
    <row r="194" spans="1:15" s="101" customFormat="1" ht="51">
      <c r="A194" s="271">
        <v>42</v>
      </c>
      <c r="B194" s="81" t="s">
        <v>1071</v>
      </c>
      <c r="C194" s="271" t="s">
        <v>1395</v>
      </c>
      <c r="D194" s="271">
        <v>2012</v>
      </c>
      <c r="E194" s="271">
        <v>1</v>
      </c>
      <c r="F194" s="271">
        <v>1</v>
      </c>
      <c r="G194" s="94">
        <f>F194-E194</f>
        <v>0</v>
      </c>
      <c r="H194" s="88">
        <f>86493475/5</f>
        <v>17298695</v>
      </c>
      <c r="I194" s="88">
        <f>86493475/5</f>
        <v>17298695</v>
      </c>
      <c r="J194" s="72" t="s">
        <v>1073</v>
      </c>
      <c r="K194" s="273"/>
      <c r="L194" s="271" t="s">
        <v>641</v>
      </c>
      <c r="M194" s="271" t="s">
        <v>54</v>
      </c>
      <c r="N194" s="271" t="s">
        <v>1396</v>
      </c>
    </row>
    <row r="195" spans="1:15" s="101" customFormat="1" ht="25.5">
      <c r="A195" s="271">
        <v>43</v>
      </c>
      <c r="B195" s="74" t="s">
        <v>1397</v>
      </c>
      <c r="C195" s="271" t="s">
        <v>1398</v>
      </c>
      <c r="D195" s="271">
        <v>2009</v>
      </c>
      <c r="E195" s="271">
        <v>2</v>
      </c>
      <c r="F195" s="271">
        <v>2</v>
      </c>
      <c r="G195" s="94">
        <f t="shared" si="8"/>
        <v>0</v>
      </c>
      <c r="H195" s="82">
        <f>+I195/F195</f>
        <v>3518000</v>
      </c>
      <c r="I195" s="82">
        <v>7036000</v>
      </c>
      <c r="J195" s="271" t="s">
        <v>1392</v>
      </c>
      <c r="K195" s="273"/>
      <c r="L195" s="271" t="s">
        <v>641</v>
      </c>
      <c r="M195" s="271" t="s">
        <v>54</v>
      </c>
      <c r="N195" s="271" t="s">
        <v>1399</v>
      </c>
    </row>
    <row r="196" spans="1:15" s="71" customFormat="1" ht="25.5">
      <c r="A196" s="271">
        <v>44</v>
      </c>
      <c r="B196" s="72" t="s">
        <v>1400</v>
      </c>
      <c r="C196" s="271" t="s">
        <v>1401</v>
      </c>
      <c r="D196" s="271">
        <v>2011</v>
      </c>
      <c r="E196" s="271">
        <v>0</v>
      </c>
      <c r="F196" s="271">
        <v>1</v>
      </c>
      <c r="G196" s="94">
        <f t="shared" si="8"/>
        <v>1</v>
      </c>
      <c r="H196" s="272"/>
      <c r="I196" s="272"/>
      <c r="J196" s="72"/>
      <c r="K196" s="72" t="s">
        <v>1300</v>
      </c>
      <c r="L196" s="72" t="s">
        <v>641</v>
      </c>
      <c r="M196" s="271" t="s">
        <v>54</v>
      </c>
      <c r="N196" s="271" t="s">
        <v>1402</v>
      </c>
    </row>
    <row r="197" spans="1:15" s="104" customFormat="1" ht="20.100000000000001" customHeight="1">
      <c r="A197" s="271"/>
      <c r="B197" s="274" t="s">
        <v>775</v>
      </c>
      <c r="C197" s="271"/>
      <c r="D197" s="271"/>
      <c r="E197" s="271"/>
      <c r="F197" s="271"/>
      <c r="G197" s="272"/>
      <c r="H197" s="272"/>
      <c r="I197" s="272"/>
      <c r="J197" s="271"/>
      <c r="K197" s="273"/>
      <c r="L197" s="271"/>
      <c r="M197" s="271"/>
      <c r="N197" s="271"/>
    </row>
    <row r="198" spans="1:15" s="101" customFormat="1" ht="38.25">
      <c r="A198" s="271">
        <v>1</v>
      </c>
      <c r="B198" s="72" t="s">
        <v>1403</v>
      </c>
      <c r="C198" s="271" t="s">
        <v>1404</v>
      </c>
      <c r="D198" s="79"/>
      <c r="E198" s="271">
        <v>1</v>
      </c>
      <c r="F198" s="271">
        <v>1</v>
      </c>
      <c r="G198" s="73">
        <f>F198-E198</f>
        <v>0</v>
      </c>
      <c r="H198" s="272"/>
      <c r="I198" s="272"/>
      <c r="J198" s="82" t="s">
        <v>1068</v>
      </c>
      <c r="K198" s="72" t="s">
        <v>1300</v>
      </c>
      <c r="L198" s="271" t="s">
        <v>641</v>
      </c>
      <c r="M198" s="271"/>
      <c r="N198" s="271"/>
    </row>
    <row r="199" spans="1:15" s="101" customFormat="1" ht="38.25">
      <c r="A199" s="271">
        <v>2</v>
      </c>
      <c r="B199" s="72" t="s">
        <v>1405</v>
      </c>
      <c r="C199" s="271" t="s">
        <v>1406</v>
      </c>
      <c r="D199" s="79"/>
      <c r="E199" s="271">
        <v>2</v>
      </c>
      <c r="F199" s="271">
        <v>2</v>
      </c>
      <c r="G199" s="73">
        <f t="shared" ref="G199:G203" si="9">F199-E199</f>
        <v>0</v>
      </c>
      <c r="H199" s="272"/>
      <c r="I199" s="272"/>
      <c r="J199" s="82" t="s">
        <v>1068</v>
      </c>
      <c r="K199" s="72" t="s">
        <v>1300</v>
      </c>
      <c r="L199" s="271" t="s">
        <v>641</v>
      </c>
      <c r="M199" s="271"/>
      <c r="N199" s="271"/>
    </row>
    <row r="200" spans="1:15" s="101" customFormat="1" ht="38.25">
      <c r="A200" s="271">
        <v>3</v>
      </c>
      <c r="B200" s="72" t="s">
        <v>1276</v>
      </c>
      <c r="C200" s="271" t="s">
        <v>1407</v>
      </c>
      <c r="D200" s="79"/>
      <c r="E200" s="271">
        <v>5</v>
      </c>
      <c r="F200" s="271">
        <v>5</v>
      </c>
      <c r="G200" s="73">
        <f t="shared" si="9"/>
        <v>0</v>
      </c>
      <c r="H200" s="82">
        <f>+I200/F200</f>
        <v>252971.2</v>
      </c>
      <c r="I200" s="82">
        <f>2529712/10*5</f>
        <v>1264856</v>
      </c>
      <c r="J200" s="82" t="s">
        <v>1068</v>
      </c>
      <c r="K200" s="72" t="s">
        <v>1300</v>
      </c>
      <c r="L200" s="271" t="s">
        <v>641</v>
      </c>
      <c r="M200" s="271"/>
      <c r="N200" s="271"/>
      <c r="O200" s="105" t="s">
        <v>1408</v>
      </c>
    </row>
    <row r="201" spans="1:15" s="101" customFormat="1" ht="38.25">
      <c r="A201" s="271">
        <v>4</v>
      </c>
      <c r="B201" s="72" t="s">
        <v>1276</v>
      </c>
      <c r="C201" s="271" t="s">
        <v>1407</v>
      </c>
      <c r="D201" s="79"/>
      <c r="E201" s="271"/>
      <c r="F201" s="271">
        <v>4</v>
      </c>
      <c r="G201" s="73">
        <f t="shared" si="9"/>
        <v>4</v>
      </c>
      <c r="H201" s="82"/>
      <c r="I201" s="82"/>
      <c r="J201" s="82" t="s">
        <v>1068</v>
      </c>
      <c r="K201" s="72" t="s">
        <v>1300</v>
      </c>
      <c r="L201" s="271" t="s">
        <v>641</v>
      </c>
      <c r="M201" s="271"/>
      <c r="N201" s="271"/>
      <c r="O201" s="105" t="s">
        <v>1408</v>
      </c>
    </row>
    <row r="202" spans="1:15" s="101" customFormat="1" ht="38.25">
      <c r="A202" s="271">
        <v>5</v>
      </c>
      <c r="B202" s="72" t="s">
        <v>1267</v>
      </c>
      <c r="C202" s="271" t="s">
        <v>1409</v>
      </c>
      <c r="D202" s="79"/>
      <c r="E202" s="271">
        <v>3</v>
      </c>
      <c r="F202" s="271">
        <v>3</v>
      </c>
      <c r="G202" s="73">
        <f t="shared" si="9"/>
        <v>0</v>
      </c>
      <c r="H202" s="72"/>
      <c r="I202" s="72"/>
      <c r="J202" s="82" t="s">
        <v>1068</v>
      </c>
      <c r="K202" s="72" t="s">
        <v>1300</v>
      </c>
      <c r="L202" s="271" t="s">
        <v>641</v>
      </c>
      <c r="M202" s="271"/>
      <c r="N202" s="271"/>
    </row>
    <row r="203" spans="1:15" s="101" customFormat="1" ht="38.25">
      <c r="A203" s="271">
        <v>6</v>
      </c>
      <c r="B203" s="74" t="s">
        <v>1410</v>
      </c>
      <c r="C203" s="271" t="s">
        <v>1411</v>
      </c>
      <c r="D203" s="271">
        <v>2012</v>
      </c>
      <c r="E203" s="271">
        <v>1</v>
      </c>
      <c r="F203" s="271">
        <v>1</v>
      </c>
      <c r="G203" s="73">
        <f t="shared" si="9"/>
        <v>0</v>
      </c>
      <c r="H203" s="82">
        <v>472500</v>
      </c>
      <c r="I203" s="82">
        <v>472500</v>
      </c>
      <c r="J203" s="271" t="s">
        <v>1412</v>
      </c>
      <c r="K203" s="273"/>
      <c r="L203" s="271" t="s">
        <v>641</v>
      </c>
      <c r="M203" s="271" t="s">
        <v>54</v>
      </c>
      <c r="N203" s="271"/>
    </row>
    <row r="204" spans="1:15" s="71" customFormat="1" ht="20.100000000000001" customHeight="1">
      <c r="A204" s="271"/>
      <c r="B204" s="490" t="s">
        <v>1413</v>
      </c>
      <c r="C204" s="490"/>
      <c r="D204" s="490"/>
      <c r="E204" s="490"/>
      <c r="F204" s="490"/>
      <c r="G204" s="490"/>
      <c r="H204" s="490"/>
      <c r="I204" s="490"/>
      <c r="J204" s="490"/>
      <c r="K204" s="490"/>
      <c r="L204" s="490"/>
      <c r="M204" s="490"/>
      <c r="N204" s="490"/>
    </row>
    <row r="205" spans="1:15" s="75" customFormat="1" ht="102">
      <c r="A205" s="271">
        <v>1</v>
      </c>
      <c r="B205" s="72" t="s">
        <v>1414</v>
      </c>
      <c r="C205" s="271" t="s">
        <v>1415</v>
      </c>
      <c r="D205" s="271">
        <v>2013</v>
      </c>
      <c r="E205" s="271">
        <v>1</v>
      </c>
      <c r="F205" s="271">
        <v>1</v>
      </c>
      <c r="G205" s="73">
        <f>F205-E205</f>
        <v>0</v>
      </c>
      <c r="H205" s="76">
        <v>239522000</v>
      </c>
      <c r="I205" s="76">
        <v>239522000</v>
      </c>
      <c r="J205" s="74" t="s">
        <v>1416</v>
      </c>
      <c r="K205" s="273"/>
      <c r="L205" s="271" t="s">
        <v>641</v>
      </c>
      <c r="M205" s="271" t="s">
        <v>54</v>
      </c>
      <c r="N205" s="271"/>
    </row>
    <row r="206" spans="1:15" s="75" customFormat="1" ht="51">
      <c r="A206" s="271">
        <v>2</v>
      </c>
      <c r="B206" s="72" t="s">
        <v>1417</v>
      </c>
      <c r="C206" s="271" t="s">
        <v>1418</v>
      </c>
      <c r="D206" s="79">
        <v>2010</v>
      </c>
      <c r="E206" s="79">
        <v>1</v>
      </c>
      <c r="F206" s="79">
        <v>1</v>
      </c>
      <c r="G206" s="73">
        <f t="shared" ref="G206:G263" si="10">F206-E206</f>
        <v>0</v>
      </c>
      <c r="H206" s="80">
        <v>146191754</v>
      </c>
      <c r="I206" s="80">
        <v>146191754</v>
      </c>
      <c r="J206" s="72" t="s">
        <v>1385</v>
      </c>
      <c r="K206" s="273"/>
      <c r="L206" s="271" t="s">
        <v>641</v>
      </c>
      <c r="M206" s="271" t="s">
        <v>54</v>
      </c>
      <c r="N206" s="271"/>
    </row>
    <row r="207" spans="1:15" s="75" customFormat="1" ht="102">
      <c r="A207" s="271">
        <v>3</v>
      </c>
      <c r="B207" s="72" t="s">
        <v>1419</v>
      </c>
      <c r="C207" s="271" t="s">
        <v>1420</v>
      </c>
      <c r="D207" s="271">
        <v>2014</v>
      </c>
      <c r="E207" s="271">
        <v>1</v>
      </c>
      <c r="F207" s="271">
        <v>1</v>
      </c>
      <c r="G207" s="73">
        <f t="shared" si="10"/>
        <v>0</v>
      </c>
      <c r="H207" s="76">
        <v>85180000</v>
      </c>
      <c r="I207" s="76">
        <v>85180000</v>
      </c>
      <c r="J207" s="74" t="s">
        <v>1416</v>
      </c>
      <c r="K207" s="273"/>
      <c r="L207" s="271" t="s">
        <v>641</v>
      </c>
      <c r="M207" s="271" t="s">
        <v>54</v>
      </c>
      <c r="N207" s="271"/>
    </row>
    <row r="208" spans="1:15" s="106" customFormat="1" ht="25.5">
      <c r="A208" s="271">
        <v>4</v>
      </c>
      <c r="B208" s="72" t="s">
        <v>1421</v>
      </c>
      <c r="C208" s="271" t="s">
        <v>1422</v>
      </c>
      <c r="D208" s="271">
        <v>2006</v>
      </c>
      <c r="E208" s="271">
        <v>2</v>
      </c>
      <c r="F208" s="271">
        <v>2</v>
      </c>
      <c r="G208" s="73">
        <f t="shared" si="10"/>
        <v>0</v>
      </c>
      <c r="H208" s="76">
        <v>7400000</v>
      </c>
      <c r="I208" s="76">
        <v>14800000</v>
      </c>
      <c r="J208" s="74" t="s">
        <v>1423</v>
      </c>
      <c r="K208" s="273"/>
      <c r="L208" s="271" t="s">
        <v>641</v>
      </c>
      <c r="M208" s="271" t="s">
        <v>54</v>
      </c>
      <c r="N208" s="271" t="s">
        <v>1424</v>
      </c>
    </row>
    <row r="209" spans="1:14" s="107" customFormat="1" ht="25.5">
      <c r="A209" s="271">
        <v>5</v>
      </c>
      <c r="B209" s="72" t="s">
        <v>1425</v>
      </c>
      <c r="C209" s="271" t="s">
        <v>1426</v>
      </c>
      <c r="D209" s="271">
        <v>2011</v>
      </c>
      <c r="E209" s="271">
        <v>2</v>
      </c>
      <c r="F209" s="271">
        <v>2</v>
      </c>
      <c r="G209" s="73">
        <f t="shared" si="10"/>
        <v>0</v>
      </c>
      <c r="H209" s="76">
        <v>5000000</v>
      </c>
      <c r="I209" s="76">
        <v>10000000</v>
      </c>
      <c r="J209" s="74" t="s">
        <v>1427</v>
      </c>
      <c r="K209" s="273"/>
      <c r="L209" s="271" t="s">
        <v>641</v>
      </c>
      <c r="M209" s="271" t="s">
        <v>54</v>
      </c>
      <c r="N209" s="271" t="s">
        <v>1424</v>
      </c>
    </row>
    <row r="210" spans="1:14" s="83" customFormat="1" ht="63.75">
      <c r="A210" s="271">
        <v>6</v>
      </c>
      <c r="B210" s="81" t="s">
        <v>1428</v>
      </c>
      <c r="C210" s="271" t="s">
        <v>1429</v>
      </c>
      <c r="D210" s="79">
        <v>2010</v>
      </c>
      <c r="E210" s="79">
        <v>1</v>
      </c>
      <c r="F210" s="79">
        <v>1</v>
      </c>
      <c r="G210" s="73">
        <f t="shared" si="10"/>
        <v>0</v>
      </c>
      <c r="H210" s="88">
        <v>6800000</v>
      </c>
      <c r="I210" s="88">
        <v>6800000</v>
      </c>
      <c r="J210" s="72" t="s">
        <v>1430</v>
      </c>
      <c r="K210" s="273"/>
      <c r="L210" s="271" t="s">
        <v>641</v>
      </c>
      <c r="M210" s="271" t="s">
        <v>54</v>
      </c>
      <c r="N210" s="271"/>
    </row>
    <row r="211" spans="1:14" s="83" customFormat="1" ht="165.75">
      <c r="A211" s="271">
        <v>7</v>
      </c>
      <c r="B211" s="72" t="s">
        <v>1431</v>
      </c>
      <c r="C211" s="271" t="s">
        <v>1432</v>
      </c>
      <c r="D211" s="271">
        <v>2013</v>
      </c>
      <c r="E211" s="271">
        <v>1</v>
      </c>
      <c r="F211" s="271">
        <v>1</v>
      </c>
      <c r="G211" s="73">
        <f t="shared" si="10"/>
        <v>0</v>
      </c>
      <c r="H211" s="76">
        <v>82300000</v>
      </c>
      <c r="I211" s="76">
        <v>82300000</v>
      </c>
      <c r="J211" s="74" t="s">
        <v>1433</v>
      </c>
      <c r="K211" s="273"/>
      <c r="L211" s="271" t="s">
        <v>641</v>
      </c>
      <c r="M211" s="271" t="s">
        <v>54</v>
      </c>
      <c r="N211" s="271"/>
    </row>
    <row r="212" spans="1:14" s="103" customFormat="1" ht="63.75">
      <c r="A212" s="271">
        <v>8</v>
      </c>
      <c r="B212" s="74" t="s">
        <v>1434</v>
      </c>
      <c r="C212" s="271" t="s">
        <v>1435</v>
      </c>
      <c r="D212" s="271">
        <v>2020</v>
      </c>
      <c r="E212" s="271">
        <v>1</v>
      </c>
      <c r="F212" s="271">
        <v>1</v>
      </c>
      <c r="G212" s="73">
        <f t="shared" si="10"/>
        <v>0</v>
      </c>
      <c r="H212" s="76">
        <v>20500000</v>
      </c>
      <c r="I212" s="76">
        <v>20500000</v>
      </c>
      <c r="J212" s="74" t="s">
        <v>1436</v>
      </c>
      <c r="K212" s="74"/>
      <c r="L212" s="271" t="s">
        <v>641</v>
      </c>
      <c r="M212" s="271" t="s">
        <v>54</v>
      </c>
      <c r="N212" s="271" t="s">
        <v>1437</v>
      </c>
    </row>
    <row r="213" spans="1:14" s="83" customFormat="1" ht="25.5">
      <c r="A213" s="271">
        <v>9</v>
      </c>
      <c r="B213" s="74" t="s">
        <v>1438</v>
      </c>
      <c r="C213" s="271" t="s">
        <v>1439</v>
      </c>
      <c r="D213" s="271">
        <v>2009</v>
      </c>
      <c r="E213" s="271">
        <v>1</v>
      </c>
      <c r="F213" s="271">
        <v>1</v>
      </c>
      <c r="G213" s="73">
        <f t="shared" si="10"/>
        <v>0</v>
      </c>
      <c r="H213" s="76">
        <v>40355000</v>
      </c>
      <c r="I213" s="76">
        <v>40355000</v>
      </c>
      <c r="J213" s="74" t="s">
        <v>1392</v>
      </c>
      <c r="K213" s="273"/>
      <c r="L213" s="271" t="s">
        <v>641</v>
      </c>
      <c r="M213" s="271" t="s">
        <v>54</v>
      </c>
      <c r="N213" s="271"/>
    </row>
    <row r="214" spans="1:14" s="83" customFormat="1" ht="51">
      <c r="A214" s="271">
        <v>10</v>
      </c>
      <c r="B214" s="72" t="s">
        <v>1440</v>
      </c>
      <c r="C214" s="271" t="s">
        <v>1441</v>
      </c>
      <c r="D214" s="79">
        <v>2010</v>
      </c>
      <c r="E214" s="79">
        <v>1</v>
      </c>
      <c r="F214" s="79">
        <v>1</v>
      </c>
      <c r="G214" s="73">
        <f t="shared" si="10"/>
        <v>0</v>
      </c>
      <c r="H214" s="80">
        <v>75732845</v>
      </c>
      <c r="I214" s="80">
        <v>75732845</v>
      </c>
      <c r="J214" s="72" t="s">
        <v>1385</v>
      </c>
      <c r="K214" s="273"/>
      <c r="L214" s="271" t="s">
        <v>641</v>
      </c>
      <c r="M214" s="271" t="s">
        <v>54</v>
      </c>
      <c r="N214" s="271"/>
    </row>
    <row r="215" spans="1:14" s="83" customFormat="1" ht="76.5">
      <c r="A215" s="271">
        <v>11</v>
      </c>
      <c r="B215" s="81" t="s">
        <v>1442</v>
      </c>
      <c r="C215" s="271" t="s">
        <v>1443</v>
      </c>
      <c r="D215" s="271">
        <v>2018</v>
      </c>
      <c r="E215" s="271">
        <v>1</v>
      </c>
      <c r="F215" s="271">
        <v>1</v>
      </c>
      <c r="G215" s="73">
        <f t="shared" si="10"/>
        <v>0</v>
      </c>
      <c r="H215" s="76">
        <v>670000000</v>
      </c>
      <c r="I215" s="76">
        <v>670000000</v>
      </c>
      <c r="J215" s="74" t="s">
        <v>1444</v>
      </c>
      <c r="K215" s="273"/>
      <c r="L215" s="271" t="s">
        <v>641</v>
      </c>
      <c r="M215" s="271" t="s">
        <v>54</v>
      </c>
      <c r="N215" s="271"/>
    </row>
    <row r="216" spans="1:14" s="83" customFormat="1" ht="38.25">
      <c r="A216" s="271">
        <v>12</v>
      </c>
      <c r="B216" s="72" t="s">
        <v>1445</v>
      </c>
      <c r="C216" s="271" t="s">
        <v>1446</v>
      </c>
      <c r="D216" s="271">
        <v>2015</v>
      </c>
      <c r="E216" s="275">
        <v>1</v>
      </c>
      <c r="F216" s="275">
        <v>1</v>
      </c>
      <c r="G216" s="73">
        <f t="shared" si="10"/>
        <v>0</v>
      </c>
      <c r="H216" s="272"/>
      <c r="I216" s="272"/>
      <c r="J216" s="74" t="s">
        <v>1293</v>
      </c>
      <c r="K216" s="273"/>
      <c r="L216" s="271" t="s">
        <v>641</v>
      </c>
      <c r="M216" s="271" t="s">
        <v>1272</v>
      </c>
      <c r="N216" s="271" t="s">
        <v>1294</v>
      </c>
    </row>
    <row r="217" spans="1:14" s="83" customFormat="1" ht="102">
      <c r="A217" s="271">
        <v>13</v>
      </c>
      <c r="B217" s="72" t="s">
        <v>1447</v>
      </c>
      <c r="C217" s="271" t="s">
        <v>1448</v>
      </c>
      <c r="D217" s="271">
        <v>2008</v>
      </c>
      <c r="E217" s="271">
        <v>1</v>
      </c>
      <c r="F217" s="271">
        <v>1</v>
      </c>
      <c r="G217" s="73">
        <f t="shared" si="10"/>
        <v>0</v>
      </c>
      <c r="H217" s="272"/>
      <c r="I217" s="272"/>
      <c r="J217" s="74" t="s">
        <v>1449</v>
      </c>
      <c r="K217" s="273"/>
      <c r="L217" s="271" t="s">
        <v>641</v>
      </c>
      <c r="M217" s="271" t="s">
        <v>54</v>
      </c>
      <c r="N217" s="271"/>
    </row>
    <row r="218" spans="1:14" s="83" customFormat="1" ht="25.5">
      <c r="A218" s="271">
        <v>14</v>
      </c>
      <c r="B218" s="74" t="s">
        <v>1450</v>
      </c>
      <c r="C218" s="271" t="s">
        <v>1451</v>
      </c>
      <c r="D218" s="271">
        <v>2009</v>
      </c>
      <c r="E218" s="271">
        <v>1</v>
      </c>
      <c r="F218" s="271">
        <v>1</v>
      </c>
      <c r="G218" s="73">
        <f t="shared" si="10"/>
        <v>0</v>
      </c>
      <c r="H218" s="272"/>
      <c r="I218" s="272"/>
      <c r="J218" s="78"/>
      <c r="K218" s="273"/>
      <c r="L218" s="271" t="s">
        <v>641</v>
      </c>
      <c r="M218" s="271" t="s">
        <v>54</v>
      </c>
      <c r="N218" s="271"/>
    </row>
    <row r="219" spans="1:14" s="103" customFormat="1" ht="51">
      <c r="A219" s="271">
        <v>15</v>
      </c>
      <c r="B219" s="74" t="s">
        <v>1452</v>
      </c>
      <c r="C219" s="271" t="s">
        <v>1453</v>
      </c>
      <c r="D219" s="271">
        <v>2015</v>
      </c>
      <c r="E219" s="275">
        <v>1</v>
      </c>
      <c r="F219" s="275">
        <v>1</v>
      </c>
      <c r="G219" s="73">
        <f t="shared" si="10"/>
        <v>0</v>
      </c>
      <c r="H219" s="82">
        <v>158690280</v>
      </c>
      <c r="I219" s="82">
        <v>158690280</v>
      </c>
      <c r="J219" s="82" t="s">
        <v>1454</v>
      </c>
      <c r="K219" s="72" t="s">
        <v>1455</v>
      </c>
      <c r="L219" s="271" t="s">
        <v>641</v>
      </c>
      <c r="M219" s="271"/>
      <c r="N219" s="271" t="s">
        <v>1456</v>
      </c>
    </row>
    <row r="220" spans="1:14" s="83" customFormat="1" ht="63.75">
      <c r="A220" s="271">
        <v>16</v>
      </c>
      <c r="B220" s="74" t="s">
        <v>1457</v>
      </c>
      <c r="C220" s="271" t="s">
        <v>1458</v>
      </c>
      <c r="D220" s="271">
        <v>2010</v>
      </c>
      <c r="E220" s="271">
        <v>1</v>
      </c>
      <c r="F220" s="271">
        <v>1</v>
      </c>
      <c r="G220" s="73">
        <f t="shared" si="10"/>
        <v>0</v>
      </c>
      <c r="H220" s="76">
        <v>158690280</v>
      </c>
      <c r="I220" s="76">
        <v>158690280</v>
      </c>
      <c r="J220" s="78" t="s">
        <v>1082</v>
      </c>
      <c r="K220" s="273"/>
      <c r="L220" s="271" t="s">
        <v>641</v>
      </c>
      <c r="M220" s="271" t="s">
        <v>54</v>
      </c>
      <c r="N220" s="271" t="s">
        <v>1459</v>
      </c>
    </row>
    <row r="221" spans="1:14" s="75" customFormat="1" ht="51">
      <c r="A221" s="271">
        <v>17</v>
      </c>
      <c r="B221" s="72" t="s">
        <v>1460</v>
      </c>
      <c r="C221" s="271" t="s">
        <v>1461</v>
      </c>
      <c r="D221" s="79">
        <v>2010</v>
      </c>
      <c r="E221" s="271">
        <v>1</v>
      </c>
      <c r="F221" s="271">
        <v>1</v>
      </c>
      <c r="G221" s="73">
        <f t="shared" si="10"/>
        <v>0</v>
      </c>
      <c r="H221" s="76">
        <v>83703628</v>
      </c>
      <c r="I221" s="76">
        <v>83703628</v>
      </c>
      <c r="J221" s="72" t="s">
        <v>1385</v>
      </c>
      <c r="K221" s="273"/>
      <c r="L221" s="271" t="s">
        <v>641</v>
      </c>
      <c r="M221" s="271" t="s">
        <v>54</v>
      </c>
      <c r="N221" s="271"/>
    </row>
    <row r="222" spans="1:14" s="75" customFormat="1" ht="25.5">
      <c r="A222" s="271">
        <v>18</v>
      </c>
      <c r="B222" s="72" t="s">
        <v>1462</v>
      </c>
      <c r="C222" s="271" t="s">
        <v>1463</v>
      </c>
      <c r="D222" s="271">
        <v>2002</v>
      </c>
      <c r="E222" s="271">
        <v>1</v>
      </c>
      <c r="F222" s="271">
        <v>1</v>
      </c>
      <c r="G222" s="73">
        <f t="shared" si="10"/>
        <v>0</v>
      </c>
      <c r="H222" s="76">
        <v>10700000</v>
      </c>
      <c r="I222" s="76">
        <v>10700000</v>
      </c>
      <c r="J222" s="74" t="s">
        <v>1423</v>
      </c>
      <c r="K222" s="273"/>
      <c r="L222" s="271" t="s">
        <v>95</v>
      </c>
      <c r="M222" s="271" t="s">
        <v>54</v>
      </c>
      <c r="N222" s="271" t="s">
        <v>946</v>
      </c>
    </row>
    <row r="223" spans="1:14" s="75" customFormat="1" ht="25.5">
      <c r="A223" s="271">
        <v>19</v>
      </c>
      <c r="B223" s="72" t="s">
        <v>1464</v>
      </c>
      <c r="C223" s="271" t="s">
        <v>1465</v>
      </c>
      <c r="D223" s="271">
        <v>2002</v>
      </c>
      <c r="E223" s="271">
        <v>1</v>
      </c>
      <c r="F223" s="271">
        <v>1</v>
      </c>
      <c r="G223" s="73">
        <f t="shared" si="10"/>
        <v>0</v>
      </c>
      <c r="H223" s="85">
        <v>8700000</v>
      </c>
      <c r="I223" s="85">
        <v>8700000</v>
      </c>
      <c r="J223" s="74" t="s">
        <v>1423</v>
      </c>
      <c r="K223" s="273"/>
      <c r="L223" s="271" t="s">
        <v>641</v>
      </c>
      <c r="M223" s="271" t="s">
        <v>54</v>
      </c>
      <c r="N223" s="271"/>
    </row>
    <row r="224" spans="1:14" s="75" customFormat="1" ht="51">
      <c r="A224" s="271">
        <v>20</v>
      </c>
      <c r="B224" s="81" t="s">
        <v>1466</v>
      </c>
      <c r="C224" s="271" t="s">
        <v>1467</v>
      </c>
      <c r="D224" s="271">
        <v>2012</v>
      </c>
      <c r="E224" s="271">
        <v>1</v>
      </c>
      <c r="F224" s="271">
        <v>1</v>
      </c>
      <c r="G224" s="73">
        <f t="shared" si="10"/>
        <v>0</v>
      </c>
      <c r="H224" s="76">
        <v>16240408</v>
      </c>
      <c r="I224" s="76">
        <v>16240408</v>
      </c>
      <c r="J224" s="72" t="s">
        <v>1385</v>
      </c>
      <c r="K224" s="273"/>
      <c r="L224" s="271" t="s">
        <v>641</v>
      </c>
      <c r="M224" s="271" t="s">
        <v>54</v>
      </c>
      <c r="N224" s="271"/>
    </row>
    <row r="225" spans="1:14" s="75" customFormat="1" ht="25.5">
      <c r="A225" s="271">
        <v>21</v>
      </c>
      <c r="B225" s="74" t="s">
        <v>1468</v>
      </c>
      <c r="C225" s="271" t="s">
        <v>1469</v>
      </c>
      <c r="D225" s="271">
        <v>2009</v>
      </c>
      <c r="E225" s="271">
        <v>1</v>
      </c>
      <c r="F225" s="271">
        <v>1</v>
      </c>
      <c r="G225" s="73">
        <f t="shared" si="10"/>
        <v>0</v>
      </c>
      <c r="H225" s="82">
        <v>4435000</v>
      </c>
      <c r="I225" s="82">
        <v>4435000</v>
      </c>
      <c r="J225" s="74" t="s">
        <v>1392</v>
      </c>
      <c r="K225" s="273"/>
      <c r="L225" s="271" t="s">
        <v>641</v>
      </c>
      <c r="M225" s="271" t="s">
        <v>54</v>
      </c>
      <c r="N225" s="271"/>
    </row>
    <row r="226" spans="1:14" s="75" customFormat="1" ht="51">
      <c r="A226" s="271">
        <v>22</v>
      </c>
      <c r="B226" s="72" t="s">
        <v>1470</v>
      </c>
      <c r="C226" s="271" t="s">
        <v>1471</v>
      </c>
      <c r="D226" s="79">
        <v>2010</v>
      </c>
      <c r="E226" s="271">
        <v>1</v>
      </c>
      <c r="F226" s="271">
        <v>1</v>
      </c>
      <c r="G226" s="73">
        <f t="shared" si="10"/>
        <v>0</v>
      </c>
      <c r="H226" s="76">
        <v>706156938</v>
      </c>
      <c r="I226" s="76">
        <v>706156938</v>
      </c>
      <c r="J226" s="72" t="s">
        <v>1385</v>
      </c>
      <c r="K226" s="273"/>
      <c r="L226" s="271" t="s">
        <v>641</v>
      </c>
      <c r="M226" s="271" t="s">
        <v>54</v>
      </c>
      <c r="N226" s="271" t="s">
        <v>1472</v>
      </c>
    </row>
    <row r="227" spans="1:14" s="75" customFormat="1" ht="51">
      <c r="A227" s="271">
        <v>23</v>
      </c>
      <c r="B227" s="72" t="s">
        <v>1473</v>
      </c>
      <c r="C227" s="271" t="s">
        <v>1474</v>
      </c>
      <c r="D227" s="271">
        <v>2016</v>
      </c>
      <c r="E227" s="271">
        <v>1</v>
      </c>
      <c r="F227" s="271">
        <v>1</v>
      </c>
      <c r="G227" s="73">
        <f t="shared" si="10"/>
        <v>0</v>
      </c>
      <c r="H227" s="76">
        <v>7000000</v>
      </c>
      <c r="I227" s="76">
        <v>7000000</v>
      </c>
      <c r="J227" s="72" t="s">
        <v>1475</v>
      </c>
      <c r="K227" s="273"/>
      <c r="L227" s="271" t="s">
        <v>641</v>
      </c>
      <c r="M227" s="271" t="s">
        <v>54</v>
      </c>
      <c r="N227" s="271"/>
    </row>
    <row r="228" spans="1:14" s="75" customFormat="1" ht="51">
      <c r="A228" s="271">
        <v>24</v>
      </c>
      <c r="B228" s="72" t="s">
        <v>1476</v>
      </c>
      <c r="C228" s="271" t="s">
        <v>1477</v>
      </c>
      <c r="D228" s="271">
        <v>2011</v>
      </c>
      <c r="E228" s="271">
        <v>1</v>
      </c>
      <c r="F228" s="271">
        <v>1</v>
      </c>
      <c r="G228" s="73">
        <f t="shared" si="10"/>
        <v>0</v>
      </c>
      <c r="H228" s="76">
        <v>6185173</v>
      </c>
      <c r="I228" s="76">
        <v>6185173</v>
      </c>
      <c r="J228" s="72" t="s">
        <v>1385</v>
      </c>
      <c r="K228" s="273"/>
      <c r="L228" s="271" t="s">
        <v>641</v>
      </c>
      <c r="M228" s="271" t="s">
        <v>54</v>
      </c>
      <c r="N228" s="271"/>
    </row>
    <row r="229" spans="1:14" s="101" customFormat="1" ht="51">
      <c r="A229" s="271">
        <v>25</v>
      </c>
      <c r="B229" s="74" t="s">
        <v>1478</v>
      </c>
      <c r="C229" s="271" t="s">
        <v>1479</v>
      </c>
      <c r="D229" s="271">
        <v>2019</v>
      </c>
      <c r="E229" s="271">
        <v>1</v>
      </c>
      <c r="F229" s="271">
        <v>1</v>
      </c>
      <c r="G229" s="73">
        <f t="shared" si="10"/>
        <v>0</v>
      </c>
      <c r="H229" s="82">
        <v>248000000</v>
      </c>
      <c r="I229" s="82">
        <v>248000000</v>
      </c>
      <c r="J229" s="82" t="s">
        <v>1454</v>
      </c>
      <c r="K229" s="74"/>
      <c r="L229" s="271" t="s">
        <v>641</v>
      </c>
      <c r="M229" s="271"/>
      <c r="N229" s="271" t="s">
        <v>1090</v>
      </c>
    </row>
    <row r="230" spans="1:14" s="75" customFormat="1" ht="25.5">
      <c r="A230" s="271">
        <v>26</v>
      </c>
      <c r="B230" s="72" t="s">
        <v>1480</v>
      </c>
      <c r="C230" s="271" t="s">
        <v>1481</v>
      </c>
      <c r="D230" s="271">
        <v>2002</v>
      </c>
      <c r="E230" s="271">
        <v>1</v>
      </c>
      <c r="F230" s="271">
        <v>1</v>
      </c>
      <c r="G230" s="73">
        <f t="shared" si="10"/>
        <v>0</v>
      </c>
      <c r="H230" s="76">
        <v>83700000</v>
      </c>
      <c r="I230" s="76">
        <v>83700000</v>
      </c>
      <c r="J230" s="74" t="s">
        <v>1423</v>
      </c>
      <c r="K230" s="273"/>
      <c r="L230" s="271" t="s">
        <v>641</v>
      </c>
      <c r="M230" s="271" t="s">
        <v>54</v>
      </c>
      <c r="N230" s="271"/>
    </row>
    <row r="231" spans="1:14" s="101" customFormat="1" ht="51">
      <c r="A231" s="271">
        <v>27</v>
      </c>
      <c r="B231" s="74" t="s">
        <v>1482</v>
      </c>
      <c r="C231" s="271" t="s">
        <v>1483</v>
      </c>
      <c r="D231" s="271">
        <v>2005</v>
      </c>
      <c r="E231" s="275">
        <v>1</v>
      </c>
      <c r="F231" s="275">
        <v>1</v>
      </c>
      <c r="G231" s="73">
        <f t="shared" si="10"/>
        <v>0</v>
      </c>
      <c r="H231" s="72"/>
      <c r="I231" s="72"/>
      <c r="J231" s="82" t="s">
        <v>1454</v>
      </c>
      <c r="K231" s="74" t="s">
        <v>1484</v>
      </c>
      <c r="L231" s="271" t="s">
        <v>641</v>
      </c>
      <c r="M231" s="271"/>
      <c r="N231" s="271"/>
    </row>
    <row r="232" spans="1:14" s="75" customFormat="1" ht="51">
      <c r="A232" s="271">
        <v>28</v>
      </c>
      <c r="B232" s="72" t="s">
        <v>1485</v>
      </c>
      <c r="C232" s="271" t="s">
        <v>1486</v>
      </c>
      <c r="D232" s="79">
        <v>2010</v>
      </c>
      <c r="E232" s="79">
        <v>1</v>
      </c>
      <c r="F232" s="79">
        <v>1</v>
      </c>
      <c r="G232" s="73">
        <f t="shared" si="10"/>
        <v>0</v>
      </c>
      <c r="H232" s="80">
        <v>17321142</v>
      </c>
      <c r="I232" s="80">
        <v>17321142</v>
      </c>
      <c r="J232" s="72" t="s">
        <v>1385</v>
      </c>
      <c r="K232" s="273"/>
      <c r="L232" s="271" t="s">
        <v>641</v>
      </c>
      <c r="M232" s="271" t="s">
        <v>54</v>
      </c>
      <c r="N232" s="271"/>
    </row>
    <row r="233" spans="1:14" s="75" customFormat="1" ht="25.5">
      <c r="A233" s="271">
        <v>29</v>
      </c>
      <c r="B233" s="74" t="s">
        <v>1487</v>
      </c>
      <c r="C233" s="271" t="s">
        <v>1488</v>
      </c>
      <c r="D233" s="271">
        <v>2009</v>
      </c>
      <c r="E233" s="271">
        <v>1</v>
      </c>
      <c r="F233" s="271">
        <v>1</v>
      </c>
      <c r="G233" s="73">
        <f t="shared" si="10"/>
        <v>0</v>
      </c>
      <c r="H233" s="76">
        <v>44841000</v>
      </c>
      <c r="I233" s="76">
        <v>44841000</v>
      </c>
      <c r="J233" s="74" t="s">
        <v>1392</v>
      </c>
      <c r="K233" s="273"/>
      <c r="L233" s="271" t="s">
        <v>641</v>
      </c>
      <c r="M233" s="271" t="s">
        <v>54</v>
      </c>
      <c r="N233" s="271"/>
    </row>
    <row r="234" spans="1:14" s="83" customFormat="1" ht="25.5">
      <c r="A234" s="271">
        <v>30</v>
      </c>
      <c r="B234" s="74" t="s">
        <v>1489</v>
      </c>
      <c r="C234" s="271" t="s">
        <v>1490</v>
      </c>
      <c r="D234" s="271">
        <v>2009</v>
      </c>
      <c r="E234" s="271">
        <v>1</v>
      </c>
      <c r="F234" s="271">
        <v>1</v>
      </c>
      <c r="G234" s="73">
        <f t="shared" si="10"/>
        <v>0</v>
      </c>
      <c r="H234" s="76">
        <v>9521000</v>
      </c>
      <c r="I234" s="76">
        <v>9521000</v>
      </c>
      <c r="J234" s="74" t="s">
        <v>1392</v>
      </c>
      <c r="K234" s="273"/>
      <c r="L234" s="271" t="s">
        <v>641</v>
      </c>
      <c r="M234" s="271" t="s">
        <v>54</v>
      </c>
      <c r="N234" s="271"/>
    </row>
    <row r="235" spans="1:14" s="83" customFormat="1" ht="51">
      <c r="A235" s="271">
        <v>31</v>
      </c>
      <c r="B235" s="72" t="s">
        <v>1491</v>
      </c>
      <c r="C235" s="271" t="s">
        <v>1492</v>
      </c>
      <c r="D235" s="79">
        <v>2010</v>
      </c>
      <c r="E235" s="271">
        <v>1</v>
      </c>
      <c r="F235" s="271">
        <v>1</v>
      </c>
      <c r="G235" s="73">
        <f t="shared" si="10"/>
        <v>0</v>
      </c>
      <c r="H235" s="76">
        <v>52310823</v>
      </c>
      <c r="I235" s="76">
        <v>52310823</v>
      </c>
      <c r="J235" s="72" t="s">
        <v>1385</v>
      </c>
      <c r="K235" s="273"/>
      <c r="L235" s="271" t="s">
        <v>641</v>
      </c>
      <c r="M235" s="271" t="s">
        <v>54</v>
      </c>
      <c r="N235" s="271"/>
    </row>
    <row r="236" spans="1:14" s="83" customFormat="1" ht="25.5">
      <c r="A236" s="271">
        <v>32</v>
      </c>
      <c r="B236" s="72" t="s">
        <v>1493</v>
      </c>
      <c r="C236" s="271" t="s">
        <v>1494</v>
      </c>
      <c r="D236" s="271">
        <v>2011</v>
      </c>
      <c r="E236" s="271">
        <v>1</v>
      </c>
      <c r="F236" s="271">
        <v>1</v>
      </c>
      <c r="G236" s="73">
        <f t="shared" si="10"/>
        <v>0</v>
      </c>
      <c r="H236" s="76">
        <v>88343626</v>
      </c>
      <c r="I236" s="76">
        <v>88343626</v>
      </c>
      <c r="J236" s="108"/>
      <c r="K236" s="273"/>
      <c r="L236" s="271" t="s">
        <v>641</v>
      </c>
      <c r="M236" s="271" t="s">
        <v>54</v>
      </c>
      <c r="N236" s="271"/>
    </row>
    <row r="237" spans="1:14" s="83" customFormat="1" ht="25.5">
      <c r="A237" s="271">
        <v>33</v>
      </c>
      <c r="B237" s="74" t="s">
        <v>1495</v>
      </c>
      <c r="C237" s="271" t="s">
        <v>1496</v>
      </c>
      <c r="D237" s="271">
        <v>2009</v>
      </c>
      <c r="E237" s="271">
        <v>1</v>
      </c>
      <c r="F237" s="271">
        <v>1</v>
      </c>
      <c r="G237" s="73">
        <f t="shared" si="10"/>
        <v>0</v>
      </c>
      <c r="H237" s="272"/>
      <c r="I237" s="272"/>
      <c r="J237" s="78"/>
      <c r="K237" s="273"/>
      <c r="L237" s="271" t="s">
        <v>641</v>
      </c>
      <c r="M237" s="271" t="s">
        <v>54</v>
      </c>
      <c r="N237" s="271"/>
    </row>
    <row r="238" spans="1:14" s="83" customFormat="1" ht="25.5">
      <c r="A238" s="271">
        <v>34</v>
      </c>
      <c r="B238" s="72" t="s">
        <v>1497</v>
      </c>
      <c r="C238" s="271" t="s">
        <v>1498</v>
      </c>
      <c r="D238" s="271">
        <v>2011</v>
      </c>
      <c r="E238" s="275">
        <v>1</v>
      </c>
      <c r="F238" s="275">
        <v>1</v>
      </c>
      <c r="G238" s="73">
        <f t="shared" si="10"/>
        <v>0</v>
      </c>
      <c r="H238" s="82">
        <v>139400000</v>
      </c>
      <c r="I238" s="82">
        <v>139400000</v>
      </c>
      <c r="J238" s="74" t="s">
        <v>1293</v>
      </c>
      <c r="K238" s="273"/>
      <c r="L238" s="271" t="s">
        <v>641</v>
      </c>
      <c r="M238" s="271" t="s">
        <v>1272</v>
      </c>
      <c r="N238" s="271" t="s">
        <v>1459</v>
      </c>
    </row>
    <row r="239" spans="1:14" s="83" customFormat="1" ht="25.5">
      <c r="A239" s="271">
        <v>35</v>
      </c>
      <c r="B239" s="72" t="s">
        <v>1499</v>
      </c>
      <c r="C239" s="271" t="s">
        <v>1500</v>
      </c>
      <c r="D239" s="271">
        <v>2018</v>
      </c>
      <c r="E239" s="275">
        <v>1</v>
      </c>
      <c r="F239" s="97">
        <v>1</v>
      </c>
      <c r="G239" s="73">
        <f t="shared" si="10"/>
        <v>0</v>
      </c>
      <c r="H239" s="76">
        <v>65000000</v>
      </c>
      <c r="I239" s="76">
        <v>65000000</v>
      </c>
      <c r="J239" s="74" t="s">
        <v>1293</v>
      </c>
      <c r="K239" s="72"/>
      <c r="L239" s="271" t="s">
        <v>641</v>
      </c>
      <c r="M239" s="271" t="s">
        <v>1272</v>
      </c>
      <c r="N239" s="271"/>
    </row>
    <row r="240" spans="1:14" s="83" customFormat="1" ht="38.25">
      <c r="A240" s="271">
        <v>36</v>
      </c>
      <c r="B240" s="74" t="s">
        <v>1501</v>
      </c>
      <c r="C240" s="271" t="s">
        <v>1502</v>
      </c>
      <c r="D240" s="271">
        <v>2012</v>
      </c>
      <c r="E240" s="271">
        <v>4</v>
      </c>
      <c r="F240" s="271">
        <v>4</v>
      </c>
      <c r="G240" s="73">
        <f t="shared" si="10"/>
        <v>0</v>
      </c>
      <c r="H240" s="82">
        <f>+I240/E240</f>
        <v>577500</v>
      </c>
      <c r="I240" s="82">
        <v>2310000</v>
      </c>
      <c r="J240" s="74" t="s">
        <v>1412</v>
      </c>
      <c r="K240" s="273"/>
      <c r="L240" s="271" t="s">
        <v>641</v>
      </c>
      <c r="M240" s="271" t="s">
        <v>54</v>
      </c>
      <c r="N240" s="271" t="s">
        <v>1503</v>
      </c>
    </row>
    <row r="241" spans="1:14" s="83" customFormat="1" ht="38.25">
      <c r="A241" s="271">
        <v>37</v>
      </c>
      <c r="B241" s="74" t="s">
        <v>1504</v>
      </c>
      <c r="C241" s="271" t="s">
        <v>1505</v>
      </c>
      <c r="D241" s="271">
        <v>2011</v>
      </c>
      <c r="E241" s="275">
        <v>2</v>
      </c>
      <c r="F241" s="275">
        <v>2</v>
      </c>
      <c r="G241" s="73">
        <f t="shared" si="10"/>
        <v>0</v>
      </c>
      <c r="H241" s="85">
        <f>+I241/E241</f>
        <v>750000</v>
      </c>
      <c r="I241" s="85">
        <v>1500000</v>
      </c>
      <c r="J241" s="74" t="s">
        <v>1506</v>
      </c>
      <c r="K241" s="273"/>
      <c r="L241" s="271" t="s">
        <v>641</v>
      </c>
      <c r="M241" s="271" t="s">
        <v>54</v>
      </c>
      <c r="N241" s="271"/>
    </row>
    <row r="242" spans="1:14" s="83" customFormat="1" ht="102">
      <c r="A242" s="271">
        <v>38</v>
      </c>
      <c r="B242" s="72" t="s">
        <v>1507</v>
      </c>
      <c r="C242" s="271" t="s">
        <v>1508</v>
      </c>
      <c r="D242" s="271">
        <v>2015</v>
      </c>
      <c r="E242" s="275">
        <v>3</v>
      </c>
      <c r="F242" s="275">
        <v>3</v>
      </c>
      <c r="G242" s="73">
        <f t="shared" si="10"/>
        <v>0</v>
      </c>
      <c r="H242" s="272"/>
      <c r="I242" s="272"/>
      <c r="J242" s="74" t="s">
        <v>1423</v>
      </c>
      <c r="K242" s="271" t="s">
        <v>1294</v>
      </c>
      <c r="L242" s="271" t="s">
        <v>641</v>
      </c>
      <c r="M242" s="271" t="s">
        <v>54</v>
      </c>
      <c r="N242" s="271" t="s">
        <v>1509</v>
      </c>
    </row>
    <row r="243" spans="1:14" s="83" customFormat="1" ht="165.75">
      <c r="A243" s="271">
        <v>39</v>
      </c>
      <c r="B243" s="74" t="s">
        <v>1510</v>
      </c>
      <c r="C243" s="271" t="s">
        <v>1511</v>
      </c>
      <c r="D243" s="271">
        <v>2012</v>
      </c>
      <c r="E243" s="271">
        <v>3</v>
      </c>
      <c r="F243" s="271">
        <v>3</v>
      </c>
      <c r="G243" s="73">
        <f t="shared" si="10"/>
        <v>0</v>
      </c>
      <c r="H243" s="76">
        <f>I243/E243</f>
        <v>52500000</v>
      </c>
      <c r="I243" s="76">
        <v>157500000</v>
      </c>
      <c r="J243" s="78" t="s">
        <v>1512</v>
      </c>
      <c r="K243" s="273"/>
      <c r="L243" s="271" t="s">
        <v>641</v>
      </c>
      <c r="M243" s="271" t="s">
        <v>54</v>
      </c>
      <c r="N243" s="271" t="s">
        <v>1513</v>
      </c>
    </row>
    <row r="244" spans="1:14" s="75" customFormat="1" ht="25.5">
      <c r="A244" s="271">
        <v>40</v>
      </c>
      <c r="B244" s="72" t="s">
        <v>1355</v>
      </c>
      <c r="C244" s="271" t="s">
        <v>1514</v>
      </c>
      <c r="D244" s="271"/>
      <c r="E244" s="271"/>
      <c r="F244" s="271">
        <v>3</v>
      </c>
      <c r="G244" s="73">
        <f t="shared" si="10"/>
        <v>3</v>
      </c>
      <c r="H244" s="272"/>
      <c r="I244" s="272"/>
      <c r="J244" s="271" t="s">
        <v>1515</v>
      </c>
      <c r="K244" s="273"/>
      <c r="L244" s="271" t="s">
        <v>641</v>
      </c>
      <c r="M244" s="271"/>
      <c r="N244" s="271"/>
    </row>
    <row r="245" spans="1:14" s="101" customFormat="1" ht="51">
      <c r="A245" s="271">
        <v>41</v>
      </c>
      <c r="B245" s="74" t="s">
        <v>1516</v>
      </c>
      <c r="C245" s="271" t="s">
        <v>1517</v>
      </c>
      <c r="D245" s="271">
        <v>2015</v>
      </c>
      <c r="E245" s="275">
        <v>1</v>
      </c>
      <c r="F245" s="275">
        <v>1</v>
      </c>
      <c r="G245" s="73">
        <f t="shared" si="10"/>
        <v>0</v>
      </c>
      <c r="H245" s="84"/>
      <c r="I245" s="84"/>
      <c r="J245" s="82" t="s">
        <v>1454</v>
      </c>
      <c r="K245" s="72" t="s">
        <v>1484</v>
      </c>
      <c r="L245" s="72" t="s">
        <v>1518</v>
      </c>
      <c r="M245" s="271"/>
      <c r="N245" s="271" t="s">
        <v>1217</v>
      </c>
    </row>
    <row r="246" spans="1:14" s="101" customFormat="1" ht="51">
      <c r="A246" s="271">
        <v>42</v>
      </c>
      <c r="B246" s="74" t="s">
        <v>1519</v>
      </c>
      <c r="C246" s="271" t="s">
        <v>1520</v>
      </c>
      <c r="D246" s="271" t="s">
        <v>1521</v>
      </c>
      <c r="E246" s="275">
        <v>1</v>
      </c>
      <c r="F246" s="275">
        <v>1</v>
      </c>
      <c r="G246" s="73">
        <f t="shared" si="10"/>
        <v>0</v>
      </c>
      <c r="H246" s="82">
        <v>24800000</v>
      </c>
      <c r="I246" s="82">
        <v>24800000</v>
      </c>
      <c r="J246" s="82" t="s">
        <v>1454</v>
      </c>
      <c r="K246" s="74" t="s">
        <v>1484</v>
      </c>
      <c r="L246" s="72" t="s">
        <v>1518</v>
      </c>
      <c r="M246" s="271"/>
      <c r="N246" s="271" t="s">
        <v>1217</v>
      </c>
    </row>
    <row r="247" spans="1:14" s="75" customFormat="1" ht="127.5">
      <c r="A247" s="271">
        <v>43</v>
      </c>
      <c r="B247" s="74" t="s">
        <v>1522</v>
      </c>
      <c r="C247" s="271" t="s">
        <v>1523</v>
      </c>
      <c r="D247" s="271">
        <v>2016</v>
      </c>
      <c r="E247" s="271">
        <v>1</v>
      </c>
      <c r="F247" s="271">
        <v>1</v>
      </c>
      <c r="G247" s="73">
        <f>F247-E247</f>
        <v>0</v>
      </c>
      <c r="H247" s="76">
        <v>246900000</v>
      </c>
      <c r="I247" s="76">
        <v>246900000</v>
      </c>
      <c r="J247" s="78" t="s">
        <v>1332</v>
      </c>
      <c r="K247" s="273"/>
      <c r="L247" s="72" t="s">
        <v>95</v>
      </c>
      <c r="M247" s="271" t="s">
        <v>54</v>
      </c>
      <c r="N247" s="271" t="s">
        <v>946</v>
      </c>
    </row>
    <row r="248" spans="1:14" s="75" customFormat="1" ht="25.5">
      <c r="A248" s="271">
        <v>44</v>
      </c>
      <c r="B248" s="72" t="s">
        <v>1524</v>
      </c>
      <c r="C248" s="271" t="s">
        <v>1525</v>
      </c>
      <c r="D248" s="271">
        <v>2011</v>
      </c>
      <c r="E248" s="271">
        <v>1</v>
      </c>
      <c r="F248" s="271">
        <v>1</v>
      </c>
      <c r="G248" s="73">
        <f t="shared" si="10"/>
        <v>0</v>
      </c>
      <c r="H248" s="76">
        <v>84328007</v>
      </c>
      <c r="I248" s="76">
        <v>84328007</v>
      </c>
      <c r="J248" s="72"/>
      <c r="K248" s="273"/>
      <c r="L248" s="72" t="s">
        <v>1518</v>
      </c>
      <c r="M248" s="271" t="s">
        <v>54</v>
      </c>
      <c r="N248" s="271" t="s">
        <v>1217</v>
      </c>
    </row>
    <row r="249" spans="1:14" s="101" customFormat="1" ht="51">
      <c r="A249" s="271">
        <v>45</v>
      </c>
      <c r="B249" s="74" t="s">
        <v>1526</v>
      </c>
      <c r="C249" s="271" t="s">
        <v>1527</v>
      </c>
      <c r="D249" s="271" t="s">
        <v>1521</v>
      </c>
      <c r="E249" s="271">
        <v>1</v>
      </c>
      <c r="F249" s="271">
        <v>1</v>
      </c>
      <c r="G249" s="73">
        <f t="shared" si="10"/>
        <v>0</v>
      </c>
      <c r="H249" s="76">
        <v>59237376</v>
      </c>
      <c r="I249" s="76">
        <v>59237376</v>
      </c>
      <c r="J249" s="82" t="s">
        <v>1454</v>
      </c>
      <c r="K249" s="74" t="s">
        <v>1484</v>
      </c>
      <c r="L249" s="72" t="s">
        <v>1518</v>
      </c>
      <c r="M249" s="271" t="s">
        <v>1528</v>
      </c>
      <c r="N249" s="271" t="s">
        <v>1217</v>
      </c>
    </row>
    <row r="250" spans="1:14" s="75" customFormat="1" ht="25.5">
      <c r="A250" s="271">
        <v>46</v>
      </c>
      <c r="B250" s="74" t="s">
        <v>1529</v>
      </c>
      <c r="C250" s="271" t="s">
        <v>1530</v>
      </c>
      <c r="D250" s="271">
        <v>2009</v>
      </c>
      <c r="E250" s="271">
        <v>2</v>
      </c>
      <c r="F250" s="271">
        <v>2</v>
      </c>
      <c r="G250" s="73">
        <f t="shared" si="10"/>
        <v>0</v>
      </c>
      <c r="H250" s="76">
        <f>+I250/E250</f>
        <v>65634000</v>
      </c>
      <c r="I250" s="76">
        <v>131268000</v>
      </c>
      <c r="J250" s="74" t="s">
        <v>1392</v>
      </c>
      <c r="K250" s="273"/>
      <c r="L250" s="72" t="s">
        <v>1518</v>
      </c>
      <c r="M250" s="271" t="s">
        <v>54</v>
      </c>
      <c r="N250" s="271" t="s">
        <v>1217</v>
      </c>
    </row>
    <row r="251" spans="1:14" s="75" customFormat="1" ht="25.5">
      <c r="A251" s="271">
        <v>47</v>
      </c>
      <c r="B251" s="74" t="s">
        <v>1531</v>
      </c>
      <c r="C251" s="271" t="s">
        <v>1532</v>
      </c>
      <c r="D251" s="271">
        <v>2009</v>
      </c>
      <c r="E251" s="271">
        <v>1</v>
      </c>
      <c r="F251" s="271">
        <v>1</v>
      </c>
      <c r="G251" s="73">
        <f t="shared" si="10"/>
        <v>0</v>
      </c>
      <c r="H251" s="76">
        <v>88746000</v>
      </c>
      <c r="I251" s="76">
        <v>88746000</v>
      </c>
      <c r="J251" s="74" t="s">
        <v>1392</v>
      </c>
      <c r="K251" s="273"/>
      <c r="L251" s="72" t="s">
        <v>1518</v>
      </c>
      <c r="M251" s="271" t="s">
        <v>54</v>
      </c>
      <c r="N251" s="271" t="s">
        <v>1217</v>
      </c>
    </row>
    <row r="252" spans="1:14" s="75" customFormat="1" ht="51">
      <c r="A252" s="271">
        <v>48</v>
      </c>
      <c r="B252" s="72" t="s">
        <v>1533</v>
      </c>
      <c r="C252" s="271" t="s">
        <v>1534</v>
      </c>
      <c r="D252" s="271">
        <v>2015</v>
      </c>
      <c r="E252" s="275">
        <v>3</v>
      </c>
      <c r="F252" s="275">
        <v>3</v>
      </c>
      <c r="G252" s="73">
        <f t="shared" si="10"/>
        <v>0</v>
      </c>
      <c r="H252" s="76">
        <v>181042332</v>
      </c>
      <c r="I252" s="76">
        <v>181042332</v>
      </c>
      <c r="J252" s="74" t="s">
        <v>1423</v>
      </c>
      <c r="K252" s="271" t="s">
        <v>1294</v>
      </c>
      <c r="L252" s="72" t="s">
        <v>1518</v>
      </c>
      <c r="M252" s="271" t="s">
        <v>1340</v>
      </c>
      <c r="N252" s="271" t="s">
        <v>1217</v>
      </c>
    </row>
    <row r="253" spans="1:14" s="75" customFormat="1" ht="76.5">
      <c r="A253" s="271">
        <v>49</v>
      </c>
      <c r="B253" s="74" t="s">
        <v>1535</v>
      </c>
      <c r="C253" s="271" t="s">
        <v>1536</v>
      </c>
      <c r="D253" s="271">
        <v>2020</v>
      </c>
      <c r="E253" s="275">
        <v>1</v>
      </c>
      <c r="F253" s="275">
        <v>1</v>
      </c>
      <c r="G253" s="73">
        <f t="shared" si="10"/>
        <v>0</v>
      </c>
      <c r="H253" s="76">
        <v>229900000</v>
      </c>
      <c r="I253" s="76">
        <v>229900000</v>
      </c>
      <c r="J253" s="72" t="s">
        <v>1307</v>
      </c>
      <c r="K253" s="273"/>
      <c r="L253" s="72" t="s">
        <v>1518</v>
      </c>
      <c r="M253" s="271" t="s">
        <v>54</v>
      </c>
      <c r="N253" s="271" t="s">
        <v>1217</v>
      </c>
    </row>
    <row r="254" spans="1:14" s="75" customFormat="1" ht="25.5">
      <c r="A254" s="271">
        <v>50</v>
      </c>
      <c r="B254" s="74" t="s">
        <v>1537</v>
      </c>
      <c r="C254" s="271" t="s">
        <v>1538</v>
      </c>
      <c r="D254" s="271">
        <v>2009</v>
      </c>
      <c r="E254" s="271">
        <v>1</v>
      </c>
      <c r="F254" s="271">
        <v>1</v>
      </c>
      <c r="G254" s="73">
        <f t="shared" si="10"/>
        <v>0</v>
      </c>
      <c r="H254" s="272"/>
      <c r="I254" s="272"/>
      <c r="J254" s="78"/>
      <c r="K254" s="273"/>
      <c r="L254" s="72" t="s">
        <v>1518</v>
      </c>
      <c r="M254" s="271" t="s">
        <v>54</v>
      </c>
      <c r="N254" s="271" t="s">
        <v>1217</v>
      </c>
    </row>
    <row r="255" spans="1:14" s="101" customFormat="1" ht="51">
      <c r="A255" s="271">
        <v>51</v>
      </c>
      <c r="B255" s="74" t="s">
        <v>1539</v>
      </c>
      <c r="C255" s="271" t="s">
        <v>1540</v>
      </c>
      <c r="D255" s="271"/>
      <c r="E255" s="275"/>
      <c r="F255" s="275">
        <v>1</v>
      </c>
      <c r="G255" s="73">
        <f>F255-E255</f>
        <v>1</v>
      </c>
      <c r="H255" s="84"/>
      <c r="I255" s="84"/>
      <c r="J255" s="82" t="s">
        <v>1454</v>
      </c>
      <c r="K255" s="74" t="s">
        <v>1484</v>
      </c>
      <c r="L255" s="72" t="s">
        <v>1518</v>
      </c>
      <c r="M255" s="271"/>
      <c r="N255" s="271" t="s">
        <v>1217</v>
      </c>
    </row>
    <row r="256" spans="1:14" s="75" customFormat="1" ht="51">
      <c r="A256" s="271">
        <v>52</v>
      </c>
      <c r="B256" s="72" t="s">
        <v>1541</v>
      </c>
      <c r="C256" s="271" t="s">
        <v>1542</v>
      </c>
      <c r="D256" s="271">
        <v>2011</v>
      </c>
      <c r="E256" s="271">
        <v>1</v>
      </c>
      <c r="F256" s="271">
        <v>1</v>
      </c>
      <c r="G256" s="73">
        <f t="shared" si="10"/>
        <v>0</v>
      </c>
      <c r="H256" s="76">
        <v>10735428</v>
      </c>
      <c r="I256" s="76">
        <v>10735428</v>
      </c>
      <c r="J256" s="72" t="s">
        <v>1385</v>
      </c>
      <c r="K256" s="273"/>
      <c r="L256" s="72" t="s">
        <v>1518</v>
      </c>
      <c r="M256" s="271" t="s">
        <v>54</v>
      </c>
      <c r="N256" s="271" t="s">
        <v>1217</v>
      </c>
    </row>
    <row r="257" spans="1:14" s="75" customFormat="1" ht="51">
      <c r="A257" s="271">
        <v>53</v>
      </c>
      <c r="B257" s="72" t="s">
        <v>1541</v>
      </c>
      <c r="C257" s="271" t="s">
        <v>1543</v>
      </c>
      <c r="D257" s="271">
        <v>2011</v>
      </c>
      <c r="E257" s="271">
        <v>1</v>
      </c>
      <c r="F257" s="271">
        <v>1</v>
      </c>
      <c r="G257" s="73">
        <f t="shared" si="10"/>
        <v>0</v>
      </c>
      <c r="H257" s="76">
        <v>10995864</v>
      </c>
      <c r="I257" s="76">
        <v>10995864</v>
      </c>
      <c r="J257" s="72" t="s">
        <v>1385</v>
      </c>
      <c r="K257" s="273"/>
      <c r="L257" s="72" t="s">
        <v>1518</v>
      </c>
      <c r="M257" s="271" t="s">
        <v>54</v>
      </c>
      <c r="N257" s="271" t="s">
        <v>1217</v>
      </c>
    </row>
    <row r="258" spans="1:14" s="103" customFormat="1" ht="51">
      <c r="A258" s="271">
        <v>54</v>
      </c>
      <c r="B258" s="74" t="s">
        <v>1086</v>
      </c>
      <c r="C258" s="271" t="s">
        <v>1544</v>
      </c>
      <c r="D258" s="271"/>
      <c r="E258" s="275"/>
      <c r="F258" s="275">
        <v>1</v>
      </c>
      <c r="G258" s="73">
        <f t="shared" si="10"/>
        <v>1</v>
      </c>
      <c r="H258" s="84"/>
      <c r="I258" s="84"/>
      <c r="J258" s="82" t="s">
        <v>1454</v>
      </c>
      <c r="K258" s="74" t="s">
        <v>1484</v>
      </c>
      <c r="L258" s="72" t="s">
        <v>1518</v>
      </c>
      <c r="M258" s="271"/>
      <c r="N258" s="271" t="s">
        <v>1217</v>
      </c>
    </row>
    <row r="259" spans="1:14" s="83" customFormat="1" ht="51">
      <c r="A259" s="271">
        <v>55</v>
      </c>
      <c r="B259" s="72" t="s">
        <v>1545</v>
      </c>
      <c r="C259" s="271" t="s">
        <v>1546</v>
      </c>
      <c r="D259" s="271">
        <v>2015</v>
      </c>
      <c r="E259" s="275">
        <v>1</v>
      </c>
      <c r="F259" s="275">
        <v>1</v>
      </c>
      <c r="G259" s="73">
        <f t="shared" si="10"/>
        <v>0</v>
      </c>
      <c r="H259" s="272"/>
      <c r="I259" s="272"/>
      <c r="J259" s="74" t="s">
        <v>1423</v>
      </c>
      <c r="K259" s="271" t="s">
        <v>1294</v>
      </c>
      <c r="L259" s="72" t="s">
        <v>1518</v>
      </c>
      <c r="M259" s="271" t="s">
        <v>54</v>
      </c>
      <c r="N259" s="271" t="s">
        <v>1217</v>
      </c>
    </row>
    <row r="260" spans="1:14" s="103" customFormat="1" ht="51">
      <c r="A260" s="271">
        <v>56</v>
      </c>
      <c r="B260" s="74" t="s">
        <v>1547</v>
      </c>
      <c r="C260" s="271" t="s">
        <v>1548</v>
      </c>
      <c r="D260" s="271">
        <v>2015</v>
      </c>
      <c r="E260" s="275"/>
      <c r="F260" s="275">
        <v>1</v>
      </c>
      <c r="G260" s="73">
        <f t="shared" si="10"/>
        <v>1</v>
      </c>
      <c r="H260" s="84"/>
      <c r="I260" s="84"/>
      <c r="J260" s="82" t="s">
        <v>1454</v>
      </c>
      <c r="K260" s="74" t="s">
        <v>1549</v>
      </c>
      <c r="L260" s="72" t="s">
        <v>1518</v>
      </c>
      <c r="M260" s="271"/>
      <c r="N260" s="271"/>
    </row>
    <row r="261" spans="1:14" s="75" customFormat="1" ht="25.5">
      <c r="A261" s="271">
        <v>57</v>
      </c>
      <c r="B261" s="74" t="s">
        <v>1550</v>
      </c>
      <c r="C261" s="271" t="s">
        <v>1551</v>
      </c>
      <c r="D261" s="271">
        <v>2009</v>
      </c>
      <c r="E261" s="271">
        <v>1</v>
      </c>
      <c r="F261" s="271">
        <v>1</v>
      </c>
      <c r="G261" s="73">
        <f t="shared" si="10"/>
        <v>0</v>
      </c>
      <c r="H261" s="76">
        <v>31873000</v>
      </c>
      <c r="I261" s="76">
        <v>31873000</v>
      </c>
      <c r="J261" s="74" t="s">
        <v>1392</v>
      </c>
      <c r="K261" s="273"/>
      <c r="L261" s="72" t="s">
        <v>1518</v>
      </c>
      <c r="M261" s="271" t="s">
        <v>54</v>
      </c>
      <c r="N261" s="271" t="s">
        <v>1217</v>
      </c>
    </row>
    <row r="262" spans="1:14" s="75" customFormat="1" ht="63.75">
      <c r="A262" s="271">
        <v>58</v>
      </c>
      <c r="B262" s="81" t="s">
        <v>1552</v>
      </c>
      <c r="C262" s="271" t="s">
        <v>1553</v>
      </c>
      <c r="D262" s="271">
        <v>2017</v>
      </c>
      <c r="E262" s="271">
        <v>1</v>
      </c>
      <c r="F262" s="271">
        <v>1</v>
      </c>
      <c r="G262" s="73">
        <f t="shared" si="10"/>
        <v>0</v>
      </c>
      <c r="H262" s="85">
        <v>21500000</v>
      </c>
      <c r="I262" s="85">
        <v>21500000</v>
      </c>
      <c r="J262" s="72" t="s">
        <v>1194</v>
      </c>
      <c r="K262" s="273"/>
      <c r="L262" s="271" t="s">
        <v>641</v>
      </c>
      <c r="M262" s="271" t="s">
        <v>54</v>
      </c>
      <c r="N262" s="271" t="s">
        <v>1554</v>
      </c>
    </row>
    <row r="263" spans="1:14" s="75" customFormat="1" ht="38.25">
      <c r="A263" s="271">
        <v>59</v>
      </c>
      <c r="B263" s="74" t="s">
        <v>1555</v>
      </c>
      <c r="C263" s="271" t="s">
        <v>1556</v>
      </c>
      <c r="D263" s="271">
        <v>2019</v>
      </c>
      <c r="E263" s="271">
        <v>1</v>
      </c>
      <c r="F263" s="271">
        <v>1</v>
      </c>
      <c r="G263" s="73">
        <f t="shared" si="10"/>
        <v>0</v>
      </c>
      <c r="H263" s="82">
        <f>127900000/2</f>
        <v>63950000</v>
      </c>
      <c r="I263" s="82">
        <f>127900000/2</f>
        <v>63950000</v>
      </c>
      <c r="J263" s="271"/>
      <c r="K263" s="271" t="s">
        <v>1557</v>
      </c>
      <c r="L263" s="271" t="s">
        <v>641</v>
      </c>
      <c r="M263" s="271" t="s">
        <v>19</v>
      </c>
      <c r="N263" s="271" t="s">
        <v>1558</v>
      </c>
    </row>
    <row r="264" spans="1:14" s="71" customFormat="1" ht="20.100000000000001" customHeight="1">
      <c r="A264" s="271"/>
      <c r="B264" s="274" t="s">
        <v>775</v>
      </c>
      <c r="C264" s="271"/>
      <c r="D264" s="271"/>
      <c r="E264" s="271"/>
      <c r="F264" s="271"/>
      <c r="G264" s="272"/>
      <c r="H264" s="272"/>
      <c r="I264" s="272"/>
      <c r="J264" s="271"/>
      <c r="K264" s="273"/>
      <c r="L264" s="271"/>
      <c r="M264" s="271"/>
      <c r="N264" s="271"/>
    </row>
    <row r="265" spans="1:14" s="75" customFormat="1" ht="25.5">
      <c r="A265" s="271">
        <v>1</v>
      </c>
      <c r="B265" s="72" t="s">
        <v>1559</v>
      </c>
      <c r="C265" s="271" t="s">
        <v>1560</v>
      </c>
      <c r="D265" s="271"/>
      <c r="E265" s="275"/>
      <c r="F265" s="97">
        <v>8</v>
      </c>
      <c r="G265" s="73">
        <f>F265-E265</f>
        <v>8</v>
      </c>
      <c r="H265" s="82"/>
      <c r="I265" s="82"/>
      <c r="J265" s="74"/>
      <c r="K265" s="72"/>
      <c r="L265" s="271" t="s">
        <v>641</v>
      </c>
      <c r="M265" s="271"/>
      <c r="N265" s="271" t="s">
        <v>1515</v>
      </c>
    </row>
    <row r="266" spans="1:14" s="75" customFormat="1" ht="63.75">
      <c r="A266" s="271">
        <v>2</v>
      </c>
      <c r="B266" s="95" t="s">
        <v>1260</v>
      </c>
      <c r="C266" s="271" t="s">
        <v>1561</v>
      </c>
      <c r="D266" s="96">
        <v>2010</v>
      </c>
      <c r="E266" s="96">
        <v>2</v>
      </c>
      <c r="F266" s="96">
        <v>2</v>
      </c>
      <c r="G266" s="73">
        <f>F266-E266</f>
        <v>0</v>
      </c>
      <c r="H266" s="272"/>
      <c r="I266" s="272"/>
      <c r="J266" s="271" t="s">
        <v>1562</v>
      </c>
      <c r="K266" s="273"/>
      <c r="L266" s="271" t="s">
        <v>641</v>
      </c>
      <c r="M266" s="271" t="s">
        <v>54</v>
      </c>
      <c r="N266" s="271" t="s">
        <v>1515</v>
      </c>
    </row>
    <row r="267" spans="1:14" s="75" customFormat="1" ht="63.75">
      <c r="A267" s="271">
        <v>3</v>
      </c>
      <c r="B267" s="95" t="s">
        <v>1563</v>
      </c>
      <c r="C267" s="271" t="s">
        <v>1564</v>
      </c>
      <c r="D267" s="96">
        <v>2010</v>
      </c>
      <c r="E267" s="96">
        <v>4</v>
      </c>
      <c r="F267" s="96">
        <v>4</v>
      </c>
      <c r="G267" s="73">
        <f t="shared" ref="G267:G272" si="11">F267-E267</f>
        <v>0</v>
      </c>
      <c r="H267" s="272"/>
      <c r="I267" s="272"/>
      <c r="J267" s="271" t="s">
        <v>1565</v>
      </c>
      <c r="K267" s="273"/>
      <c r="L267" s="271" t="s">
        <v>641</v>
      </c>
      <c r="M267" s="271" t="s">
        <v>54</v>
      </c>
      <c r="N267" s="271" t="s">
        <v>1515</v>
      </c>
    </row>
    <row r="268" spans="1:14" s="75" customFormat="1" ht="38.25">
      <c r="A268" s="271">
        <v>4</v>
      </c>
      <c r="B268" s="74" t="s">
        <v>1276</v>
      </c>
      <c r="C268" s="271" t="s">
        <v>1566</v>
      </c>
      <c r="D268" s="271"/>
      <c r="E268" s="271"/>
      <c r="F268" s="271">
        <v>13</v>
      </c>
      <c r="G268" s="73">
        <f t="shared" si="11"/>
        <v>13</v>
      </c>
      <c r="H268" s="272"/>
      <c r="I268" s="272"/>
      <c r="J268" s="271" t="s">
        <v>1515</v>
      </c>
      <c r="K268" s="273"/>
      <c r="L268" s="271" t="s">
        <v>641</v>
      </c>
      <c r="M268" s="271"/>
      <c r="N268" s="271" t="s">
        <v>1567</v>
      </c>
    </row>
    <row r="269" spans="1:14" s="75" customFormat="1" ht="25.5">
      <c r="A269" s="271">
        <v>5</v>
      </c>
      <c r="B269" s="74" t="s">
        <v>1568</v>
      </c>
      <c r="C269" s="271" t="s">
        <v>1569</v>
      </c>
      <c r="D269" s="271"/>
      <c r="E269" s="271"/>
      <c r="F269" s="271">
        <v>2</v>
      </c>
      <c r="G269" s="73">
        <f t="shared" si="11"/>
        <v>2</v>
      </c>
      <c r="H269" s="272"/>
      <c r="I269" s="272"/>
      <c r="J269" s="271" t="s">
        <v>1515</v>
      </c>
      <c r="K269" s="273"/>
      <c r="L269" s="271" t="s">
        <v>641</v>
      </c>
      <c r="M269" s="271"/>
      <c r="N269" s="271"/>
    </row>
    <row r="270" spans="1:14" s="75" customFormat="1" ht="25.5">
      <c r="A270" s="271">
        <v>6</v>
      </c>
      <c r="B270" s="74" t="s">
        <v>1570</v>
      </c>
      <c r="C270" s="271" t="s">
        <v>1571</v>
      </c>
      <c r="D270" s="271"/>
      <c r="E270" s="271"/>
      <c r="F270" s="271">
        <v>2</v>
      </c>
      <c r="G270" s="73">
        <f t="shared" si="11"/>
        <v>2</v>
      </c>
      <c r="H270" s="272"/>
      <c r="I270" s="272"/>
      <c r="J270" s="271" t="s">
        <v>1515</v>
      </c>
      <c r="K270" s="273"/>
      <c r="L270" s="271" t="s">
        <v>641</v>
      </c>
      <c r="M270" s="271"/>
      <c r="N270" s="271"/>
    </row>
    <row r="271" spans="1:14" s="75" customFormat="1" ht="25.5">
      <c r="A271" s="271">
        <v>7</v>
      </c>
      <c r="B271" s="74" t="s">
        <v>1252</v>
      </c>
      <c r="C271" s="271" t="s">
        <v>1572</v>
      </c>
      <c r="D271" s="271"/>
      <c r="E271" s="271"/>
      <c r="F271" s="271">
        <v>4</v>
      </c>
      <c r="G271" s="73">
        <f t="shared" si="11"/>
        <v>4</v>
      </c>
      <c r="H271" s="272"/>
      <c r="I271" s="272"/>
      <c r="J271" s="271" t="s">
        <v>1515</v>
      </c>
      <c r="K271" s="273"/>
      <c r="L271" s="271" t="s">
        <v>641</v>
      </c>
      <c r="M271" s="271"/>
      <c r="N271" s="271"/>
    </row>
    <row r="272" spans="1:14" s="75" customFormat="1" ht="25.5">
      <c r="A272" s="271">
        <v>8</v>
      </c>
      <c r="B272" s="74" t="s">
        <v>1573</v>
      </c>
      <c r="C272" s="271" t="s">
        <v>1574</v>
      </c>
      <c r="D272" s="271"/>
      <c r="E272" s="271"/>
      <c r="F272" s="271">
        <v>1</v>
      </c>
      <c r="G272" s="73">
        <f t="shared" si="11"/>
        <v>1</v>
      </c>
      <c r="H272" s="272"/>
      <c r="I272" s="272"/>
      <c r="J272" s="271" t="s">
        <v>1515</v>
      </c>
      <c r="K272" s="273"/>
      <c r="L272" s="271" t="s">
        <v>641</v>
      </c>
      <c r="M272" s="271"/>
      <c r="N272" s="271"/>
    </row>
    <row r="273" spans="1:14" s="109" customFormat="1" ht="20.100000000000001" customHeight="1">
      <c r="A273" s="274"/>
      <c r="B273" s="490" t="s">
        <v>1575</v>
      </c>
      <c r="C273" s="490"/>
      <c r="D273" s="490"/>
      <c r="E273" s="490"/>
      <c r="F273" s="490"/>
      <c r="G273" s="490"/>
      <c r="H273" s="490"/>
      <c r="I273" s="490"/>
      <c r="J273" s="490"/>
      <c r="K273" s="490"/>
      <c r="L273" s="490"/>
      <c r="M273" s="490"/>
      <c r="N273" s="490"/>
    </row>
    <row r="274" spans="1:14" s="75" customFormat="1" ht="51">
      <c r="A274" s="271">
        <v>1</v>
      </c>
      <c r="B274" s="81" t="s">
        <v>1576</v>
      </c>
      <c r="C274" s="271" t="s">
        <v>1577</v>
      </c>
      <c r="D274" s="271">
        <v>2013</v>
      </c>
      <c r="E274" s="271">
        <v>1</v>
      </c>
      <c r="F274" s="271">
        <v>1</v>
      </c>
      <c r="G274" s="73">
        <f>F274-E274</f>
        <v>0</v>
      </c>
      <c r="H274" s="76">
        <v>161977200</v>
      </c>
      <c r="I274" s="76">
        <v>161977200</v>
      </c>
      <c r="J274" s="72" t="s">
        <v>1385</v>
      </c>
      <c r="K274" s="273"/>
      <c r="L274" s="271" t="s">
        <v>991</v>
      </c>
      <c r="M274" s="271" t="s">
        <v>54</v>
      </c>
      <c r="N274" s="271" t="s">
        <v>1578</v>
      </c>
    </row>
    <row r="275" spans="1:14" s="101" customFormat="1" ht="51">
      <c r="A275" s="271">
        <v>2</v>
      </c>
      <c r="B275" s="74" t="s">
        <v>1579</v>
      </c>
      <c r="C275" s="271" t="s">
        <v>1580</v>
      </c>
      <c r="D275" s="271">
        <v>2015</v>
      </c>
      <c r="E275" s="275">
        <v>1</v>
      </c>
      <c r="F275" s="275">
        <v>1</v>
      </c>
      <c r="G275" s="73">
        <f t="shared" ref="G275:G295" si="12">F275-E275</f>
        <v>0</v>
      </c>
      <c r="H275" s="82">
        <v>14280863</v>
      </c>
      <c r="I275" s="82">
        <v>14280863</v>
      </c>
      <c r="J275" s="82" t="s">
        <v>1454</v>
      </c>
      <c r="K275" s="74" t="s">
        <v>1484</v>
      </c>
      <c r="L275" s="271" t="s">
        <v>641</v>
      </c>
      <c r="M275" s="271"/>
      <c r="N275" s="271" t="s">
        <v>1578</v>
      </c>
    </row>
    <row r="276" spans="1:14" s="75" customFormat="1" ht="25.5">
      <c r="A276" s="271">
        <v>3</v>
      </c>
      <c r="B276" s="72" t="s">
        <v>1581</v>
      </c>
      <c r="C276" s="271" t="s">
        <v>1582</v>
      </c>
      <c r="D276" s="271">
        <v>1997</v>
      </c>
      <c r="E276" s="271">
        <v>1</v>
      </c>
      <c r="F276" s="271">
        <v>1</v>
      </c>
      <c r="G276" s="73">
        <f t="shared" si="12"/>
        <v>0</v>
      </c>
      <c r="H276" s="76">
        <v>14049000</v>
      </c>
      <c r="I276" s="76">
        <v>14049000</v>
      </c>
      <c r="J276" s="74" t="s">
        <v>1423</v>
      </c>
      <c r="K276" s="273"/>
      <c r="L276" s="271" t="s">
        <v>641</v>
      </c>
      <c r="M276" s="271" t="s">
        <v>54</v>
      </c>
      <c r="N276" s="271" t="s">
        <v>1578</v>
      </c>
    </row>
    <row r="277" spans="1:14" s="75" customFormat="1" ht="25.5">
      <c r="A277" s="271">
        <v>4</v>
      </c>
      <c r="B277" s="74" t="s">
        <v>1583</v>
      </c>
      <c r="C277" s="271" t="s">
        <v>1584</v>
      </c>
      <c r="D277" s="271">
        <v>2009</v>
      </c>
      <c r="E277" s="271">
        <v>1</v>
      </c>
      <c r="F277" s="271">
        <v>1</v>
      </c>
      <c r="G277" s="73">
        <f t="shared" si="12"/>
        <v>0</v>
      </c>
      <c r="H277" s="76">
        <v>18666667</v>
      </c>
      <c r="I277" s="76">
        <v>18666667</v>
      </c>
      <c r="J277" s="74" t="s">
        <v>1585</v>
      </c>
      <c r="K277" s="273"/>
      <c r="L277" s="271" t="s">
        <v>1586</v>
      </c>
      <c r="M277" s="271" t="s">
        <v>54</v>
      </c>
      <c r="N277" s="271" t="s">
        <v>1587</v>
      </c>
    </row>
    <row r="278" spans="1:14" s="75" customFormat="1" ht="127.5">
      <c r="A278" s="271">
        <v>5</v>
      </c>
      <c r="B278" s="72" t="s">
        <v>1588</v>
      </c>
      <c r="C278" s="271" t="s">
        <v>1589</v>
      </c>
      <c r="D278" s="271">
        <v>2016</v>
      </c>
      <c r="E278" s="271">
        <v>1</v>
      </c>
      <c r="F278" s="271">
        <v>1</v>
      </c>
      <c r="G278" s="73">
        <f t="shared" si="12"/>
        <v>0</v>
      </c>
      <c r="H278" s="76">
        <v>1286000000</v>
      </c>
      <c r="I278" s="76">
        <v>1286000000</v>
      </c>
      <c r="J278" s="72" t="s">
        <v>1332</v>
      </c>
      <c r="K278" s="273"/>
      <c r="L278" s="271" t="s">
        <v>641</v>
      </c>
      <c r="M278" s="271" t="s">
        <v>54</v>
      </c>
      <c r="N278" s="271" t="s">
        <v>1578</v>
      </c>
    </row>
    <row r="279" spans="1:14" s="75" customFormat="1" ht="51">
      <c r="A279" s="271">
        <v>6</v>
      </c>
      <c r="B279" s="72" t="s">
        <v>1590</v>
      </c>
      <c r="C279" s="271" t="s">
        <v>1591</v>
      </c>
      <c r="D279" s="79">
        <v>2010</v>
      </c>
      <c r="E279" s="271">
        <v>1</v>
      </c>
      <c r="F279" s="271">
        <v>1</v>
      </c>
      <c r="G279" s="73">
        <f t="shared" si="12"/>
        <v>0</v>
      </c>
      <c r="H279" s="76">
        <v>1043749980</v>
      </c>
      <c r="I279" s="76">
        <v>1043749980</v>
      </c>
      <c r="J279" s="72" t="s">
        <v>1385</v>
      </c>
      <c r="K279" s="273"/>
      <c r="L279" s="271" t="s">
        <v>641</v>
      </c>
      <c r="M279" s="271" t="s">
        <v>54</v>
      </c>
      <c r="N279" s="271" t="s">
        <v>1578</v>
      </c>
    </row>
    <row r="280" spans="1:14" s="75" customFormat="1" ht="102">
      <c r="A280" s="271">
        <v>7</v>
      </c>
      <c r="B280" s="81" t="s">
        <v>2811</v>
      </c>
      <c r="C280" s="271" t="s">
        <v>1592</v>
      </c>
      <c r="D280" s="271">
        <v>2017</v>
      </c>
      <c r="E280" s="271">
        <v>1</v>
      </c>
      <c r="F280" s="271">
        <v>1</v>
      </c>
      <c r="G280" s="73">
        <f t="shared" si="12"/>
        <v>0</v>
      </c>
      <c r="H280" s="76">
        <v>2275000000</v>
      </c>
      <c r="I280" s="76">
        <v>2275000000</v>
      </c>
      <c r="J280" s="72" t="s">
        <v>1304</v>
      </c>
      <c r="K280" s="273"/>
      <c r="L280" s="271" t="s">
        <v>95</v>
      </c>
      <c r="M280" s="271" t="s">
        <v>54</v>
      </c>
      <c r="N280" s="271" t="s">
        <v>158</v>
      </c>
    </row>
    <row r="281" spans="1:14" s="75" customFormat="1" ht="38.25">
      <c r="A281" s="271">
        <v>8</v>
      </c>
      <c r="B281" s="74" t="s">
        <v>1593</v>
      </c>
      <c r="C281" s="271" t="s">
        <v>1594</v>
      </c>
      <c r="D281" s="271">
        <v>2017</v>
      </c>
      <c r="E281" s="275">
        <v>1</v>
      </c>
      <c r="F281" s="275">
        <v>1</v>
      </c>
      <c r="G281" s="73">
        <f t="shared" si="12"/>
        <v>0</v>
      </c>
      <c r="H281" s="76">
        <v>978874000</v>
      </c>
      <c r="I281" s="76">
        <v>978874000</v>
      </c>
      <c r="J281" s="74" t="s">
        <v>1293</v>
      </c>
      <c r="K281" s="273"/>
      <c r="L281" s="271" t="s">
        <v>232</v>
      </c>
      <c r="M281" s="271" t="s">
        <v>1272</v>
      </c>
      <c r="N281" s="271" t="s">
        <v>1578</v>
      </c>
    </row>
    <row r="282" spans="1:14" s="75" customFormat="1" ht="25.5">
      <c r="A282" s="271">
        <v>9</v>
      </c>
      <c r="B282" s="74" t="s">
        <v>1595</v>
      </c>
      <c r="C282" s="271" t="s">
        <v>1596</v>
      </c>
      <c r="D282" s="271">
        <v>2017</v>
      </c>
      <c r="E282" s="271">
        <v>1</v>
      </c>
      <c r="F282" s="271">
        <v>1</v>
      </c>
      <c r="G282" s="73">
        <f t="shared" si="12"/>
        <v>0</v>
      </c>
      <c r="H282" s="275"/>
      <c r="I282" s="275"/>
      <c r="J282" s="271"/>
      <c r="K282" s="271" t="s">
        <v>1597</v>
      </c>
      <c r="L282" s="271" t="s">
        <v>641</v>
      </c>
      <c r="M282" s="271" t="s">
        <v>19</v>
      </c>
      <c r="N282" s="271" t="s">
        <v>1578</v>
      </c>
    </row>
    <row r="283" spans="1:14" s="75" customFormat="1" ht="25.5">
      <c r="A283" s="271">
        <v>10</v>
      </c>
      <c r="B283" s="74" t="s">
        <v>1598</v>
      </c>
      <c r="C283" s="271" t="s">
        <v>1599</v>
      </c>
      <c r="D283" s="271">
        <v>2017</v>
      </c>
      <c r="E283" s="271">
        <v>1</v>
      </c>
      <c r="F283" s="271">
        <v>1</v>
      </c>
      <c r="G283" s="73">
        <f t="shared" si="12"/>
        <v>0</v>
      </c>
      <c r="H283" s="275"/>
      <c r="I283" s="275"/>
      <c r="J283" s="271"/>
      <c r="K283" s="271" t="s">
        <v>1597</v>
      </c>
      <c r="L283" s="271" t="s">
        <v>641</v>
      </c>
      <c r="M283" s="271" t="s">
        <v>19</v>
      </c>
      <c r="N283" s="271" t="s">
        <v>1578</v>
      </c>
    </row>
    <row r="284" spans="1:14" s="75" customFormat="1" ht="25.5">
      <c r="A284" s="271">
        <v>11</v>
      </c>
      <c r="B284" s="74" t="s">
        <v>1600</v>
      </c>
      <c r="C284" s="271" t="s">
        <v>1601</v>
      </c>
      <c r="D284" s="271">
        <v>1998</v>
      </c>
      <c r="E284" s="271">
        <v>1</v>
      </c>
      <c r="F284" s="271">
        <v>1</v>
      </c>
      <c r="G284" s="73">
        <f t="shared" si="12"/>
        <v>0</v>
      </c>
      <c r="H284" s="275"/>
      <c r="I284" s="275"/>
      <c r="J284" s="271"/>
      <c r="K284" s="271" t="s">
        <v>1597</v>
      </c>
      <c r="L284" s="271" t="s">
        <v>641</v>
      </c>
      <c r="M284" s="271" t="s">
        <v>19</v>
      </c>
      <c r="N284" s="271" t="s">
        <v>1578</v>
      </c>
    </row>
    <row r="285" spans="1:14" s="75" customFormat="1" ht="76.5">
      <c r="A285" s="271">
        <v>12</v>
      </c>
      <c r="B285" s="74" t="s">
        <v>1602</v>
      </c>
      <c r="C285" s="271" t="s">
        <v>1603</v>
      </c>
      <c r="D285" s="271">
        <v>2015</v>
      </c>
      <c r="E285" s="271">
        <v>1</v>
      </c>
      <c r="F285" s="275">
        <v>1</v>
      </c>
      <c r="G285" s="73">
        <f>F285-E285</f>
        <v>0</v>
      </c>
      <c r="H285" s="272"/>
      <c r="I285" s="272"/>
      <c r="J285" s="271" t="s">
        <v>1294</v>
      </c>
      <c r="K285" s="271" t="s">
        <v>1597</v>
      </c>
      <c r="L285" s="271" t="s">
        <v>641</v>
      </c>
      <c r="M285" s="271" t="s">
        <v>1604</v>
      </c>
      <c r="N285" s="271" t="s">
        <v>1578</v>
      </c>
    </row>
    <row r="286" spans="1:14" s="75" customFormat="1" ht="51">
      <c r="A286" s="271">
        <v>13</v>
      </c>
      <c r="B286" s="74" t="s">
        <v>1605</v>
      </c>
      <c r="C286" s="271" t="s">
        <v>1606</v>
      </c>
      <c r="D286" s="271">
        <v>2013</v>
      </c>
      <c r="E286" s="271">
        <v>1</v>
      </c>
      <c r="F286" s="275">
        <v>1</v>
      </c>
      <c r="G286" s="73">
        <f t="shared" si="12"/>
        <v>0</v>
      </c>
      <c r="H286" s="76">
        <v>22507875</v>
      </c>
      <c r="I286" s="76">
        <v>22507875</v>
      </c>
      <c r="J286" s="74"/>
      <c r="K286" s="271" t="s">
        <v>1597</v>
      </c>
      <c r="L286" s="271" t="s">
        <v>641</v>
      </c>
      <c r="M286" s="271" t="s">
        <v>1607</v>
      </c>
      <c r="N286" s="271" t="s">
        <v>1578</v>
      </c>
    </row>
    <row r="287" spans="1:14" s="75" customFormat="1" ht="25.5">
      <c r="A287" s="271">
        <v>14</v>
      </c>
      <c r="B287" s="74" t="s">
        <v>298</v>
      </c>
      <c r="C287" s="271" t="s">
        <v>1608</v>
      </c>
      <c r="D287" s="271"/>
      <c r="E287" s="271">
        <v>1</v>
      </c>
      <c r="F287" s="271">
        <v>1</v>
      </c>
      <c r="G287" s="73">
        <f t="shared" si="12"/>
        <v>0</v>
      </c>
      <c r="H287" s="100">
        <v>1620000</v>
      </c>
      <c r="I287" s="100">
        <v>1620000</v>
      </c>
      <c r="J287" s="271"/>
      <c r="K287" s="271" t="s">
        <v>1597</v>
      </c>
      <c r="L287" s="271" t="s">
        <v>641</v>
      </c>
      <c r="M287" s="271" t="s">
        <v>19</v>
      </c>
      <c r="N287" s="271"/>
    </row>
    <row r="288" spans="1:14" s="75" customFormat="1" ht="25.5">
      <c r="A288" s="271">
        <v>15</v>
      </c>
      <c r="B288" s="74" t="s">
        <v>1609</v>
      </c>
      <c r="C288" s="271" t="s">
        <v>1610</v>
      </c>
      <c r="D288" s="271"/>
      <c r="E288" s="271">
        <v>1</v>
      </c>
      <c r="F288" s="271">
        <v>1</v>
      </c>
      <c r="G288" s="73">
        <f t="shared" si="12"/>
        <v>0</v>
      </c>
      <c r="H288" s="76">
        <v>35132195</v>
      </c>
      <c r="I288" s="76">
        <v>35132195</v>
      </c>
      <c r="J288" s="271"/>
      <c r="K288" s="271" t="s">
        <v>1597</v>
      </c>
      <c r="L288" s="271" t="s">
        <v>641</v>
      </c>
      <c r="M288" s="271" t="s">
        <v>19</v>
      </c>
      <c r="N288" s="271" t="s">
        <v>1578</v>
      </c>
    </row>
    <row r="289" spans="1:14" s="75" customFormat="1" ht="25.5">
      <c r="A289" s="271">
        <v>16</v>
      </c>
      <c r="B289" s="74" t="s">
        <v>1611</v>
      </c>
      <c r="C289" s="271" t="s">
        <v>1612</v>
      </c>
      <c r="D289" s="271"/>
      <c r="E289" s="271">
        <v>1</v>
      </c>
      <c r="F289" s="271">
        <v>1</v>
      </c>
      <c r="G289" s="73">
        <f t="shared" si="12"/>
        <v>0</v>
      </c>
      <c r="H289" s="82">
        <v>29800000</v>
      </c>
      <c r="I289" s="82">
        <v>29800000</v>
      </c>
      <c r="J289" s="271"/>
      <c r="K289" s="271" t="s">
        <v>1597</v>
      </c>
      <c r="L289" s="271" t="s">
        <v>641</v>
      </c>
      <c r="M289" s="271" t="s">
        <v>19</v>
      </c>
      <c r="N289" s="271" t="s">
        <v>1578</v>
      </c>
    </row>
    <row r="290" spans="1:14" s="75" customFormat="1" ht="63.75">
      <c r="A290" s="271">
        <v>17</v>
      </c>
      <c r="B290" s="74" t="s">
        <v>1613</v>
      </c>
      <c r="C290" s="271" t="s">
        <v>1614</v>
      </c>
      <c r="D290" s="271">
        <v>2020</v>
      </c>
      <c r="E290" s="271">
        <v>1</v>
      </c>
      <c r="F290" s="271">
        <v>1</v>
      </c>
      <c r="G290" s="73">
        <f t="shared" si="12"/>
        <v>0</v>
      </c>
      <c r="H290" s="82">
        <v>356900000</v>
      </c>
      <c r="I290" s="82">
        <v>356900000</v>
      </c>
      <c r="J290" s="271" t="s">
        <v>127</v>
      </c>
      <c r="K290" s="271" t="s">
        <v>1615</v>
      </c>
      <c r="L290" s="271" t="s">
        <v>641</v>
      </c>
      <c r="M290" s="271" t="s">
        <v>19</v>
      </c>
      <c r="N290" s="271" t="s">
        <v>1578</v>
      </c>
    </row>
    <row r="291" spans="1:14" s="75" customFormat="1" ht="51">
      <c r="A291" s="271">
        <v>18</v>
      </c>
      <c r="B291" s="72" t="s">
        <v>1616</v>
      </c>
      <c r="C291" s="271" t="s">
        <v>1617</v>
      </c>
      <c r="D291" s="271">
        <v>2011</v>
      </c>
      <c r="E291" s="271">
        <v>1</v>
      </c>
      <c r="F291" s="271">
        <v>1</v>
      </c>
      <c r="G291" s="73">
        <f t="shared" si="12"/>
        <v>0</v>
      </c>
      <c r="H291" s="76">
        <v>14000000</v>
      </c>
      <c r="I291" s="76">
        <v>14000000</v>
      </c>
      <c r="J291" s="72"/>
      <c r="K291" s="273"/>
      <c r="L291" s="271" t="s">
        <v>641</v>
      </c>
      <c r="M291" s="271" t="s">
        <v>54</v>
      </c>
      <c r="N291" s="271" t="s">
        <v>1618</v>
      </c>
    </row>
    <row r="292" spans="1:14" s="75" customFormat="1" ht="12.75">
      <c r="A292" s="271">
        <v>19</v>
      </c>
      <c r="B292" s="72" t="s">
        <v>1619</v>
      </c>
      <c r="C292" s="271" t="s">
        <v>1620</v>
      </c>
      <c r="D292" s="110"/>
      <c r="E292" s="110"/>
      <c r="F292" s="271">
        <v>2</v>
      </c>
      <c r="G292" s="73">
        <f t="shared" si="12"/>
        <v>2</v>
      </c>
      <c r="H292" s="110"/>
      <c r="I292" s="110"/>
      <c r="J292" s="110"/>
      <c r="K292" s="110"/>
      <c r="L292" s="271"/>
      <c r="M292" s="273"/>
      <c r="N292" s="271"/>
    </row>
    <row r="293" spans="1:14" s="75" customFormat="1" ht="38.25">
      <c r="A293" s="271">
        <v>20</v>
      </c>
      <c r="B293" s="81" t="s">
        <v>1071</v>
      </c>
      <c r="C293" s="271" t="s">
        <v>1621</v>
      </c>
      <c r="D293" s="271">
        <v>2012</v>
      </c>
      <c r="E293" s="271">
        <v>1</v>
      </c>
      <c r="F293" s="271">
        <v>1</v>
      </c>
      <c r="G293" s="73">
        <f>F293-E293</f>
        <v>0</v>
      </c>
      <c r="H293" s="88">
        <f>86493475/5</f>
        <v>17298695</v>
      </c>
      <c r="I293" s="88">
        <f>86493475/5</f>
        <v>17298695</v>
      </c>
      <c r="J293" s="72" t="s">
        <v>1073</v>
      </c>
      <c r="K293" s="273"/>
      <c r="L293" s="271" t="s">
        <v>641</v>
      </c>
      <c r="M293" s="271" t="s">
        <v>54</v>
      </c>
      <c r="N293" s="271" t="s">
        <v>1622</v>
      </c>
    </row>
    <row r="294" spans="1:14" s="75" customFormat="1" ht="51">
      <c r="A294" s="271">
        <v>21</v>
      </c>
      <c r="B294" s="74" t="s">
        <v>1434</v>
      </c>
      <c r="C294" s="271" t="s">
        <v>1435</v>
      </c>
      <c r="D294" s="271">
        <v>2020</v>
      </c>
      <c r="E294" s="271">
        <v>1</v>
      </c>
      <c r="F294" s="271">
        <v>1</v>
      </c>
      <c r="G294" s="73">
        <f t="shared" si="12"/>
        <v>0</v>
      </c>
      <c r="H294" s="85">
        <v>20500000</v>
      </c>
      <c r="I294" s="85">
        <v>20500000</v>
      </c>
      <c r="J294" s="74" t="s">
        <v>1436</v>
      </c>
      <c r="K294" s="74"/>
      <c r="L294" s="271" t="s">
        <v>641</v>
      </c>
      <c r="M294" s="271" t="s">
        <v>54</v>
      </c>
      <c r="N294" s="271" t="s">
        <v>1623</v>
      </c>
    </row>
    <row r="295" spans="1:14" s="83" customFormat="1" ht="140.25">
      <c r="A295" s="271">
        <v>22</v>
      </c>
      <c r="B295" s="72" t="s">
        <v>1624</v>
      </c>
      <c r="C295" s="271" t="s">
        <v>1625</v>
      </c>
      <c r="D295" s="271"/>
      <c r="E295" s="271">
        <v>0</v>
      </c>
      <c r="F295" s="271">
        <v>1</v>
      </c>
      <c r="G295" s="73">
        <f t="shared" si="12"/>
        <v>1</v>
      </c>
      <c r="H295" s="72"/>
      <c r="I295" s="72"/>
      <c r="J295" s="271" t="s">
        <v>980</v>
      </c>
      <c r="K295" s="271" t="s">
        <v>1626</v>
      </c>
      <c r="L295" s="72" t="s">
        <v>232</v>
      </c>
      <c r="M295" s="271" t="s">
        <v>1627</v>
      </c>
      <c r="N295" s="271" t="s">
        <v>1628</v>
      </c>
    </row>
    <row r="296" spans="1:14" s="83" customFormat="1" ht="20.100000000000001" customHeight="1">
      <c r="A296" s="91"/>
      <c r="B296" s="492" t="s">
        <v>1629</v>
      </c>
      <c r="C296" s="493"/>
      <c r="D296" s="493"/>
      <c r="E296" s="493"/>
      <c r="F296" s="493"/>
      <c r="G296" s="493"/>
      <c r="H296" s="493"/>
      <c r="I296" s="493"/>
      <c r="J296" s="493"/>
      <c r="K296" s="493"/>
      <c r="L296" s="493"/>
      <c r="M296" s="493"/>
      <c r="N296" s="494"/>
    </row>
    <row r="297" spans="1:14" s="83" customFormat="1" ht="51">
      <c r="A297" s="91">
        <v>1</v>
      </c>
      <c r="B297" s="72" t="s">
        <v>1630</v>
      </c>
      <c r="C297" s="271" t="s">
        <v>1631</v>
      </c>
      <c r="D297" s="271">
        <v>2015</v>
      </c>
      <c r="E297" s="275">
        <v>2</v>
      </c>
      <c r="F297" s="275">
        <v>2</v>
      </c>
      <c r="G297" s="73">
        <f>F297-E297</f>
        <v>0</v>
      </c>
      <c r="H297" s="272"/>
      <c r="I297" s="272"/>
      <c r="J297" s="271" t="s">
        <v>1423</v>
      </c>
      <c r="K297" s="271" t="s">
        <v>1294</v>
      </c>
      <c r="L297" s="271" t="s">
        <v>641</v>
      </c>
      <c r="M297" s="271" t="s">
        <v>54</v>
      </c>
      <c r="N297" s="271" t="s">
        <v>1632</v>
      </c>
    </row>
    <row r="298" spans="1:14" s="83" customFormat="1" ht="25.5">
      <c r="A298" s="91">
        <v>2</v>
      </c>
      <c r="B298" s="74" t="s">
        <v>1633</v>
      </c>
      <c r="C298" s="271" t="s">
        <v>1634</v>
      </c>
      <c r="D298" s="271"/>
      <c r="E298" s="271">
        <v>1</v>
      </c>
      <c r="F298" s="271">
        <v>1</v>
      </c>
      <c r="G298" s="73">
        <f t="shared" ref="G298:G314" si="13">F298-E298</f>
        <v>0</v>
      </c>
      <c r="H298" s="275"/>
      <c r="I298" s="275"/>
      <c r="J298" s="271"/>
      <c r="K298" s="271"/>
      <c r="L298" s="271" t="s">
        <v>232</v>
      </c>
      <c r="M298" s="271"/>
      <c r="N298" s="271" t="s">
        <v>1578</v>
      </c>
    </row>
    <row r="299" spans="1:14" s="83" customFormat="1" ht="25.5">
      <c r="A299" s="91">
        <v>3</v>
      </c>
      <c r="B299" s="74" t="s">
        <v>1635</v>
      </c>
      <c r="C299" s="271" t="s">
        <v>1636</v>
      </c>
      <c r="D299" s="271"/>
      <c r="E299" s="271">
        <v>2</v>
      </c>
      <c r="F299" s="271">
        <v>2</v>
      </c>
      <c r="G299" s="73">
        <f t="shared" si="13"/>
        <v>0</v>
      </c>
      <c r="H299" s="275"/>
      <c r="I299" s="275"/>
      <c r="J299" s="271"/>
      <c r="K299" s="271"/>
      <c r="L299" s="271" t="s">
        <v>641</v>
      </c>
      <c r="M299" s="271"/>
      <c r="N299" s="271" t="s">
        <v>1637</v>
      </c>
    </row>
    <row r="300" spans="1:14" s="83" customFormat="1" ht="25.5">
      <c r="A300" s="91">
        <v>4</v>
      </c>
      <c r="B300" s="72" t="s">
        <v>1573</v>
      </c>
      <c r="C300" s="271" t="s">
        <v>1638</v>
      </c>
      <c r="D300" s="110"/>
      <c r="E300" s="271">
        <v>2</v>
      </c>
      <c r="F300" s="271">
        <v>2</v>
      </c>
      <c r="G300" s="73">
        <f t="shared" si="13"/>
        <v>0</v>
      </c>
      <c r="H300" s="110"/>
      <c r="I300" s="110"/>
      <c r="J300" s="110"/>
      <c r="K300" s="110"/>
      <c r="L300" s="271" t="s">
        <v>641</v>
      </c>
      <c r="M300" s="273"/>
      <c r="N300" s="271" t="s">
        <v>1578</v>
      </c>
    </row>
    <row r="301" spans="1:14" s="83" customFormat="1" ht="25.5">
      <c r="A301" s="91">
        <v>5</v>
      </c>
      <c r="B301" s="72" t="s">
        <v>1252</v>
      </c>
      <c r="C301" s="271" t="s">
        <v>1639</v>
      </c>
      <c r="D301" s="110"/>
      <c r="E301" s="271">
        <v>4</v>
      </c>
      <c r="F301" s="271">
        <v>4</v>
      </c>
      <c r="G301" s="73">
        <f t="shared" si="13"/>
        <v>0</v>
      </c>
      <c r="H301" s="110"/>
      <c r="I301" s="110"/>
      <c r="J301" s="110"/>
      <c r="K301" s="110"/>
      <c r="L301" s="271" t="s">
        <v>641</v>
      </c>
      <c r="M301" s="273"/>
      <c r="N301" s="271" t="s">
        <v>1578</v>
      </c>
    </row>
    <row r="302" spans="1:14" s="83" customFormat="1" ht="25.5">
      <c r="A302" s="91">
        <v>6</v>
      </c>
      <c r="B302" s="72" t="s">
        <v>1276</v>
      </c>
      <c r="C302" s="271" t="s">
        <v>1640</v>
      </c>
      <c r="D302" s="110"/>
      <c r="E302" s="271">
        <v>16</v>
      </c>
      <c r="F302" s="271">
        <v>16</v>
      </c>
      <c r="G302" s="73">
        <f t="shared" si="13"/>
        <v>0</v>
      </c>
      <c r="H302" s="110"/>
      <c r="I302" s="110"/>
      <c r="J302" s="110"/>
      <c r="K302" s="110"/>
      <c r="L302" s="271" t="s">
        <v>641</v>
      </c>
      <c r="M302" s="273"/>
      <c r="N302" s="271" t="s">
        <v>1578</v>
      </c>
    </row>
    <row r="303" spans="1:14" s="83" customFormat="1" ht="25.5">
      <c r="A303" s="91">
        <v>7</v>
      </c>
      <c r="B303" s="74" t="s">
        <v>1641</v>
      </c>
      <c r="C303" s="271" t="s">
        <v>1642</v>
      </c>
      <c r="D303" s="271"/>
      <c r="E303" s="271">
        <v>3</v>
      </c>
      <c r="F303" s="271">
        <v>3</v>
      </c>
      <c r="G303" s="73">
        <f t="shared" si="13"/>
        <v>0</v>
      </c>
      <c r="H303" s="275"/>
      <c r="I303" s="275"/>
      <c r="J303" s="271"/>
      <c r="K303" s="271" t="s">
        <v>1597</v>
      </c>
      <c r="L303" s="271" t="s">
        <v>641</v>
      </c>
      <c r="M303" s="271" t="s">
        <v>19</v>
      </c>
      <c r="N303" s="271" t="s">
        <v>1578</v>
      </c>
    </row>
    <row r="304" spans="1:14" s="83" customFormat="1" ht="25.5">
      <c r="A304" s="91">
        <v>8</v>
      </c>
      <c r="B304" s="74" t="s">
        <v>1643</v>
      </c>
      <c r="C304" s="271" t="s">
        <v>1644</v>
      </c>
      <c r="D304" s="271"/>
      <c r="E304" s="271">
        <v>5</v>
      </c>
      <c r="F304" s="271">
        <v>5</v>
      </c>
      <c r="G304" s="73">
        <f t="shared" si="13"/>
        <v>0</v>
      </c>
      <c r="H304" s="275"/>
      <c r="I304" s="275"/>
      <c r="J304" s="271"/>
      <c r="K304" s="271" t="s">
        <v>1597</v>
      </c>
      <c r="L304" s="271" t="s">
        <v>641</v>
      </c>
      <c r="M304" s="271" t="s">
        <v>19</v>
      </c>
      <c r="N304" s="271" t="s">
        <v>1578</v>
      </c>
    </row>
    <row r="305" spans="1:14" s="83" customFormat="1" ht="25.5">
      <c r="A305" s="91">
        <v>9</v>
      </c>
      <c r="B305" s="74" t="s">
        <v>1645</v>
      </c>
      <c r="C305" s="271" t="s">
        <v>1646</v>
      </c>
      <c r="D305" s="271"/>
      <c r="E305" s="271">
        <v>3</v>
      </c>
      <c r="F305" s="271">
        <v>3</v>
      </c>
      <c r="G305" s="73">
        <f t="shared" si="13"/>
        <v>0</v>
      </c>
      <c r="H305" s="275"/>
      <c r="I305" s="275"/>
      <c r="J305" s="271"/>
      <c r="K305" s="271" t="s">
        <v>1597</v>
      </c>
      <c r="L305" s="271" t="s">
        <v>641</v>
      </c>
      <c r="M305" s="271" t="s">
        <v>19</v>
      </c>
      <c r="N305" s="271" t="s">
        <v>1647</v>
      </c>
    </row>
    <row r="306" spans="1:14" s="83" customFormat="1" ht="25.5">
      <c r="A306" s="91">
        <v>10</v>
      </c>
      <c r="B306" s="74" t="s">
        <v>1648</v>
      </c>
      <c r="C306" s="271" t="s">
        <v>1649</v>
      </c>
      <c r="D306" s="271"/>
      <c r="E306" s="271">
        <v>2</v>
      </c>
      <c r="F306" s="271">
        <v>2</v>
      </c>
      <c r="G306" s="73">
        <f t="shared" si="13"/>
        <v>0</v>
      </c>
      <c r="H306" s="275"/>
      <c r="I306" s="275"/>
      <c r="J306" s="271"/>
      <c r="K306" s="271" t="s">
        <v>1597</v>
      </c>
      <c r="L306" s="271" t="s">
        <v>641</v>
      </c>
      <c r="M306" s="271" t="s">
        <v>19</v>
      </c>
      <c r="N306" s="271" t="s">
        <v>1578</v>
      </c>
    </row>
    <row r="307" spans="1:14" s="83" customFormat="1" ht="25.5">
      <c r="A307" s="91">
        <v>11</v>
      </c>
      <c r="B307" s="74" t="s">
        <v>1650</v>
      </c>
      <c r="C307" s="271" t="s">
        <v>1651</v>
      </c>
      <c r="D307" s="271"/>
      <c r="E307" s="271">
        <v>3</v>
      </c>
      <c r="F307" s="271">
        <v>3</v>
      </c>
      <c r="G307" s="73">
        <f t="shared" si="13"/>
        <v>0</v>
      </c>
      <c r="H307" s="275"/>
      <c r="I307" s="275"/>
      <c r="J307" s="271"/>
      <c r="K307" s="271" t="s">
        <v>1597</v>
      </c>
      <c r="L307" s="271" t="s">
        <v>641</v>
      </c>
      <c r="M307" s="271" t="s">
        <v>19</v>
      </c>
      <c r="N307" s="271" t="s">
        <v>1578</v>
      </c>
    </row>
    <row r="308" spans="1:14" s="83" customFormat="1" ht="25.5">
      <c r="A308" s="91">
        <v>12</v>
      </c>
      <c r="B308" s="74" t="s">
        <v>1652</v>
      </c>
      <c r="C308" s="271" t="s">
        <v>1653</v>
      </c>
      <c r="D308" s="271"/>
      <c r="E308" s="271">
        <v>4</v>
      </c>
      <c r="F308" s="271">
        <v>4</v>
      </c>
      <c r="G308" s="73">
        <f t="shared" si="13"/>
        <v>0</v>
      </c>
      <c r="H308" s="275"/>
      <c r="I308" s="275"/>
      <c r="J308" s="271"/>
      <c r="K308" s="271" t="s">
        <v>1597</v>
      </c>
      <c r="L308" s="271" t="s">
        <v>641</v>
      </c>
      <c r="M308" s="271" t="s">
        <v>19</v>
      </c>
      <c r="N308" s="271" t="s">
        <v>1578</v>
      </c>
    </row>
    <row r="309" spans="1:14" s="83" customFormat="1" ht="25.5">
      <c r="A309" s="91">
        <v>13</v>
      </c>
      <c r="B309" s="74" t="s">
        <v>1654</v>
      </c>
      <c r="C309" s="271" t="s">
        <v>1655</v>
      </c>
      <c r="D309" s="271"/>
      <c r="E309" s="271">
        <v>2</v>
      </c>
      <c r="F309" s="271">
        <v>2</v>
      </c>
      <c r="G309" s="73">
        <f t="shared" si="13"/>
        <v>0</v>
      </c>
      <c r="H309" s="275"/>
      <c r="I309" s="275"/>
      <c r="J309" s="271"/>
      <c r="K309" s="271" t="s">
        <v>1597</v>
      </c>
      <c r="L309" s="271" t="s">
        <v>641</v>
      </c>
      <c r="M309" s="271" t="s">
        <v>19</v>
      </c>
      <c r="N309" s="271" t="s">
        <v>1578</v>
      </c>
    </row>
    <row r="310" spans="1:14" s="83" customFormat="1" ht="25.5">
      <c r="A310" s="91">
        <v>14</v>
      </c>
      <c r="B310" s="74" t="s">
        <v>1656</v>
      </c>
      <c r="C310" s="271" t="s">
        <v>1657</v>
      </c>
      <c r="D310" s="271"/>
      <c r="E310" s="271">
        <v>2</v>
      </c>
      <c r="F310" s="271">
        <v>2</v>
      </c>
      <c r="G310" s="73">
        <f t="shared" si="13"/>
        <v>0</v>
      </c>
      <c r="H310" s="275"/>
      <c r="I310" s="275"/>
      <c r="J310" s="271"/>
      <c r="K310" s="271" t="s">
        <v>1597</v>
      </c>
      <c r="L310" s="271" t="s">
        <v>641</v>
      </c>
      <c r="M310" s="271" t="s">
        <v>19</v>
      </c>
      <c r="N310" s="271" t="s">
        <v>1578</v>
      </c>
    </row>
    <row r="311" spans="1:14" s="83" customFormat="1" ht="25.5">
      <c r="A311" s="91">
        <v>15</v>
      </c>
      <c r="B311" s="74" t="s">
        <v>1658</v>
      </c>
      <c r="C311" s="271" t="s">
        <v>1659</v>
      </c>
      <c r="D311" s="271"/>
      <c r="E311" s="271">
        <v>2</v>
      </c>
      <c r="F311" s="271">
        <v>2</v>
      </c>
      <c r="G311" s="73">
        <f t="shared" si="13"/>
        <v>0</v>
      </c>
      <c r="H311" s="275"/>
      <c r="I311" s="275"/>
      <c r="J311" s="271"/>
      <c r="K311" s="271" t="s">
        <v>1597</v>
      </c>
      <c r="L311" s="271" t="s">
        <v>641</v>
      </c>
      <c r="M311" s="271" t="s">
        <v>19</v>
      </c>
      <c r="N311" s="271" t="s">
        <v>1578</v>
      </c>
    </row>
    <row r="312" spans="1:14" s="83" customFormat="1" ht="25.5">
      <c r="A312" s="91">
        <v>16</v>
      </c>
      <c r="B312" s="74" t="s">
        <v>1660</v>
      </c>
      <c r="C312" s="271" t="s">
        <v>1661</v>
      </c>
      <c r="D312" s="271"/>
      <c r="E312" s="271">
        <v>1</v>
      </c>
      <c r="F312" s="271">
        <v>1</v>
      </c>
      <c r="G312" s="73">
        <f t="shared" si="13"/>
        <v>0</v>
      </c>
      <c r="H312" s="275"/>
      <c r="I312" s="275"/>
      <c r="J312" s="271"/>
      <c r="K312" s="271" t="s">
        <v>1597</v>
      </c>
      <c r="L312" s="271" t="s">
        <v>641</v>
      </c>
      <c r="M312" s="271" t="s">
        <v>19</v>
      </c>
      <c r="N312" s="271" t="s">
        <v>1578</v>
      </c>
    </row>
    <row r="313" spans="1:14" s="83" customFormat="1" ht="25.5">
      <c r="A313" s="91">
        <v>17</v>
      </c>
      <c r="B313" s="74" t="s">
        <v>1662</v>
      </c>
      <c r="C313" s="271" t="s">
        <v>1663</v>
      </c>
      <c r="D313" s="271"/>
      <c r="E313" s="271">
        <v>1</v>
      </c>
      <c r="F313" s="271">
        <v>1</v>
      </c>
      <c r="G313" s="73">
        <f t="shared" si="13"/>
        <v>0</v>
      </c>
      <c r="H313" s="275"/>
      <c r="I313" s="275"/>
      <c r="J313" s="271"/>
      <c r="K313" s="271" t="s">
        <v>1597</v>
      </c>
      <c r="L313" s="271" t="s">
        <v>641</v>
      </c>
      <c r="M313" s="271" t="s">
        <v>19</v>
      </c>
      <c r="N313" s="271" t="s">
        <v>1578</v>
      </c>
    </row>
    <row r="314" spans="1:14" s="83" customFormat="1" ht="89.25">
      <c r="A314" s="91">
        <v>18</v>
      </c>
      <c r="B314" s="95" t="s">
        <v>1664</v>
      </c>
      <c r="C314" s="271" t="s">
        <v>1665</v>
      </c>
      <c r="D314" s="271"/>
      <c r="E314" s="275">
        <v>2</v>
      </c>
      <c r="F314" s="275">
        <v>2</v>
      </c>
      <c r="G314" s="73">
        <f t="shared" si="13"/>
        <v>0</v>
      </c>
      <c r="H314" s="85">
        <v>427700</v>
      </c>
      <c r="I314" s="85">
        <v>855400</v>
      </c>
      <c r="J314" s="275" t="s">
        <v>1666</v>
      </c>
      <c r="K314" s="273"/>
      <c r="L314" s="273"/>
      <c r="M314" s="271" t="s">
        <v>54</v>
      </c>
      <c r="N314" s="271" t="s">
        <v>1667</v>
      </c>
    </row>
    <row r="315" spans="1:14" s="83" customFormat="1" ht="20.100000000000001" customHeight="1">
      <c r="A315" s="91"/>
      <c r="B315" s="490" t="s">
        <v>1668</v>
      </c>
      <c r="C315" s="490"/>
      <c r="D315" s="490"/>
      <c r="E315" s="490"/>
      <c r="F315" s="490"/>
      <c r="G315" s="490"/>
      <c r="H315" s="490"/>
      <c r="I315" s="490"/>
      <c r="J315" s="490"/>
      <c r="K315" s="490"/>
      <c r="L315" s="490"/>
      <c r="M315" s="490"/>
      <c r="N315" s="490"/>
    </row>
    <row r="316" spans="1:14" s="83" customFormat="1" ht="25.5">
      <c r="A316" s="91">
        <v>1</v>
      </c>
      <c r="B316" s="74" t="s">
        <v>1669</v>
      </c>
      <c r="C316" s="271" t="s">
        <v>1670</v>
      </c>
      <c r="D316" s="271">
        <v>1998</v>
      </c>
      <c r="E316" s="275">
        <v>1</v>
      </c>
      <c r="F316" s="275">
        <v>1</v>
      </c>
      <c r="G316" s="73">
        <f>F316-E316</f>
        <v>0</v>
      </c>
      <c r="H316" s="82">
        <v>65806000</v>
      </c>
      <c r="I316" s="82">
        <v>65806000</v>
      </c>
      <c r="J316" s="74" t="s">
        <v>1293</v>
      </c>
      <c r="K316" s="273"/>
      <c r="L316" s="271" t="s">
        <v>641</v>
      </c>
      <c r="M316" s="271" t="s">
        <v>1272</v>
      </c>
      <c r="N316" s="271" t="s">
        <v>1671</v>
      </c>
    </row>
    <row r="317" spans="1:14" s="83" customFormat="1" ht="28.5">
      <c r="A317" s="91">
        <v>2</v>
      </c>
      <c r="B317" s="74" t="s">
        <v>1672</v>
      </c>
      <c r="C317" s="271" t="s">
        <v>1673</v>
      </c>
      <c r="D317" s="271">
        <v>2008</v>
      </c>
      <c r="E317" s="275">
        <v>1</v>
      </c>
      <c r="F317" s="275">
        <v>1</v>
      </c>
      <c r="G317" s="73">
        <f t="shared" ref="G317:G349" si="14">F317-E317</f>
        <v>0</v>
      </c>
      <c r="H317" s="82">
        <v>41800000</v>
      </c>
      <c r="I317" s="82">
        <v>41800000</v>
      </c>
      <c r="J317" s="74" t="s">
        <v>1293</v>
      </c>
      <c r="K317" s="273"/>
      <c r="L317" s="271" t="s">
        <v>641</v>
      </c>
      <c r="M317" s="271" t="s">
        <v>1272</v>
      </c>
      <c r="N317" s="271"/>
    </row>
    <row r="318" spans="1:14" s="83" customFormat="1" ht="28.5">
      <c r="A318" s="91">
        <v>3</v>
      </c>
      <c r="B318" s="72" t="s">
        <v>1674</v>
      </c>
      <c r="C318" s="271" t="s">
        <v>1675</v>
      </c>
      <c r="D318" s="271">
        <v>2008</v>
      </c>
      <c r="E318" s="275">
        <v>1</v>
      </c>
      <c r="F318" s="275">
        <v>1</v>
      </c>
      <c r="G318" s="73">
        <f t="shared" si="14"/>
        <v>0</v>
      </c>
      <c r="H318" s="82">
        <v>28850000</v>
      </c>
      <c r="I318" s="82">
        <v>28850000</v>
      </c>
      <c r="J318" s="74" t="s">
        <v>1293</v>
      </c>
      <c r="K318" s="273"/>
      <c r="L318" s="271" t="s">
        <v>641</v>
      </c>
      <c r="M318" s="271" t="s">
        <v>1272</v>
      </c>
      <c r="N318" s="271"/>
    </row>
    <row r="319" spans="1:14" s="83" customFormat="1" ht="25.5">
      <c r="A319" s="91">
        <v>4</v>
      </c>
      <c r="B319" s="74" t="s">
        <v>1676</v>
      </c>
      <c r="C319" s="271" t="s">
        <v>1677</v>
      </c>
      <c r="D319" s="271">
        <v>2008</v>
      </c>
      <c r="E319" s="275">
        <v>1</v>
      </c>
      <c r="F319" s="275">
        <v>1</v>
      </c>
      <c r="G319" s="73">
        <f t="shared" si="14"/>
        <v>0</v>
      </c>
      <c r="H319" s="76">
        <v>6000000</v>
      </c>
      <c r="I319" s="76">
        <v>6000000</v>
      </c>
      <c r="J319" s="74" t="s">
        <v>1293</v>
      </c>
      <c r="K319" s="273"/>
      <c r="L319" s="271" t="s">
        <v>641</v>
      </c>
      <c r="M319" s="271" t="s">
        <v>1272</v>
      </c>
      <c r="N319" s="271" t="s">
        <v>1678</v>
      </c>
    </row>
    <row r="320" spans="1:14" s="83" customFormat="1" ht="25.5">
      <c r="A320" s="91">
        <v>5</v>
      </c>
      <c r="B320" s="72" t="s">
        <v>1679</v>
      </c>
      <c r="C320" s="271" t="s">
        <v>1680</v>
      </c>
      <c r="D320" s="271">
        <v>2009</v>
      </c>
      <c r="E320" s="275">
        <v>1</v>
      </c>
      <c r="F320" s="275">
        <v>1</v>
      </c>
      <c r="G320" s="73">
        <f t="shared" si="14"/>
        <v>0</v>
      </c>
      <c r="H320" s="82">
        <v>7329337</v>
      </c>
      <c r="I320" s="82">
        <v>7329337</v>
      </c>
      <c r="J320" s="74" t="s">
        <v>1293</v>
      </c>
      <c r="K320" s="273"/>
      <c r="L320" s="271" t="s">
        <v>641</v>
      </c>
      <c r="M320" s="271" t="s">
        <v>1272</v>
      </c>
      <c r="N320" s="271"/>
    </row>
    <row r="321" spans="1:14" s="83" customFormat="1" ht="25.5">
      <c r="A321" s="91">
        <v>6</v>
      </c>
      <c r="B321" s="72" t="s">
        <v>1681</v>
      </c>
      <c r="C321" s="271" t="s">
        <v>1682</v>
      </c>
      <c r="D321" s="271">
        <v>2011</v>
      </c>
      <c r="E321" s="275">
        <v>1</v>
      </c>
      <c r="F321" s="275">
        <v>1</v>
      </c>
      <c r="G321" s="73">
        <f t="shared" si="14"/>
        <v>0</v>
      </c>
      <c r="H321" s="82">
        <v>48638000</v>
      </c>
      <c r="I321" s="82">
        <v>48638000</v>
      </c>
      <c r="J321" s="74" t="s">
        <v>1293</v>
      </c>
      <c r="K321" s="273"/>
      <c r="L321" s="271" t="s">
        <v>641</v>
      </c>
      <c r="M321" s="271" t="s">
        <v>1272</v>
      </c>
      <c r="N321" s="271"/>
    </row>
    <row r="322" spans="1:14" s="83" customFormat="1" ht="25.5">
      <c r="A322" s="91">
        <v>7</v>
      </c>
      <c r="B322" s="72" t="s">
        <v>1683</v>
      </c>
      <c r="C322" s="271"/>
      <c r="D322" s="271"/>
      <c r="E322" s="275"/>
      <c r="F322" s="275"/>
      <c r="G322" s="73"/>
      <c r="H322" s="76">
        <v>296660000</v>
      </c>
      <c r="I322" s="76">
        <v>296660000</v>
      </c>
      <c r="J322" s="74" t="s">
        <v>1293</v>
      </c>
      <c r="K322" s="273"/>
      <c r="L322" s="271" t="s">
        <v>641</v>
      </c>
      <c r="M322" s="271" t="s">
        <v>1272</v>
      </c>
      <c r="N322" s="271"/>
    </row>
    <row r="323" spans="1:14" s="83" customFormat="1" ht="25.5">
      <c r="A323" s="91">
        <v>8</v>
      </c>
      <c r="B323" s="72" t="s">
        <v>1684</v>
      </c>
      <c r="C323" s="271" t="s">
        <v>1685</v>
      </c>
      <c r="D323" s="271">
        <v>2012</v>
      </c>
      <c r="E323" s="275">
        <v>1</v>
      </c>
      <c r="F323" s="275">
        <v>1</v>
      </c>
      <c r="G323" s="73">
        <f t="shared" si="14"/>
        <v>0</v>
      </c>
      <c r="H323" s="272"/>
      <c r="I323" s="272"/>
      <c r="J323" s="74" t="s">
        <v>1293</v>
      </c>
      <c r="K323" s="273"/>
      <c r="L323" s="271" t="s">
        <v>641</v>
      </c>
      <c r="M323" s="271" t="s">
        <v>1272</v>
      </c>
      <c r="N323" s="271"/>
    </row>
    <row r="324" spans="1:14" s="83" customFormat="1" ht="25.5">
      <c r="A324" s="91">
        <v>9</v>
      </c>
      <c r="B324" s="72" t="s">
        <v>1686</v>
      </c>
      <c r="C324" s="271" t="s">
        <v>1687</v>
      </c>
      <c r="D324" s="271">
        <v>2012</v>
      </c>
      <c r="E324" s="275">
        <v>1</v>
      </c>
      <c r="F324" s="275">
        <v>1</v>
      </c>
      <c r="G324" s="73">
        <f t="shared" si="14"/>
        <v>0</v>
      </c>
      <c r="H324" s="272"/>
      <c r="I324" s="272"/>
      <c r="J324" s="74" t="s">
        <v>1293</v>
      </c>
      <c r="K324" s="273"/>
      <c r="L324" s="271" t="s">
        <v>641</v>
      </c>
      <c r="M324" s="271" t="s">
        <v>1272</v>
      </c>
      <c r="N324" s="271"/>
    </row>
    <row r="325" spans="1:14" s="83" customFormat="1" ht="25.5">
      <c r="A325" s="91">
        <v>10</v>
      </c>
      <c r="B325" s="72" t="s">
        <v>1688</v>
      </c>
      <c r="C325" s="271" t="s">
        <v>1689</v>
      </c>
      <c r="D325" s="271">
        <v>2012</v>
      </c>
      <c r="E325" s="275">
        <v>1</v>
      </c>
      <c r="F325" s="275">
        <v>1</v>
      </c>
      <c r="G325" s="73">
        <f t="shared" si="14"/>
        <v>0</v>
      </c>
      <c r="H325" s="272"/>
      <c r="I325" s="272"/>
      <c r="J325" s="74" t="s">
        <v>1293</v>
      </c>
      <c r="K325" s="273"/>
      <c r="L325" s="271" t="s">
        <v>641</v>
      </c>
      <c r="M325" s="271" t="s">
        <v>1272</v>
      </c>
      <c r="N325" s="271" t="s">
        <v>1690</v>
      </c>
    </row>
    <row r="326" spans="1:14" s="83" customFormat="1" ht="25.5">
      <c r="A326" s="91">
        <v>11</v>
      </c>
      <c r="B326" s="72" t="s">
        <v>1691</v>
      </c>
      <c r="C326" s="271" t="s">
        <v>1692</v>
      </c>
      <c r="D326" s="271">
        <v>2012</v>
      </c>
      <c r="E326" s="275">
        <v>1</v>
      </c>
      <c r="F326" s="275">
        <v>1</v>
      </c>
      <c r="G326" s="73">
        <f t="shared" si="14"/>
        <v>0</v>
      </c>
      <c r="H326" s="272"/>
      <c r="I326" s="272"/>
      <c r="J326" s="74" t="s">
        <v>1293</v>
      </c>
      <c r="K326" s="273"/>
      <c r="L326" s="271" t="s">
        <v>95</v>
      </c>
      <c r="M326" s="271" t="s">
        <v>1272</v>
      </c>
      <c r="N326" s="271"/>
    </row>
    <row r="327" spans="1:14" s="83" customFormat="1" ht="25.5">
      <c r="A327" s="91">
        <v>12</v>
      </c>
      <c r="B327" s="72" t="s">
        <v>1693</v>
      </c>
      <c r="C327" s="271" t="s">
        <v>1694</v>
      </c>
      <c r="D327" s="271">
        <v>2012</v>
      </c>
      <c r="E327" s="275">
        <v>1</v>
      </c>
      <c r="F327" s="275">
        <v>1</v>
      </c>
      <c r="G327" s="73">
        <f t="shared" si="14"/>
        <v>0</v>
      </c>
      <c r="H327" s="272"/>
      <c r="I327" s="272"/>
      <c r="J327" s="74" t="s">
        <v>1293</v>
      </c>
      <c r="K327" s="273"/>
      <c r="L327" s="271" t="s">
        <v>641</v>
      </c>
      <c r="M327" s="271" t="s">
        <v>1272</v>
      </c>
      <c r="N327" s="271" t="s">
        <v>1695</v>
      </c>
    </row>
    <row r="328" spans="1:14" s="83" customFormat="1" ht="25.5">
      <c r="A328" s="91">
        <v>13</v>
      </c>
      <c r="B328" s="72" t="s">
        <v>1696</v>
      </c>
      <c r="C328" s="271" t="s">
        <v>1697</v>
      </c>
      <c r="D328" s="271">
        <v>2015</v>
      </c>
      <c r="E328" s="273"/>
      <c r="F328" s="275">
        <v>1</v>
      </c>
      <c r="G328" s="73">
        <f t="shared" si="14"/>
        <v>1</v>
      </c>
      <c r="H328" s="76">
        <v>1751500000</v>
      </c>
      <c r="I328" s="76">
        <v>1751500000</v>
      </c>
      <c r="J328" s="74" t="s">
        <v>1293</v>
      </c>
      <c r="K328" s="273"/>
      <c r="L328" s="271" t="s">
        <v>641</v>
      </c>
      <c r="M328" s="271" t="s">
        <v>1272</v>
      </c>
      <c r="N328" s="271"/>
    </row>
    <row r="329" spans="1:14" s="83" customFormat="1" ht="25.5">
      <c r="A329" s="91">
        <v>14</v>
      </c>
      <c r="B329" s="72" t="s">
        <v>1698</v>
      </c>
      <c r="C329" s="271" t="s">
        <v>1699</v>
      </c>
      <c r="D329" s="271"/>
      <c r="E329" s="273"/>
      <c r="F329" s="271"/>
      <c r="G329" s="73"/>
      <c r="H329" s="76">
        <v>1678000000</v>
      </c>
      <c r="I329" s="76">
        <v>1678000000</v>
      </c>
      <c r="J329" s="74" t="s">
        <v>1293</v>
      </c>
      <c r="K329" s="273"/>
      <c r="L329" s="271" t="s">
        <v>95</v>
      </c>
      <c r="M329" s="271" t="s">
        <v>1272</v>
      </c>
      <c r="N329" s="271" t="s">
        <v>1284</v>
      </c>
    </row>
    <row r="330" spans="1:14" s="83" customFormat="1" ht="51">
      <c r="A330" s="91">
        <v>15</v>
      </c>
      <c r="B330" s="72" t="s">
        <v>1700</v>
      </c>
      <c r="C330" s="271" t="s">
        <v>1701</v>
      </c>
      <c r="D330" s="271">
        <v>2015</v>
      </c>
      <c r="E330" s="275">
        <v>1</v>
      </c>
      <c r="F330" s="275">
        <v>1</v>
      </c>
      <c r="G330" s="73">
        <f t="shared" si="14"/>
        <v>0</v>
      </c>
      <c r="H330" s="272"/>
      <c r="I330" s="272"/>
      <c r="J330" s="74" t="s">
        <v>1293</v>
      </c>
      <c r="K330" s="271" t="s">
        <v>1294</v>
      </c>
      <c r="L330" s="271" t="s">
        <v>95</v>
      </c>
      <c r="M330" s="271" t="s">
        <v>1272</v>
      </c>
      <c r="N330" s="271" t="s">
        <v>1284</v>
      </c>
    </row>
    <row r="331" spans="1:14" s="83" customFormat="1" ht="25.5">
      <c r="A331" s="91"/>
      <c r="B331" s="72" t="s">
        <v>1702</v>
      </c>
      <c r="C331" s="271" t="s">
        <v>1703</v>
      </c>
      <c r="D331" s="271"/>
      <c r="E331" s="275"/>
      <c r="F331" s="275"/>
      <c r="G331" s="73"/>
      <c r="H331" s="272"/>
      <c r="I331" s="272"/>
      <c r="J331" s="74" t="s">
        <v>1293</v>
      </c>
      <c r="K331" s="273"/>
      <c r="L331" s="271" t="s">
        <v>641</v>
      </c>
      <c r="M331" s="271" t="s">
        <v>1272</v>
      </c>
      <c r="N331" s="271"/>
    </row>
    <row r="332" spans="1:14" s="83" customFormat="1" ht="25.5">
      <c r="A332" s="91">
        <v>16</v>
      </c>
      <c r="B332" s="72" t="s">
        <v>1704</v>
      </c>
      <c r="C332" s="271" t="s">
        <v>1705</v>
      </c>
      <c r="D332" s="271">
        <v>2015</v>
      </c>
      <c r="E332" s="275">
        <v>1</v>
      </c>
      <c r="F332" s="275">
        <v>1</v>
      </c>
      <c r="G332" s="73">
        <f t="shared" si="14"/>
        <v>0</v>
      </c>
      <c r="H332" s="272"/>
      <c r="I332" s="272"/>
      <c r="J332" s="74" t="s">
        <v>1293</v>
      </c>
      <c r="K332" s="487" t="s">
        <v>1294</v>
      </c>
      <c r="L332" s="271" t="s">
        <v>641</v>
      </c>
      <c r="M332" s="271" t="s">
        <v>1272</v>
      </c>
      <c r="N332" s="271"/>
    </row>
    <row r="333" spans="1:14" s="83" customFormat="1" ht="25.5">
      <c r="A333" s="91">
        <v>17</v>
      </c>
      <c r="B333" s="72" t="s">
        <v>1706</v>
      </c>
      <c r="C333" s="271" t="s">
        <v>1707</v>
      </c>
      <c r="D333" s="271">
        <v>2015</v>
      </c>
      <c r="E333" s="275">
        <v>2</v>
      </c>
      <c r="F333" s="275">
        <v>2</v>
      </c>
      <c r="G333" s="73">
        <f t="shared" si="14"/>
        <v>0</v>
      </c>
      <c r="H333" s="272"/>
      <c r="I333" s="272"/>
      <c r="J333" s="74" t="s">
        <v>1293</v>
      </c>
      <c r="K333" s="487"/>
      <c r="L333" s="271" t="s">
        <v>641</v>
      </c>
      <c r="M333" s="271" t="s">
        <v>1272</v>
      </c>
      <c r="N333" s="271"/>
    </row>
    <row r="334" spans="1:14" s="83" customFormat="1" ht="25.5">
      <c r="A334" s="91">
        <v>18</v>
      </c>
      <c r="B334" s="72" t="s">
        <v>1708</v>
      </c>
      <c r="C334" s="271" t="s">
        <v>1709</v>
      </c>
      <c r="D334" s="271">
        <v>2015</v>
      </c>
      <c r="E334" s="275">
        <v>2</v>
      </c>
      <c r="F334" s="275">
        <v>2</v>
      </c>
      <c r="G334" s="73">
        <f t="shared" si="14"/>
        <v>0</v>
      </c>
      <c r="H334" s="272"/>
      <c r="I334" s="272"/>
      <c r="J334" s="74" t="s">
        <v>1293</v>
      </c>
      <c r="K334" s="487"/>
      <c r="L334" s="271" t="s">
        <v>641</v>
      </c>
      <c r="M334" s="271" t="s">
        <v>1272</v>
      </c>
      <c r="N334" s="271"/>
    </row>
    <row r="335" spans="1:14" s="83" customFormat="1" ht="25.5">
      <c r="A335" s="91">
        <v>19</v>
      </c>
      <c r="B335" s="72" t="s">
        <v>1710</v>
      </c>
      <c r="C335" s="271" t="s">
        <v>1711</v>
      </c>
      <c r="D335" s="271">
        <v>2015</v>
      </c>
      <c r="E335" s="275">
        <v>3</v>
      </c>
      <c r="F335" s="275">
        <v>3</v>
      </c>
      <c r="G335" s="73">
        <f t="shared" si="14"/>
        <v>0</v>
      </c>
      <c r="H335" s="272"/>
      <c r="I335" s="272"/>
      <c r="J335" s="74" t="s">
        <v>1293</v>
      </c>
      <c r="K335" s="487"/>
      <c r="L335" s="271" t="s">
        <v>641</v>
      </c>
      <c r="M335" s="271" t="s">
        <v>1272</v>
      </c>
      <c r="N335" s="271"/>
    </row>
    <row r="336" spans="1:14" s="83" customFormat="1" ht="25.5">
      <c r="A336" s="91">
        <v>20</v>
      </c>
      <c r="B336" s="72" t="s">
        <v>1712</v>
      </c>
      <c r="C336" s="271" t="s">
        <v>1713</v>
      </c>
      <c r="D336" s="271">
        <v>2015</v>
      </c>
      <c r="E336" s="275">
        <v>1</v>
      </c>
      <c r="F336" s="275">
        <v>1</v>
      </c>
      <c r="G336" s="73">
        <f t="shared" si="14"/>
        <v>0</v>
      </c>
      <c r="H336" s="272"/>
      <c r="I336" s="272"/>
      <c r="J336" s="74" t="s">
        <v>1293</v>
      </c>
      <c r="K336" s="487"/>
      <c r="L336" s="271" t="s">
        <v>641</v>
      </c>
      <c r="M336" s="271" t="s">
        <v>1272</v>
      </c>
      <c r="N336" s="271"/>
    </row>
    <row r="337" spans="1:14" s="83" customFormat="1" ht="25.5">
      <c r="A337" s="91">
        <v>21</v>
      </c>
      <c r="B337" s="72" t="s">
        <v>1714</v>
      </c>
      <c r="C337" s="271" t="s">
        <v>1715</v>
      </c>
      <c r="D337" s="271">
        <v>2015</v>
      </c>
      <c r="E337" s="275">
        <v>2</v>
      </c>
      <c r="F337" s="275">
        <v>2</v>
      </c>
      <c r="G337" s="73">
        <f t="shared" si="14"/>
        <v>0</v>
      </c>
      <c r="H337" s="272"/>
      <c r="I337" s="272"/>
      <c r="J337" s="74" t="s">
        <v>1293</v>
      </c>
      <c r="K337" s="487"/>
      <c r="L337" s="271" t="s">
        <v>641</v>
      </c>
      <c r="M337" s="271" t="s">
        <v>1272</v>
      </c>
      <c r="N337" s="271"/>
    </row>
    <row r="338" spans="1:14" s="83" customFormat="1" ht="51">
      <c r="A338" s="91">
        <v>22</v>
      </c>
      <c r="B338" s="72" t="s">
        <v>1716</v>
      </c>
      <c r="C338" s="271" t="s">
        <v>1717</v>
      </c>
      <c r="D338" s="271">
        <v>2015</v>
      </c>
      <c r="E338" s="275">
        <v>6</v>
      </c>
      <c r="F338" s="275">
        <v>6</v>
      </c>
      <c r="G338" s="73">
        <f t="shared" si="14"/>
        <v>0</v>
      </c>
      <c r="H338" s="272"/>
      <c r="I338" s="272"/>
      <c r="J338" s="74" t="s">
        <v>1293</v>
      </c>
      <c r="K338" s="271" t="s">
        <v>1294</v>
      </c>
      <c r="L338" s="271" t="s">
        <v>641</v>
      </c>
      <c r="M338" s="271" t="s">
        <v>1272</v>
      </c>
      <c r="N338" s="271" t="s">
        <v>1718</v>
      </c>
    </row>
    <row r="339" spans="1:14" s="83" customFormat="1" ht="51">
      <c r="A339" s="91">
        <v>23</v>
      </c>
      <c r="B339" s="72" t="s">
        <v>1320</v>
      </c>
      <c r="C339" s="271" t="s">
        <v>1719</v>
      </c>
      <c r="D339" s="271">
        <v>2015</v>
      </c>
      <c r="E339" s="275">
        <v>1</v>
      </c>
      <c r="F339" s="275">
        <v>1</v>
      </c>
      <c r="G339" s="73">
        <f t="shared" si="14"/>
        <v>0</v>
      </c>
      <c r="H339" s="272"/>
      <c r="I339" s="272"/>
      <c r="J339" s="74" t="s">
        <v>1293</v>
      </c>
      <c r="K339" s="271" t="s">
        <v>1294</v>
      </c>
      <c r="L339" s="271" t="s">
        <v>641</v>
      </c>
      <c r="M339" s="271" t="s">
        <v>1272</v>
      </c>
      <c r="N339" s="271" t="s">
        <v>1720</v>
      </c>
    </row>
    <row r="340" spans="1:14" s="83" customFormat="1" ht="51">
      <c r="A340" s="91">
        <v>24</v>
      </c>
      <c r="B340" s="72" t="s">
        <v>1721</v>
      </c>
      <c r="C340" s="271" t="s">
        <v>1722</v>
      </c>
      <c r="D340" s="271">
        <v>2015</v>
      </c>
      <c r="E340" s="275">
        <v>1</v>
      </c>
      <c r="F340" s="275">
        <v>1</v>
      </c>
      <c r="G340" s="73">
        <f t="shared" si="14"/>
        <v>0</v>
      </c>
      <c r="H340" s="272"/>
      <c r="I340" s="272"/>
      <c r="J340" s="74" t="s">
        <v>1293</v>
      </c>
      <c r="K340" s="271" t="s">
        <v>1294</v>
      </c>
      <c r="L340" s="271" t="s">
        <v>95</v>
      </c>
      <c r="M340" s="271" t="s">
        <v>1272</v>
      </c>
      <c r="N340" s="271" t="s">
        <v>1284</v>
      </c>
    </row>
    <row r="341" spans="1:14" s="83" customFormat="1" ht="51">
      <c r="A341" s="91">
        <v>25</v>
      </c>
      <c r="B341" s="72" t="s">
        <v>1723</v>
      </c>
      <c r="C341" s="271" t="s">
        <v>1724</v>
      </c>
      <c r="D341" s="271">
        <v>2015</v>
      </c>
      <c r="E341" s="275">
        <v>1</v>
      </c>
      <c r="F341" s="275">
        <v>1</v>
      </c>
      <c r="G341" s="73">
        <f t="shared" si="14"/>
        <v>0</v>
      </c>
      <c r="H341" s="272"/>
      <c r="I341" s="272"/>
      <c r="J341" s="74" t="s">
        <v>1293</v>
      </c>
      <c r="K341" s="271" t="s">
        <v>1294</v>
      </c>
      <c r="L341" s="271" t="s">
        <v>641</v>
      </c>
      <c r="M341" s="271" t="s">
        <v>1272</v>
      </c>
      <c r="N341" s="271"/>
    </row>
    <row r="342" spans="1:14" s="83" customFormat="1" ht="51">
      <c r="A342" s="91">
        <v>26</v>
      </c>
      <c r="B342" s="72" t="s">
        <v>1725</v>
      </c>
      <c r="C342" s="271" t="s">
        <v>1726</v>
      </c>
      <c r="D342" s="271">
        <v>2015</v>
      </c>
      <c r="E342" s="275">
        <v>1</v>
      </c>
      <c r="F342" s="275">
        <v>1</v>
      </c>
      <c r="G342" s="73">
        <f t="shared" si="14"/>
        <v>0</v>
      </c>
      <c r="H342" s="272"/>
      <c r="I342" s="272"/>
      <c r="J342" s="74" t="s">
        <v>1293</v>
      </c>
      <c r="K342" s="271" t="s">
        <v>1294</v>
      </c>
      <c r="L342" s="271" t="s">
        <v>95</v>
      </c>
      <c r="M342" s="271" t="s">
        <v>1272</v>
      </c>
      <c r="N342" s="271" t="s">
        <v>1284</v>
      </c>
    </row>
    <row r="343" spans="1:14" s="83" customFormat="1" ht="51">
      <c r="A343" s="91">
        <v>27</v>
      </c>
      <c r="B343" s="72" t="s">
        <v>1727</v>
      </c>
      <c r="C343" s="271" t="s">
        <v>1728</v>
      </c>
      <c r="D343" s="271">
        <v>2015</v>
      </c>
      <c r="E343" s="275">
        <v>1</v>
      </c>
      <c r="F343" s="275">
        <v>1</v>
      </c>
      <c r="G343" s="73">
        <f t="shared" si="14"/>
        <v>0</v>
      </c>
      <c r="H343" s="272"/>
      <c r="I343" s="272"/>
      <c r="J343" s="74" t="s">
        <v>1293</v>
      </c>
      <c r="K343" s="271" t="s">
        <v>1294</v>
      </c>
      <c r="L343" s="271" t="s">
        <v>95</v>
      </c>
      <c r="M343" s="271" t="s">
        <v>1272</v>
      </c>
      <c r="N343" s="271" t="s">
        <v>1729</v>
      </c>
    </row>
    <row r="344" spans="1:14" s="75" customFormat="1" ht="25.5">
      <c r="A344" s="91">
        <v>28</v>
      </c>
      <c r="B344" s="74" t="s">
        <v>1730</v>
      </c>
      <c r="C344" s="271" t="s">
        <v>1731</v>
      </c>
      <c r="D344" s="271">
        <v>2001</v>
      </c>
      <c r="E344" s="275">
        <v>1</v>
      </c>
      <c r="F344" s="275">
        <v>1</v>
      </c>
      <c r="G344" s="73">
        <f t="shared" si="14"/>
        <v>0</v>
      </c>
      <c r="H344" s="272"/>
      <c r="I344" s="272"/>
      <c r="J344" s="74" t="s">
        <v>1293</v>
      </c>
      <c r="K344" s="273"/>
      <c r="L344" s="271" t="s">
        <v>641</v>
      </c>
      <c r="M344" s="271" t="s">
        <v>1272</v>
      </c>
      <c r="N344" s="271" t="s">
        <v>1671</v>
      </c>
    </row>
    <row r="345" spans="1:14" s="75" customFormat="1" ht="25.5">
      <c r="A345" s="91">
        <v>29</v>
      </c>
      <c r="B345" s="74" t="s">
        <v>1676</v>
      </c>
      <c r="C345" s="271" t="s">
        <v>1732</v>
      </c>
      <c r="D345" s="273"/>
      <c r="E345" s="275">
        <v>1</v>
      </c>
      <c r="F345" s="275">
        <v>1</v>
      </c>
      <c r="G345" s="73">
        <f t="shared" si="14"/>
        <v>0</v>
      </c>
      <c r="H345" s="111">
        <v>5250000</v>
      </c>
      <c r="I345" s="111">
        <v>5250000</v>
      </c>
      <c r="J345" s="74" t="s">
        <v>1293</v>
      </c>
      <c r="K345" s="273"/>
      <c r="L345" s="271" t="s">
        <v>641</v>
      </c>
      <c r="M345" s="271" t="s">
        <v>1272</v>
      </c>
      <c r="N345" s="271" t="s">
        <v>1733</v>
      </c>
    </row>
    <row r="346" spans="1:14" s="75" customFormat="1" ht="25.5">
      <c r="A346" s="91">
        <v>30</v>
      </c>
      <c r="B346" s="74" t="s">
        <v>1734</v>
      </c>
      <c r="C346" s="271" t="s">
        <v>1735</v>
      </c>
      <c r="D346" s="271">
        <v>2005</v>
      </c>
      <c r="E346" s="275">
        <v>1</v>
      </c>
      <c r="F346" s="275">
        <v>1</v>
      </c>
      <c r="G346" s="73">
        <f t="shared" si="14"/>
        <v>0</v>
      </c>
      <c r="H346" s="85">
        <v>6800000</v>
      </c>
      <c r="I346" s="85">
        <v>6800000</v>
      </c>
      <c r="J346" s="74" t="s">
        <v>1293</v>
      </c>
      <c r="K346" s="72"/>
      <c r="L346" s="271" t="s">
        <v>641</v>
      </c>
      <c r="M346" s="271" t="s">
        <v>1272</v>
      </c>
      <c r="N346" s="271"/>
    </row>
    <row r="347" spans="1:14" s="75" customFormat="1" ht="51">
      <c r="A347" s="91">
        <v>31</v>
      </c>
      <c r="B347" s="74" t="s">
        <v>1736</v>
      </c>
      <c r="C347" s="271" t="s">
        <v>1737</v>
      </c>
      <c r="D347" s="271">
        <v>2015</v>
      </c>
      <c r="E347" s="275"/>
      <c r="F347" s="275">
        <v>1</v>
      </c>
      <c r="G347" s="73">
        <f t="shared" si="14"/>
        <v>1</v>
      </c>
      <c r="H347" s="82"/>
      <c r="I347" s="82"/>
      <c r="J347" s="74" t="s">
        <v>1293</v>
      </c>
      <c r="K347" s="271" t="s">
        <v>1294</v>
      </c>
      <c r="L347" s="271" t="s">
        <v>641</v>
      </c>
      <c r="M347" s="271" t="s">
        <v>1272</v>
      </c>
      <c r="N347" s="271" t="s">
        <v>1733</v>
      </c>
    </row>
    <row r="348" spans="1:14" s="75" customFormat="1" ht="63.75">
      <c r="A348" s="91">
        <v>32</v>
      </c>
      <c r="B348" s="74" t="s">
        <v>1738</v>
      </c>
      <c r="C348" s="271" t="s">
        <v>1739</v>
      </c>
      <c r="D348" s="271">
        <v>2009</v>
      </c>
      <c r="E348" s="271">
        <v>1</v>
      </c>
      <c r="F348" s="271">
        <v>1</v>
      </c>
      <c r="G348" s="73">
        <f t="shared" si="14"/>
        <v>0</v>
      </c>
      <c r="H348" s="76">
        <v>150548796</v>
      </c>
      <c r="I348" s="76">
        <v>150548796</v>
      </c>
      <c r="J348" s="78" t="s">
        <v>1082</v>
      </c>
      <c r="K348" s="273"/>
      <c r="L348" s="271" t="s">
        <v>641</v>
      </c>
      <c r="M348" s="271" t="s">
        <v>54</v>
      </c>
      <c r="N348" s="271" t="s">
        <v>1671</v>
      </c>
    </row>
    <row r="349" spans="1:14" s="75" customFormat="1" ht="38.25">
      <c r="A349" s="91">
        <v>33</v>
      </c>
      <c r="B349" s="72" t="s">
        <v>1071</v>
      </c>
      <c r="C349" s="271" t="s">
        <v>1740</v>
      </c>
      <c r="D349" s="271">
        <v>2012</v>
      </c>
      <c r="E349" s="275">
        <v>1</v>
      </c>
      <c r="F349" s="97">
        <v>1</v>
      </c>
      <c r="G349" s="73">
        <f t="shared" si="14"/>
        <v>0</v>
      </c>
      <c r="H349" s="88">
        <f>86493475/5</f>
        <v>17298695</v>
      </c>
      <c r="I349" s="88">
        <f>86493475/5</f>
        <v>17298695</v>
      </c>
      <c r="J349" s="72" t="s">
        <v>1073</v>
      </c>
      <c r="K349" s="273"/>
      <c r="L349" s="271" t="s">
        <v>641</v>
      </c>
      <c r="M349" s="271" t="s">
        <v>54</v>
      </c>
      <c r="N349" s="271" t="s">
        <v>1622</v>
      </c>
    </row>
    <row r="350" spans="1:14" s="71" customFormat="1" ht="20.100000000000001" customHeight="1">
      <c r="A350" s="110"/>
      <c r="B350" s="492" t="s">
        <v>1741</v>
      </c>
      <c r="C350" s="493"/>
      <c r="D350" s="493"/>
      <c r="E350" s="493"/>
      <c r="F350" s="493"/>
      <c r="G350" s="493"/>
      <c r="H350" s="493"/>
      <c r="I350" s="493"/>
      <c r="J350" s="493"/>
      <c r="K350" s="493"/>
      <c r="L350" s="493"/>
      <c r="M350" s="493"/>
      <c r="N350" s="494"/>
    </row>
    <row r="351" spans="1:14" s="75" customFormat="1" ht="25.5">
      <c r="A351" s="271">
        <v>1</v>
      </c>
      <c r="B351" s="74" t="s">
        <v>1742</v>
      </c>
      <c r="C351" s="271" t="s">
        <v>1743</v>
      </c>
      <c r="D351" s="271">
        <v>2000</v>
      </c>
      <c r="E351" s="275">
        <v>1</v>
      </c>
      <c r="F351" s="275">
        <v>1</v>
      </c>
      <c r="G351" s="73">
        <f>F351-E351</f>
        <v>0</v>
      </c>
      <c r="H351" s="272"/>
      <c r="I351" s="272"/>
      <c r="J351" s="74" t="s">
        <v>1293</v>
      </c>
      <c r="K351" s="273"/>
      <c r="L351" s="271" t="s">
        <v>641</v>
      </c>
      <c r="M351" s="271" t="s">
        <v>1272</v>
      </c>
      <c r="N351" s="271"/>
    </row>
    <row r="352" spans="1:14" s="75" customFormat="1" ht="25.5">
      <c r="A352" s="271">
        <v>2</v>
      </c>
      <c r="B352" s="74" t="s">
        <v>1744</v>
      </c>
      <c r="C352" s="271" t="s">
        <v>1745</v>
      </c>
      <c r="D352" s="271">
        <v>2005</v>
      </c>
      <c r="E352" s="275">
        <v>5</v>
      </c>
      <c r="F352" s="275">
        <v>5</v>
      </c>
      <c r="G352" s="73">
        <f t="shared" ref="G352:G359" si="15">F352-E352</f>
        <v>0</v>
      </c>
      <c r="H352" s="82">
        <v>307965</v>
      </c>
      <c r="I352" s="82">
        <v>1539825</v>
      </c>
      <c r="J352" s="74" t="s">
        <v>1293</v>
      </c>
      <c r="K352" s="273"/>
      <c r="L352" s="271" t="s">
        <v>641</v>
      </c>
      <c r="M352" s="271" t="s">
        <v>1272</v>
      </c>
      <c r="N352" s="271"/>
    </row>
    <row r="353" spans="1:16" s="75" customFormat="1" ht="25.5">
      <c r="A353" s="271">
        <v>3</v>
      </c>
      <c r="B353" s="74" t="s">
        <v>1746</v>
      </c>
      <c r="C353" s="271" t="s">
        <v>1747</v>
      </c>
      <c r="D353" s="271">
        <v>2004</v>
      </c>
      <c r="E353" s="271">
        <v>1</v>
      </c>
      <c r="F353" s="271">
        <v>1</v>
      </c>
      <c r="G353" s="73">
        <f t="shared" si="15"/>
        <v>0</v>
      </c>
      <c r="H353" s="82">
        <v>421800</v>
      </c>
      <c r="I353" s="82">
        <v>421800</v>
      </c>
      <c r="J353" s="74" t="s">
        <v>1293</v>
      </c>
      <c r="K353" s="273"/>
      <c r="L353" s="271" t="s">
        <v>641</v>
      </c>
      <c r="M353" s="271" t="s">
        <v>1272</v>
      </c>
      <c r="N353" s="271"/>
    </row>
    <row r="354" spans="1:16" s="75" customFormat="1" ht="25.5">
      <c r="A354" s="271">
        <v>4</v>
      </c>
      <c r="B354" s="74" t="s">
        <v>1742</v>
      </c>
      <c r="C354" s="271" t="s">
        <v>1748</v>
      </c>
      <c r="D354" s="271">
        <v>2005</v>
      </c>
      <c r="E354" s="271">
        <v>1</v>
      </c>
      <c r="F354" s="271">
        <v>1</v>
      </c>
      <c r="G354" s="73">
        <f t="shared" si="15"/>
        <v>0</v>
      </c>
      <c r="H354" s="72"/>
      <c r="I354" s="72"/>
      <c r="J354" s="74" t="s">
        <v>1293</v>
      </c>
      <c r="K354" s="273"/>
      <c r="L354" s="271" t="s">
        <v>641</v>
      </c>
      <c r="M354" s="271" t="s">
        <v>1272</v>
      </c>
      <c r="N354" s="271" t="s">
        <v>1733</v>
      </c>
    </row>
    <row r="355" spans="1:16" s="75" customFormat="1" ht="25.5">
      <c r="A355" s="271">
        <v>5</v>
      </c>
      <c r="B355" s="74" t="s">
        <v>1749</v>
      </c>
      <c r="C355" s="271" t="s">
        <v>1750</v>
      </c>
      <c r="D355" s="273"/>
      <c r="E355" s="275">
        <v>1</v>
      </c>
      <c r="F355" s="275">
        <v>1</v>
      </c>
      <c r="G355" s="73">
        <f t="shared" si="15"/>
        <v>0</v>
      </c>
      <c r="H355" s="111">
        <f>2400000*1.05</f>
        <v>2520000</v>
      </c>
      <c r="I355" s="111">
        <f>2400000*1.05</f>
        <v>2520000</v>
      </c>
      <c r="J355" s="74" t="s">
        <v>1293</v>
      </c>
      <c r="K355" s="273"/>
      <c r="L355" s="271" t="s">
        <v>641</v>
      </c>
      <c r="M355" s="271" t="s">
        <v>1272</v>
      </c>
      <c r="N355" s="271" t="s">
        <v>1733</v>
      </c>
    </row>
    <row r="356" spans="1:16" s="75" customFormat="1" ht="25.5">
      <c r="A356" s="271">
        <v>6</v>
      </c>
      <c r="B356" s="72" t="s">
        <v>1751</v>
      </c>
      <c r="C356" s="271" t="s">
        <v>1752</v>
      </c>
      <c r="D356" s="271"/>
      <c r="E356" s="275"/>
      <c r="F356" s="97">
        <v>1</v>
      </c>
      <c r="G356" s="73">
        <f t="shared" si="15"/>
        <v>1</v>
      </c>
      <c r="H356" s="82"/>
      <c r="I356" s="82"/>
      <c r="J356" s="74" t="s">
        <v>1293</v>
      </c>
      <c r="K356" s="72"/>
      <c r="L356" s="271" t="s">
        <v>641</v>
      </c>
      <c r="M356" s="271" t="s">
        <v>1272</v>
      </c>
      <c r="N356" s="271"/>
    </row>
    <row r="357" spans="1:16" s="75" customFormat="1" ht="25.5">
      <c r="A357" s="271">
        <v>7</v>
      </c>
      <c r="B357" s="72" t="s">
        <v>1753</v>
      </c>
      <c r="C357" s="271" t="s">
        <v>1754</v>
      </c>
      <c r="D357" s="271"/>
      <c r="E357" s="275"/>
      <c r="F357" s="97">
        <v>1</v>
      </c>
      <c r="G357" s="73">
        <f t="shared" si="15"/>
        <v>1</v>
      </c>
      <c r="H357" s="82"/>
      <c r="I357" s="82"/>
      <c r="J357" s="74" t="s">
        <v>1293</v>
      </c>
      <c r="K357" s="72"/>
      <c r="L357" s="271" t="s">
        <v>641</v>
      </c>
      <c r="M357" s="271" t="s">
        <v>1272</v>
      </c>
      <c r="N357" s="271"/>
    </row>
    <row r="358" spans="1:16" s="75" customFormat="1" ht="25.5">
      <c r="A358" s="271">
        <v>8</v>
      </c>
      <c r="B358" s="72" t="s">
        <v>1755</v>
      </c>
      <c r="C358" s="271" t="s">
        <v>1756</v>
      </c>
      <c r="D358" s="271"/>
      <c r="E358" s="275"/>
      <c r="F358" s="97">
        <v>1</v>
      </c>
      <c r="G358" s="73">
        <f t="shared" si="15"/>
        <v>1</v>
      </c>
      <c r="H358" s="82"/>
      <c r="I358" s="82"/>
      <c r="J358" s="74" t="s">
        <v>1293</v>
      </c>
      <c r="K358" s="72"/>
      <c r="L358" s="271" t="s">
        <v>641</v>
      </c>
      <c r="M358" s="271" t="s">
        <v>1272</v>
      </c>
      <c r="N358" s="271"/>
    </row>
    <row r="359" spans="1:16" s="75" customFormat="1" ht="25.5">
      <c r="A359" s="271">
        <v>9</v>
      </c>
      <c r="B359" s="72" t="s">
        <v>1757</v>
      </c>
      <c r="C359" s="271" t="s">
        <v>1758</v>
      </c>
      <c r="D359" s="271"/>
      <c r="E359" s="275"/>
      <c r="F359" s="97">
        <v>1</v>
      </c>
      <c r="G359" s="73">
        <f t="shared" si="15"/>
        <v>1</v>
      </c>
      <c r="H359" s="82"/>
      <c r="I359" s="82"/>
      <c r="J359" s="74" t="s">
        <v>1293</v>
      </c>
      <c r="K359" s="72"/>
      <c r="L359" s="271" t="s">
        <v>641</v>
      </c>
      <c r="M359" s="271" t="s">
        <v>1272</v>
      </c>
      <c r="N359" s="271"/>
    </row>
    <row r="360" spans="1:16" s="71" customFormat="1" ht="20.100000000000001" customHeight="1">
      <c r="A360" s="271"/>
      <c r="B360" s="492" t="s">
        <v>1759</v>
      </c>
      <c r="C360" s="493"/>
      <c r="D360" s="493"/>
      <c r="E360" s="493"/>
      <c r="F360" s="493"/>
      <c r="G360" s="493"/>
      <c r="H360" s="493"/>
      <c r="I360" s="493"/>
      <c r="J360" s="493"/>
      <c r="K360" s="493"/>
      <c r="L360" s="493"/>
      <c r="M360" s="493"/>
      <c r="N360" s="494"/>
    </row>
    <row r="361" spans="1:16" s="71" customFormat="1" ht="63.75">
      <c r="A361" s="271">
        <v>1</v>
      </c>
      <c r="B361" s="72" t="s">
        <v>1760</v>
      </c>
      <c r="C361" s="271" t="s">
        <v>1761</v>
      </c>
      <c r="D361" s="271">
        <v>2014</v>
      </c>
      <c r="E361" s="271">
        <v>1</v>
      </c>
      <c r="F361" s="271">
        <v>1</v>
      </c>
      <c r="G361" s="271">
        <f>F361-E361</f>
        <v>0</v>
      </c>
      <c r="H361" s="85">
        <v>3885714</v>
      </c>
      <c r="I361" s="85">
        <v>3885714</v>
      </c>
      <c r="J361" s="271" t="s">
        <v>980</v>
      </c>
      <c r="K361" s="271" t="s">
        <v>1671</v>
      </c>
      <c r="L361" s="72" t="s">
        <v>232</v>
      </c>
      <c r="M361" s="271" t="s">
        <v>1627</v>
      </c>
      <c r="N361" s="271" t="s">
        <v>1762</v>
      </c>
    </row>
    <row r="362" spans="1:16" s="71" customFormat="1" ht="63.75">
      <c r="A362" s="271">
        <v>2</v>
      </c>
      <c r="B362" s="72" t="s">
        <v>1760</v>
      </c>
      <c r="C362" s="271" t="s">
        <v>1763</v>
      </c>
      <c r="D362" s="271">
        <v>2014</v>
      </c>
      <c r="E362" s="271">
        <v>1</v>
      </c>
      <c r="F362" s="271">
        <v>1</v>
      </c>
      <c r="G362" s="271">
        <f t="shared" ref="G362:G370" si="16">F362-E362</f>
        <v>0</v>
      </c>
      <c r="H362" s="85">
        <v>3885714</v>
      </c>
      <c r="I362" s="85">
        <v>3885714</v>
      </c>
      <c r="J362" s="271" t="s">
        <v>980</v>
      </c>
      <c r="K362" s="271" t="s">
        <v>1626</v>
      </c>
      <c r="L362" s="72" t="s">
        <v>232</v>
      </c>
      <c r="M362" s="271" t="s">
        <v>1627</v>
      </c>
      <c r="N362" s="271" t="s">
        <v>1762</v>
      </c>
      <c r="P362" s="71">
        <v>1</v>
      </c>
    </row>
    <row r="363" spans="1:16" s="71" customFormat="1" ht="63.75">
      <c r="A363" s="271">
        <v>3</v>
      </c>
      <c r="B363" s="72" t="s">
        <v>1749</v>
      </c>
      <c r="C363" s="271" t="s">
        <v>1764</v>
      </c>
      <c r="D363" s="271">
        <v>2014</v>
      </c>
      <c r="E363" s="271">
        <v>1</v>
      </c>
      <c r="F363" s="271">
        <v>1</v>
      </c>
      <c r="G363" s="271">
        <f t="shared" si="16"/>
        <v>0</v>
      </c>
      <c r="H363" s="72"/>
      <c r="I363" s="72"/>
      <c r="J363" s="271" t="s">
        <v>980</v>
      </c>
      <c r="K363" s="271" t="s">
        <v>1765</v>
      </c>
      <c r="L363" s="72" t="s">
        <v>641</v>
      </c>
      <c r="M363" s="271" t="s">
        <v>1627</v>
      </c>
      <c r="N363" s="271" t="s">
        <v>1762</v>
      </c>
    </row>
    <row r="364" spans="1:16" s="71" customFormat="1" ht="63.75">
      <c r="A364" s="271">
        <v>4</v>
      </c>
      <c r="B364" s="72" t="s">
        <v>1749</v>
      </c>
      <c r="C364" s="271"/>
      <c r="D364" s="271"/>
      <c r="E364" s="271">
        <v>1</v>
      </c>
      <c r="F364" s="271">
        <v>1</v>
      </c>
      <c r="G364" s="271">
        <f t="shared" si="16"/>
        <v>0</v>
      </c>
      <c r="H364" s="72"/>
      <c r="I364" s="72"/>
      <c r="J364" s="271" t="s">
        <v>980</v>
      </c>
      <c r="K364" s="271" t="s">
        <v>1766</v>
      </c>
      <c r="L364" s="72" t="s">
        <v>641</v>
      </c>
      <c r="M364" s="271" t="s">
        <v>1627</v>
      </c>
      <c r="N364" s="271" t="s">
        <v>1762</v>
      </c>
    </row>
    <row r="365" spans="1:16" s="71" customFormat="1" ht="63.75">
      <c r="A365" s="271">
        <v>5</v>
      </c>
      <c r="B365" s="72" t="s">
        <v>1767</v>
      </c>
      <c r="C365" s="271" t="s">
        <v>1768</v>
      </c>
      <c r="D365" s="271">
        <v>2011</v>
      </c>
      <c r="E365" s="271">
        <v>1</v>
      </c>
      <c r="F365" s="271">
        <v>1</v>
      </c>
      <c r="G365" s="271">
        <f t="shared" si="16"/>
        <v>0</v>
      </c>
      <c r="H365" s="100">
        <v>1942500</v>
      </c>
      <c r="I365" s="100">
        <v>1942500</v>
      </c>
      <c r="J365" s="271" t="s">
        <v>980</v>
      </c>
      <c r="K365" s="271" t="s">
        <v>1626</v>
      </c>
      <c r="L365" s="72" t="s">
        <v>641</v>
      </c>
      <c r="M365" s="271" t="s">
        <v>1627</v>
      </c>
      <c r="N365" s="271"/>
    </row>
    <row r="366" spans="1:16" s="71" customFormat="1" ht="63.75">
      <c r="A366" s="271">
        <v>6</v>
      </c>
      <c r="B366" s="72" t="s">
        <v>1767</v>
      </c>
      <c r="C366" s="271"/>
      <c r="D366" s="271"/>
      <c r="E366" s="271">
        <v>1</v>
      </c>
      <c r="F366" s="271">
        <v>1</v>
      </c>
      <c r="G366" s="271">
        <f t="shared" si="16"/>
        <v>0</v>
      </c>
      <c r="H366" s="72"/>
      <c r="I366" s="72"/>
      <c r="J366" s="271" t="s">
        <v>980</v>
      </c>
      <c r="K366" s="271" t="s">
        <v>1626</v>
      </c>
      <c r="L366" s="72" t="s">
        <v>641</v>
      </c>
      <c r="M366" s="271" t="s">
        <v>1627</v>
      </c>
      <c r="N366" s="271" t="s">
        <v>1769</v>
      </c>
    </row>
    <row r="367" spans="1:16" s="71" customFormat="1" ht="63.75">
      <c r="A367" s="271">
        <v>7</v>
      </c>
      <c r="B367" s="72" t="s">
        <v>1770</v>
      </c>
      <c r="C367" s="271" t="s">
        <v>1771</v>
      </c>
      <c r="D367" s="271">
        <v>2011</v>
      </c>
      <c r="E367" s="271">
        <v>1</v>
      </c>
      <c r="F367" s="271">
        <v>1</v>
      </c>
      <c r="G367" s="271">
        <f t="shared" si="16"/>
        <v>0</v>
      </c>
      <c r="H367" s="85">
        <v>882000</v>
      </c>
      <c r="I367" s="85">
        <v>882000</v>
      </c>
      <c r="J367" s="271" t="s">
        <v>980</v>
      </c>
      <c r="K367" s="271" t="s">
        <v>1626</v>
      </c>
      <c r="L367" s="72" t="s">
        <v>641</v>
      </c>
      <c r="M367" s="271" t="s">
        <v>1627</v>
      </c>
      <c r="N367" s="271"/>
    </row>
    <row r="368" spans="1:16" s="71" customFormat="1" ht="63.75">
      <c r="A368" s="271">
        <v>8</v>
      </c>
      <c r="B368" s="72" t="s">
        <v>1772</v>
      </c>
      <c r="C368" s="271" t="s">
        <v>1773</v>
      </c>
      <c r="D368" s="271">
        <v>2011</v>
      </c>
      <c r="E368" s="271">
        <v>1</v>
      </c>
      <c r="F368" s="271">
        <v>1</v>
      </c>
      <c r="G368" s="271">
        <f t="shared" si="16"/>
        <v>0</v>
      </c>
      <c r="H368" s="72"/>
      <c r="I368" s="72"/>
      <c r="J368" s="271" t="s">
        <v>980</v>
      </c>
      <c r="K368" s="271" t="s">
        <v>1774</v>
      </c>
      <c r="L368" s="72" t="s">
        <v>641</v>
      </c>
      <c r="M368" s="271" t="s">
        <v>1627</v>
      </c>
      <c r="N368" s="271"/>
    </row>
    <row r="369" spans="1:14" s="71" customFormat="1" ht="63.75">
      <c r="A369" s="271">
        <v>9</v>
      </c>
      <c r="B369" s="72" t="s">
        <v>1775</v>
      </c>
      <c r="C369" s="271" t="s">
        <v>1776</v>
      </c>
      <c r="D369" s="271">
        <v>2011</v>
      </c>
      <c r="E369" s="271">
        <v>1</v>
      </c>
      <c r="F369" s="271">
        <v>1</v>
      </c>
      <c r="G369" s="271">
        <f>F369-E369</f>
        <v>0</v>
      </c>
      <c r="H369" s="82">
        <v>3360000</v>
      </c>
      <c r="I369" s="82">
        <v>3360000</v>
      </c>
      <c r="J369" s="271" t="s">
        <v>980</v>
      </c>
      <c r="K369" s="271" t="s">
        <v>1626</v>
      </c>
      <c r="L369" s="72" t="s">
        <v>641</v>
      </c>
      <c r="M369" s="271" t="s">
        <v>1627</v>
      </c>
      <c r="N369" s="271"/>
    </row>
    <row r="370" spans="1:14" s="71" customFormat="1" ht="63.75">
      <c r="A370" s="271">
        <v>10</v>
      </c>
      <c r="B370" s="72" t="s">
        <v>128</v>
      </c>
      <c r="C370" s="271" t="s">
        <v>1777</v>
      </c>
      <c r="D370" s="271">
        <v>2011</v>
      </c>
      <c r="E370" s="271">
        <v>1</v>
      </c>
      <c r="F370" s="271">
        <v>1</v>
      </c>
      <c r="G370" s="271">
        <f t="shared" si="16"/>
        <v>0</v>
      </c>
      <c r="H370" s="82"/>
      <c r="I370" s="82"/>
      <c r="J370" s="271" t="s">
        <v>980</v>
      </c>
      <c r="K370" s="271" t="s">
        <v>1626</v>
      </c>
      <c r="L370" s="72" t="s">
        <v>232</v>
      </c>
      <c r="M370" s="271" t="s">
        <v>1627</v>
      </c>
      <c r="N370" s="271"/>
    </row>
    <row r="371" spans="1:14" s="112" customFormat="1" ht="20.100000000000001" customHeight="1">
      <c r="A371" s="271"/>
      <c r="B371" s="490" t="s">
        <v>1778</v>
      </c>
      <c r="C371" s="490"/>
      <c r="D371" s="490"/>
      <c r="E371" s="490"/>
      <c r="F371" s="490"/>
      <c r="G371" s="490"/>
      <c r="H371" s="490"/>
      <c r="I371" s="490"/>
      <c r="J371" s="490"/>
      <c r="K371" s="490"/>
      <c r="L371" s="490"/>
      <c r="M371" s="490"/>
      <c r="N371" s="490"/>
    </row>
    <row r="372" spans="1:14" s="75" customFormat="1" ht="51">
      <c r="A372" s="271">
        <v>1</v>
      </c>
      <c r="B372" s="72" t="s">
        <v>1779</v>
      </c>
      <c r="C372" s="271" t="s">
        <v>1780</v>
      </c>
      <c r="D372" s="271">
        <v>2008</v>
      </c>
      <c r="E372" s="271">
        <v>1</v>
      </c>
      <c r="F372" s="271">
        <v>1</v>
      </c>
      <c r="G372" s="73">
        <f>F372-E372</f>
        <v>0</v>
      </c>
      <c r="H372" s="272"/>
      <c r="I372" s="272"/>
      <c r="J372" s="271" t="s">
        <v>980</v>
      </c>
      <c r="K372" s="271"/>
      <c r="L372" s="271" t="s">
        <v>95</v>
      </c>
      <c r="M372" s="271" t="s">
        <v>1781</v>
      </c>
      <c r="N372" s="271"/>
    </row>
    <row r="373" spans="1:14" s="75" customFormat="1" ht="51">
      <c r="A373" s="271">
        <v>2</v>
      </c>
      <c r="B373" s="72" t="s">
        <v>1782</v>
      </c>
      <c r="C373" s="271" t="s">
        <v>1783</v>
      </c>
      <c r="D373" s="271"/>
      <c r="E373" s="271">
        <v>7</v>
      </c>
      <c r="F373" s="271">
        <v>7</v>
      </c>
      <c r="G373" s="73">
        <f>F373-E373</f>
        <v>0</v>
      </c>
      <c r="H373" s="272"/>
      <c r="I373" s="272"/>
      <c r="J373" s="271" t="s">
        <v>980</v>
      </c>
      <c r="K373" s="271"/>
      <c r="L373" s="271" t="s">
        <v>641</v>
      </c>
      <c r="M373" s="271" t="s">
        <v>1781</v>
      </c>
      <c r="N373" s="271" t="s">
        <v>1784</v>
      </c>
    </row>
    <row r="374" spans="1:14" s="112" customFormat="1" ht="20.100000000000001" customHeight="1">
      <c r="A374" s="273"/>
      <c r="B374" s="490" t="s">
        <v>1785</v>
      </c>
      <c r="C374" s="490"/>
      <c r="D374" s="490"/>
      <c r="E374" s="490"/>
      <c r="F374" s="490"/>
      <c r="G374" s="490"/>
      <c r="H374" s="490"/>
      <c r="I374" s="490"/>
      <c r="J374" s="490"/>
      <c r="K374" s="490"/>
      <c r="L374" s="490"/>
      <c r="M374" s="490"/>
      <c r="N374" s="490"/>
    </row>
    <row r="375" spans="1:14" s="75" customFormat="1" ht="51">
      <c r="A375" s="271">
        <v>1</v>
      </c>
      <c r="B375" s="72" t="s">
        <v>1782</v>
      </c>
      <c r="C375" s="271" t="s">
        <v>1786</v>
      </c>
      <c r="D375" s="271"/>
      <c r="E375" s="271">
        <v>2</v>
      </c>
      <c r="F375" s="271">
        <v>2</v>
      </c>
      <c r="G375" s="73">
        <f>F375-E375</f>
        <v>0</v>
      </c>
      <c r="H375" s="272"/>
      <c r="I375" s="272"/>
      <c r="J375" s="271" t="s">
        <v>980</v>
      </c>
      <c r="K375" s="271"/>
      <c r="L375" s="271" t="s">
        <v>641</v>
      </c>
      <c r="M375" s="271" t="s">
        <v>1787</v>
      </c>
      <c r="N375" s="271" t="s">
        <v>1784</v>
      </c>
    </row>
    <row r="376" spans="1:14" s="75" customFormat="1" ht="51">
      <c r="A376" s="271">
        <v>2</v>
      </c>
      <c r="B376" s="72" t="s">
        <v>1782</v>
      </c>
      <c r="C376" s="271" t="s">
        <v>1788</v>
      </c>
      <c r="D376" s="271"/>
      <c r="E376" s="271">
        <v>2</v>
      </c>
      <c r="F376" s="271">
        <v>2</v>
      </c>
      <c r="G376" s="73">
        <f t="shared" ref="G376:G384" si="17">F376-E376</f>
        <v>0</v>
      </c>
      <c r="H376" s="272"/>
      <c r="I376" s="272"/>
      <c r="J376" s="271" t="s">
        <v>980</v>
      </c>
      <c r="K376" s="271"/>
      <c r="L376" s="271" t="s">
        <v>641</v>
      </c>
      <c r="M376" s="271" t="s">
        <v>1787</v>
      </c>
      <c r="N376" s="271" t="s">
        <v>1784</v>
      </c>
    </row>
    <row r="377" spans="1:14" s="75" customFormat="1" ht="51">
      <c r="A377" s="271">
        <v>3</v>
      </c>
      <c r="B377" s="72" t="s">
        <v>1782</v>
      </c>
      <c r="C377" s="271" t="s">
        <v>1789</v>
      </c>
      <c r="D377" s="271"/>
      <c r="E377" s="271">
        <v>1</v>
      </c>
      <c r="F377" s="271">
        <v>1</v>
      </c>
      <c r="G377" s="73">
        <f t="shared" si="17"/>
        <v>0</v>
      </c>
      <c r="H377" s="272"/>
      <c r="I377" s="272"/>
      <c r="J377" s="271" t="s">
        <v>980</v>
      </c>
      <c r="K377" s="271"/>
      <c r="L377" s="271" t="s">
        <v>641</v>
      </c>
      <c r="M377" s="271" t="s">
        <v>1787</v>
      </c>
      <c r="N377" s="271" t="s">
        <v>1784</v>
      </c>
    </row>
    <row r="378" spans="1:14" s="75" customFormat="1" ht="51">
      <c r="A378" s="271">
        <v>4</v>
      </c>
      <c r="B378" s="72" t="s">
        <v>1782</v>
      </c>
      <c r="C378" s="271" t="s">
        <v>1790</v>
      </c>
      <c r="D378" s="271"/>
      <c r="E378" s="271">
        <v>3</v>
      </c>
      <c r="F378" s="271">
        <v>3</v>
      </c>
      <c r="G378" s="73">
        <f t="shared" si="17"/>
        <v>0</v>
      </c>
      <c r="H378" s="272"/>
      <c r="I378" s="272"/>
      <c r="J378" s="271" t="s">
        <v>980</v>
      </c>
      <c r="K378" s="271"/>
      <c r="L378" s="271" t="s">
        <v>641</v>
      </c>
      <c r="M378" s="271" t="s">
        <v>1787</v>
      </c>
      <c r="N378" s="271" t="s">
        <v>1784</v>
      </c>
    </row>
    <row r="379" spans="1:14" s="75" customFormat="1" ht="51">
      <c r="A379" s="271">
        <v>5</v>
      </c>
      <c r="B379" s="72" t="s">
        <v>1791</v>
      </c>
      <c r="C379" s="271" t="s">
        <v>1792</v>
      </c>
      <c r="D379" s="271"/>
      <c r="E379" s="271">
        <v>1</v>
      </c>
      <c r="F379" s="271">
        <v>1</v>
      </c>
      <c r="G379" s="73">
        <f t="shared" si="17"/>
        <v>0</v>
      </c>
      <c r="H379" s="272"/>
      <c r="I379" s="272"/>
      <c r="J379" s="271" t="s">
        <v>980</v>
      </c>
      <c r="K379" s="271"/>
      <c r="L379" s="271" t="s">
        <v>641</v>
      </c>
      <c r="M379" s="271" t="s">
        <v>1787</v>
      </c>
      <c r="N379" s="271" t="s">
        <v>1784</v>
      </c>
    </row>
    <row r="380" spans="1:14" s="75" customFormat="1" ht="51">
      <c r="A380" s="271">
        <v>6</v>
      </c>
      <c r="B380" s="72" t="s">
        <v>1791</v>
      </c>
      <c r="C380" s="271" t="s">
        <v>1793</v>
      </c>
      <c r="D380" s="271"/>
      <c r="E380" s="271">
        <v>1</v>
      </c>
      <c r="F380" s="271">
        <v>1</v>
      </c>
      <c r="G380" s="73">
        <f t="shared" si="17"/>
        <v>0</v>
      </c>
      <c r="H380" s="272"/>
      <c r="I380" s="272"/>
      <c r="J380" s="271" t="s">
        <v>980</v>
      </c>
      <c r="K380" s="271"/>
      <c r="L380" s="271" t="s">
        <v>641</v>
      </c>
      <c r="M380" s="271" t="s">
        <v>1787</v>
      </c>
      <c r="N380" s="271" t="s">
        <v>1784</v>
      </c>
    </row>
    <row r="381" spans="1:14" s="75" customFormat="1" ht="51">
      <c r="A381" s="271">
        <v>7</v>
      </c>
      <c r="B381" s="72" t="s">
        <v>1791</v>
      </c>
      <c r="C381" s="271" t="s">
        <v>689</v>
      </c>
      <c r="D381" s="271"/>
      <c r="E381" s="271">
        <v>1</v>
      </c>
      <c r="F381" s="271">
        <v>1</v>
      </c>
      <c r="G381" s="73">
        <f>F381-E381</f>
        <v>0</v>
      </c>
      <c r="H381" s="272"/>
      <c r="I381" s="272"/>
      <c r="J381" s="271" t="s">
        <v>980</v>
      </c>
      <c r="K381" s="271"/>
      <c r="L381" s="271" t="s">
        <v>641</v>
      </c>
      <c r="M381" s="271" t="s">
        <v>1787</v>
      </c>
      <c r="N381" s="271" t="s">
        <v>1784</v>
      </c>
    </row>
    <row r="382" spans="1:14" s="75" customFormat="1" ht="51">
      <c r="A382" s="271">
        <v>8</v>
      </c>
      <c r="B382" s="72" t="s">
        <v>1791</v>
      </c>
      <c r="C382" s="271" t="s">
        <v>118</v>
      </c>
      <c r="D382" s="271"/>
      <c r="E382" s="271">
        <v>1</v>
      </c>
      <c r="F382" s="271">
        <v>1</v>
      </c>
      <c r="G382" s="73">
        <f t="shared" si="17"/>
        <v>0</v>
      </c>
      <c r="H382" s="272"/>
      <c r="I382" s="272"/>
      <c r="J382" s="271" t="s">
        <v>980</v>
      </c>
      <c r="K382" s="271"/>
      <c r="L382" s="271" t="s">
        <v>641</v>
      </c>
      <c r="M382" s="271" t="s">
        <v>1787</v>
      </c>
      <c r="N382" s="271" t="s">
        <v>1784</v>
      </c>
    </row>
    <row r="383" spans="1:14" s="71" customFormat="1" ht="51">
      <c r="A383" s="271">
        <v>9</v>
      </c>
      <c r="B383" s="72" t="s">
        <v>1794</v>
      </c>
      <c r="C383" s="271" t="s">
        <v>265</v>
      </c>
      <c r="D383" s="271"/>
      <c r="E383" s="271">
        <v>1</v>
      </c>
      <c r="F383" s="271">
        <v>1</v>
      </c>
      <c r="G383" s="73">
        <f t="shared" si="17"/>
        <v>0</v>
      </c>
      <c r="H383" s="272"/>
      <c r="I383" s="272"/>
      <c r="J383" s="271" t="s">
        <v>980</v>
      </c>
      <c r="K383" s="271"/>
      <c r="L383" s="271" t="s">
        <v>641</v>
      </c>
      <c r="M383" s="271" t="s">
        <v>1787</v>
      </c>
      <c r="N383" s="271" t="s">
        <v>1784</v>
      </c>
    </row>
    <row r="384" spans="1:14" s="71" customFormat="1" ht="51">
      <c r="A384" s="271">
        <v>10</v>
      </c>
      <c r="B384" s="72" t="s">
        <v>273</v>
      </c>
      <c r="C384" s="271" t="s">
        <v>274</v>
      </c>
      <c r="D384" s="271"/>
      <c r="E384" s="271">
        <v>1</v>
      </c>
      <c r="F384" s="271">
        <v>1</v>
      </c>
      <c r="G384" s="73">
        <f t="shared" si="17"/>
        <v>0</v>
      </c>
      <c r="H384" s="272"/>
      <c r="I384" s="272"/>
      <c r="J384" s="271" t="s">
        <v>980</v>
      </c>
      <c r="K384" s="271"/>
      <c r="L384" s="271" t="s">
        <v>641</v>
      </c>
      <c r="M384" s="271" t="s">
        <v>1787</v>
      </c>
      <c r="N384" s="271" t="s">
        <v>1784</v>
      </c>
    </row>
    <row r="385" spans="1:14" s="71" customFormat="1" ht="20.100000000000001" customHeight="1">
      <c r="A385" s="271"/>
      <c r="B385" s="490" t="s">
        <v>1795</v>
      </c>
      <c r="C385" s="490"/>
      <c r="D385" s="490"/>
      <c r="E385" s="490"/>
      <c r="F385" s="490"/>
      <c r="G385" s="490"/>
      <c r="H385" s="490"/>
      <c r="I385" s="490"/>
      <c r="J385" s="490"/>
      <c r="K385" s="490"/>
      <c r="L385" s="490"/>
      <c r="M385" s="490"/>
      <c r="N385" s="490"/>
    </row>
    <row r="386" spans="1:14" s="71" customFormat="1" ht="51">
      <c r="A386" s="91">
        <v>1</v>
      </c>
      <c r="B386" s="113" t="s">
        <v>1796</v>
      </c>
      <c r="C386" s="40" t="s">
        <v>1797</v>
      </c>
      <c r="D386" s="40">
        <v>2017</v>
      </c>
      <c r="E386" s="271">
        <v>1</v>
      </c>
      <c r="F386" s="271">
        <v>1</v>
      </c>
      <c r="G386" s="271">
        <f>F386-E386</f>
        <v>0</v>
      </c>
      <c r="H386" s="114">
        <v>10500000</v>
      </c>
      <c r="I386" s="114">
        <v>10500000</v>
      </c>
      <c r="J386" s="271" t="s">
        <v>980</v>
      </c>
      <c r="K386" s="271"/>
      <c r="L386" s="271" t="s">
        <v>641</v>
      </c>
      <c r="M386" s="271" t="s">
        <v>1798</v>
      </c>
      <c r="N386" s="271"/>
    </row>
    <row r="387" spans="1:14" s="71" customFormat="1" ht="51">
      <c r="A387" s="91">
        <v>2</v>
      </c>
      <c r="B387" s="113" t="s">
        <v>1799</v>
      </c>
      <c r="C387" s="40" t="s">
        <v>1800</v>
      </c>
      <c r="D387" s="40">
        <v>2017</v>
      </c>
      <c r="E387" s="40">
        <v>1</v>
      </c>
      <c r="F387" s="40">
        <v>1</v>
      </c>
      <c r="G387" s="271">
        <f t="shared" ref="G387:G435" si="18">F387-E387</f>
        <v>0</v>
      </c>
      <c r="H387" s="114">
        <v>11000000</v>
      </c>
      <c r="I387" s="114">
        <v>11000000</v>
      </c>
      <c r="J387" s="271" t="s">
        <v>980</v>
      </c>
      <c r="K387" s="271"/>
      <c r="L387" s="271" t="s">
        <v>641</v>
      </c>
      <c r="M387" s="271" t="s">
        <v>1801</v>
      </c>
      <c r="N387" s="271"/>
    </row>
    <row r="388" spans="1:14" s="71" customFormat="1" ht="51">
      <c r="A388" s="91">
        <v>3</v>
      </c>
      <c r="B388" s="113" t="s">
        <v>1802</v>
      </c>
      <c r="C388" s="40" t="s">
        <v>1803</v>
      </c>
      <c r="D388" s="40">
        <v>2017</v>
      </c>
      <c r="E388" s="40">
        <v>1</v>
      </c>
      <c r="F388" s="40">
        <v>1</v>
      </c>
      <c r="G388" s="271">
        <f t="shared" si="18"/>
        <v>0</v>
      </c>
      <c r="H388" s="114">
        <v>15000000</v>
      </c>
      <c r="I388" s="114">
        <v>15000000</v>
      </c>
      <c r="J388" s="271" t="s">
        <v>980</v>
      </c>
      <c r="K388" s="271"/>
      <c r="L388" s="271" t="s">
        <v>95</v>
      </c>
      <c r="M388" s="271" t="s">
        <v>1217</v>
      </c>
      <c r="N388" s="271" t="s">
        <v>158</v>
      </c>
    </row>
    <row r="389" spans="1:14" s="71" customFormat="1" ht="51">
      <c r="A389" s="91">
        <v>4</v>
      </c>
      <c r="B389" s="113" t="s">
        <v>1804</v>
      </c>
      <c r="C389" s="40" t="s">
        <v>1805</v>
      </c>
      <c r="D389" s="40">
        <v>2017</v>
      </c>
      <c r="E389" s="40">
        <v>1</v>
      </c>
      <c r="F389" s="40">
        <v>1</v>
      </c>
      <c r="G389" s="271">
        <f t="shared" si="18"/>
        <v>0</v>
      </c>
      <c r="H389" s="114">
        <v>17000000</v>
      </c>
      <c r="I389" s="114">
        <v>17000000</v>
      </c>
      <c r="J389" s="271" t="s">
        <v>980</v>
      </c>
      <c r="K389" s="271"/>
      <c r="L389" s="271" t="s">
        <v>641</v>
      </c>
      <c r="M389" s="271" t="s">
        <v>1798</v>
      </c>
      <c r="N389" s="271"/>
    </row>
    <row r="390" spans="1:14" s="71" customFormat="1" ht="51">
      <c r="A390" s="91">
        <v>5</v>
      </c>
      <c r="B390" s="113" t="s">
        <v>1806</v>
      </c>
      <c r="C390" s="40" t="s">
        <v>1807</v>
      </c>
      <c r="D390" s="40">
        <v>2004</v>
      </c>
      <c r="E390" s="40">
        <v>1</v>
      </c>
      <c r="F390" s="40">
        <v>1</v>
      </c>
      <c r="G390" s="271">
        <f t="shared" si="18"/>
        <v>0</v>
      </c>
      <c r="H390" s="114">
        <v>19500000</v>
      </c>
      <c r="I390" s="114">
        <v>19500000</v>
      </c>
      <c r="J390" s="271" t="s">
        <v>980</v>
      </c>
      <c r="K390" s="271"/>
      <c r="L390" s="271" t="s">
        <v>95</v>
      </c>
      <c r="M390" s="271" t="s">
        <v>1801</v>
      </c>
      <c r="N390" s="271" t="s">
        <v>158</v>
      </c>
    </row>
    <row r="391" spans="1:14" s="71" customFormat="1" ht="51">
      <c r="A391" s="91">
        <v>6</v>
      </c>
      <c r="B391" s="113" t="s">
        <v>1808</v>
      </c>
      <c r="C391" s="40" t="s">
        <v>1809</v>
      </c>
      <c r="D391" s="40">
        <v>2017</v>
      </c>
      <c r="E391" s="40">
        <v>1</v>
      </c>
      <c r="F391" s="40">
        <v>1</v>
      </c>
      <c r="G391" s="271">
        <f>F391-E391</f>
        <v>0</v>
      </c>
      <c r="H391" s="114">
        <v>20000000</v>
      </c>
      <c r="I391" s="114">
        <v>20000000</v>
      </c>
      <c r="J391" s="271" t="s">
        <v>980</v>
      </c>
      <c r="K391" s="271"/>
      <c r="L391" s="271" t="s">
        <v>1810</v>
      </c>
      <c r="M391" s="271" t="s">
        <v>1801</v>
      </c>
      <c r="N391" s="271"/>
    </row>
    <row r="392" spans="1:14" s="71" customFormat="1" ht="51">
      <c r="A392" s="91">
        <v>7</v>
      </c>
      <c r="B392" s="113" t="s">
        <v>1811</v>
      </c>
      <c r="C392" s="40" t="s">
        <v>1812</v>
      </c>
      <c r="D392" s="40">
        <v>2017</v>
      </c>
      <c r="E392" s="40">
        <v>1</v>
      </c>
      <c r="F392" s="40">
        <v>1</v>
      </c>
      <c r="G392" s="271">
        <f t="shared" si="18"/>
        <v>0</v>
      </c>
      <c r="H392" s="114">
        <v>34000000</v>
      </c>
      <c r="I392" s="114">
        <v>34000000</v>
      </c>
      <c r="J392" s="271" t="s">
        <v>980</v>
      </c>
      <c r="K392" s="271"/>
      <c r="L392" s="271" t="s">
        <v>1810</v>
      </c>
      <c r="M392" s="271" t="s">
        <v>1798</v>
      </c>
      <c r="N392" s="271"/>
    </row>
    <row r="393" spans="1:14" s="71" customFormat="1" ht="51">
      <c r="A393" s="91">
        <v>8</v>
      </c>
      <c r="B393" s="113" t="s">
        <v>1813</v>
      </c>
      <c r="C393" s="40" t="s">
        <v>1814</v>
      </c>
      <c r="D393" s="40">
        <v>2017</v>
      </c>
      <c r="E393" s="40">
        <v>1</v>
      </c>
      <c r="F393" s="40">
        <v>1</v>
      </c>
      <c r="G393" s="271">
        <f t="shared" si="18"/>
        <v>0</v>
      </c>
      <c r="H393" s="114">
        <v>35000000</v>
      </c>
      <c r="I393" s="114">
        <v>35000000</v>
      </c>
      <c r="J393" s="271" t="s">
        <v>980</v>
      </c>
      <c r="K393" s="271"/>
      <c r="L393" s="271" t="s">
        <v>1810</v>
      </c>
      <c r="M393" s="271" t="s">
        <v>1217</v>
      </c>
      <c r="N393" s="271"/>
    </row>
    <row r="394" spans="1:14" s="71" customFormat="1" ht="51">
      <c r="A394" s="91">
        <v>9</v>
      </c>
      <c r="B394" s="113" t="s">
        <v>1815</v>
      </c>
      <c r="C394" s="40" t="s">
        <v>1816</v>
      </c>
      <c r="D394" s="40">
        <v>2017</v>
      </c>
      <c r="E394" s="115">
        <v>1</v>
      </c>
      <c r="F394" s="115">
        <v>1</v>
      </c>
      <c r="G394" s="271">
        <f t="shared" si="18"/>
        <v>0</v>
      </c>
      <c r="H394" s="116">
        <v>38000000</v>
      </c>
      <c r="I394" s="116">
        <v>38000000</v>
      </c>
      <c r="J394" s="271" t="s">
        <v>980</v>
      </c>
      <c r="K394" s="271"/>
      <c r="L394" s="271" t="s">
        <v>641</v>
      </c>
      <c r="M394" s="271" t="s">
        <v>1817</v>
      </c>
      <c r="N394" s="271"/>
    </row>
    <row r="395" spans="1:14" s="71" customFormat="1" ht="51">
      <c r="A395" s="91">
        <v>10</v>
      </c>
      <c r="B395" s="113" t="s">
        <v>1818</v>
      </c>
      <c r="C395" s="40" t="s">
        <v>1819</v>
      </c>
      <c r="D395" s="40">
        <v>2017</v>
      </c>
      <c r="E395" s="40">
        <v>1</v>
      </c>
      <c r="F395" s="40">
        <v>1</v>
      </c>
      <c r="G395" s="271">
        <f t="shared" si="18"/>
        <v>0</v>
      </c>
      <c r="H395" s="114">
        <v>38000000</v>
      </c>
      <c r="I395" s="114">
        <v>38000000</v>
      </c>
      <c r="J395" s="271" t="s">
        <v>980</v>
      </c>
      <c r="K395" s="271"/>
      <c r="L395" s="271" t="s">
        <v>641</v>
      </c>
      <c r="M395" s="271" t="s">
        <v>1217</v>
      </c>
      <c r="N395" s="271"/>
    </row>
    <row r="396" spans="1:14" s="71" customFormat="1" ht="51">
      <c r="A396" s="91">
        <v>11</v>
      </c>
      <c r="B396" s="113" t="s">
        <v>1820</v>
      </c>
      <c r="C396" s="40" t="s">
        <v>1821</v>
      </c>
      <c r="D396" s="40">
        <v>2011</v>
      </c>
      <c r="E396" s="40">
        <v>1</v>
      </c>
      <c r="F396" s="40">
        <v>1</v>
      </c>
      <c r="G396" s="271">
        <f>F396-E396</f>
        <v>0</v>
      </c>
      <c r="H396" s="114">
        <v>41500000</v>
      </c>
      <c r="I396" s="114">
        <v>41500000</v>
      </c>
      <c r="J396" s="271" t="s">
        <v>980</v>
      </c>
      <c r="K396" s="271"/>
      <c r="L396" s="271" t="s">
        <v>95</v>
      </c>
      <c r="M396" s="271" t="s">
        <v>1801</v>
      </c>
      <c r="N396" s="271" t="s">
        <v>1822</v>
      </c>
    </row>
    <row r="397" spans="1:14" s="71" customFormat="1" ht="51">
      <c r="A397" s="91">
        <v>12</v>
      </c>
      <c r="B397" s="113" t="s">
        <v>1823</v>
      </c>
      <c r="C397" s="40" t="s">
        <v>1824</v>
      </c>
      <c r="D397" s="40">
        <v>2015</v>
      </c>
      <c r="E397" s="40">
        <v>1</v>
      </c>
      <c r="F397" s="40">
        <v>1</v>
      </c>
      <c r="G397" s="271">
        <f t="shared" si="18"/>
        <v>0</v>
      </c>
      <c r="H397" s="114">
        <v>41559000</v>
      </c>
      <c r="I397" s="114">
        <v>41559000</v>
      </c>
      <c r="J397" s="271" t="s">
        <v>980</v>
      </c>
      <c r="K397" s="271"/>
      <c r="L397" s="271" t="s">
        <v>641</v>
      </c>
      <c r="M397" s="271" t="s">
        <v>1801</v>
      </c>
      <c r="N397" s="271"/>
    </row>
    <row r="398" spans="1:14" s="71" customFormat="1" ht="51">
      <c r="A398" s="91">
        <v>13</v>
      </c>
      <c r="B398" s="113" t="s">
        <v>1825</v>
      </c>
      <c r="C398" s="40" t="s">
        <v>1826</v>
      </c>
      <c r="D398" s="40">
        <v>2017</v>
      </c>
      <c r="E398" s="40">
        <v>1</v>
      </c>
      <c r="F398" s="40">
        <v>1</v>
      </c>
      <c r="G398" s="271">
        <f t="shared" si="18"/>
        <v>0</v>
      </c>
      <c r="H398" s="114">
        <v>44500000</v>
      </c>
      <c r="I398" s="114">
        <v>44500000</v>
      </c>
      <c r="J398" s="271" t="s">
        <v>980</v>
      </c>
      <c r="K398" s="271"/>
      <c r="L398" s="271" t="s">
        <v>1810</v>
      </c>
      <c r="M398" s="271" t="s">
        <v>1798</v>
      </c>
      <c r="N398" s="271"/>
    </row>
    <row r="399" spans="1:14" s="71" customFormat="1" ht="51">
      <c r="A399" s="91">
        <v>14</v>
      </c>
      <c r="B399" s="113" t="s">
        <v>1827</v>
      </c>
      <c r="C399" s="40" t="s">
        <v>1828</v>
      </c>
      <c r="D399" s="40">
        <v>2017</v>
      </c>
      <c r="E399" s="40">
        <v>1</v>
      </c>
      <c r="F399" s="40">
        <v>1</v>
      </c>
      <c r="G399" s="271">
        <f t="shared" si="18"/>
        <v>0</v>
      </c>
      <c r="H399" s="114">
        <v>66400000</v>
      </c>
      <c r="I399" s="114">
        <v>66400000</v>
      </c>
      <c r="J399" s="271" t="s">
        <v>980</v>
      </c>
      <c r="K399" s="271"/>
      <c r="L399" s="271" t="s">
        <v>95</v>
      </c>
      <c r="M399" s="271" t="s">
        <v>1801</v>
      </c>
      <c r="N399" s="271" t="s">
        <v>158</v>
      </c>
    </row>
    <row r="400" spans="1:14" s="71" customFormat="1" ht="51">
      <c r="A400" s="91">
        <v>15</v>
      </c>
      <c r="B400" s="113" t="s">
        <v>1829</v>
      </c>
      <c r="C400" s="40" t="s">
        <v>1830</v>
      </c>
      <c r="D400" s="40">
        <v>2014</v>
      </c>
      <c r="E400" s="40">
        <v>1</v>
      </c>
      <c r="F400" s="40">
        <v>1</v>
      </c>
      <c r="G400" s="271">
        <f t="shared" si="18"/>
        <v>0</v>
      </c>
      <c r="H400" s="114">
        <v>70000000</v>
      </c>
      <c r="I400" s="114">
        <v>70000000</v>
      </c>
      <c r="J400" s="271" t="s">
        <v>980</v>
      </c>
      <c r="K400" s="271"/>
      <c r="L400" s="271" t="s">
        <v>95</v>
      </c>
      <c r="M400" s="271" t="s">
        <v>1801</v>
      </c>
      <c r="N400" s="271" t="s">
        <v>158</v>
      </c>
    </row>
    <row r="401" spans="1:14" s="71" customFormat="1" ht="51">
      <c r="A401" s="91">
        <v>16</v>
      </c>
      <c r="B401" s="113" t="s">
        <v>1831</v>
      </c>
      <c r="C401" s="40" t="s">
        <v>1832</v>
      </c>
      <c r="D401" s="40">
        <v>2017</v>
      </c>
      <c r="E401" s="40">
        <v>1</v>
      </c>
      <c r="F401" s="40">
        <v>1</v>
      </c>
      <c r="G401" s="271">
        <f>F401-E401</f>
        <v>0</v>
      </c>
      <c r="H401" s="114">
        <v>70800000</v>
      </c>
      <c r="I401" s="114">
        <v>70800000</v>
      </c>
      <c r="J401" s="271" t="s">
        <v>980</v>
      </c>
      <c r="K401" s="271"/>
      <c r="L401" s="271" t="s">
        <v>1810</v>
      </c>
      <c r="M401" s="271" t="s">
        <v>1798</v>
      </c>
      <c r="N401" s="271"/>
    </row>
    <row r="402" spans="1:14" s="71" customFormat="1" ht="51">
      <c r="A402" s="91">
        <v>17</v>
      </c>
      <c r="B402" s="113" t="s">
        <v>1833</v>
      </c>
      <c r="C402" s="40" t="s">
        <v>1834</v>
      </c>
      <c r="D402" s="40">
        <v>2013</v>
      </c>
      <c r="E402" s="40">
        <v>1</v>
      </c>
      <c r="F402" s="40">
        <v>1</v>
      </c>
      <c r="G402" s="271">
        <f t="shared" si="18"/>
        <v>0</v>
      </c>
      <c r="H402" s="114">
        <v>78980000</v>
      </c>
      <c r="I402" s="114">
        <v>78980000</v>
      </c>
      <c r="J402" s="271" t="s">
        <v>980</v>
      </c>
      <c r="K402" s="271"/>
      <c r="L402" s="271" t="s">
        <v>641</v>
      </c>
      <c r="M402" s="271" t="s">
        <v>1798</v>
      </c>
      <c r="N402" s="271"/>
    </row>
    <row r="403" spans="1:14" s="71" customFormat="1" ht="51">
      <c r="A403" s="91">
        <v>18</v>
      </c>
      <c r="B403" s="113" t="s">
        <v>1835</v>
      </c>
      <c r="C403" s="40" t="s">
        <v>1836</v>
      </c>
      <c r="D403" s="40">
        <v>2017</v>
      </c>
      <c r="E403" s="40">
        <v>1</v>
      </c>
      <c r="F403" s="40">
        <v>1</v>
      </c>
      <c r="G403" s="271">
        <f t="shared" si="18"/>
        <v>0</v>
      </c>
      <c r="H403" s="114">
        <v>85700000</v>
      </c>
      <c r="I403" s="114">
        <v>85700000</v>
      </c>
      <c r="J403" s="271" t="s">
        <v>980</v>
      </c>
      <c r="K403" s="271"/>
      <c r="L403" s="271" t="s">
        <v>95</v>
      </c>
      <c r="M403" s="271" t="s">
        <v>1817</v>
      </c>
      <c r="N403" s="271" t="s">
        <v>158</v>
      </c>
    </row>
    <row r="404" spans="1:14" s="71" customFormat="1" ht="51">
      <c r="A404" s="91">
        <v>19</v>
      </c>
      <c r="B404" s="113" t="s">
        <v>1837</v>
      </c>
      <c r="C404" s="40" t="s">
        <v>1838</v>
      </c>
      <c r="D404" s="40">
        <v>2017</v>
      </c>
      <c r="E404" s="40">
        <v>1</v>
      </c>
      <c r="F404" s="40">
        <v>1</v>
      </c>
      <c r="G404" s="271">
        <f>F404-E404</f>
        <v>0</v>
      </c>
      <c r="H404" s="114">
        <v>107300000</v>
      </c>
      <c r="I404" s="114">
        <v>107300000</v>
      </c>
      <c r="J404" s="271" t="s">
        <v>980</v>
      </c>
      <c r="K404" s="271"/>
      <c r="L404" s="271" t="s">
        <v>641</v>
      </c>
      <c r="M404" s="271" t="s">
        <v>1801</v>
      </c>
      <c r="N404" s="271"/>
    </row>
    <row r="405" spans="1:14" s="71" customFormat="1" ht="51">
      <c r="A405" s="91">
        <v>20</v>
      </c>
      <c r="B405" s="113" t="s">
        <v>1839</v>
      </c>
      <c r="C405" s="40" t="s">
        <v>1840</v>
      </c>
      <c r="D405" s="40">
        <v>2015</v>
      </c>
      <c r="E405" s="40">
        <v>1</v>
      </c>
      <c r="F405" s="40">
        <v>1</v>
      </c>
      <c r="G405" s="271">
        <f t="shared" si="18"/>
        <v>0</v>
      </c>
      <c r="H405" s="114">
        <v>134950000</v>
      </c>
      <c r="I405" s="114">
        <v>134950000</v>
      </c>
      <c r="J405" s="271" t="s">
        <v>980</v>
      </c>
      <c r="K405" s="271"/>
      <c r="L405" s="271" t="s">
        <v>641</v>
      </c>
      <c r="M405" s="271" t="s">
        <v>1798</v>
      </c>
      <c r="N405" s="271"/>
    </row>
    <row r="406" spans="1:14" s="71" customFormat="1" ht="51">
      <c r="A406" s="91">
        <v>21</v>
      </c>
      <c r="B406" s="113" t="s">
        <v>1841</v>
      </c>
      <c r="C406" s="40" t="s">
        <v>1842</v>
      </c>
      <c r="D406" s="40">
        <v>2017</v>
      </c>
      <c r="E406" s="40">
        <v>1</v>
      </c>
      <c r="F406" s="40">
        <v>1</v>
      </c>
      <c r="G406" s="271">
        <f t="shared" si="18"/>
        <v>0</v>
      </c>
      <c r="H406" s="114">
        <v>137000000</v>
      </c>
      <c r="I406" s="114">
        <v>137000000</v>
      </c>
      <c r="J406" s="271" t="s">
        <v>980</v>
      </c>
      <c r="K406" s="271"/>
      <c r="L406" s="271" t="s">
        <v>641</v>
      </c>
      <c r="M406" s="271" t="s">
        <v>1843</v>
      </c>
      <c r="N406" s="271"/>
    </row>
    <row r="407" spans="1:14" s="71" customFormat="1" ht="51">
      <c r="A407" s="91">
        <v>22</v>
      </c>
      <c r="B407" s="113" t="s">
        <v>1844</v>
      </c>
      <c r="C407" s="40" t="s">
        <v>1845</v>
      </c>
      <c r="D407" s="40">
        <v>2017</v>
      </c>
      <c r="E407" s="40">
        <v>1</v>
      </c>
      <c r="F407" s="40">
        <v>1</v>
      </c>
      <c r="G407" s="271">
        <f t="shared" si="18"/>
        <v>0</v>
      </c>
      <c r="H407" s="114">
        <v>169000000</v>
      </c>
      <c r="I407" s="114">
        <v>169000000</v>
      </c>
      <c r="J407" s="271" t="s">
        <v>980</v>
      </c>
      <c r="K407" s="271"/>
      <c r="L407" s="271" t="s">
        <v>95</v>
      </c>
      <c r="M407" s="271" t="s">
        <v>1817</v>
      </c>
      <c r="N407" s="271" t="s">
        <v>158</v>
      </c>
    </row>
    <row r="408" spans="1:14" s="71" customFormat="1" ht="51">
      <c r="A408" s="91">
        <v>23</v>
      </c>
      <c r="B408" s="113" t="s">
        <v>1846</v>
      </c>
      <c r="C408" s="40" t="s">
        <v>1847</v>
      </c>
      <c r="D408" s="40">
        <v>2017</v>
      </c>
      <c r="E408" s="40">
        <v>1</v>
      </c>
      <c r="F408" s="40">
        <v>1</v>
      </c>
      <c r="G408" s="271">
        <f t="shared" si="18"/>
        <v>0</v>
      </c>
      <c r="H408" s="114">
        <v>172000000</v>
      </c>
      <c r="I408" s="114">
        <v>172000000</v>
      </c>
      <c r="J408" s="271" t="s">
        <v>980</v>
      </c>
      <c r="K408" s="271"/>
      <c r="L408" s="271" t="s">
        <v>641</v>
      </c>
      <c r="M408" s="271" t="s">
        <v>1848</v>
      </c>
      <c r="N408" s="271"/>
    </row>
    <row r="409" spans="1:14" s="71" customFormat="1" ht="51">
      <c r="A409" s="91">
        <v>24</v>
      </c>
      <c r="B409" s="113" t="s">
        <v>1849</v>
      </c>
      <c r="C409" s="40" t="s">
        <v>1850</v>
      </c>
      <c r="D409" s="40">
        <v>2017</v>
      </c>
      <c r="E409" s="40">
        <v>1</v>
      </c>
      <c r="F409" s="40">
        <v>1</v>
      </c>
      <c r="G409" s="271">
        <f>F409-E409</f>
        <v>0</v>
      </c>
      <c r="H409" s="114">
        <v>184000000</v>
      </c>
      <c r="I409" s="114">
        <v>184000000</v>
      </c>
      <c r="J409" s="271" t="s">
        <v>980</v>
      </c>
      <c r="K409" s="271"/>
      <c r="L409" s="271" t="s">
        <v>641</v>
      </c>
      <c r="M409" s="271" t="s">
        <v>1851</v>
      </c>
      <c r="N409" s="271"/>
    </row>
    <row r="410" spans="1:14" s="71" customFormat="1" ht="51">
      <c r="A410" s="91">
        <v>25</v>
      </c>
      <c r="B410" s="113" t="s">
        <v>1852</v>
      </c>
      <c r="C410" s="40" t="s">
        <v>1853</v>
      </c>
      <c r="D410" s="40">
        <v>2014</v>
      </c>
      <c r="E410" s="40">
        <v>1</v>
      </c>
      <c r="F410" s="40">
        <v>1</v>
      </c>
      <c r="G410" s="271">
        <f t="shared" si="18"/>
        <v>0</v>
      </c>
      <c r="H410" s="114">
        <v>185577500</v>
      </c>
      <c r="I410" s="114">
        <v>185577500</v>
      </c>
      <c r="J410" s="271" t="s">
        <v>980</v>
      </c>
      <c r="K410" s="271"/>
      <c r="L410" s="271" t="s">
        <v>1810</v>
      </c>
      <c r="M410" s="271" t="s">
        <v>1798</v>
      </c>
      <c r="N410" s="271"/>
    </row>
    <row r="411" spans="1:14" s="71" customFormat="1" ht="51">
      <c r="A411" s="91">
        <v>26</v>
      </c>
      <c r="B411" s="113" t="s">
        <v>1854</v>
      </c>
      <c r="C411" s="40" t="s">
        <v>1855</v>
      </c>
      <c r="D411" s="40">
        <v>2009</v>
      </c>
      <c r="E411" s="40">
        <v>1</v>
      </c>
      <c r="F411" s="40">
        <v>1</v>
      </c>
      <c r="G411" s="271">
        <f>F411-E411</f>
        <v>0</v>
      </c>
      <c r="H411" s="114">
        <v>202162073</v>
      </c>
      <c r="I411" s="114">
        <v>202162073</v>
      </c>
      <c r="J411" s="271" t="s">
        <v>980</v>
      </c>
      <c r="K411" s="271"/>
      <c r="L411" s="271" t="s">
        <v>95</v>
      </c>
      <c r="M411" s="271" t="s">
        <v>1217</v>
      </c>
      <c r="N411" s="271" t="s">
        <v>158</v>
      </c>
    </row>
    <row r="412" spans="1:14" s="71" customFormat="1" ht="51">
      <c r="A412" s="91">
        <v>27</v>
      </c>
      <c r="B412" s="113" t="s">
        <v>1856</v>
      </c>
      <c r="C412" s="40" t="s">
        <v>1857</v>
      </c>
      <c r="D412" s="40">
        <v>2014</v>
      </c>
      <c r="E412" s="40">
        <v>1</v>
      </c>
      <c r="F412" s="40">
        <v>1</v>
      </c>
      <c r="G412" s="271">
        <f t="shared" si="18"/>
        <v>0</v>
      </c>
      <c r="H412" s="114">
        <v>218810000</v>
      </c>
      <c r="I412" s="114">
        <v>218810000</v>
      </c>
      <c r="J412" s="271" t="s">
        <v>980</v>
      </c>
      <c r="K412" s="271"/>
      <c r="L412" s="271" t="s">
        <v>641</v>
      </c>
      <c r="M412" s="271" t="s">
        <v>1858</v>
      </c>
      <c r="N412" s="271"/>
    </row>
    <row r="413" spans="1:14" s="71" customFormat="1" ht="51">
      <c r="A413" s="91">
        <v>28</v>
      </c>
      <c r="B413" s="113" t="s">
        <v>1859</v>
      </c>
      <c r="C413" s="40" t="s">
        <v>1860</v>
      </c>
      <c r="D413" s="40">
        <v>2011</v>
      </c>
      <c r="E413" s="40">
        <v>1</v>
      </c>
      <c r="F413" s="40">
        <v>1</v>
      </c>
      <c r="G413" s="271">
        <f t="shared" si="18"/>
        <v>0</v>
      </c>
      <c r="H413" s="114">
        <v>275000000</v>
      </c>
      <c r="I413" s="114">
        <v>275000000</v>
      </c>
      <c r="J413" s="271" t="s">
        <v>980</v>
      </c>
      <c r="K413" s="271"/>
      <c r="L413" s="271" t="s">
        <v>95</v>
      </c>
      <c r="M413" s="271" t="s">
        <v>1217</v>
      </c>
      <c r="N413" s="271" t="s">
        <v>158</v>
      </c>
    </row>
    <row r="414" spans="1:14" s="71" customFormat="1" ht="51">
      <c r="A414" s="91">
        <v>29</v>
      </c>
      <c r="B414" s="113" t="s">
        <v>1861</v>
      </c>
      <c r="C414" s="40" t="s">
        <v>1862</v>
      </c>
      <c r="D414" s="40">
        <v>2017</v>
      </c>
      <c r="E414" s="40">
        <v>1</v>
      </c>
      <c r="F414" s="40">
        <v>1</v>
      </c>
      <c r="G414" s="271">
        <f t="shared" si="18"/>
        <v>0</v>
      </c>
      <c r="H414" s="114">
        <v>289000000</v>
      </c>
      <c r="I414" s="114">
        <v>289000000</v>
      </c>
      <c r="J414" s="271" t="s">
        <v>980</v>
      </c>
      <c r="K414" s="271"/>
      <c r="L414" s="271" t="s">
        <v>1810</v>
      </c>
      <c r="M414" s="271" t="s">
        <v>1798</v>
      </c>
      <c r="N414" s="271"/>
    </row>
    <row r="415" spans="1:14" s="71" customFormat="1" ht="51">
      <c r="A415" s="91">
        <v>30</v>
      </c>
      <c r="B415" s="113" t="s">
        <v>1863</v>
      </c>
      <c r="C415" s="40" t="s">
        <v>1864</v>
      </c>
      <c r="D415" s="40">
        <v>2017</v>
      </c>
      <c r="E415" s="40">
        <v>1</v>
      </c>
      <c r="F415" s="40">
        <v>1</v>
      </c>
      <c r="G415" s="271">
        <f t="shared" si="18"/>
        <v>0</v>
      </c>
      <c r="H415" s="114">
        <v>329000000</v>
      </c>
      <c r="I415" s="114">
        <v>329000000</v>
      </c>
      <c r="J415" s="271" t="s">
        <v>980</v>
      </c>
      <c r="K415" s="271"/>
      <c r="L415" s="271" t="s">
        <v>641</v>
      </c>
      <c r="M415" s="271" t="s">
        <v>1865</v>
      </c>
      <c r="N415" s="72"/>
    </row>
    <row r="416" spans="1:14" s="71" customFormat="1" ht="51">
      <c r="A416" s="91">
        <v>31</v>
      </c>
      <c r="B416" s="113" t="s">
        <v>1866</v>
      </c>
      <c r="C416" s="40" t="s">
        <v>1867</v>
      </c>
      <c r="D416" s="40">
        <v>2017</v>
      </c>
      <c r="E416" s="40">
        <v>1</v>
      </c>
      <c r="F416" s="40">
        <v>1</v>
      </c>
      <c r="G416" s="271">
        <f>F416-E416</f>
        <v>0</v>
      </c>
      <c r="H416" s="114">
        <v>386200000</v>
      </c>
      <c r="I416" s="114">
        <v>386200000</v>
      </c>
      <c r="J416" s="271" t="s">
        <v>980</v>
      </c>
      <c r="K416" s="271"/>
      <c r="L416" s="271" t="s">
        <v>641</v>
      </c>
      <c r="M416" s="271" t="s">
        <v>1801</v>
      </c>
      <c r="N416" s="271"/>
    </row>
    <row r="417" spans="1:14" s="71" customFormat="1" ht="51">
      <c r="A417" s="91">
        <v>32</v>
      </c>
      <c r="B417" s="113" t="s">
        <v>1868</v>
      </c>
      <c r="C417" s="40" t="s">
        <v>1869</v>
      </c>
      <c r="D417" s="40">
        <v>2017</v>
      </c>
      <c r="E417" s="40">
        <v>1</v>
      </c>
      <c r="F417" s="40">
        <v>1</v>
      </c>
      <c r="G417" s="271">
        <f t="shared" si="18"/>
        <v>0</v>
      </c>
      <c r="H417" s="114">
        <v>525103000</v>
      </c>
      <c r="I417" s="114">
        <v>525103000</v>
      </c>
      <c r="J417" s="271" t="s">
        <v>980</v>
      </c>
      <c r="K417" s="271"/>
      <c r="L417" s="271" t="s">
        <v>95</v>
      </c>
      <c r="M417" s="271" t="s">
        <v>1870</v>
      </c>
      <c r="N417" s="271" t="s">
        <v>158</v>
      </c>
    </row>
    <row r="418" spans="1:14" s="71" customFormat="1" ht="89.25">
      <c r="A418" s="91">
        <v>33</v>
      </c>
      <c r="B418" s="113" t="s">
        <v>1871</v>
      </c>
      <c r="C418" s="40" t="s">
        <v>1872</v>
      </c>
      <c r="D418" s="40">
        <v>2017</v>
      </c>
      <c r="E418" s="40">
        <v>1</v>
      </c>
      <c r="F418" s="40">
        <v>1</v>
      </c>
      <c r="G418" s="271">
        <f t="shared" si="18"/>
        <v>0</v>
      </c>
      <c r="H418" s="114">
        <v>536300000</v>
      </c>
      <c r="I418" s="114">
        <v>536300000</v>
      </c>
      <c r="J418" s="271" t="s">
        <v>980</v>
      </c>
      <c r="K418" s="271"/>
      <c r="L418" s="271" t="s">
        <v>95</v>
      </c>
      <c r="M418" s="271" t="s">
        <v>1873</v>
      </c>
      <c r="N418" s="271" t="s">
        <v>158</v>
      </c>
    </row>
    <row r="419" spans="1:14" s="71" customFormat="1" ht="51">
      <c r="A419" s="91">
        <v>34</v>
      </c>
      <c r="B419" s="113" t="s">
        <v>1874</v>
      </c>
      <c r="C419" s="40" t="s">
        <v>1875</v>
      </c>
      <c r="D419" s="40">
        <v>2017</v>
      </c>
      <c r="E419" s="40">
        <v>1</v>
      </c>
      <c r="F419" s="40">
        <v>1</v>
      </c>
      <c r="G419" s="271">
        <f>F419-E419</f>
        <v>0</v>
      </c>
      <c r="H419" s="114">
        <v>889000000</v>
      </c>
      <c r="I419" s="114">
        <v>889000000</v>
      </c>
      <c r="J419" s="271" t="s">
        <v>980</v>
      </c>
      <c r="K419" s="271"/>
      <c r="L419" s="271" t="s">
        <v>95</v>
      </c>
      <c r="M419" s="271" t="s">
        <v>1798</v>
      </c>
      <c r="N419" s="271" t="s">
        <v>158</v>
      </c>
    </row>
    <row r="420" spans="1:14" s="71" customFormat="1" ht="51">
      <c r="A420" s="91">
        <v>35</v>
      </c>
      <c r="B420" s="113" t="s">
        <v>1876</v>
      </c>
      <c r="C420" s="40" t="s">
        <v>1877</v>
      </c>
      <c r="D420" s="40">
        <v>2017</v>
      </c>
      <c r="E420" s="40">
        <v>1</v>
      </c>
      <c r="F420" s="40">
        <v>1</v>
      </c>
      <c r="G420" s="271">
        <f t="shared" si="18"/>
        <v>0</v>
      </c>
      <c r="H420" s="114">
        <v>927000000</v>
      </c>
      <c r="I420" s="114">
        <v>927000000</v>
      </c>
      <c r="J420" s="271" t="s">
        <v>980</v>
      </c>
      <c r="K420" s="271"/>
      <c r="L420" s="271" t="s">
        <v>1810</v>
      </c>
      <c r="M420" s="271" t="s">
        <v>1798</v>
      </c>
      <c r="N420" s="271" t="s">
        <v>1878</v>
      </c>
    </row>
    <row r="421" spans="1:14" s="71" customFormat="1" ht="89.25">
      <c r="A421" s="91">
        <v>36</v>
      </c>
      <c r="B421" s="113" t="s">
        <v>1879</v>
      </c>
      <c r="C421" s="40" t="s">
        <v>1880</v>
      </c>
      <c r="D421" s="40" t="s">
        <v>1881</v>
      </c>
      <c r="E421" s="40">
        <v>1</v>
      </c>
      <c r="F421" s="40">
        <v>1</v>
      </c>
      <c r="G421" s="271">
        <f t="shared" si="18"/>
        <v>0</v>
      </c>
      <c r="H421" s="114">
        <v>4853000000</v>
      </c>
      <c r="I421" s="114">
        <v>4853000000</v>
      </c>
      <c r="J421" s="271" t="s">
        <v>980</v>
      </c>
      <c r="K421" s="271"/>
      <c r="L421" s="271" t="s">
        <v>95</v>
      </c>
      <c r="M421" s="271" t="s">
        <v>1798</v>
      </c>
      <c r="N421" s="271" t="s">
        <v>1882</v>
      </c>
    </row>
    <row r="422" spans="1:14" s="71" customFormat="1" ht="51">
      <c r="A422" s="91">
        <v>37</v>
      </c>
      <c r="B422" s="74" t="s">
        <v>1883</v>
      </c>
      <c r="C422" s="271" t="s">
        <v>1884</v>
      </c>
      <c r="D422" s="40">
        <v>2021</v>
      </c>
      <c r="E422" s="271">
        <v>1</v>
      </c>
      <c r="F422" s="271">
        <v>1</v>
      </c>
      <c r="G422" s="271">
        <f t="shared" si="18"/>
        <v>0</v>
      </c>
      <c r="H422" s="76">
        <v>12200000</v>
      </c>
      <c r="I422" s="76">
        <v>12200000</v>
      </c>
      <c r="J422" s="271" t="s">
        <v>980</v>
      </c>
      <c r="K422" s="271"/>
      <c r="L422" s="271" t="s">
        <v>641</v>
      </c>
      <c r="M422" s="271"/>
      <c r="N422" s="271"/>
    </row>
    <row r="423" spans="1:14" s="71" customFormat="1" ht="51">
      <c r="A423" s="91">
        <v>38</v>
      </c>
      <c r="B423" s="113" t="s">
        <v>1885</v>
      </c>
      <c r="C423" s="40" t="s">
        <v>1886</v>
      </c>
      <c r="D423" s="40">
        <v>2012</v>
      </c>
      <c r="E423" s="40">
        <v>1</v>
      </c>
      <c r="F423" s="40">
        <v>1</v>
      </c>
      <c r="G423" s="271">
        <f t="shared" si="18"/>
        <v>0</v>
      </c>
      <c r="H423" s="114">
        <v>17298695</v>
      </c>
      <c r="I423" s="114">
        <v>17298695</v>
      </c>
      <c r="J423" s="271" t="s">
        <v>980</v>
      </c>
      <c r="K423" s="271"/>
      <c r="L423" s="271" t="s">
        <v>641</v>
      </c>
      <c r="M423" s="271" t="s">
        <v>1873</v>
      </c>
      <c r="N423" s="271"/>
    </row>
    <row r="424" spans="1:14" s="71" customFormat="1" ht="51">
      <c r="A424" s="91">
        <v>39</v>
      </c>
      <c r="B424" s="113" t="s">
        <v>1885</v>
      </c>
      <c r="C424" s="40" t="s">
        <v>1887</v>
      </c>
      <c r="D424" s="40">
        <v>2012</v>
      </c>
      <c r="E424" s="40">
        <v>1</v>
      </c>
      <c r="F424" s="40">
        <v>1</v>
      </c>
      <c r="G424" s="271">
        <f>F424-E424</f>
        <v>0</v>
      </c>
      <c r="H424" s="114">
        <v>17298695</v>
      </c>
      <c r="I424" s="114">
        <v>17298695</v>
      </c>
      <c r="J424" s="271" t="s">
        <v>980</v>
      </c>
      <c r="K424" s="271"/>
      <c r="L424" s="271" t="s">
        <v>641</v>
      </c>
      <c r="M424" s="271" t="s">
        <v>1848</v>
      </c>
      <c r="N424" s="271"/>
    </row>
    <row r="425" spans="1:14" s="71" customFormat="1" ht="51">
      <c r="A425" s="91">
        <v>40</v>
      </c>
      <c r="B425" s="113" t="s">
        <v>1888</v>
      </c>
      <c r="C425" s="40" t="s">
        <v>1889</v>
      </c>
      <c r="D425" s="40">
        <v>2017</v>
      </c>
      <c r="E425" s="40">
        <v>1</v>
      </c>
      <c r="F425" s="40">
        <v>1</v>
      </c>
      <c r="G425" s="271">
        <f t="shared" si="18"/>
        <v>0</v>
      </c>
      <c r="H425" s="114">
        <v>14350000</v>
      </c>
      <c r="I425" s="114">
        <v>14350000</v>
      </c>
      <c r="J425" s="271" t="s">
        <v>980</v>
      </c>
      <c r="K425" s="271"/>
      <c r="L425" s="271" t="s">
        <v>641</v>
      </c>
      <c r="M425" s="271"/>
      <c r="N425" s="271"/>
    </row>
    <row r="426" spans="1:14" s="71" customFormat="1" ht="51">
      <c r="A426" s="91">
        <v>41</v>
      </c>
      <c r="B426" s="113" t="s">
        <v>1888</v>
      </c>
      <c r="C426" s="40" t="s">
        <v>1890</v>
      </c>
      <c r="D426" s="40">
        <v>2017</v>
      </c>
      <c r="E426" s="40">
        <v>1</v>
      </c>
      <c r="F426" s="40">
        <v>1</v>
      </c>
      <c r="G426" s="271">
        <f t="shared" si="18"/>
        <v>0</v>
      </c>
      <c r="H426" s="114">
        <v>14350000</v>
      </c>
      <c r="I426" s="114">
        <v>14350000</v>
      </c>
      <c r="J426" s="271" t="s">
        <v>980</v>
      </c>
      <c r="K426" s="271"/>
      <c r="L426" s="271" t="s">
        <v>641</v>
      </c>
      <c r="M426" s="271"/>
      <c r="N426" s="271"/>
    </row>
    <row r="427" spans="1:14" s="71" customFormat="1" ht="51">
      <c r="A427" s="91">
        <v>42</v>
      </c>
      <c r="B427" s="113" t="s">
        <v>1891</v>
      </c>
      <c r="C427" s="40" t="s">
        <v>1892</v>
      </c>
      <c r="D427" s="40">
        <v>2017</v>
      </c>
      <c r="E427" s="40">
        <v>1</v>
      </c>
      <c r="F427" s="40">
        <v>1</v>
      </c>
      <c r="G427" s="271">
        <f t="shared" si="18"/>
        <v>0</v>
      </c>
      <c r="H427" s="114">
        <v>14350000</v>
      </c>
      <c r="I427" s="114">
        <v>14350000</v>
      </c>
      <c r="J427" s="271" t="s">
        <v>980</v>
      </c>
      <c r="K427" s="271"/>
      <c r="L427" s="271" t="s">
        <v>641</v>
      </c>
      <c r="M427" s="271"/>
      <c r="N427" s="271"/>
    </row>
    <row r="428" spans="1:14" s="71" customFormat="1" ht="51">
      <c r="A428" s="91">
        <v>43</v>
      </c>
      <c r="B428" s="113" t="s">
        <v>1891</v>
      </c>
      <c r="C428" s="40" t="s">
        <v>1893</v>
      </c>
      <c r="D428" s="40">
        <v>2017</v>
      </c>
      <c r="E428" s="40">
        <v>1</v>
      </c>
      <c r="F428" s="40">
        <v>1</v>
      </c>
      <c r="G428" s="271">
        <f t="shared" si="18"/>
        <v>0</v>
      </c>
      <c r="H428" s="114">
        <v>14350000</v>
      </c>
      <c r="I428" s="114">
        <v>14350000</v>
      </c>
      <c r="J428" s="271" t="s">
        <v>980</v>
      </c>
      <c r="K428" s="271"/>
      <c r="L428" s="271" t="s">
        <v>641</v>
      </c>
      <c r="M428" s="271"/>
      <c r="N428" s="271"/>
    </row>
    <row r="429" spans="1:14" s="71" customFormat="1" ht="51">
      <c r="A429" s="91">
        <v>44</v>
      </c>
      <c r="B429" s="113" t="s">
        <v>1894</v>
      </c>
      <c r="C429" s="40" t="s">
        <v>1895</v>
      </c>
      <c r="D429" s="40">
        <v>2015</v>
      </c>
      <c r="E429" s="40">
        <v>1</v>
      </c>
      <c r="F429" s="40">
        <v>1</v>
      </c>
      <c r="G429" s="271">
        <f>F429-E429</f>
        <v>0</v>
      </c>
      <c r="H429" s="114">
        <v>103898000</v>
      </c>
      <c r="I429" s="114">
        <v>103898000</v>
      </c>
      <c r="J429" s="271" t="s">
        <v>980</v>
      </c>
      <c r="K429" s="271"/>
      <c r="L429" s="271" t="s">
        <v>95</v>
      </c>
      <c r="M429" s="271" t="s">
        <v>1801</v>
      </c>
      <c r="N429" s="271" t="s">
        <v>158</v>
      </c>
    </row>
    <row r="430" spans="1:14" s="71" customFormat="1" ht="51">
      <c r="A430" s="91">
        <v>45</v>
      </c>
      <c r="B430" s="113" t="s">
        <v>1896</v>
      </c>
      <c r="C430" s="40" t="s">
        <v>1897</v>
      </c>
      <c r="D430" s="40">
        <v>2017</v>
      </c>
      <c r="E430" s="40">
        <v>1</v>
      </c>
      <c r="F430" s="40">
        <v>1</v>
      </c>
      <c r="G430" s="271">
        <f t="shared" si="18"/>
        <v>0</v>
      </c>
      <c r="H430" s="114">
        <v>477500000</v>
      </c>
      <c r="I430" s="114">
        <v>477500000</v>
      </c>
      <c r="J430" s="271" t="s">
        <v>980</v>
      </c>
      <c r="K430" s="271"/>
      <c r="L430" s="271" t="s">
        <v>95</v>
      </c>
      <c r="M430" s="271" t="s">
        <v>1801</v>
      </c>
      <c r="N430" s="271" t="s">
        <v>158</v>
      </c>
    </row>
    <row r="431" spans="1:14" s="71" customFormat="1" ht="51">
      <c r="A431" s="91">
        <v>46</v>
      </c>
      <c r="B431" s="113" t="s">
        <v>1898</v>
      </c>
      <c r="C431" s="40" t="s">
        <v>1899</v>
      </c>
      <c r="D431" s="40">
        <v>2017</v>
      </c>
      <c r="E431" s="40">
        <v>1</v>
      </c>
      <c r="F431" s="40">
        <v>1</v>
      </c>
      <c r="G431" s="271">
        <f>F431-E431</f>
        <v>0</v>
      </c>
      <c r="H431" s="114">
        <v>38500000</v>
      </c>
      <c r="I431" s="114">
        <v>38500000</v>
      </c>
      <c r="J431" s="271" t="s">
        <v>980</v>
      </c>
      <c r="K431" s="271"/>
      <c r="L431" s="271" t="s">
        <v>95</v>
      </c>
      <c r="M431" s="271" t="s">
        <v>1801</v>
      </c>
      <c r="N431" s="271" t="s">
        <v>158</v>
      </c>
    </row>
    <row r="432" spans="1:14" s="71" customFormat="1" ht="51">
      <c r="A432" s="91">
        <v>47</v>
      </c>
      <c r="B432" s="113" t="s">
        <v>1900</v>
      </c>
      <c r="C432" s="40" t="s">
        <v>1901</v>
      </c>
      <c r="D432" s="40">
        <v>2014</v>
      </c>
      <c r="E432" s="40">
        <v>1</v>
      </c>
      <c r="F432" s="40">
        <v>1</v>
      </c>
      <c r="G432" s="271">
        <f t="shared" si="18"/>
        <v>0</v>
      </c>
      <c r="H432" s="114">
        <v>83800000</v>
      </c>
      <c r="I432" s="114">
        <v>83800000</v>
      </c>
      <c r="J432" s="271" t="s">
        <v>980</v>
      </c>
      <c r="K432" s="271"/>
      <c r="L432" s="271" t="s">
        <v>95</v>
      </c>
      <c r="M432" s="271" t="s">
        <v>1801</v>
      </c>
      <c r="N432" s="271" t="s">
        <v>158</v>
      </c>
    </row>
    <row r="433" spans="1:14" s="71" customFormat="1" ht="51">
      <c r="A433" s="91">
        <v>48</v>
      </c>
      <c r="B433" s="113" t="s">
        <v>1902</v>
      </c>
      <c r="C433" s="40" t="s">
        <v>1903</v>
      </c>
      <c r="D433" s="40">
        <v>2017</v>
      </c>
      <c r="E433" s="40">
        <v>1</v>
      </c>
      <c r="F433" s="40">
        <v>1</v>
      </c>
      <c r="G433" s="271">
        <f t="shared" si="18"/>
        <v>0</v>
      </c>
      <c r="H433" s="114">
        <v>11750000</v>
      </c>
      <c r="I433" s="114">
        <v>11750000</v>
      </c>
      <c r="J433" s="271" t="s">
        <v>980</v>
      </c>
      <c r="K433" s="271"/>
      <c r="L433" s="271" t="s">
        <v>641</v>
      </c>
      <c r="M433" s="271" t="s">
        <v>1904</v>
      </c>
      <c r="N433" s="271" t="s">
        <v>1905</v>
      </c>
    </row>
    <row r="434" spans="1:14" s="71" customFormat="1" ht="51">
      <c r="A434" s="91">
        <v>49</v>
      </c>
      <c r="B434" s="113" t="s">
        <v>1902</v>
      </c>
      <c r="C434" s="40" t="s">
        <v>1906</v>
      </c>
      <c r="D434" s="40">
        <v>2017</v>
      </c>
      <c r="E434" s="40">
        <v>1</v>
      </c>
      <c r="F434" s="40">
        <v>1</v>
      </c>
      <c r="G434" s="271">
        <f t="shared" si="18"/>
        <v>0</v>
      </c>
      <c r="H434" s="114">
        <v>11750000</v>
      </c>
      <c r="I434" s="114">
        <v>11750000</v>
      </c>
      <c r="J434" s="271" t="s">
        <v>980</v>
      </c>
      <c r="K434" s="271"/>
      <c r="L434" s="271" t="s">
        <v>641</v>
      </c>
      <c r="M434" s="271" t="s">
        <v>1907</v>
      </c>
      <c r="N434" s="271" t="s">
        <v>1908</v>
      </c>
    </row>
    <row r="435" spans="1:14" s="71" customFormat="1" ht="51">
      <c r="A435" s="91">
        <v>50</v>
      </c>
      <c r="B435" s="113" t="s">
        <v>1902</v>
      </c>
      <c r="C435" s="40" t="s">
        <v>1909</v>
      </c>
      <c r="D435" s="40">
        <v>2017</v>
      </c>
      <c r="E435" s="40">
        <v>1</v>
      </c>
      <c r="F435" s="40">
        <v>1</v>
      </c>
      <c r="G435" s="271">
        <f t="shared" si="18"/>
        <v>0</v>
      </c>
      <c r="H435" s="114">
        <v>11750000</v>
      </c>
      <c r="I435" s="114">
        <v>11750000</v>
      </c>
      <c r="J435" s="271" t="s">
        <v>980</v>
      </c>
      <c r="K435" s="271"/>
      <c r="L435" s="271" t="s">
        <v>1183</v>
      </c>
      <c r="M435" s="271" t="s">
        <v>1910</v>
      </c>
      <c r="N435" s="271" t="s">
        <v>1911</v>
      </c>
    </row>
    <row r="436" spans="1:14" s="71" customFormat="1" ht="51">
      <c r="A436" s="91">
        <v>51</v>
      </c>
      <c r="B436" s="113" t="s">
        <v>1912</v>
      </c>
      <c r="C436" s="40" t="s">
        <v>1913</v>
      </c>
      <c r="D436" s="40">
        <v>2009</v>
      </c>
      <c r="E436" s="40">
        <v>1</v>
      </c>
      <c r="F436" s="40">
        <v>1</v>
      </c>
      <c r="G436" s="271">
        <f>F436-E436</f>
        <v>0</v>
      </c>
      <c r="H436" s="114">
        <v>213680000</v>
      </c>
      <c r="I436" s="114">
        <v>213680000</v>
      </c>
      <c r="J436" s="271" t="s">
        <v>980</v>
      </c>
      <c r="K436" s="271"/>
      <c r="L436" s="271" t="s">
        <v>95</v>
      </c>
      <c r="M436" s="271" t="s">
        <v>1801</v>
      </c>
      <c r="N436" s="271" t="s">
        <v>158</v>
      </c>
    </row>
    <row r="437" spans="1:14" s="71" customFormat="1" ht="51">
      <c r="A437" s="91">
        <v>52</v>
      </c>
      <c r="B437" s="113" t="s">
        <v>1914</v>
      </c>
      <c r="C437" s="40" t="s">
        <v>1915</v>
      </c>
      <c r="D437" s="40">
        <v>2012</v>
      </c>
      <c r="E437" s="40">
        <v>1</v>
      </c>
      <c r="F437" s="40">
        <v>1</v>
      </c>
      <c r="G437" s="271">
        <f>F437-E437</f>
        <v>0</v>
      </c>
      <c r="H437" s="114">
        <v>667000000</v>
      </c>
      <c r="I437" s="114">
        <v>667000000</v>
      </c>
      <c r="J437" s="271" t="s">
        <v>980</v>
      </c>
      <c r="K437" s="271"/>
      <c r="L437" s="271" t="s">
        <v>95</v>
      </c>
      <c r="M437" s="271" t="s">
        <v>1801</v>
      </c>
      <c r="N437" s="271" t="s">
        <v>158</v>
      </c>
    </row>
    <row r="438" spans="1:14" s="71" customFormat="1" ht="51">
      <c r="A438" s="91">
        <v>53</v>
      </c>
      <c r="B438" s="113" t="s">
        <v>1916</v>
      </c>
      <c r="C438" s="40" t="s">
        <v>1917</v>
      </c>
      <c r="D438" s="40">
        <v>2013</v>
      </c>
      <c r="E438" s="40">
        <v>1</v>
      </c>
      <c r="F438" s="40">
        <v>1</v>
      </c>
      <c r="G438" s="271">
        <f t="shared" ref="G438:G443" si="19">F438-E438</f>
        <v>0</v>
      </c>
      <c r="H438" s="114">
        <v>275380384</v>
      </c>
      <c r="I438" s="114">
        <v>275380384</v>
      </c>
      <c r="J438" s="271" t="s">
        <v>980</v>
      </c>
      <c r="K438" s="271"/>
      <c r="L438" s="271" t="s">
        <v>95</v>
      </c>
      <c r="M438" s="271" t="s">
        <v>1801</v>
      </c>
      <c r="N438" s="271" t="s">
        <v>158</v>
      </c>
    </row>
    <row r="439" spans="1:14" s="71" customFormat="1" ht="51">
      <c r="A439" s="91">
        <v>54</v>
      </c>
      <c r="B439" s="113" t="s">
        <v>1918</v>
      </c>
      <c r="C439" s="40" t="s">
        <v>1919</v>
      </c>
      <c r="D439" s="40">
        <v>2017</v>
      </c>
      <c r="E439" s="40">
        <v>1</v>
      </c>
      <c r="F439" s="40">
        <v>1</v>
      </c>
      <c r="G439" s="271">
        <f t="shared" si="19"/>
        <v>0</v>
      </c>
      <c r="H439" s="114">
        <v>101000000</v>
      </c>
      <c r="I439" s="114">
        <v>101000000</v>
      </c>
      <c r="J439" s="271" t="s">
        <v>980</v>
      </c>
      <c r="K439" s="271"/>
      <c r="L439" s="271" t="s">
        <v>95</v>
      </c>
      <c r="M439" s="271" t="s">
        <v>1801</v>
      </c>
      <c r="N439" s="271" t="s">
        <v>158</v>
      </c>
    </row>
    <row r="440" spans="1:14" s="71" customFormat="1" ht="51">
      <c r="A440" s="91">
        <v>55</v>
      </c>
      <c r="B440" s="113" t="s">
        <v>1920</v>
      </c>
      <c r="C440" s="40" t="s">
        <v>1921</v>
      </c>
      <c r="D440" s="40">
        <v>2017</v>
      </c>
      <c r="E440" s="40">
        <v>1</v>
      </c>
      <c r="F440" s="40">
        <v>1</v>
      </c>
      <c r="G440" s="271">
        <f t="shared" si="19"/>
        <v>0</v>
      </c>
      <c r="H440" s="114">
        <v>115000000</v>
      </c>
      <c r="I440" s="114">
        <v>115000000</v>
      </c>
      <c r="J440" s="271" t="s">
        <v>980</v>
      </c>
      <c r="K440" s="271"/>
      <c r="L440" s="271" t="s">
        <v>95</v>
      </c>
      <c r="M440" s="271" t="s">
        <v>1801</v>
      </c>
      <c r="N440" s="271" t="s">
        <v>158</v>
      </c>
    </row>
    <row r="441" spans="1:14" s="71" customFormat="1" ht="51">
      <c r="A441" s="91">
        <v>56</v>
      </c>
      <c r="B441" s="113" t="s">
        <v>1922</v>
      </c>
      <c r="C441" s="40" t="s">
        <v>1923</v>
      </c>
      <c r="D441" s="40">
        <v>2017</v>
      </c>
      <c r="E441" s="40">
        <v>1</v>
      </c>
      <c r="F441" s="40">
        <v>1</v>
      </c>
      <c r="G441" s="271">
        <f t="shared" si="19"/>
        <v>0</v>
      </c>
      <c r="H441" s="114">
        <v>120000000</v>
      </c>
      <c r="I441" s="114">
        <v>120000000</v>
      </c>
      <c r="J441" s="271" t="s">
        <v>980</v>
      </c>
      <c r="K441" s="271"/>
      <c r="L441" s="271" t="s">
        <v>95</v>
      </c>
      <c r="M441" s="271" t="s">
        <v>1801</v>
      </c>
      <c r="N441" s="271" t="s">
        <v>158</v>
      </c>
    </row>
    <row r="442" spans="1:14" s="71" customFormat="1" ht="51">
      <c r="A442" s="91">
        <v>57</v>
      </c>
      <c r="B442" s="113" t="s">
        <v>1924</v>
      </c>
      <c r="C442" s="40" t="s">
        <v>1925</v>
      </c>
      <c r="D442" s="40">
        <v>2015</v>
      </c>
      <c r="E442" s="40">
        <v>1</v>
      </c>
      <c r="F442" s="40">
        <v>1</v>
      </c>
      <c r="G442" s="271">
        <f>F442-E442</f>
        <v>0</v>
      </c>
      <c r="H442" s="114">
        <v>184500000</v>
      </c>
      <c r="I442" s="114">
        <v>184500000</v>
      </c>
      <c r="J442" s="271" t="s">
        <v>980</v>
      </c>
      <c r="K442" s="271"/>
      <c r="L442" s="271" t="s">
        <v>641</v>
      </c>
      <c r="M442" s="271" t="s">
        <v>1801</v>
      </c>
      <c r="N442" s="271" t="s">
        <v>1926</v>
      </c>
    </row>
    <row r="443" spans="1:14" s="71" customFormat="1" ht="51">
      <c r="A443" s="91">
        <v>58</v>
      </c>
      <c r="B443" s="113" t="s">
        <v>1927</v>
      </c>
      <c r="C443" s="40" t="s">
        <v>1928</v>
      </c>
      <c r="D443" s="40">
        <v>2017</v>
      </c>
      <c r="E443" s="40">
        <v>1</v>
      </c>
      <c r="F443" s="40">
        <v>1</v>
      </c>
      <c r="G443" s="271">
        <f t="shared" si="19"/>
        <v>0</v>
      </c>
      <c r="H443" s="114">
        <v>228000000</v>
      </c>
      <c r="I443" s="114">
        <v>228000000</v>
      </c>
      <c r="J443" s="271" t="s">
        <v>980</v>
      </c>
      <c r="K443" s="271"/>
      <c r="L443" s="271" t="s">
        <v>95</v>
      </c>
      <c r="M443" s="271" t="s">
        <v>1801</v>
      </c>
      <c r="N443" s="271" t="s">
        <v>158</v>
      </c>
    </row>
    <row r="444" spans="1:14" s="71" customFormat="1" ht="51">
      <c r="A444" s="91">
        <v>59</v>
      </c>
      <c r="B444" s="113" t="s">
        <v>1929</v>
      </c>
      <c r="C444" s="40" t="s">
        <v>1930</v>
      </c>
      <c r="D444" s="40">
        <v>2011</v>
      </c>
      <c r="E444" s="40">
        <v>1</v>
      </c>
      <c r="F444" s="40">
        <v>1</v>
      </c>
      <c r="G444" s="271">
        <f>F444-E444</f>
        <v>0</v>
      </c>
      <c r="H444" s="114">
        <v>816935081</v>
      </c>
      <c r="I444" s="114">
        <v>816935081</v>
      </c>
      <c r="J444" s="271" t="s">
        <v>980</v>
      </c>
      <c r="K444" s="271"/>
      <c r="L444" s="271" t="s">
        <v>95</v>
      </c>
      <c r="M444" s="271" t="s">
        <v>1801</v>
      </c>
      <c r="N444" s="271" t="s">
        <v>158</v>
      </c>
    </row>
    <row r="445" spans="1:14" s="71" customFormat="1" ht="51">
      <c r="A445" s="91">
        <v>60</v>
      </c>
      <c r="B445" s="113" t="s">
        <v>1931</v>
      </c>
      <c r="C445" s="40" t="s">
        <v>1932</v>
      </c>
      <c r="D445" s="40">
        <v>2017</v>
      </c>
      <c r="E445" s="40">
        <v>1</v>
      </c>
      <c r="F445" s="40">
        <v>1</v>
      </c>
      <c r="G445" s="271">
        <f t="shared" ref="G445:G448" si="20">F445-E445</f>
        <v>0</v>
      </c>
      <c r="H445" s="114">
        <v>467914000</v>
      </c>
      <c r="I445" s="114">
        <v>467914000</v>
      </c>
      <c r="J445" s="271" t="s">
        <v>980</v>
      </c>
      <c r="K445" s="271"/>
      <c r="L445" s="271" t="s">
        <v>95</v>
      </c>
      <c r="M445" s="271" t="s">
        <v>1801</v>
      </c>
      <c r="N445" s="271" t="s">
        <v>158</v>
      </c>
    </row>
    <row r="446" spans="1:14" s="71" customFormat="1" ht="51">
      <c r="A446" s="91">
        <v>61</v>
      </c>
      <c r="B446" s="113" t="s">
        <v>1933</v>
      </c>
      <c r="C446" s="40" t="s">
        <v>1934</v>
      </c>
      <c r="D446" s="40">
        <v>2017</v>
      </c>
      <c r="E446" s="40">
        <v>1</v>
      </c>
      <c r="F446" s="40">
        <v>1</v>
      </c>
      <c r="G446" s="271">
        <f t="shared" si="20"/>
        <v>0</v>
      </c>
      <c r="H446" s="114">
        <v>449000000</v>
      </c>
      <c r="I446" s="114">
        <v>449000000</v>
      </c>
      <c r="J446" s="271" t="s">
        <v>980</v>
      </c>
      <c r="K446" s="271"/>
      <c r="L446" s="271" t="s">
        <v>95</v>
      </c>
      <c r="M446" s="271" t="s">
        <v>1801</v>
      </c>
      <c r="N446" s="271" t="s">
        <v>158</v>
      </c>
    </row>
    <row r="447" spans="1:14" s="71" customFormat="1" ht="63.75">
      <c r="A447" s="91">
        <v>62</v>
      </c>
      <c r="B447" s="117" t="s">
        <v>1935</v>
      </c>
      <c r="C447" s="40" t="s">
        <v>1936</v>
      </c>
      <c r="D447" s="118">
        <v>2018</v>
      </c>
      <c r="E447" s="115">
        <v>1</v>
      </c>
      <c r="F447" s="115">
        <v>1</v>
      </c>
      <c r="G447" s="271">
        <f t="shared" si="20"/>
        <v>0</v>
      </c>
      <c r="H447" s="114">
        <v>1942000000</v>
      </c>
      <c r="I447" s="114">
        <v>1942000000</v>
      </c>
      <c r="J447" s="271" t="s">
        <v>980</v>
      </c>
      <c r="K447" s="271"/>
      <c r="L447" s="271" t="s">
        <v>641</v>
      </c>
      <c r="M447" s="271" t="s">
        <v>1798</v>
      </c>
      <c r="N447" s="271" t="s">
        <v>1937</v>
      </c>
    </row>
    <row r="448" spans="1:14" s="71" customFormat="1" ht="51">
      <c r="A448" s="91">
        <v>63</v>
      </c>
      <c r="B448" s="117" t="s">
        <v>1938</v>
      </c>
      <c r="C448" s="40" t="s">
        <v>1939</v>
      </c>
      <c r="D448" s="118">
        <v>2020</v>
      </c>
      <c r="E448" s="115">
        <v>1</v>
      </c>
      <c r="F448" s="115">
        <v>1</v>
      </c>
      <c r="G448" s="271">
        <f t="shared" si="20"/>
        <v>0</v>
      </c>
      <c r="H448" s="114">
        <v>242000000</v>
      </c>
      <c r="I448" s="114">
        <v>242000000</v>
      </c>
      <c r="J448" s="271" t="s">
        <v>980</v>
      </c>
      <c r="K448" s="271"/>
      <c r="L448" s="271" t="s">
        <v>641</v>
      </c>
      <c r="M448" s="271" t="s">
        <v>1217</v>
      </c>
      <c r="N448" s="271"/>
    </row>
    <row r="449" spans="1:14" s="71" customFormat="1" ht="20.100000000000001" customHeight="1">
      <c r="A449" s="271"/>
      <c r="B449" s="492" t="s">
        <v>775</v>
      </c>
      <c r="C449" s="493"/>
      <c r="D449" s="493"/>
      <c r="E449" s="493"/>
      <c r="F449" s="493"/>
      <c r="G449" s="493"/>
      <c r="H449" s="493"/>
      <c r="I449" s="493"/>
      <c r="J449" s="493"/>
      <c r="K449" s="493"/>
      <c r="L449" s="493"/>
      <c r="M449" s="493"/>
      <c r="N449" s="494"/>
    </row>
    <row r="450" spans="1:14" s="71" customFormat="1" ht="51">
      <c r="A450" s="91">
        <v>1</v>
      </c>
      <c r="B450" s="119" t="s">
        <v>1940</v>
      </c>
      <c r="C450" s="120" t="s">
        <v>1941</v>
      </c>
      <c r="D450" s="271"/>
      <c r="E450" s="121">
        <v>1</v>
      </c>
      <c r="F450" s="121">
        <v>1</v>
      </c>
      <c r="G450" s="122">
        <f>F450-E450</f>
        <v>0</v>
      </c>
      <c r="H450" s="100">
        <v>1080000</v>
      </c>
      <c r="I450" s="100">
        <v>1080000</v>
      </c>
      <c r="J450" s="271" t="s">
        <v>980</v>
      </c>
      <c r="K450" s="271"/>
      <c r="L450" s="271" t="s">
        <v>641</v>
      </c>
      <c r="M450" s="271" t="s">
        <v>1456</v>
      </c>
      <c r="N450" s="271"/>
    </row>
    <row r="451" spans="1:14" s="71" customFormat="1" ht="51">
      <c r="A451" s="91">
        <v>2</v>
      </c>
      <c r="B451" s="119" t="s">
        <v>1940</v>
      </c>
      <c r="C451" s="120" t="s">
        <v>1942</v>
      </c>
      <c r="D451" s="271"/>
      <c r="E451" s="121">
        <v>1</v>
      </c>
      <c r="F451" s="121">
        <v>1</v>
      </c>
      <c r="G451" s="122">
        <f t="shared" ref="G451:G486" si="21">F451-E451</f>
        <v>0</v>
      </c>
      <c r="H451" s="100">
        <v>1080000</v>
      </c>
      <c r="I451" s="100">
        <v>1080000</v>
      </c>
      <c r="J451" s="271" t="s">
        <v>980</v>
      </c>
      <c r="K451" s="271"/>
      <c r="L451" s="271" t="s">
        <v>641</v>
      </c>
      <c r="M451" s="271" t="s">
        <v>1456</v>
      </c>
      <c r="N451" s="271"/>
    </row>
    <row r="452" spans="1:14" s="71" customFormat="1" ht="51">
      <c r="A452" s="91">
        <v>3</v>
      </c>
      <c r="B452" s="119" t="s">
        <v>1940</v>
      </c>
      <c r="C452" s="120" t="s">
        <v>1943</v>
      </c>
      <c r="D452" s="271"/>
      <c r="E452" s="121">
        <v>1</v>
      </c>
      <c r="F452" s="121">
        <v>1</v>
      </c>
      <c r="G452" s="122">
        <f t="shared" si="21"/>
        <v>0</v>
      </c>
      <c r="H452" s="100">
        <v>1080000</v>
      </c>
      <c r="I452" s="100">
        <v>1080000</v>
      </c>
      <c r="J452" s="271" t="s">
        <v>980</v>
      </c>
      <c r="K452" s="271"/>
      <c r="L452" s="271" t="s">
        <v>641</v>
      </c>
      <c r="M452" s="271" t="s">
        <v>1456</v>
      </c>
      <c r="N452" s="271"/>
    </row>
    <row r="453" spans="1:14" s="71" customFormat="1" ht="51">
      <c r="A453" s="91">
        <v>4</v>
      </c>
      <c r="B453" s="119" t="s">
        <v>1944</v>
      </c>
      <c r="C453" s="120" t="s">
        <v>1945</v>
      </c>
      <c r="D453" s="271"/>
      <c r="E453" s="121">
        <v>5</v>
      </c>
      <c r="F453" s="121">
        <v>5</v>
      </c>
      <c r="G453" s="122">
        <f t="shared" si="21"/>
        <v>0</v>
      </c>
      <c r="H453" s="100">
        <v>300000</v>
      </c>
      <c r="I453" s="100">
        <v>1500000</v>
      </c>
      <c r="J453" s="271" t="s">
        <v>980</v>
      </c>
      <c r="K453" s="271"/>
      <c r="L453" s="271" t="s">
        <v>95</v>
      </c>
      <c r="M453" s="271" t="s">
        <v>1456</v>
      </c>
      <c r="N453" s="271" t="s">
        <v>158</v>
      </c>
    </row>
    <row r="454" spans="1:14" s="71" customFormat="1" ht="51">
      <c r="A454" s="91">
        <v>5</v>
      </c>
      <c r="B454" s="119" t="s">
        <v>1946</v>
      </c>
      <c r="C454" s="120" t="s">
        <v>1947</v>
      </c>
      <c r="D454" s="271"/>
      <c r="E454" s="121">
        <v>1</v>
      </c>
      <c r="F454" s="121">
        <v>1</v>
      </c>
      <c r="G454" s="122">
        <f t="shared" si="21"/>
        <v>0</v>
      </c>
      <c r="H454" s="100">
        <v>6500000</v>
      </c>
      <c r="I454" s="100">
        <v>6500000</v>
      </c>
      <c r="J454" s="271" t="s">
        <v>980</v>
      </c>
      <c r="K454" s="271"/>
      <c r="L454" s="271" t="s">
        <v>641</v>
      </c>
      <c r="M454" s="271" t="s">
        <v>1456</v>
      </c>
      <c r="N454" s="271"/>
    </row>
    <row r="455" spans="1:14" s="71" customFormat="1" ht="51">
      <c r="A455" s="91">
        <v>6</v>
      </c>
      <c r="B455" s="119" t="s">
        <v>1948</v>
      </c>
      <c r="C455" s="120" t="s">
        <v>1949</v>
      </c>
      <c r="D455" s="271"/>
      <c r="E455" s="121">
        <v>1</v>
      </c>
      <c r="F455" s="121">
        <v>1</v>
      </c>
      <c r="G455" s="122">
        <f t="shared" si="21"/>
        <v>0</v>
      </c>
      <c r="H455" s="100">
        <v>5000000</v>
      </c>
      <c r="I455" s="100">
        <v>5000000</v>
      </c>
      <c r="J455" s="271" t="s">
        <v>980</v>
      </c>
      <c r="K455" s="271"/>
      <c r="L455" s="271" t="s">
        <v>641</v>
      </c>
      <c r="M455" s="271" t="s">
        <v>1456</v>
      </c>
      <c r="N455" s="271"/>
    </row>
    <row r="456" spans="1:14" s="71" customFormat="1" ht="51">
      <c r="A456" s="91">
        <v>7</v>
      </c>
      <c r="B456" s="119" t="s">
        <v>1950</v>
      </c>
      <c r="C456" s="120" t="s">
        <v>1951</v>
      </c>
      <c r="D456" s="271"/>
      <c r="E456" s="121">
        <v>1</v>
      </c>
      <c r="F456" s="121">
        <v>1</v>
      </c>
      <c r="G456" s="122">
        <f t="shared" si="21"/>
        <v>0</v>
      </c>
      <c r="H456" s="100">
        <v>5000000</v>
      </c>
      <c r="I456" s="100">
        <v>5000000</v>
      </c>
      <c r="J456" s="271" t="s">
        <v>980</v>
      </c>
      <c r="K456" s="271"/>
      <c r="L456" s="271" t="s">
        <v>641</v>
      </c>
      <c r="M456" s="271" t="s">
        <v>1456</v>
      </c>
      <c r="N456" s="271"/>
    </row>
    <row r="457" spans="1:14" s="71" customFormat="1" ht="51">
      <c r="A457" s="91">
        <v>8</v>
      </c>
      <c r="B457" s="119" t="s">
        <v>1952</v>
      </c>
      <c r="C457" s="120" t="s">
        <v>1953</v>
      </c>
      <c r="D457" s="271"/>
      <c r="E457" s="123">
        <v>1</v>
      </c>
      <c r="F457" s="123">
        <v>1</v>
      </c>
      <c r="G457" s="122">
        <f>F457-E457</f>
        <v>0</v>
      </c>
      <c r="H457" s="100">
        <v>8000000</v>
      </c>
      <c r="I457" s="100">
        <v>8000000</v>
      </c>
      <c r="J457" s="271" t="s">
        <v>980</v>
      </c>
      <c r="K457" s="271"/>
      <c r="L457" s="271" t="s">
        <v>641</v>
      </c>
      <c r="M457" s="271" t="s">
        <v>1456</v>
      </c>
      <c r="N457" s="271"/>
    </row>
    <row r="458" spans="1:14" s="71" customFormat="1" ht="51">
      <c r="A458" s="91">
        <v>9</v>
      </c>
      <c r="B458" s="119" t="s">
        <v>1954</v>
      </c>
      <c r="C458" s="120" t="s">
        <v>1955</v>
      </c>
      <c r="D458" s="271"/>
      <c r="E458" s="123">
        <v>1</v>
      </c>
      <c r="F458" s="123">
        <v>1</v>
      </c>
      <c r="G458" s="122">
        <f t="shared" si="21"/>
        <v>0</v>
      </c>
      <c r="H458" s="100">
        <v>8000000</v>
      </c>
      <c r="I458" s="100">
        <v>8000000</v>
      </c>
      <c r="J458" s="271" t="s">
        <v>980</v>
      </c>
      <c r="K458" s="271"/>
      <c r="L458" s="271" t="s">
        <v>641</v>
      </c>
      <c r="M458" s="271" t="s">
        <v>1456</v>
      </c>
      <c r="N458" s="271"/>
    </row>
    <row r="459" spans="1:14" s="71" customFormat="1" ht="51">
      <c r="A459" s="91">
        <v>10</v>
      </c>
      <c r="B459" s="119" t="s">
        <v>1946</v>
      </c>
      <c r="C459" s="120" t="s">
        <v>1956</v>
      </c>
      <c r="D459" s="271"/>
      <c r="E459" s="123">
        <v>1</v>
      </c>
      <c r="F459" s="123">
        <v>1</v>
      </c>
      <c r="G459" s="122">
        <f t="shared" si="21"/>
        <v>0</v>
      </c>
      <c r="H459" s="100">
        <v>6500000</v>
      </c>
      <c r="I459" s="100">
        <v>6500000</v>
      </c>
      <c r="J459" s="271" t="s">
        <v>980</v>
      </c>
      <c r="K459" s="271"/>
      <c r="L459" s="271" t="s">
        <v>641</v>
      </c>
      <c r="M459" s="271" t="s">
        <v>1456</v>
      </c>
      <c r="N459" s="271"/>
    </row>
    <row r="460" spans="1:14" s="71" customFormat="1" ht="51">
      <c r="A460" s="91">
        <v>11</v>
      </c>
      <c r="B460" s="119" t="s">
        <v>1957</v>
      </c>
      <c r="C460" s="120" t="s">
        <v>1958</v>
      </c>
      <c r="D460" s="271"/>
      <c r="E460" s="123">
        <v>1</v>
      </c>
      <c r="F460" s="123">
        <v>1</v>
      </c>
      <c r="G460" s="122">
        <f t="shared" si="21"/>
        <v>0</v>
      </c>
      <c r="H460" s="100">
        <v>6500000</v>
      </c>
      <c r="I460" s="100">
        <v>6500000</v>
      </c>
      <c r="J460" s="271" t="s">
        <v>980</v>
      </c>
      <c r="K460" s="271"/>
      <c r="L460" s="271" t="s">
        <v>641</v>
      </c>
      <c r="M460" s="271" t="s">
        <v>1456</v>
      </c>
      <c r="N460" s="271"/>
    </row>
    <row r="461" spans="1:14" s="71" customFormat="1" ht="51">
      <c r="A461" s="91">
        <v>12</v>
      </c>
      <c r="B461" s="119" t="s">
        <v>1959</v>
      </c>
      <c r="C461" s="120" t="s">
        <v>1960</v>
      </c>
      <c r="D461" s="271"/>
      <c r="E461" s="123">
        <v>1</v>
      </c>
      <c r="F461" s="123">
        <v>1</v>
      </c>
      <c r="G461" s="122">
        <f t="shared" si="21"/>
        <v>0</v>
      </c>
      <c r="H461" s="100">
        <v>6500000</v>
      </c>
      <c r="I461" s="100">
        <v>6500000</v>
      </c>
      <c r="J461" s="271" t="s">
        <v>980</v>
      </c>
      <c r="K461" s="271"/>
      <c r="L461" s="271" t="s">
        <v>641</v>
      </c>
      <c r="M461" s="271" t="s">
        <v>1456</v>
      </c>
      <c r="N461" s="271"/>
    </row>
    <row r="462" spans="1:14" s="71" customFormat="1" ht="51">
      <c r="A462" s="91">
        <v>13</v>
      </c>
      <c r="B462" s="119" t="s">
        <v>1961</v>
      </c>
      <c r="C462" s="120" t="s">
        <v>1962</v>
      </c>
      <c r="D462" s="271"/>
      <c r="E462" s="123">
        <v>1</v>
      </c>
      <c r="F462" s="123">
        <v>1</v>
      </c>
      <c r="G462" s="122">
        <f>F462-E462</f>
        <v>0</v>
      </c>
      <c r="H462" s="100">
        <v>2500000</v>
      </c>
      <c r="I462" s="100">
        <v>2500000</v>
      </c>
      <c r="J462" s="271" t="s">
        <v>980</v>
      </c>
      <c r="K462" s="271"/>
      <c r="L462" s="271" t="s">
        <v>641</v>
      </c>
      <c r="M462" s="271" t="s">
        <v>1456</v>
      </c>
      <c r="N462" s="271"/>
    </row>
    <row r="463" spans="1:14" s="71" customFormat="1" ht="51">
      <c r="A463" s="91">
        <v>14</v>
      </c>
      <c r="B463" s="119" t="s">
        <v>1963</v>
      </c>
      <c r="C463" s="120" t="s">
        <v>1964</v>
      </c>
      <c r="D463" s="271"/>
      <c r="E463" s="123">
        <v>1</v>
      </c>
      <c r="F463" s="123">
        <v>1</v>
      </c>
      <c r="G463" s="122">
        <f t="shared" si="21"/>
        <v>0</v>
      </c>
      <c r="H463" s="100">
        <v>2500000</v>
      </c>
      <c r="I463" s="100">
        <v>2500000</v>
      </c>
      <c r="J463" s="271" t="s">
        <v>980</v>
      </c>
      <c r="K463" s="271"/>
      <c r="L463" s="271" t="s">
        <v>95</v>
      </c>
      <c r="M463" s="271" t="s">
        <v>1456</v>
      </c>
      <c r="N463" s="271" t="s">
        <v>158</v>
      </c>
    </row>
    <row r="464" spans="1:14" s="71" customFormat="1" ht="51">
      <c r="A464" s="91">
        <v>15</v>
      </c>
      <c r="B464" s="119" t="s">
        <v>1965</v>
      </c>
      <c r="C464" s="120" t="s">
        <v>1966</v>
      </c>
      <c r="D464" s="271"/>
      <c r="E464" s="123">
        <v>1</v>
      </c>
      <c r="F464" s="123">
        <v>1</v>
      </c>
      <c r="G464" s="122">
        <f t="shared" si="21"/>
        <v>0</v>
      </c>
      <c r="H464" s="100">
        <v>3520000</v>
      </c>
      <c r="I464" s="100">
        <v>3520000</v>
      </c>
      <c r="J464" s="271" t="s">
        <v>980</v>
      </c>
      <c r="K464" s="271"/>
      <c r="L464" s="271" t="s">
        <v>641</v>
      </c>
      <c r="M464" s="271" t="s">
        <v>1456</v>
      </c>
      <c r="N464" s="271"/>
    </row>
    <row r="465" spans="1:14" s="71" customFormat="1" ht="51">
      <c r="A465" s="91">
        <v>16</v>
      </c>
      <c r="B465" s="119" t="s">
        <v>1967</v>
      </c>
      <c r="C465" s="120" t="s">
        <v>1968</v>
      </c>
      <c r="D465" s="271"/>
      <c r="E465" s="123">
        <v>1</v>
      </c>
      <c r="F465" s="123">
        <v>1</v>
      </c>
      <c r="G465" s="122">
        <f t="shared" si="21"/>
        <v>0</v>
      </c>
      <c r="H465" s="100">
        <v>6700000</v>
      </c>
      <c r="I465" s="100">
        <v>6700000</v>
      </c>
      <c r="J465" s="271" t="s">
        <v>980</v>
      </c>
      <c r="K465" s="271"/>
      <c r="L465" s="271" t="s">
        <v>641</v>
      </c>
      <c r="M465" s="271" t="s">
        <v>1456</v>
      </c>
      <c r="N465" s="271"/>
    </row>
    <row r="466" spans="1:14" s="71" customFormat="1" ht="51">
      <c r="A466" s="91">
        <v>17</v>
      </c>
      <c r="B466" s="119" t="s">
        <v>1969</v>
      </c>
      <c r="C466" s="120" t="s">
        <v>1970</v>
      </c>
      <c r="D466" s="271"/>
      <c r="E466" s="123">
        <v>1</v>
      </c>
      <c r="F466" s="123">
        <v>1</v>
      </c>
      <c r="G466" s="122">
        <f t="shared" si="21"/>
        <v>0</v>
      </c>
      <c r="H466" s="100">
        <v>5350000</v>
      </c>
      <c r="I466" s="100">
        <v>5350000</v>
      </c>
      <c r="J466" s="271" t="s">
        <v>980</v>
      </c>
      <c r="K466" s="271"/>
      <c r="L466" s="271" t="s">
        <v>641</v>
      </c>
      <c r="M466" s="271" t="s">
        <v>1456</v>
      </c>
      <c r="N466" s="271"/>
    </row>
    <row r="467" spans="1:14" s="71" customFormat="1" ht="51">
      <c r="A467" s="91">
        <v>18</v>
      </c>
      <c r="B467" s="119" t="s">
        <v>1969</v>
      </c>
      <c r="C467" s="120" t="s">
        <v>1971</v>
      </c>
      <c r="D467" s="271"/>
      <c r="E467" s="123">
        <v>1</v>
      </c>
      <c r="F467" s="123">
        <v>1</v>
      </c>
      <c r="G467" s="122">
        <f t="shared" si="21"/>
        <v>0</v>
      </c>
      <c r="H467" s="100">
        <v>5350000</v>
      </c>
      <c r="I467" s="100">
        <v>5350000</v>
      </c>
      <c r="J467" s="271" t="s">
        <v>980</v>
      </c>
      <c r="K467" s="271"/>
      <c r="L467" s="271" t="s">
        <v>641</v>
      </c>
      <c r="M467" s="271" t="s">
        <v>1456</v>
      </c>
      <c r="N467" s="271"/>
    </row>
    <row r="468" spans="1:14" s="71" customFormat="1" ht="51">
      <c r="A468" s="91">
        <v>19</v>
      </c>
      <c r="B468" s="119" t="s">
        <v>1972</v>
      </c>
      <c r="C468" s="120" t="s">
        <v>1973</v>
      </c>
      <c r="D468" s="271"/>
      <c r="E468" s="123">
        <v>1</v>
      </c>
      <c r="F468" s="123">
        <v>1</v>
      </c>
      <c r="G468" s="122">
        <f>F468-E468</f>
        <v>0</v>
      </c>
      <c r="H468" s="100">
        <v>5350000</v>
      </c>
      <c r="I468" s="100">
        <v>5350000</v>
      </c>
      <c r="J468" s="271" t="s">
        <v>980</v>
      </c>
      <c r="K468" s="271"/>
      <c r="L468" s="271" t="s">
        <v>641</v>
      </c>
      <c r="M468" s="271" t="s">
        <v>1456</v>
      </c>
      <c r="N468" s="271"/>
    </row>
    <row r="469" spans="1:14" s="71" customFormat="1" ht="51">
      <c r="A469" s="91">
        <v>20</v>
      </c>
      <c r="B469" s="119" t="s">
        <v>1972</v>
      </c>
      <c r="C469" s="120" t="s">
        <v>1974</v>
      </c>
      <c r="D469" s="271"/>
      <c r="E469" s="123">
        <v>1</v>
      </c>
      <c r="F469" s="123">
        <v>1</v>
      </c>
      <c r="G469" s="122">
        <f t="shared" si="21"/>
        <v>0</v>
      </c>
      <c r="H469" s="100">
        <v>5350000</v>
      </c>
      <c r="I469" s="100">
        <v>5350000</v>
      </c>
      <c r="J469" s="271" t="s">
        <v>980</v>
      </c>
      <c r="K469" s="271"/>
      <c r="L469" s="271" t="s">
        <v>641</v>
      </c>
      <c r="M469" s="271" t="s">
        <v>1456</v>
      </c>
      <c r="N469" s="271"/>
    </row>
    <row r="470" spans="1:14" s="71" customFormat="1" ht="51">
      <c r="A470" s="91">
        <v>21</v>
      </c>
      <c r="B470" s="119" t="s">
        <v>1975</v>
      </c>
      <c r="C470" s="120" t="s">
        <v>1976</v>
      </c>
      <c r="D470" s="271"/>
      <c r="E470" s="123">
        <v>1</v>
      </c>
      <c r="F470" s="123">
        <v>1</v>
      </c>
      <c r="G470" s="122">
        <f t="shared" si="21"/>
        <v>0</v>
      </c>
      <c r="H470" s="100">
        <v>5350000</v>
      </c>
      <c r="I470" s="100">
        <v>5350000</v>
      </c>
      <c r="J470" s="271" t="s">
        <v>980</v>
      </c>
      <c r="K470" s="271"/>
      <c r="L470" s="271" t="s">
        <v>641</v>
      </c>
      <c r="M470" s="271" t="s">
        <v>1456</v>
      </c>
      <c r="N470" s="271"/>
    </row>
    <row r="471" spans="1:14" s="71" customFormat="1" ht="51">
      <c r="A471" s="91">
        <v>22</v>
      </c>
      <c r="B471" s="119" t="s">
        <v>1975</v>
      </c>
      <c r="C471" s="120" t="s">
        <v>1977</v>
      </c>
      <c r="D471" s="271"/>
      <c r="E471" s="123">
        <v>1</v>
      </c>
      <c r="F471" s="123">
        <v>1</v>
      </c>
      <c r="G471" s="122">
        <f t="shared" si="21"/>
        <v>0</v>
      </c>
      <c r="H471" s="100">
        <v>5350000</v>
      </c>
      <c r="I471" s="100">
        <v>5350000</v>
      </c>
      <c r="J471" s="271" t="s">
        <v>980</v>
      </c>
      <c r="K471" s="271"/>
      <c r="L471" s="271" t="s">
        <v>641</v>
      </c>
      <c r="M471" s="271" t="s">
        <v>1456</v>
      </c>
      <c r="N471" s="271"/>
    </row>
    <row r="472" spans="1:14" s="71" customFormat="1" ht="51">
      <c r="A472" s="91">
        <v>23</v>
      </c>
      <c r="B472" s="119" t="s">
        <v>1978</v>
      </c>
      <c r="C472" s="120" t="s">
        <v>1979</v>
      </c>
      <c r="D472" s="271"/>
      <c r="E472" s="123">
        <v>1</v>
      </c>
      <c r="F472" s="123">
        <v>1</v>
      </c>
      <c r="G472" s="122">
        <f t="shared" si="21"/>
        <v>0</v>
      </c>
      <c r="H472" s="100">
        <v>5350000</v>
      </c>
      <c r="I472" s="100">
        <v>5350000</v>
      </c>
      <c r="J472" s="271" t="s">
        <v>980</v>
      </c>
      <c r="K472" s="271"/>
      <c r="L472" s="271" t="s">
        <v>641</v>
      </c>
      <c r="M472" s="271" t="s">
        <v>1456</v>
      </c>
      <c r="N472" s="271"/>
    </row>
    <row r="473" spans="1:14" s="71" customFormat="1" ht="51">
      <c r="A473" s="91">
        <v>24</v>
      </c>
      <c r="B473" s="119" t="s">
        <v>1978</v>
      </c>
      <c r="C473" s="120" t="s">
        <v>1980</v>
      </c>
      <c r="D473" s="271"/>
      <c r="E473" s="123">
        <v>1</v>
      </c>
      <c r="F473" s="123">
        <v>1</v>
      </c>
      <c r="G473" s="122">
        <f t="shared" si="21"/>
        <v>0</v>
      </c>
      <c r="H473" s="100">
        <v>5350000</v>
      </c>
      <c r="I473" s="100">
        <v>5350000</v>
      </c>
      <c r="J473" s="271" t="s">
        <v>980</v>
      </c>
      <c r="K473" s="271"/>
      <c r="L473" s="271" t="s">
        <v>641</v>
      </c>
      <c r="M473" s="271" t="s">
        <v>1456</v>
      </c>
      <c r="N473" s="271"/>
    </row>
    <row r="474" spans="1:14" s="71" customFormat="1" ht="51">
      <c r="A474" s="91">
        <v>25</v>
      </c>
      <c r="B474" s="119" t="s">
        <v>1981</v>
      </c>
      <c r="C474" s="120" t="s">
        <v>1982</v>
      </c>
      <c r="D474" s="271"/>
      <c r="E474" s="123">
        <v>1</v>
      </c>
      <c r="F474" s="123">
        <v>1</v>
      </c>
      <c r="G474" s="122">
        <f>F474-E474</f>
        <v>0</v>
      </c>
      <c r="H474" s="100">
        <v>3200000</v>
      </c>
      <c r="I474" s="100">
        <v>3200000</v>
      </c>
      <c r="J474" s="271" t="s">
        <v>980</v>
      </c>
      <c r="K474" s="271"/>
      <c r="L474" s="271" t="s">
        <v>95</v>
      </c>
      <c r="M474" s="271" t="s">
        <v>1456</v>
      </c>
      <c r="N474" s="271" t="s">
        <v>158</v>
      </c>
    </row>
    <row r="475" spans="1:14" s="71" customFormat="1" ht="51">
      <c r="A475" s="91">
        <v>26</v>
      </c>
      <c r="B475" s="119" t="s">
        <v>1981</v>
      </c>
      <c r="C475" s="120" t="s">
        <v>1983</v>
      </c>
      <c r="D475" s="271"/>
      <c r="E475" s="123">
        <v>1</v>
      </c>
      <c r="F475" s="123">
        <v>1</v>
      </c>
      <c r="G475" s="122">
        <f t="shared" si="21"/>
        <v>0</v>
      </c>
      <c r="H475" s="100">
        <v>3200000</v>
      </c>
      <c r="I475" s="100">
        <v>3200000</v>
      </c>
      <c r="J475" s="271" t="s">
        <v>980</v>
      </c>
      <c r="K475" s="271"/>
      <c r="L475" s="271" t="s">
        <v>95</v>
      </c>
      <c r="M475" s="271" t="s">
        <v>1456</v>
      </c>
      <c r="N475" s="271" t="s">
        <v>158</v>
      </c>
    </row>
    <row r="476" spans="1:14" s="71" customFormat="1" ht="51">
      <c r="A476" s="91">
        <v>27</v>
      </c>
      <c r="B476" s="119" t="s">
        <v>1981</v>
      </c>
      <c r="C476" s="120" t="s">
        <v>1984</v>
      </c>
      <c r="D476" s="271"/>
      <c r="E476" s="123">
        <v>1</v>
      </c>
      <c r="F476" s="123">
        <v>1</v>
      </c>
      <c r="G476" s="122">
        <f t="shared" si="21"/>
        <v>0</v>
      </c>
      <c r="H476" s="100">
        <v>3200000</v>
      </c>
      <c r="I476" s="100">
        <v>3200000</v>
      </c>
      <c r="J476" s="271" t="s">
        <v>980</v>
      </c>
      <c r="K476" s="271"/>
      <c r="L476" s="271" t="s">
        <v>95</v>
      </c>
      <c r="M476" s="271" t="s">
        <v>1456</v>
      </c>
      <c r="N476" s="271" t="s">
        <v>158</v>
      </c>
    </row>
    <row r="477" spans="1:14" s="71" customFormat="1" ht="51">
      <c r="A477" s="91">
        <v>28</v>
      </c>
      <c r="B477" s="119" t="s">
        <v>1981</v>
      </c>
      <c r="C477" s="120" t="s">
        <v>1985</v>
      </c>
      <c r="D477" s="271"/>
      <c r="E477" s="123">
        <v>1</v>
      </c>
      <c r="F477" s="123">
        <v>1</v>
      </c>
      <c r="G477" s="122">
        <f t="shared" si="21"/>
        <v>0</v>
      </c>
      <c r="H477" s="100">
        <v>3200000</v>
      </c>
      <c r="I477" s="100">
        <v>3200000</v>
      </c>
      <c r="J477" s="271" t="s">
        <v>980</v>
      </c>
      <c r="K477" s="271"/>
      <c r="L477" s="271" t="s">
        <v>95</v>
      </c>
      <c r="M477" s="271" t="s">
        <v>1456</v>
      </c>
      <c r="N477" s="271" t="s">
        <v>158</v>
      </c>
    </row>
    <row r="478" spans="1:14" s="71" customFormat="1" ht="51">
      <c r="A478" s="91">
        <v>29</v>
      </c>
      <c r="B478" s="119" t="s">
        <v>1981</v>
      </c>
      <c r="C478" s="120" t="s">
        <v>1986</v>
      </c>
      <c r="D478" s="271"/>
      <c r="E478" s="123">
        <v>1</v>
      </c>
      <c r="F478" s="123">
        <v>1</v>
      </c>
      <c r="G478" s="122">
        <f t="shared" si="21"/>
        <v>0</v>
      </c>
      <c r="H478" s="100">
        <v>3200000</v>
      </c>
      <c r="I478" s="100">
        <v>3200000</v>
      </c>
      <c r="J478" s="271" t="s">
        <v>980</v>
      </c>
      <c r="K478" s="271"/>
      <c r="L478" s="271" t="s">
        <v>95</v>
      </c>
      <c r="M478" s="271" t="s">
        <v>1456</v>
      </c>
      <c r="N478" s="271" t="s">
        <v>158</v>
      </c>
    </row>
    <row r="479" spans="1:14" s="71" customFormat="1" ht="51">
      <c r="A479" s="91">
        <v>30</v>
      </c>
      <c r="B479" s="119" t="s">
        <v>1987</v>
      </c>
      <c r="C479" s="120" t="s">
        <v>1988</v>
      </c>
      <c r="D479" s="271"/>
      <c r="E479" s="123">
        <v>1</v>
      </c>
      <c r="F479" s="123">
        <v>1</v>
      </c>
      <c r="G479" s="122">
        <f t="shared" si="21"/>
        <v>0</v>
      </c>
      <c r="H479" s="100">
        <v>5497932</v>
      </c>
      <c r="I479" s="100">
        <v>5497932</v>
      </c>
      <c r="J479" s="271" t="s">
        <v>980</v>
      </c>
      <c r="K479" s="271"/>
      <c r="L479" s="271" t="s">
        <v>641</v>
      </c>
      <c r="M479" s="271" t="s">
        <v>1456</v>
      </c>
      <c r="N479" s="271"/>
    </row>
    <row r="480" spans="1:14" s="71" customFormat="1" ht="51">
      <c r="A480" s="91">
        <v>31</v>
      </c>
      <c r="B480" s="119" t="s">
        <v>1989</v>
      </c>
      <c r="C480" s="120" t="s">
        <v>1990</v>
      </c>
      <c r="D480" s="271"/>
      <c r="E480" s="123">
        <v>1</v>
      </c>
      <c r="F480" s="123">
        <v>1</v>
      </c>
      <c r="G480" s="122">
        <f>F480-E480</f>
        <v>0</v>
      </c>
      <c r="H480" s="100">
        <v>2152000</v>
      </c>
      <c r="I480" s="100">
        <v>2152000</v>
      </c>
      <c r="J480" s="271" t="s">
        <v>980</v>
      </c>
      <c r="K480" s="271"/>
      <c r="L480" s="271" t="s">
        <v>641</v>
      </c>
      <c r="M480" s="271" t="s">
        <v>1456</v>
      </c>
      <c r="N480" s="271"/>
    </row>
    <row r="481" spans="1:14" s="71" customFormat="1" ht="51">
      <c r="A481" s="91">
        <v>32</v>
      </c>
      <c r="B481" s="119" t="s">
        <v>1989</v>
      </c>
      <c r="C481" s="120" t="s">
        <v>1991</v>
      </c>
      <c r="D481" s="271"/>
      <c r="E481" s="123">
        <v>1</v>
      </c>
      <c r="F481" s="123">
        <v>1</v>
      </c>
      <c r="G481" s="122">
        <f t="shared" si="21"/>
        <v>0</v>
      </c>
      <c r="H481" s="100">
        <v>1886500</v>
      </c>
      <c r="I481" s="100">
        <v>1886500</v>
      </c>
      <c r="J481" s="271" t="s">
        <v>980</v>
      </c>
      <c r="K481" s="271"/>
      <c r="L481" s="271" t="s">
        <v>641</v>
      </c>
      <c r="M481" s="271" t="s">
        <v>1456</v>
      </c>
      <c r="N481" s="271"/>
    </row>
    <row r="482" spans="1:14" s="71" customFormat="1" ht="51">
      <c r="A482" s="91">
        <v>33</v>
      </c>
      <c r="B482" s="119" t="s">
        <v>1992</v>
      </c>
      <c r="C482" s="120" t="s">
        <v>1993</v>
      </c>
      <c r="D482" s="271"/>
      <c r="E482" s="123">
        <v>1</v>
      </c>
      <c r="F482" s="123">
        <v>1</v>
      </c>
      <c r="G482" s="122">
        <f t="shared" si="21"/>
        <v>0</v>
      </c>
      <c r="H482" s="100">
        <v>3436208</v>
      </c>
      <c r="I482" s="100">
        <v>3436208</v>
      </c>
      <c r="J482" s="271" t="s">
        <v>980</v>
      </c>
      <c r="K482" s="271"/>
      <c r="L482" s="271" t="s">
        <v>641</v>
      </c>
      <c r="M482" s="271" t="s">
        <v>1456</v>
      </c>
      <c r="N482" s="271"/>
    </row>
    <row r="483" spans="1:14" s="71" customFormat="1" ht="51">
      <c r="A483" s="91">
        <v>34</v>
      </c>
      <c r="B483" s="119" t="s">
        <v>1994</v>
      </c>
      <c r="C483" s="120" t="s">
        <v>1995</v>
      </c>
      <c r="D483" s="271"/>
      <c r="E483" s="123">
        <v>1</v>
      </c>
      <c r="F483" s="123">
        <v>1</v>
      </c>
      <c r="G483" s="122">
        <f t="shared" si="21"/>
        <v>0</v>
      </c>
      <c r="H483" s="100">
        <v>3436208</v>
      </c>
      <c r="I483" s="100">
        <v>3436208</v>
      </c>
      <c r="J483" s="271" t="s">
        <v>980</v>
      </c>
      <c r="K483" s="271"/>
      <c r="L483" s="271" t="s">
        <v>641</v>
      </c>
      <c r="M483" s="271" t="s">
        <v>1456</v>
      </c>
      <c r="N483" s="271"/>
    </row>
    <row r="484" spans="1:14" s="71" customFormat="1" ht="51">
      <c r="A484" s="91">
        <v>35</v>
      </c>
      <c r="B484" s="119" t="s">
        <v>1996</v>
      </c>
      <c r="C484" s="120" t="s">
        <v>1997</v>
      </c>
      <c r="D484" s="271"/>
      <c r="E484" s="123">
        <v>2</v>
      </c>
      <c r="F484" s="123">
        <v>2</v>
      </c>
      <c r="G484" s="122">
        <f t="shared" si="21"/>
        <v>0</v>
      </c>
      <c r="H484" s="100">
        <v>840000</v>
      </c>
      <c r="I484" s="100">
        <v>1680000</v>
      </c>
      <c r="J484" s="271" t="s">
        <v>980</v>
      </c>
      <c r="K484" s="271"/>
      <c r="L484" s="271" t="s">
        <v>641</v>
      </c>
      <c r="M484" s="271" t="s">
        <v>1456</v>
      </c>
      <c r="N484" s="271"/>
    </row>
    <row r="485" spans="1:14" s="71" customFormat="1" ht="51">
      <c r="A485" s="91">
        <v>36</v>
      </c>
      <c r="B485" s="119" t="s">
        <v>1998</v>
      </c>
      <c r="C485" s="120" t="s">
        <v>1999</v>
      </c>
      <c r="D485" s="271"/>
      <c r="E485" s="123">
        <v>1</v>
      </c>
      <c r="F485" s="123">
        <v>1</v>
      </c>
      <c r="G485" s="122">
        <f t="shared" si="21"/>
        <v>0</v>
      </c>
      <c r="H485" s="100">
        <v>2750000</v>
      </c>
      <c r="I485" s="100">
        <v>2750000</v>
      </c>
      <c r="J485" s="271" t="s">
        <v>980</v>
      </c>
      <c r="K485" s="271"/>
      <c r="L485" s="271" t="s">
        <v>641</v>
      </c>
      <c r="M485" s="271" t="s">
        <v>1456</v>
      </c>
      <c r="N485" s="271"/>
    </row>
    <row r="486" spans="1:14" s="71" customFormat="1" ht="51">
      <c r="A486" s="91">
        <v>37</v>
      </c>
      <c r="B486" s="119" t="s">
        <v>2000</v>
      </c>
      <c r="C486" s="120" t="s">
        <v>2001</v>
      </c>
      <c r="D486" s="271"/>
      <c r="E486" s="123">
        <v>1</v>
      </c>
      <c r="F486" s="123">
        <v>1</v>
      </c>
      <c r="G486" s="122">
        <f t="shared" si="21"/>
        <v>0</v>
      </c>
      <c r="H486" s="100">
        <v>3150000</v>
      </c>
      <c r="I486" s="100">
        <v>3150000</v>
      </c>
      <c r="J486" s="271" t="s">
        <v>980</v>
      </c>
      <c r="K486" s="271"/>
      <c r="L486" s="271" t="s">
        <v>641</v>
      </c>
      <c r="M486" s="271" t="s">
        <v>1456</v>
      </c>
      <c r="N486" s="271"/>
    </row>
    <row r="487" spans="1:14" s="71" customFormat="1" ht="51">
      <c r="A487" s="91">
        <v>38</v>
      </c>
      <c r="B487" s="119" t="s">
        <v>2002</v>
      </c>
      <c r="C487" s="120" t="s">
        <v>2003</v>
      </c>
      <c r="D487" s="271"/>
      <c r="E487" s="123">
        <v>1</v>
      </c>
      <c r="F487" s="123">
        <v>1</v>
      </c>
      <c r="G487" s="122">
        <f>F487-E487</f>
        <v>0</v>
      </c>
      <c r="H487" s="100">
        <v>2500000</v>
      </c>
      <c r="I487" s="100">
        <v>2500000</v>
      </c>
      <c r="J487" s="271" t="s">
        <v>980</v>
      </c>
      <c r="K487" s="271"/>
      <c r="L487" s="271" t="s">
        <v>95</v>
      </c>
      <c r="M487" s="271" t="s">
        <v>1456</v>
      </c>
      <c r="N487" s="271" t="s">
        <v>158</v>
      </c>
    </row>
    <row r="488" spans="1:14" s="71" customFormat="1" ht="51">
      <c r="A488" s="91">
        <v>39</v>
      </c>
      <c r="B488" s="119" t="s">
        <v>2004</v>
      </c>
      <c r="C488" s="120" t="s">
        <v>2005</v>
      </c>
      <c r="D488" s="271"/>
      <c r="E488" s="123">
        <v>1</v>
      </c>
      <c r="F488" s="123">
        <v>1</v>
      </c>
      <c r="G488" s="122">
        <f>F488-E488</f>
        <v>0</v>
      </c>
      <c r="H488" s="100">
        <v>2849000</v>
      </c>
      <c r="I488" s="100">
        <v>2849000</v>
      </c>
      <c r="J488" s="271" t="s">
        <v>980</v>
      </c>
      <c r="K488" s="271"/>
      <c r="L488" s="271" t="s">
        <v>641</v>
      </c>
      <c r="M488" s="271" t="s">
        <v>1456</v>
      </c>
      <c r="N488" s="271"/>
    </row>
    <row r="489" spans="1:14" s="71" customFormat="1" ht="51">
      <c r="A489" s="91">
        <v>40</v>
      </c>
      <c r="B489" s="119" t="s">
        <v>2006</v>
      </c>
      <c r="C489" s="120" t="s">
        <v>2007</v>
      </c>
      <c r="D489" s="271"/>
      <c r="E489" s="123">
        <v>1</v>
      </c>
      <c r="F489" s="123">
        <v>1</v>
      </c>
      <c r="G489" s="122">
        <f t="shared" ref="G489:G494" si="22">F489-E489</f>
        <v>0</v>
      </c>
      <c r="H489" s="100">
        <v>2909500</v>
      </c>
      <c r="I489" s="100">
        <v>2909500</v>
      </c>
      <c r="J489" s="271" t="s">
        <v>980</v>
      </c>
      <c r="K489" s="271"/>
      <c r="L489" s="271" t="s">
        <v>641</v>
      </c>
      <c r="M489" s="271" t="s">
        <v>1456</v>
      </c>
      <c r="N489" s="271"/>
    </row>
    <row r="490" spans="1:14" s="71" customFormat="1" ht="51">
      <c r="A490" s="91">
        <v>41</v>
      </c>
      <c r="B490" s="119" t="s">
        <v>2008</v>
      </c>
      <c r="C490" s="120" t="s">
        <v>2009</v>
      </c>
      <c r="D490" s="271"/>
      <c r="E490" s="123">
        <v>1</v>
      </c>
      <c r="F490" s="123">
        <v>1</v>
      </c>
      <c r="G490" s="122">
        <f t="shared" si="22"/>
        <v>0</v>
      </c>
      <c r="H490" s="100">
        <v>7038818</v>
      </c>
      <c r="I490" s="100">
        <v>7038818</v>
      </c>
      <c r="J490" s="271" t="s">
        <v>980</v>
      </c>
      <c r="K490" s="271"/>
      <c r="L490" s="271" t="s">
        <v>641</v>
      </c>
      <c r="M490" s="271" t="s">
        <v>1456</v>
      </c>
      <c r="N490" s="271"/>
    </row>
    <row r="491" spans="1:14" s="71" customFormat="1" ht="51">
      <c r="A491" s="91">
        <v>42</v>
      </c>
      <c r="B491" s="119" t="s">
        <v>1996</v>
      </c>
      <c r="C491" s="120" t="s">
        <v>2010</v>
      </c>
      <c r="D491" s="271"/>
      <c r="E491" s="123">
        <v>1</v>
      </c>
      <c r="F491" s="123">
        <v>1</v>
      </c>
      <c r="G491" s="122">
        <f t="shared" si="22"/>
        <v>0</v>
      </c>
      <c r="H491" s="100">
        <v>1886500</v>
      </c>
      <c r="I491" s="100">
        <v>1886500</v>
      </c>
      <c r="J491" s="271" t="s">
        <v>980</v>
      </c>
      <c r="K491" s="271"/>
      <c r="L491" s="271" t="s">
        <v>641</v>
      </c>
      <c r="M491" s="271" t="s">
        <v>1456</v>
      </c>
      <c r="N491" s="271"/>
    </row>
    <row r="492" spans="1:14" s="71" customFormat="1" ht="51">
      <c r="A492" s="91">
        <v>43</v>
      </c>
      <c r="B492" s="119" t="s">
        <v>1996</v>
      </c>
      <c r="C492" s="120" t="s">
        <v>2011</v>
      </c>
      <c r="D492" s="271"/>
      <c r="E492" s="123">
        <v>1</v>
      </c>
      <c r="F492" s="123">
        <v>1</v>
      </c>
      <c r="G492" s="122">
        <f t="shared" si="22"/>
        <v>0</v>
      </c>
      <c r="H492" s="100">
        <v>3150000</v>
      </c>
      <c r="I492" s="100">
        <v>3150000</v>
      </c>
      <c r="J492" s="271" t="s">
        <v>980</v>
      </c>
      <c r="K492" s="271"/>
      <c r="L492" s="271" t="s">
        <v>641</v>
      </c>
      <c r="M492" s="271" t="s">
        <v>1456</v>
      </c>
      <c r="N492" s="271"/>
    </row>
    <row r="493" spans="1:14" s="71" customFormat="1" ht="51">
      <c r="A493" s="91">
        <v>44</v>
      </c>
      <c r="B493" s="119" t="s">
        <v>2012</v>
      </c>
      <c r="C493" s="120" t="s">
        <v>2013</v>
      </c>
      <c r="D493" s="271"/>
      <c r="E493" s="123">
        <v>1</v>
      </c>
      <c r="F493" s="123">
        <v>1</v>
      </c>
      <c r="G493" s="122">
        <f t="shared" si="22"/>
        <v>0</v>
      </c>
      <c r="H493" s="100">
        <v>500000</v>
      </c>
      <c r="I493" s="100">
        <v>500000</v>
      </c>
      <c r="J493" s="271" t="s">
        <v>980</v>
      </c>
      <c r="K493" s="271"/>
      <c r="L493" s="271" t="s">
        <v>95</v>
      </c>
      <c r="M493" s="271" t="s">
        <v>1456</v>
      </c>
      <c r="N493" s="271" t="s">
        <v>158</v>
      </c>
    </row>
    <row r="494" spans="1:14" s="71" customFormat="1" ht="51">
      <c r="A494" s="91">
        <v>45</v>
      </c>
      <c r="B494" s="119" t="s">
        <v>137</v>
      </c>
      <c r="C494" s="120" t="s">
        <v>2014</v>
      </c>
      <c r="D494" s="271"/>
      <c r="E494" s="123">
        <v>1</v>
      </c>
      <c r="F494" s="123">
        <v>1</v>
      </c>
      <c r="G494" s="122">
        <f t="shared" si="22"/>
        <v>0</v>
      </c>
      <c r="H494" s="100">
        <v>749700</v>
      </c>
      <c r="I494" s="100">
        <v>749700</v>
      </c>
      <c r="J494" s="271" t="s">
        <v>980</v>
      </c>
      <c r="K494" s="271"/>
      <c r="L494" s="271" t="s">
        <v>641</v>
      </c>
      <c r="M494" s="271" t="s">
        <v>1456</v>
      </c>
      <c r="N494" s="271"/>
    </row>
    <row r="495" spans="1:14" s="71" customFormat="1" ht="51">
      <c r="A495" s="91">
        <v>46</v>
      </c>
      <c r="B495" s="119" t="s">
        <v>2015</v>
      </c>
      <c r="C495" s="120" t="s">
        <v>2016</v>
      </c>
      <c r="D495" s="271"/>
      <c r="E495" s="123">
        <v>1</v>
      </c>
      <c r="F495" s="123">
        <v>1</v>
      </c>
      <c r="G495" s="122">
        <f>F495-E495</f>
        <v>0</v>
      </c>
      <c r="H495" s="100">
        <v>1100000</v>
      </c>
      <c r="I495" s="100">
        <v>1100000</v>
      </c>
      <c r="J495" s="271" t="s">
        <v>980</v>
      </c>
      <c r="K495" s="271"/>
      <c r="L495" s="271" t="s">
        <v>232</v>
      </c>
      <c r="M495" s="271" t="s">
        <v>1456</v>
      </c>
      <c r="N495" s="271" t="s">
        <v>1237</v>
      </c>
    </row>
    <row r="496" spans="1:14" s="71" customFormat="1" ht="51">
      <c r="A496" s="91">
        <v>47</v>
      </c>
      <c r="B496" s="119" t="s">
        <v>2017</v>
      </c>
      <c r="C496" s="120" t="s">
        <v>2018</v>
      </c>
      <c r="D496" s="271"/>
      <c r="E496" s="123">
        <v>1</v>
      </c>
      <c r="F496" s="123">
        <v>1</v>
      </c>
      <c r="G496" s="122">
        <f t="shared" ref="G496:G500" si="23">F496-E496</f>
        <v>0</v>
      </c>
      <c r="H496" s="100">
        <v>2374901</v>
      </c>
      <c r="I496" s="100">
        <v>2374901</v>
      </c>
      <c r="J496" s="271" t="s">
        <v>980</v>
      </c>
      <c r="K496" s="271"/>
      <c r="L496" s="271" t="s">
        <v>95</v>
      </c>
      <c r="M496" s="271" t="s">
        <v>1456</v>
      </c>
      <c r="N496" s="271" t="s">
        <v>158</v>
      </c>
    </row>
    <row r="497" spans="1:14" s="71" customFormat="1" ht="51">
      <c r="A497" s="91">
        <v>48</v>
      </c>
      <c r="B497" s="119" t="s">
        <v>2019</v>
      </c>
      <c r="C497" s="120" t="s">
        <v>2020</v>
      </c>
      <c r="D497" s="271"/>
      <c r="E497" s="123">
        <v>16</v>
      </c>
      <c r="F497" s="123">
        <v>16</v>
      </c>
      <c r="G497" s="122">
        <f t="shared" si="23"/>
        <v>0</v>
      </c>
      <c r="H497" s="100">
        <v>0</v>
      </c>
      <c r="I497" s="100">
        <v>0</v>
      </c>
      <c r="J497" s="271" t="s">
        <v>980</v>
      </c>
      <c r="K497" s="271"/>
      <c r="L497" s="271" t="s">
        <v>2021</v>
      </c>
      <c r="M497" s="271" t="s">
        <v>1456</v>
      </c>
      <c r="N497" s="271" t="s">
        <v>2022</v>
      </c>
    </row>
    <row r="498" spans="1:14" s="71" customFormat="1" ht="51">
      <c r="A498" s="91">
        <v>49</v>
      </c>
      <c r="B498" s="119" t="s">
        <v>2023</v>
      </c>
      <c r="C498" s="120" t="s">
        <v>2024</v>
      </c>
      <c r="D498" s="271"/>
      <c r="E498" s="123">
        <v>1</v>
      </c>
      <c r="F498" s="123">
        <v>1</v>
      </c>
      <c r="G498" s="122">
        <f t="shared" si="23"/>
        <v>0</v>
      </c>
      <c r="H498" s="100">
        <v>5450000</v>
      </c>
      <c r="I498" s="100">
        <v>5450000</v>
      </c>
      <c r="J498" s="271" t="s">
        <v>980</v>
      </c>
      <c r="K498" s="271"/>
      <c r="L498" s="271" t="s">
        <v>95</v>
      </c>
      <c r="M498" s="271" t="s">
        <v>1456</v>
      </c>
      <c r="N498" s="271" t="s">
        <v>158</v>
      </c>
    </row>
    <row r="499" spans="1:14" s="71" customFormat="1" ht="51">
      <c r="A499" s="91">
        <v>50</v>
      </c>
      <c r="B499" s="119" t="s">
        <v>2025</v>
      </c>
      <c r="C499" s="120" t="s">
        <v>2026</v>
      </c>
      <c r="D499" s="271"/>
      <c r="E499" s="123">
        <v>1</v>
      </c>
      <c r="F499" s="123">
        <v>1</v>
      </c>
      <c r="G499" s="122">
        <f t="shared" si="23"/>
        <v>0</v>
      </c>
      <c r="H499" s="100">
        <v>5194000</v>
      </c>
      <c r="I499" s="100">
        <v>5194000</v>
      </c>
      <c r="J499" s="271" t="s">
        <v>980</v>
      </c>
      <c r="K499" s="271"/>
      <c r="L499" s="271" t="s">
        <v>95</v>
      </c>
      <c r="M499" s="271" t="s">
        <v>1456</v>
      </c>
      <c r="N499" s="271" t="s">
        <v>158</v>
      </c>
    </row>
    <row r="500" spans="1:14" s="71" customFormat="1" ht="51">
      <c r="A500" s="91">
        <v>51</v>
      </c>
      <c r="B500" s="119" t="s">
        <v>2027</v>
      </c>
      <c r="C500" s="120" t="s">
        <v>2028</v>
      </c>
      <c r="D500" s="271"/>
      <c r="E500" s="123">
        <v>1</v>
      </c>
      <c r="F500" s="123">
        <v>1</v>
      </c>
      <c r="G500" s="122">
        <f t="shared" si="23"/>
        <v>0</v>
      </c>
      <c r="H500" s="100">
        <v>7920000</v>
      </c>
      <c r="I500" s="100">
        <v>7920000</v>
      </c>
      <c r="J500" s="271" t="s">
        <v>980</v>
      </c>
      <c r="K500" s="271"/>
      <c r="L500" s="271" t="s">
        <v>641</v>
      </c>
      <c r="M500" s="271" t="s">
        <v>1456</v>
      </c>
      <c r="N500" s="271"/>
    </row>
    <row r="501" spans="1:14" s="71" customFormat="1" ht="51">
      <c r="A501" s="91">
        <v>52</v>
      </c>
      <c r="B501" s="119" t="s">
        <v>2029</v>
      </c>
      <c r="C501" s="120" t="s">
        <v>2030</v>
      </c>
      <c r="D501" s="271"/>
      <c r="E501" s="123">
        <v>1</v>
      </c>
      <c r="F501" s="123">
        <v>1</v>
      </c>
      <c r="G501" s="122">
        <f>F501-E501</f>
        <v>0</v>
      </c>
      <c r="H501" s="100">
        <v>5700000</v>
      </c>
      <c r="I501" s="100">
        <v>5700000</v>
      </c>
      <c r="J501" s="271" t="s">
        <v>980</v>
      </c>
      <c r="K501" s="271"/>
      <c r="L501" s="271" t="s">
        <v>641</v>
      </c>
      <c r="M501" s="271" t="s">
        <v>1456</v>
      </c>
      <c r="N501" s="271" t="s">
        <v>2031</v>
      </c>
    </row>
    <row r="502" spans="1:14" s="71" customFormat="1" ht="51">
      <c r="A502" s="91">
        <v>53</v>
      </c>
      <c r="B502" s="119" t="s">
        <v>2032</v>
      </c>
      <c r="C502" s="120" t="s">
        <v>2033</v>
      </c>
      <c r="D502" s="271"/>
      <c r="E502" s="123">
        <v>1</v>
      </c>
      <c r="F502" s="123">
        <v>1</v>
      </c>
      <c r="G502" s="122">
        <f t="shared" ref="G502:G506" si="24">F502-E502</f>
        <v>0</v>
      </c>
      <c r="H502" s="100">
        <v>7038818</v>
      </c>
      <c r="I502" s="100">
        <v>7038818</v>
      </c>
      <c r="J502" s="271" t="s">
        <v>980</v>
      </c>
      <c r="K502" s="271"/>
      <c r="L502" s="271" t="s">
        <v>641</v>
      </c>
      <c r="M502" s="271" t="s">
        <v>1456</v>
      </c>
      <c r="N502" s="271"/>
    </row>
    <row r="503" spans="1:14" s="71" customFormat="1" ht="51">
      <c r="A503" s="91">
        <v>54</v>
      </c>
      <c r="B503" s="119" t="s">
        <v>2034</v>
      </c>
      <c r="C503" s="120" t="s">
        <v>2035</v>
      </c>
      <c r="D503" s="271"/>
      <c r="E503" s="123">
        <v>1</v>
      </c>
      <c r="F503" s="123">
        <v>1</v>
      </c>
      <c r="G503" s="122">
        <f t="shared" si="24"/>
        <v>0</v>
      </c>
      <c r="H503" s="100">
        <v>7000000</v>
      </c>
      <c r="I503" s="100">
        <v>7000000</v>
      </c>
      <c r="J503" s="271" t="s">
        <v>980</v>
      </c>
      <c r="K503" s="271"/>
      <c r="L503" s="271" t="s">
        <v>95</v>
      </c>
      <c r="M503" s="271" t="s">
        <v>1456</v>
      </c>
      <c r="N503" s="271" t="s">
        <v>158</v>
      </c>
    </row>
    <row r="504" spans="1:14" s="71" customFormat="1" ht="51">
      <c r="A504" s="91">
        <v>55</v>
      </c>
      <c r="B504" s="119" t="s">
        <v>2036</v>
      </c>
      <c r="C504" s="120" t="s">
        <v>2037</v>
      </c>
      <c r="D504" s="271"/>
      <c r="E504" s="123">
        <v>1</v>
      </c>
      <c r="F504" s="123">
        <v>1</v>
      </c>
      <c r="G504" s="122">
        <f t="shared" si="24"/>
        <v>0</v>
      </c>
      <c r="H504" s="100">
        <v>5040000</v>
      </c>
      <c r="I504" s="100">
        <v>5040000</v>
      </c>
      <c r="J504" s="271" t="s">
        <v>980</v>
      </c>
      <c r="K504" s="271"/>
      <c r="L504" s="271" t="s">
        <v>641</v>
      </c>
      <c r="M504" s="271" t="s">
        <v>1456</v>
      </c>
      <c r="N504" s="271"/>
    </row>
    <row r="505" spans="1:14" s="71" customFormat="1" ht="51">
      <c r="A505" s="91">
        <v>56</v>
      </c>
      <c r="B505" s="119" t="s">
        <v>2038</v>
      </c>
      <c r="C505" s="120" t="s">
        <v>2039</v>
      </c>
      <c r="D505" s="271"/>
      <c r="E505" s="123">
        <v>1</v>
      </c>
      <c r="F505" s="123">
        <v>1</v>
      </c>
      <c r="G505" s="122">
        <f t="shared" si="24"/>
        <v>0</v>
      </c>
      <c r="H505" s="100">
        <v>6825000</v>
      </c>
      <c r="I505" s="100">
        <v>6825000</v>
      </c>
      <c r="J505" s="271" t="s">
        <v>980</v>
      </c>
      <c r="K505" s="271"/>
      <c r="L505" s="271" t="s">
        <v>641</v>
      </c>
      <c r="M505" s="271" t="s">
        <v>1456</v>
      </c>
      <c r="N505" s="271"/>
    </row>
    <row r="506" spans="1:14" s="71" customFormat="1" ht="51">
      <c r="A506" s="91">
        <v>57</v>
      </c>
      <c r="B506" s="119" t="s">
        <v>2040</v>
      </c>
      <c r="C506" s="120" t="s">
        <v>2041</v>
      </c>
      <c r="D506" s="271"/>
      <c r="E506" s="123">
        <v>1</v>
      </c>
      <c r="F506" s="123">
        <v>1</v>
      </c>
      <c r="G506" s="122">
        <f t="shared" si="24"/>
        <v>0</v>
      </c>
      <c r="H506" s="100">
        <v>6825000</v>
      </c>
      <c r="I506" s="100">
        <v>6825000</v>
      </c>
      <c r="J506" s="271" t="s">
        <v>980</v>
      </c>
      <c r="K506" s="271"/>
      <c r="L506" s="271" t="s">
        <v>641</v>
      </c>
      <c r="M506" s="271" t="s">
        <v>1456</v>
      </c>
      <c r="N506" s="271"/>
    </row>
    <row r="507" spans="1:14" s="71" customFormat="1" ht="51">
      <c r="A507" s="91">
        <v>58</v>
      </c>
      <c r="B507" s="119" t="s">
        <v>2042</v>
      </c>
      <c r="C507" s="120" t="s">
        <v>2043</v>
      </c>
      <c r="D507" s="271"/>
      <c r="E507" s="123">
        <v>1</v>
      </c>
      <c r="F507" s="123">
        <v>1</v>
      </c>
      <c r="G507" s="122">
        <f>F507-E507</f>
        <v>0</v>
      </c>
      <c r="H507" s="100">
        <v>5390000</v>
      </c>
      <c r="I507" s="100">
        <v>5390000</v>
      </c>
      <c r="J507" s="271" t="s">
        <v>980</v>
      </c>
      <c r="K507" s="271"/>
      <c r="L507" s="271" t="s">
        <v>95</v>
      </c>
      <c r="M507" s="271" t="s">
        <v>1456</v>
      </c>
      <c r="N507" s="271" t="s">
        <v>158</v>
      </c>
    </row>
    <row r="508" spans="1:14" s="71" customFormat="1" ht="51">
      <c r="A508" s="91">
        <v>59</v>
      </c>
      <c r="B508" s="119" t="s">
        <v>2044</v>
      </c>
      <c r="C508" s="120" t="s">
        <v>2045</v>
      </c>
      <c r="D508" s="271"/>
      <c r="E508" s="123">
        <v>1</v>
      </c>
      <c r="F508" s="123">
        <v>1</v>
      </c>
      <c r="G508" s="122">
        <f t="shared" ref="G508:G515" si="25">F508-E508</f>
        <v>0</v>
      </c>
      <c r="H508" s="100">
        <v>7860000</v>
      </c>
      <c r="I508" s="100">
        <v>7860000</v>
      </c>
      <c r="J508" s="271" t="s">
        <v>980</v>
      </c>
      <c r="K508" s="271"/>
      <c r="L508" s="271" t="s">
        <v>95</v>
      </c>
      <c r="M508" s="271" t="s">
        <v>1456</v>
      </c>
      <c r="N508" s="271" t="s">
        <v>158</v>
      </c>
    </row>
    <row r="509" spans="1:14" s="71" customFormat="1" ht="51">
      <c r="A509" s="91">
        <v>60</v>
      </c>
      <c r="B509" s="119" t="s">
        <v>2046</v>
      </c>
      <c r="C509" s="120" t="s">
        <v>2047</v>
      </c>
      <c r="D509" s="271"/>
      <c r="E509" s="123">
        <v>4</v>
      </c>
      <c r="F509" s="123">
        <v>4</v>
      </c>
      <c r="G509" s="122">
        <f t="shared" si="25"/>
        <v>0</v>
      </c>
      <c r="H509" s="100">
        <v>5452000</v>
      </c>
      <c r="I509" s="100">
        <v>21808000</v>
      </c>
      <c r="J509" s="271" t="s">
        <v>980</v>
      </c>
      <c r="K509" s="271"/>
      <c r="L509" s="271" t="s">
        <v>95</v>
      </c>
      <c r="M509" s="271" t="s">
        <v>1456</v>
      </c>
      <c r="N509" s="271" t="s">
        <v>158</v>
      </c>
    </row>
    <row r="510" spans="1:14" s="71" customFormat="1" ht="51">
      <c r="A510" s="91">
        <v>61</v>
      </c>
      <c r="B510" s="119" t="s">
        <v>2048</v>
      </c>
      <c r="C510" s="120" t="s">
        <v>2049</v>
      </c>
      <c r="D510" s="271"/>
      <c r="E510" s="123">
        <v>1</v>
      </c>
      <c r="F510" s="123">
        <v>1</v>
      </c>
      <c r="G510" s="122">
        <f t="shared" si="25"/>
        <v>0</v>
      </c>
      <c r="H510" s="100">
        <v>5700000</v>
      </c>
      <c r="I510" s="100">
        <v>5700000</v>
      </c>
      <c r="J510" s="271" t="s">
        <v>980</v>
      </c>
      <c r="K510" s="271"/>
      <c r="L510" s="271" t="s">
        <v>641</v>
      </c>
      <c r="M510" s="271" t="s">
        <v>1456</v>
      </c>
      <c r="N510" s="271"/>
    </row>
    <row r="511" spans="1:14" s="71" customFormat="1" ht="51">
      <c r="A511" s="91">
        <v>62</v>
      </c>
      <c r="B511" s="119" t="s">
        <v>2050</v>
      </c>
      <c r="C511" s="120" t="s">
        <v>2051</v>
      </c>
      <c r="D511" s="271"/>
      <c r="E511" s="123">
        <v>1</v>
      </c>
      <c r="F511" s="123">
        <v>1</v>
      </c>
      <c r="G511" s="122">
        <f t="shared" si="25"/>
        <v>0</v>
      </c>
      <c r="H511" s="100">
        <v>4300000</v>
      </c>
      <c r="I511" s="100">
        <v>4300000</v>
      </c>
      <c r="J511" s="271" t="s">
        <v>980</v>
      </c>
      <c r="K511" s="271"/>
      <c r="L511" s="271" t="s">
        <v>641</v>
      </c>
      <c r="M511" s="271" t="s">
        <v>1456</v>
      </c>
      <c r="N511" s="271"/>
    </row>
    <row r="512" spans="1:14" s="71" customFormat="1" ht="51">
      <c r="A512" s="91">
        <v>63</v>
      </c>
      <c r="B512" s="119" t="s">
        <v>2052</v>
      </c>
      <c r="C512" s="120" t="s">
        <v>2053</v>
      </c>
      <c r="D512" s="271"/>
      <c r="E512" s="123">
        <v>1</v>
      </c>
      <c r="F512" s="123">
        <v>1</v>
      </c>
      <c r="G512" s="122">
        <f t="shared" si="25"/>
        <v>0</v>
      </c>
      <c r="H512" s="100">
        <v>4900000</v>
      </c>
      <c r="I512" s="100">
        <v>4900000</v>
      </c>
      <c r="J512" s="271" t="s">
        <v>980</v>
      </c>
      <c r="K512" s="271"/>
      <c r="L512" s="271" t="s">
        <v>641</v>
      </c>
      <c r="M512" s="271" t="s">
        <v>1456</v>
      </c>
      <c r="N512" s="271"/>
    </row>
    <row r="513" spans="1:14" s="71" customFormat="1" ht="51">
      <c r="A513" s="91">
        <v>64</v>
      </c>
      <c r="B513" s="119" t="s">
        <v>2054</v>
      </c>
      <c r="C513" s="120" t="s">
        <v>2055</v>
      </c>
      <c r="D513" s="271"/>
      <c r="E513" s="123">
        <v>3</v>
      </c>
      <c r="F513" s="123">
        <v>3</v>
      </c>
      <c r="G513" s="122">
        <f t="shared" si="25"/>
        <v>0</v>
      </c>
      <c r="H513" s="100">
        <v>590000</v>
      </c>
      <c r="I513" s="100">
        <v>1770000</v>
      </c>
      <c r="J513" s="271" t="s">
        <v>980</v>
      </c>
      <c r="K513" s="271"/>
      <c r="L513" s="271" t="s">
        <v>641</v>
      </c>
      <c r="M513" s="271" t="s">
        <v>1456</v>
      </c>
      <c r="N513" s="271"/>
    </row>
    <row r="514" spans="1:14" s="71" customFormat="1" ht="51">
      <c r="A514" s="91">
        <v>65</v>
      </c>
      <c r="B514" s="119" t="s">
        <v>2056</v>
      </c>
      <c r="C514" s="120" t="s">
        <v>2057</v>
      </c>
      <c r="D514" s="271"/>
      <c r="E514" s="123">
        <v>10</v>
      </c>
      <c r="F514" s="123">
        <v>10</v>
      </c>
      <c r="G514" s="122">
        <f>F514-E514</f>
        <v>0</v>
      </c>
      <c r="H514" s="100">
        <v>8800000</v>
      </c>
      <c r="I514" s="100">
        <v>88000000</v>
      </c>
      <c r="J514" s="271" t="s">
        <v>980</v>
      </c>
      <c r="K514" s="271"/>
      <c r="L514" s="271" t="s">
        <v>641</v>
      </c>
      <c r="M514" s="271" t="s">
        <v>1456</v>
      </c>
      <c r="N514" s="271"/>
    </row>
    <row r="515" spans="1:14" s="71" customFormat="1" ht="51">
      <c r="A515" s="91">
        <v>66</v>
      </c>
      <c r="B515" s="119" t="s">
        <v>2058</v>
      </c>
      <c r="C515" s="120" t="s">
        <v>2059</v>
      </c>
      <c r="D515" s="271"/>
      <c r="E515" s="123">
        <v>1</v>
      </c>
      <c r="F515" s="123">
        <v>1</v>
      </c>
      <c r="G515" s="122">
        <f t="shared" si="25"/>
        <v>0</v>
      </c>
      <c r="H515" s="100">
        <v>1449000</v>
      </c>
      <c r="I515" s="100">
        <v>1449000</v>
      </c>
      <c r="J515" s="271" t="s">
        <v>980</v>
      </c>
      <c r="K515" s="271"/>
      <c r="L515" s="271" t="s">
        <v>641</v>
      </c>
      <c r="M515" s="271" t="s">
        <v>1456</v>
      </c>
      <c r="N515" s="271"/>
    </row>
    <row r="516" spans="1:14" s="71" customFormat="1" ht="20.100000000000001" customHeight="1">
      <c r="A516" s="91"/>
      <c r="B516" s="495" t="s">
        <v>2060</v>
      </c>
      <c r="C516" s="496"/>
      <c r="D516" s="496"/>
      <c r="E516" s="496"/>
      <c r="F516" s="496"/>
      <c r="G516" s="496"/>
      <c r="H516" s="496"/>
      <c r="I516" s="496"/>
      <c r="J516" s="496"/>
      <c r="K516" s="496"/>
      <c r="L516" s="496"/>
      <c r="M516" s="496"/>
      <c r="N516" s="497"/>
    </row>
    <row r="517" spans="1:14" s="71" customFormat="1" ht="51">
      <c r="A517" s="91">
        <v>1</v>
      </c>
      <c r="B517" s="74" t="s">
        <v>2061</v>
      </c>
      <c r="C517" s="120"/>
      <c r="D517" s="271">
        <v>1997</v>
      </c>
      <c r="E517" s="271">
        <v>1</v>
      </c>
      <c r="F517" s="271">
        <v>1</v>
      </c>
      <c r="G517" s="271">
        <f>F517-E517</f>
        <v>0</v>
      </c>
      <c r="H517" s="76">
        <v>20000000</v>
      </c>
      <c r="I517" s="76">
        <v>20000000</v>
      </c>
      <c r="J517" s="271" t="s">
        <v>980</v>
      </c>
      <c r="K517" s="271" t="s">
        <v>2062</v>
      </c>
      <c r="L517" s="271" t="s">
        <v>641</v>
      </c>
      <c r="M517" s="271" t="s">
        <v>2063</v>
      </c>
      <c r="N517" s="271"/>
    </row>
    <row r="518" spans="1:14" s="71" customFormat="1" ht="51">
      <c r="A518" s="91">
        <v>2</v>
      </c>
      <c r="B518" s="74" t="s">
        <v>2064</v>
      </c>
      <c r="C518" s="120"/>
      <c r="D518" s="271">
        <v>1997</v>
      </c>
      <c r="E518" s="271">
        <v>1</v>
      </c>
      <c r="F518" s="271">
        <v>1</v>
      </c>
      <c r="G518" s="271">
        <f t="shared" ref="G518:G576" si="26">F518-E518</f>
        <v>0</v>
      </c>
      <c r="H518" s="76">
        <v>10660925</v>
      </c>
      <c r="I518" s="76">
        <v>10660925</v>
      </c>
      <c r="J518" s="271" t="s">
        <v>980</v>
      </c>
      <c r="K518" s="271" t="s">
        <v>2065</v>
      </c>
      <c r="L518" s="271" t="s">
        <v>641</v>
      </c>
      <c r="M518" s="271" t="s">
        <v>2063</v>
      </c>
      <c r="N518" s="271"/>
    </row>
    <row r="519" spans="1:14" s="71" customFormat="1" ht="51">
      <c r="A519" s="91">
        <v>3</v>
      </c>
      <c r="B519" s="74" t="s">
        <v>2066</v>
      </c>
      <c r="C519" s="120"/>
      <c r="D519" s="271">
        <v>1997</v>
      </c>
      <c r="E519" s="271">
        <v>1</v>
      </c>
      <c r="F519" s="271">
        <v>1</v>
      </c>
      <c r="G519" s="271">
        <f t="shared" si="26"/>
        <v>0</v>
      </c>
      <c r="H519" s="76">
        <v>77987753</v>
      </c>
      <c r="I519" s="76">
        <v>77987753</v>
      </c>
      <c r="J519" s="271" t="s">
        <v>980</v>
      </c>
      <c r="K519" s="271" t="s">
        <v>2065</v>
      </c>
      <c r="L519" s="271" t="s">
        <v>2067</v>
      </c>
      <c r="M519" s="271" t="s">
        <v>2063</v>
      </c>
      <c r="N519" s="271" t="s">
        <v>1822</v>
      </c>
    </row>
    <row r="520" spans="1:14" s="71" customFormat="1" ht="51">
      <c r="A520" s="91">
        <v>4</v>
      </c>
      <c r="B520" s="74" t="s">
        <v>2068</v>
      </c>
      <c r="C520" s="120"/>
      <c r="D520" s="271">
        <v>1997</v>
      </c>
      <c r="E520" s="271">
        <v>1</v>
      </c>
      <c r="F520" s="271">
        <v>1</v>
      </c>
      <c r="G520" s="271">
        <f t="shared" si="26"/>
        <v>0</v>
      </c>
      <c r="H520" s="76">
        <v>19035000</v>
      </c>
      <c r="I520" s="76">
        <v>19035000</v>
      </c>
      <c r="J520" s="271" t="s">
        <v>980</v>
      </c>
      <c r="K520" s="271" t="s">
        <v>2062</v>
      </c>
      <c r="L520" s="271" t="s">
        <v>95</v>
      </c>
      <c r="M520" s="271" t="s">
        <v>2063</v>
      </c>
      <c r="N520" s="271" t="s">
        <v>2069</v>
      </c>
    </row>
    <row r="521" spans="1:14" s="71" customFormat="1" ht="51">
      <c r="A521" s="91">
        <v>5</v>
      </c>
      <c r="B521" s="74" t="s">
        <v>2070</v>
      </c>
      <c r="C521" s="120"/>
      <c r="D521" s="271">
        <v>1997</v>
      </c>
      <c r="E521" s="271">
        <v>1</v>
      </c>
      <c r="F521" s="271">
        <v>1</v>
      </c>
      <c r="G521" s="271">
        <f t="shared" si="26"/>
        <v>0</v>
      </c>
      <c r="H521" s="76">
        <v>15620000</v>
      </c>
      <c r="I521" s="76">
        <v>15620000</v>
      </c>
      <c r="J521" s="271" t="s">
        <v>980</v>
      </c>
      <c r="K521" s="271" t="s">
        <v>2062</v>
      </c>
      <c r="L521" s="271" t="s">
        <v>641</v>
      </c>
      <c r="M521" s="271" t="s">
        <v>2063</v>
      </c>
      <c r="N521" s="271"/>
    </row>
    <row r="522" spans="1:14" s="71" customFormat="1" ht="51">
      <c r="A522" s="91">
        <v>6</v>
      </c>
      <c r="B522" s="74" t="s">
        <v>2071</v>
      </c>
      <c r="C522" s="120"/>
      <c r="D522" s="271">
        <v>1997</v>
      </c>
      <c r="E522" s="271">
        <v>1</v>
      </c>
      <c r="F522" s="271">
        <v>1</v>
      </c>
      <c r="G522" s="271">
        <f t="shared" si="26"/>
        <v>0</v>
      </c>
      <c r="H522" s="76">
        <v>18855000</v>
      </c>
      <c r="I522" s="76">
        <v>18855000</v>
      </c>
      <c r="J522" s="271" t="s">
        <v>980</v>
      </c>
      <c r="K522" s="271" t="s">
        <v>2065</v>
      </c>
      <c r="L522" s="271" t="s">
        <v>2067</v>
      </c>
      <c r="M522" s="271" t="s">
        <v>2063</v>
      </c>
      <c r="N522" s="271" t="s">
        <v>1822</v>
      </c>
    </row>
    <row r="523" spans="1:14" s="71" customFormat="1" ht="51">
      <c r="A523" s="91">
        <v>7</v>
      </c>
      <c r="B523" s="74" t="s">
        <v>2072</v>
      </c>
      <c r="C523" s="120"/>
      <c r="D523" s="271">
        <v>2000</v>
      </c>
      <c r="E523" s="271">
        <v>1</v>
      </c>
      <c r="F523" s="271">
        <v>1</v>
      </c>
      <c r="G523" s="271">
        <f t="shared" si="26"/>
        <v>0</v>
      </c>
      <c r="H523" s="76">
        <v>68374138</v>
      </c>
      <c r="I523" s="76">
        <v>68374138</v>
      </c>
      <c r="J523" s="271" t="s">
        <v>980</v>
      </c>
      <c r="K523" s="271" t="s">
        <v>2062</v>
      </c>
      <c r="L523" s="271" t="s">
        <v>641</v>
      </c>
      <c r="M523" s="271" t="s">
        <v>2063</v>
      </c>
      <c r="N523" s="271"/>
    </row>
    <row r="524" spans="1:14" s="71" customFormat="1" ht="51">
      <c r="A524" s="91">
        <v>8</v>
      </c>
      <c r="B524" s="74" t="s">
        <v>2073</v>
      </c>
      <c r="C524" s="120"/>
      <c r="D524" s="96">
        <v>2001</v>
      </c>
      <c r="E524" s="271">
        <v>1</v>
      </c>
      <c r="F524" s="271">
        <v>1</v>
      </c>
      <c r="G524" s="271">
        <f t="shared" si="26"/>
        <v>0</v>
      </c>
      <c r="H524" s="76">
        <v>10000000</v>
      </c>
      <c r="I524" s="76">
        <v>10000000</v>
      </c>
      <c r="J524" s="271" t="s">
        <v>980</v>
      </c>
      <c r="K524" s="271" t="s">
        <v>2065</v>
      </c>
      <c r="L524" s="271" t="s">
        <v>2067</v>
      </c>
      <c r="M524" s="271" t="s">
        <v>2063</v>
      </c>
      <c r="N524" s="271" t="s">
        <v>158</v>
      </c>
    </row>
    <row r="525" spans="1:14" s="71" customFormat="1" ht="51">
      <c r="A525" s="91">
        <v>9</v>
      </c>
      <c r="B525" s="74" t="s">
        <v>2074</v>
      </c>
      <c r="C525" s="120"/>
      <c r="D525" s="271">
        <v>2009</v>
      </c>
      <c r="E525" s="271">
        <v>1</v>
      </c>
      <c r="F525" s="271">
        <v>1</v>
      </c>
      <c r="G525" s="271">
        <f t="shared" si="26"/>
        <v>0</v>
      </c>
      <c r="H525" s="76">
        <v>29500000</v>
      </c>
      <c r="I525" s="76">
        <v>29500000</v>
      </c>
      <c r="J525" s="271" t="s">
        <v>980</v>
      </c>
      <c r="K525" s="271" t="s">
        <v>2065</v>
      </c>
      <c r="L525" s="271" t="s">
        <v>641</v>
      </c>
      <c r="M525" s="271" t="s">
        <v>2063</v>
      </c>
      <c r="N525" s="271"/>
    </row>
    <row r="526" spans="1:14" s="71" customFormat="1" ht="51">
      <c r="A526" s="91">
        <v>10</v>
      </c>
      <c r="B526" s="74" t="s">
        <v>2075</v>
      </c>
      <c r="C526" s="120"/>
      <c r="D526" s="271">
        <v>2009</v>
      </c>
      <c r="E526" s="271">
        <v>1</v>
      </c>
      <c r="F526" s="271">
        <v>1</v>
      </c>
      <c r="G526" s="271">
        <f t="shared" si="26"/>
        <v>0</v>
      </c>
      <c r="H526" s="76">
        <v>50000000</v>
      </c>
      <c r="I526" s="76">
        <v>50000000</v>
      </c>
      <c r="J526" s="271" t="s">
        <v>980</v>
      </c>
      <c r="K526" s="271" t="s">
        <v>2065</v>
      </c>
      <c r="L526" s="271" t="s">
        <v>641</v>
      </c>
      <c r="M526" s="271" t="s">
        <v>2063</v>
      </c>
      <c r="N526" s="271"/>
    </row>
    <row r="527" spans="1:14" s="71" customFormat="1" ht="51">
      <c r="A527" s="91">
        <v>11</v>
      </c>
      <c r="B527" s="74" t="s">
        <v>2076</v>
      </c>
      <c r="C527" s="120"/>
      <c r="D527" s="96">
        <v>2009</v>
      </c>
      <c r="E527" s="271">
        <v>1</v>
      </c>
      <c r="F527" s="271">
        <v>1</v>
      </c>
      <c r="G527" s="271">
        <f t="shared" si="26"/>
        <v>0</v>
      </c>
      <c r="H527" s="76">
        <v>62968551</v>
      </c>
      <c r="I527" s="76">
        <v>62968551</v>
      </c>
      <c r="J527" s="271" t="s">
        <v>980</v>
      </c>
      <c r="K527" s="271" t="s">
        <v>2065</v>
      </c>
      <c r="L527" s="271" t="s">
        <v>232</v>
      </c>
      <c r="M527" s="271" t="s">
        <v>2063</v>
      </c>
      <c r="N527" s="271" t="s">
        <v>158</v>
      </c>
    </row>
    <row r="528" spans="1:14" s="71" customFormat="1" ht="51">
      <c r="A528" s="91">
        <v>12</v>
      </c>
      <c r="B528" s="74" t="s">
        <v>2077</v>
      </c>
      <c r="C528" s="120"/>
      <c r="D528" s="271">
        <v>2009</v>
      </c>
      <c r="E528" s="271">
        <v>1</v>
      </c>
      <c r="F528" s="271">
        <v>1</v>
      </c>
      <c r="G528" s="271">
        <f t="shared" si="26"/>
        <v>0</v>
      </c>
      <c r="H528" s="76">
        <v>135931857</v>
      </c>
      <c r="I528" s="76">
        <v>135931857</v>
      </c>
      <c r="J528" s="271" t="s">
        <v>980</v>
      </c>
      <c r="K528" s="271" t="s">
        <v>2065</v>
      </c>
      <c r="L528" s="271" t="s">
        <v>641</v>
      </c>
      <c r="M528" s="271" t="s">
        <v>2063</v>
      </c>
      <c r="N528" s="271"/>
    </row>
    <row r="529" spans="1:14" s="71" customFormat="1" ht="51">
      <c r="A529" s="91">
        <v>13</v>
      </c>
      <c r="B529" s="74" t="s">
        <v>2078</v>
      </c>
      <c r="C529" s="120"/>
      <c r="D529" s="271">
        <v>2009</v>
      </c>
      <c r="E529" s="271">
        <v>1</v>
      </c>
      <c r="F529" s="271">
        <v>1</v>
      </c>
      <c r="G529" s="271">
        <f t="shared" si="26"/>
        <v>0</v>
      </c>
      <c r="H529" s="76">
        <v>106138518</v>
      </c>
      <c r="I529" s="76">
        <v>106138518</v>
      </c>
      <c r="J529" s="271" t="s">
        <v>980</v>
      </c>
      <c r="K529" s="271" t="s">
        <v>2065</v>
      </c>
      <c r="L529" s="271" t="s">
        <v>641</v>
      </c>
      <c r="M529" s="271" t="s">
        <v>2063</v>
      </c>
      <c r="N529" s="271"/>
    </row>
    <row r="530" spans="1:14" s="71" customFormat="1" ht="51">
      <c r="A530" s="91">
        <v>14</v>
      </c>
      <c r="B530" s="74" t="s">
        <v>2079</v>
      </c>
      <c r="C530" s="120"/>
      <c r="D530" s="271">
        <v>2009</v>
      </c>
      <c r="E530" s="271">
        <v>1</v>
      </c>
      <c r="F530" s="271">
        <v>1</v>
      </c>
      <c r="G530" s="271">
        <f t="shared" si="26"/>
        <v>0</v>
      </c>
      <c r="H530" s="76">
        <v>123158170</v>
      </c>
      <c r="I530" s="76">
        <v>123158170</v>
      </c>
      <c r="J530" s="271" t="s">
        <v>980</v>
      </c>
      <c r="K530" s="271" t="s">
        <v>2065</v>
      </c>
      <c r="L530" s="271" t="s">
        <v>2067</v>
      </c>
      <c r="M530" s="271" t="s">
        <v>2063</v>
      </c>
      <c r="N530" s="271" t="s">
        <v>1822</v>
      </c>
    </row>
    <row r="531" spans="1:14" s="71" customFormat="1" ht="51">
      <c r="A531" s="91">
        <v>15</v>
      </c>
      <c r="B531" s="74" t="s">
        <v>2080</v>
      </c>
      <c r="C531" s="120"/>
      <c r="D531" s="271">
        <v>2009</v>
      </c>
      <c r="E531" s="271">
        <v>1</v>
      </c>
      <c r="F531" s="271">
        <v>1</v>
      </c>
      <c r="G531" s="271">
        <f>F531-E531</f>
        <v>0</v>
      </c>
      <c r="H531" s="76">
        <v>172353701</v>
      </c>
      <c r="I531" s="76">
        <v>172353701</v>
      </c>
      <c r="J531" s="271" t="s">
        <v>980</v>
      </c>
      <c r="K531" s="271" t="s">
        <v>2065</v>
      </c>
      <c r="L531" s="271" t="s">
        <v>232</v>
      </c>
      <c r="M531" s="271" t="s">
        <v>2063</v>
      </c>
      <c r="N531" s="271"/>
    </row>
    <row r="532" spans="1:14" s="71" customFormat="1" ht="51">
      <c r="A532" s="91">
        <v>16</v>
      </c>
      <c r="B532" s="74" t="s">
        <v>2081</v>
      </c>
      <c r="C532" s="120"/>
      <c r="D532" s="271">
        <v>2009</v>
      </c>
      <c r="E532" s="271">
        <v>1</v>
      </c>
      <c r="F532" s="271">
        <v>1</v>
      </c>
      <c r="G532" s="271">
        <f t="shared" si="26"/>
        <v>0</v>
      </c>
      <c r="H532" s="76">
        <v>29000000</v>
      </c>
      <c r="I532" s="76">
        <v>29000000</v>
      </c>
      <c r="J532" s="271" t="s">
        <v>980</v>
      </c>
      <c r="K532" s="271" t="s">
        <v>2082</v>
      </c>
      <c r="L532" s="271" t="s">
        <v>641</v>
      </c>
      <c r="M532" s="271" t="s">
        <v>2063</v>
      </c>
      <c r="N532" s="271"/>
    </row>
    <row r="533" spans="1:14" s="71" customFormat="1" ht="51">
      <c r="A533" s="91">
        <v>17</v>
      </c>
      <c r="B533" s="74" t="s">
        <v>2083</v>
      </c>
      <c r="C533" s="120"/>
      <c r="D533" s="271">
        <v>2010</v>
      </c>
      <c r="E533" s="271">
        <v>1</v>
      </c>
      <c r="F533" s="271">
        <v>1</v>
      </c>
      <c r="G533" s="271">
        <f t="shared" si="26"/>
        <v>0</v>
      </c>
      <c r="H533" s="76">
        <v>52310823</v>
      </c>
      <c r="I533" s="76">
        <v>52310823</v>
      </c>
      <c r="J533" s="271" t="s">
        <v>980</v>
      </c>
      <c r="K533" s="271" t="s">
        <v>2082</v>
      </c>
      <c r="L533" s="271" t="s">
        <v>641</v>
      </c>
      <c r="M533" s="271" t="s">
        <v>2063</v>
      </c>
      <c r="N533" s="271"/>
    </row>
    <row r="534" spans="1:14" s="71" customFormat="1" ht="51">
      <c r="A534" s="91">
        <v>18</v>
      </c>
      <c r="B534" s="74" t="s">
        <v>2084</v>
      </c>
      <c r="C534" s="120"/>
      <c r="D534" s="271">
        <v>2010</v>
      </c>
      <c r="E534" s="271">
        <v>1</v>
      </c>
      <c r="F534" s="271">
        <v>1</v>
      </c>
      <c r="G534" s="271">
        <f t="shared" si="26"/>
        <v>0</v>
      </c>
      <c r="H534" s="124">
        <v>101876556</v>
      </c>
      <c r="I534" s="124">
        <v>101876556</v>
      </c>
      <c r="J534" s="271" t="s">
        <v>980</v>
      </c>
      <c r="K534" s="271" t="s">
        <v>2082</v>
      </c>
      <c r="L534" s="271" t="s">
        <v>641</v>
      </c>
      <c r="M534" s="271" t="s">
        <v>2063</v>
      </c>
      <c r="N534" s="271"/>
    </row>
    <row r="535" spans="1:14" s="71" customFormat="1" ht="51">
      <c r="A535" s="91">
        <v>19</v>
      </c>
      <c r="B535" s="74" t="s">
        <v>2085</v>
      </c>
      <c r="C535" s="120"/>
      <c r="D535" s="271">
        <v>2010</v>
      </c>
      <c r="E535" s="271">
        <v>1</v>
      </c>
      <c r="F535" s="271">
        <v>1</v>
      </c>
      <c r="G535" s="271">
        <f t="shared" si="26"/>
        <v>0</v>
      </c>
      <c r="H535" s="76">
        <v>130370533</v>
      </c>
      <c r="I535" s="76">
        <v>130370533</v>
      </c>
      <c r="J535" s="271" t="s">
        <v>980</v>
      </c>
      <c r="K535" s="271" t="s">
        <v>2065</v>
      </c>
      <c r="L535" s="271" t="s">
        <v>641</v>
      </c>
      <c r="M535" s="271" t="s">
        <v>2063</v>
      </c>
      <c r="N535" s="271"/>
    </row>
    <row r="536" spans="1:14" s="71" customFormat="1" ht="51">
      <c r="A536" s="91">
        <v>20</v>
      </c>
      <c r="B536" s="74" t="s">
        <v>2086</v>
      </c>
      <c r="C536" s="120"/>
      <c r="D536" s="271">
        <v>2010</v>
      </c>
      <c r="E536" s="271">
        <v>1</v>
      </c>
      <c r="F536" s="271">
        <v>1</v>
      </c>
      <c r="G536" s="271">
        <f t="shared" si="26"/>
        <v>0</v>
      </c>
      <c r="H536" s="76">
        <v>73033390</v>
      </c>
      <c r="I536" s="76">
        <v>73033390</v>
      </c>
      <c r="J536" s="271" t="s">
        <v>980</v>
      </c>
      <c r="K536" s="271" t="s">
        <v>2065</v>
      </c>
      <c r="L536" s="271" t="s">
        <v>641</v>
      </c>
      <c r="M536" s="271" t="s">
        <v>2063</v>
      </c>
      <c r="N536" s="271"/>
    </row>
    <row r="537" spans="1:14" s="71" customFormat="1" ht="51">
      <c r="A537" s="91">
        <v>21</v>
      </c>
      <c r="B537" s="74" t="s">
        <v>2087</v>
      </c>
      <c r="C537" s="120"/>
      <c r="D537" s="271">
        <v>2010</v>
      </c>
      <c r="E537" s="271">
        <v>1</v>
      </c>
      <c r="F537" s="271">
        <v>1</v>
      </c>
      <c r="G537" s="271">
        <f t="shared" si="26"/>
        <v>0</v>
      </c>
      <c r="H537" s="76">
        <v>38246344</v>
      </c>
      <c r="I537" s="76">
        <v>38246344</v>
      </c>
      <c r="J537" s="271" t="s">
        <v>980</v>
      </c>
      <c r="K537" s="271" t="s">
        <v>2082</v>
      </c>
      <c r="L537" s="271" t="s">
        <v>641</v>
      </c>
      <c r="M537" s="271" t="s">
        <v>2063</v>
      </c>
      <c r="N537" s="271"/>
    </row>
    <row r="538" spans="1:14" s="71" customFormat="1" ht="51">
      <c r="A538" s="91">
        <v>22</v>
      </c>
      <c r="B538" s="74" t="s">
        <v>2088</v>
      </c>
      <c r="C538" s="120"/>
      <c r="D538" s="271">
        <v>2010</v>
      </c>
      <c r="E538" s="271">
        <v>1</v>
      </c>
      <c r="F538" s="271">
        <v>1</v>
      </c>
      <c r="G538" s="271">
        <f t="shared" si="26"/>
        <v>0</v>
      </c>
      <c r="H538" s="76">
        <v>131352000</v>
      </c>
      <c r="I538" s="76">
        <v>131352000</v>
      </c>
      <c r="J538" s="271" t="s">
        <v>980</v>
      </c>
      <c r="K538" s="271" t="s">
        <v>2082</v>
      </c>
      <c r="L538" s="271" t="s">
        <v>641</v>
      </c>
      <c r="M538" s="271" t="s">
        <v>2063</v>
      </c>
      <c r="N538" s="271"/>
    </row>
    <row r="539" spans="1:14" s="71" customFormat="1" ht="51">
      <c r="A539" s="91">
        <v>23</v>
      </c>
      <c r="B539" s="74" t="s">
        <v>2089</v>
      </c>
      <c r="C539" s="120"/>
      <c r="D539" s="271">
        <v>2011</v>
      </c>
      <c r="E539" s="271">
        <v>1</v>
      </c>
      <c r="F539" s="271">
        <v>1</v>
      </c>
      <c r="G539" s="271">
        <f t="shared" si="26"/>
        <v>0</v>
      </c>
      <c r="H539" s="76">
        <v>32000000</v>
      </c>
      <c r="I539" s="76">
        <v>32000000</v>
      </c>
      <c r="J539" s="271" t="s">
        <v>980</v>
      </c>
      <c r="K539" s="271" t="s">
        <v>2082</v>
      </c>
      <c r="L539" s="271" t="s">
        <v>641</v>
      </c>
      <c r="M539" s="271" t="s">
        <v>2063</v>
      </c>
      <c r="N539" s="271"/>
    </row>
    <row r="540" spans="1:14" s="71" customFormat="1" ht="51">
      <c r="A540" s="91">
        <v>24</v>
      </c>
      <c r="B540" s="74" t="s">
        <v>2090</v>
      </c>
      <c r="C540" s="120"/>
      <c r="D540" s="271">
        <v>2011</v>
      </c>
      <c r="E540" s="271">
        <v>1</v>
      </c>
      <c r="F540" s="271">
        <v>1</v>
      </c>
      <c r="G540" s="271">
        <f>F540-E540</f>
        <v>0</v>
      </c>
      <c r="H540" s="76">
        <v>289054557</v>
      </c>
      <c r="I540" s="76">
        <v>289054557</v>
      </c>
      <c r="J540" s="271" t="s">
        <v>980</v>
      </c>
      <c r="K540" s="271" t="s">
        <v>2065</v>
      </c>
      <c r="L540" s="271" t="s">
        <v>2067</v>
      </c>
      <c r="M540" s="271" t="s">
        <v>2063</v>
      </c>
      <c r="N540" s="271" t="s">
        <v>2091</v>
      </c>
    </row>
    <row r="541" spans="1:14" s="71" customFormat="1" ht="51">
      <c r="A541" s="91">
        <v>25</v>
      </c>
      <c r="B541" s="74" t="s">
        <v>2092</v>
      </c>
      <c r="C541" s="120"/>
      <c r="D541" s="271">
        <v>2011</v>
      </c>
      <c r="E541" s="271">
        <v>1</v>
      </c>
      <c r="F541" s="271">
        <v>1</v>
      </c>
      <c r="G541" s="271">
        <f t="shared" si="26"/>
        <v>0</v>
      </c>
      <c r="H541" s="76">
        <v>46904680</v>
      </c>
      <c r="I541" s="76">
        <v>46904680</v>
      </c>
      <c r="J541" s="271" t="s">
        <v>980</v>
      </c>
      <c r="K541" s="271" t="s">
        <v>2065</v>
      </c>
      <c r="L541" s="271" t="s">
        <v>641</v>
      </c>
      <c r="M541" s="271" t="s">
        <v>2063</v>
      </c>
      <c r="N541" s="271"/>
    </row>
    <row r="542" spans="1:14" s="71" customFormat="1" ht="51">
      <c r="A542" s="91">
        <v>26</v>
      </c>
      <c r="B542" s="74" t="s">
        <v>2093</v>
      </c>
      <c r="C542" s="120"/>
      <c r="D542" s="271">
        <v>2011</v>
      </c>
      <c r="E542" s="271">
        <v>1</v>
      </c>
      <c r="F542" s="271">
        <v>1</v>
      </c>
      <c r="G542" s="271">
        <f t="shared" si="26"/>
        <v>0</v>
      </c>
      <c r="H542" s="76">
        <v>1027723848</v>
      </c>
      <c r="I542" s="76">
        <v>1027723848</v>
      </c>
      <c r="J542" s="271" t="s">
        <v>980</v>
      </c>
      <c r="K542" s="271" t="s">
        <v>2065</v>
      </c>
      <c r="L542" s="271" t="s">
        <v>641</v>
      </c>
      <c r="M542" s="271" t="s">
        <v>2063</v>
      </c>
      <c r="N542" s="271"/>
    </row>
    <row r="543" spans="1:14" s="71" customFormat="1" ht="51">
      <c r="A543" s="91">
        <v>27</v>
      </c>
      <c r="B543" s="74" t="s">
        <v>2094</v>
      </c>
      <c r="C543" s="120"/>
      <c r="D543" s="271">
        <v>2011</v>
      </c>
      <c r="E543" s="271">
        <v>1</v>
      </c>
      <c r="F543" s="271">
        <v>1</v>
      </c>
      <c r="G543" s="271">
        <f t="shared" si="26"/>
        <v>0</v>
      </c>
      <c r="H543" s="76">
        <v>40776329</v>
      </c>
      <c r="I543" s="76">
        <v>40776329</v>
      </c>
      <c r="J543" s="271" t="s">
        <v>980</v>
      </c>
      <c r="K543" s="271" t="s">
        <v>2082</v>
      </c>
      <c r="L543" s="271" t="s">
        <v>641</v>
      </c>
      <c r="M543" s="271" t="s">
        <v>2063</v>
      </c>
      <c r="N543" s="271"/>
    </row>
    <row r="544" spans="1:14" s="71" customFormat="1" ht="51">
      <c r="A544" s="91">
        <v>28</v>
      </c>
      <c r="B544" s="74" t="s">
        <v>2095</v>
      </c>
      <c r="C544" s="120"/>
      <c r="D544" s="271">
        <v>2012</v>
      </c>
      <c r="E544" s="271">
        <v>1</v>
      </c>
      <c r="F544" s="271">
        <v>1</v>
      </c>
      <c r="G544" s="271">
        <f t="shared" si="26"/>
        <v>0</v>
      </c>
      <c r="H544" s="76">
        <v>15953463</v>
      </c>
      <c r="I544" s="76">
        <v>15953463</v>
      </c>
      <c r="J544" s="271" t="s">
        <v>980</v>
      </c>
      <c r="K544" s="271" t="s">
        <v>2082</v>
      </c>
      <c r="L544" s="271" t="s">
        <v>641</v>
      </c>
      <c r="M544" s="271" t="s">
        <v>2063</v>
      </c>
      <c r="N544" s="271"/>
    </row>
    <row r="545" spans="1:14" s="71" customFormat="1" ht="51">
      <c r="A545" s="91">
        <v>29</v>
      </c>
      <c r="B545" s="74" t="s">
        <v>2096</v>
      </c>
      <c r="C545" s="120"/>
      <c r="D545" s="271">
        <v>2012</v>
      </c>
      <c r="E545" s="271">
        <v>1</v>
      </c>
      <c r="F545" s="271">
        <v>1</v>
      </c>
      <c r="G545" s="271">
        <f t="shared" si="26"/>
        <v>0</v>
      </c>
      <c r="H545" s="76">
        <v>31037948</v>
      </c>
      <c r="I545" s="76">
        <v>31037948</v>
      </c>
      <c r="J545" s="271" t="s">
        <v>980</v>
      </c>
      <c r="K545" s="271" t="s">
        <v>2062</v>
      </c>
      <c r="L545" s="271" t="s">
        <v>641</v>
      </c>
      <c r="M545" s="271" t="s">
        <v>2063</v>
      </c>
      <c r="N545" s="271"/>
    </row>
    <row r="546" spans="1:14" s="71" customFormat="1" ht="51">
      <c r="A546" s="91">
        <v>30</v>
      </c>
      <c r="B546" s="74" t="s">
        <v>2097</v>
      </c>
      <c r="C546" s="120"/>
      <c r="D546" s="271">
        <v>2012</v>
      </c>
      <c r="E546" s="271">
        <v>1</v>
      </c>
      <c r="F546" s="271">
        <v>1</v>
      </c>
      <c r="G546" s="271">
        <f t="shared" si="26"/>
        <v>0</v>
      </c>
      <c r="H546" s="76">
        <v>31037948</v>
      </c>
      <c r="I546" s="76">
        <v>31037948</v>
      </c>
      <c r="J546" s="271" t="s">
        <v>980</v>
      </c>
      <c r="K546" s="271" t="s">
        <v>2098</v>
      </c>
      <c r="L546" s="271" t="s">
        <v>641</v>
      </c>
      <c r="M546" s="271" t="s">
        <v>2063</v>
      </c>
      <c r="N546" s="271"/>
    </row>
    <row r="547" spans="1:14" s="71" customFormat="1" ht="51">
      <c r="A547" s="91">
        <v>31</v>
      </c>
      <c r="B547" s="74" t="s">
        <v>2099</v>
      </c>
      <c r="C547" s="120"/>
      <c r="D547" s="271">
        <v>2012</v>
      </c>
      <c r="E547" s="271">
        <v>1</v>
      </c>
      <c r="F547" s="271">
        <v>1</v>
      </c>
      <c r="G547" s="271">
        <f t="shared" si="26"/>
        <v>0</v>
      </c>
      <c r="H547" s="76">
        <v>17298695</v>
      </c>
      <c r="I547" s="76">
        <v>17298695</v>
      </c>
      <c r="J547" s="271" t="s">
        <v>980</v>
      </c>
      <c r="K547" s="271" t="s">
        <v>2062</v>
      </c>
      <c r="L547" s="271" t="s">
        <v>641</v>
      </c>
      <c r="M547" s="271" t="s">
        <v>2063</v>
      </c>
      <c r="N547" s="271"/>
    </row>
    <row r="548" spans="1:14" s="71" customFormat="1" ht="51">
      <c r="A548" s="91">
        <v>32</v>
      </c>
      <c r="B548" s="74" t="s">
        <v>2100</v>
      </c>
      <c r="C548" s="120"/>
      <c r="D548" s="271">
        <v>2012</v>
      </c>
      <c r="E548" s="271">
        <v>1</v>
      </c>
      <c r="F548" s="271">
        <v>1</v>
      </c>
      <c r="G548" s="271">
        <f t="shared" si="26"/>
        <v>0</v>
      </c>
      <c r="H548" s="76">
        <v>17298695</v>
      </c>
      <c r="I548" s="76">
        <v>17298695</v>
      </c>
      <c r="J548" s="271" t="s">
        <v>980</v>
      </c>
      <c r="K548" s="271" t="s">
        <v>2065</v>
      </c>
      <c r="L548" s="271" t="s">
        <v>641</v>
      </c>
      <c r="M548" s="271" t="s">
        <v>2063</v>
      </c>
      <c r="N548" s="271"/>
    </row>
    <row r="549" spans="1:14" s="71" customFormat="1" ht="51">
      <c r="A549" s="91">
        <v>33</v>
      </c>
      <c r="B549" s="74" t="s">
        <v>2101</v>
      </c>
      <c r="C549" s="120"/>
      <c r="D549" s="271">
        <v>2013</v>
      </c>
      <c r="E549" s="271">
        <v>1</v>
      </c>
      <c r="F549" s="271">
        <v>1</v>
      </c>
      <c r="G549" s="271">
        <f t="shared" si="26"/>
        <v>0</v>
      </c>
      <c r="H549" s="76">
        <v>62645189</v>
      </c>
      <c r="I549" s="76">
        <v>62645189</v>
      </c>
      <c r="J549" s="271" t="s">
        <v>980</v>
      </c>
      <c r="K549" s="271" t="s">
        <v>2065</v>
      </c>
      <c r="L549" s="271" t="s">
        <v>641</v>
      </c>
      <c r="M549" s="271" t="s">
        <v>2063</v>
      </c>
      <c r="N549" s="271"/>
    </row>
    <row r="550" spans="1:14" s="71" customFormat="1" ht="51">
      <c r="A550" s="91">
        <v>34</v>
      </c>
      <c r="B550" s="74" t="s">
        <v>2102</v>
      </c>
      <c r="C550" s="120"/>
      <c r="D550" s="271">
        <v>2017</v>
      </c>
      <c r="E550" s="271">
        <v>1</v>
      </c>
      <c r="F550" s="271">
        <v>1</v>
      </c>
      <c r="G550" s="271">
        <f t="shared" si="26"/>
        <v>0</v>
      </c>
      <c r="H550" s="76">
        <v>23421200</v>
      </c>
      <c r="I550" s="76">
        <v>23421200</v>
      </c>
      <c r="J550" s="271" t="s">
        <v>980</v>
      </c>
      <c r="K550" s="271" t="s">
        <v>2065</v>
      </c>
      <c r="L550" s="271" t="s">
        <v>641</v>
      </c>
      <c r="M550" s="271" t="s">
        <v>2063</v>
      </c>
      <c r="N550" s="271"/>
    </row>
    <row r="551" spans="1:14" s="71" customFormat="1" ht="51">
      <c r="A551" s="91">
        <v>35</v>
      </c>
      <c r="B551" s="74" t="s">
        <v>2103</v>
      </c>
      <c r="C551" s="120"/>
      <c r="D551" s="271">
        <v>2017</v>
      </c>
      <c r="E551" s="271">
        <v>1</v>
      </c>
      <c r="F551" s="271">
        <v>1</v>
      </c>
      <c r="G551" s="271">
        <f t="shared" si="26"/>
        <v>0</v>
      </c>
      <c r="H551" s="76">
        <v>11509300</v>
      </c>
      <c r="I551" s="76">
        <v>11509300</v>
      </c>
      <c r="J551" s="271" t="s">
        <v>980</v>
      </c>
      <c r="K551" s="271" t="s">
        <v>2062</v>
      </c>
      <c r="L551" s="271" t="s">
        <v>641</v>
      </c>
      <c r="M551" s="271" t="s">
        <v>2063</v>
      </c>
      <c r="N551" s="271"/>
    </row>
    <row r="552" spans="1:14" s="71" customFormat="1" ht="51">
      <c r="A552" s="91">
        <v>36</v>
      </c>
      <c r="B552" s="74" t="s">
        <v>2104</v>
      </c>
      <c r="C552" s="120"/>
      <c r="D552" s="271">
        <v>2017</v>
      </c>
      <c r="E552" s="271">
        <v>1</v>
      </c>
      <c r="F552" s="271">
        <v>1</v>
      </c>
      <c r="G552" s="271">
        <f t="shared" si="26"/>
        <v>0</v>
      </c>
      <c r="H552" s="76">
        <v>68000000</v>
      </c>
      <c r="I552" s="76">
        <v>68000000</v>
      </c>
      <c r="J552" s="271" t="s">
        <v>980</v>
      </c>
      <c r="K552" s="271" t="s">
        <v>2062</v>
      </c>
      <c r="L552" s="271" t="s">
        <v>641</v>
      </c>
      <c r="M552" s="271" t="s">
        <v>2063</v>
      </c>
      <c r="N552" s="271"/>
    </row>
    <row r="553" spans="1:14" s="71" customFormat="1" ht="51">
      <c r="A553" s="91">
        <v>37</v>
      </c>
      <c r="B553" s="74" t="s">
        <v>2105</v>
      </c>
      <c r="C553" s="120"/>
      <c r="D553" s="271">
        <v>2018</v>
      </c>
      <c r="E553" s="271">
        <v>1</v>
      </c>
      <c r="F553" s="271">
        <v>1</v>
      </c>
      <c r="G553" s="271">
        <f t="shared" si="26"/>
        <v>0</v>
      </c>
      <c r="H553" s="76">
        <v>129000000</v>
      </c>
      <c r="I553" s="76">
        <v>129000000</v>
      </c>
      <c r="J553" s="271" t="s">
        <v>980</v>
      </c>
      <c r="K553" s="271" t="s">
        <v>2065</v>
      </c>
      <c r="L553" s="271" t="s">
        <v>1810</v>
      </c>
      <c r="M553" s="271" t="s">
        <v>2063</v>
      </c>
      <c r="N553" s="271"/>
    </row>
    <row r="554" spans="1:14" s="71" customFormat="1" ht="51">
      <c r="A554" s="91">
        <v>38</v>
      </c>
      <c r="B554" s="74" t="s">
        <v>2106</v>
      </c>
      <c r="C554" s="120"/>
      <c r="D554" s="271">
        <v>2018</v>
      </c>
      <c r="E554" s="271">
        <v>1</v>
      </c>
      <c r="F554" s="271">
        <v>1</v>
      </c>
      <c r="G554" s="271">
        <f t="shared" si="26"/>
        <v>0</v>
      </c>
      <c r="H554" s="76">
        <v>1769000000</v>
      </c>
      <c r="I554" s="76">
        <v>1769000000</v>
      </c>
      <c r="J554" s="271" t="s">
        <v>980</v>
      </c>
      <c r="K554" s="271" t="s">
        <v>2065</v>
      </c>
      <c r="L554" s="271" t="s">
        <v>1810</v>
      </c>
      <c r="M554" s="271" t="s">
        <v>2063</v>
      </c>
      <c r="N554" s="271"/>
    </row>
    <row r="555" spans="1:14" s="71" customFormat="1" ht="51">
      <c r="A555" s="91">
        <v>39</v>
      </c>
      <c r="B555" s="74" t="s">
        <v>2107</v>
      </c>
      <c r="C555" s="120"/>
      <c r="D555" s="271">
        <v>2018</v>
      </c>
      <c r="E555" s="271">
        <v>1</v>
      </c>
      <c r="F555" s="271">
        <v>1</v>
      </c>
      <c r="G555" s="271">
        <f t="shared" si="26"/>
        <v>0</v>
      </c>
      <c r="H555" s="76">
        <v>119000000</v>
      </c>
      <c r="I555" s="76">
        <v>119000000</v>
      </c>
      <c r="J555" s="271" t="s">
        <v>980</v>
      </c>
      <c r="K555" s="271" t="s">
        <v>2065</v>
      </c>
      <c r="L555" s="271" t="s">
        <v>641</v>
      </c>
      <c r="M555" s="271" t="s">
        <v>2063</v>
      </c>
      <c r="N555" s="271"/>
    </row>
    <row r="556" spans="1:14" s="71" customFormat="1" ht="51">
      <c r="A556" s="91">
        <v>40</v>
      </c>
      <c r="B556" s="74" t="s">
        <v>2108</v>
      </c>
      <c r="C556" s="120"/>
      <c r="D556" s="271">
        <v>2018</v>
      </c>
      <c r="E556" s="271">
        <v>1</v>
      </c>
      <c r="F556" s="271">
        <v>1</v>
      </c>
      <c r="G556" s="271">
        <f t="shared" si="26"/>
        <v>0</v>
      </c>
      <c r="H556" s="76">
        <v>140000000</v>
      </c>
      <c r="I556" s="76">
        <v>140000000</v>
      </c>
      <c r="J556" s="271" t="s">
        <v>980</v>
      </c>
      <c r="K556" s="271" t="s">
        <v>2065</v>
      </c>
      <c r="L556" s="271" t="s">
        <v>2067</v>
      </c>
      <c r="M556" s="271" t="s">
        <v>2063</v>
      </c>
      <c r="N556" s="271" t="s">
        <v>2091</v>
      </c>
    </row>
    <row r="557" spans="1:14" s="71" customFormat="1" ht="51">
      <c r="A557" s="91">
        <v>41</v>
      </c>
      <c r="B557" s="74" t="s">
        <v>2109</v>
      </c>
      <c r="C557" s="120"/>
      <c r="D557" s="271">
        <v>2018</v>
      </c>
      <c r="E557" s="271">
        <v>1</v>
      </c>
      <c r="F557" s="271">
        <v>1</v>
      </c>
      <c r="G557" s="271">
        <f t="shared" si="26"/>
        <v>0</v>
      </c>
      <c r="H557" s="76">
        <v>335000000</v>
      </c>
      <c r="I557" s="76">
        <v>335000000</v>
      </c>
      <c r="J557" s="271" t="s">
        <v>980</v>
      </c>
      <c r="K557" s="271" t="s">
        <v>2065</v>
      </c>
      <c r="L557" s="271" t="s">
        <v>641</v>
      </c>
      <c r="M557" s="271" t="s">
        <v>2063</v>
      </c>
      <c r="N557" s="271"/>
    </row>
    <row r="558" spans="1:14" s="71" customFormat="1" ht="51">
      <c r="A558" s="91">
        <v>42</v>
      </c>
      <c r="B558" s="74" t="s">
        <v>2110</v>
      </c>
      <c r="C558" s="120"/>
      <c r="D558" s="271">
        <v>2018</v>
      </c>
      <c r="E558" s="271">
        <v>1</v>
      </c>
      <c r="F558" s="271">
        <v>1</v>
      </c>
      <c r="G558" s="271">
        <f t="shared" si="26"/>
        <v>0</v>
      </c>
      <c r="H558" s="76">
        <v>2915000000</v>
      </c>
      <c r="I558" s="76">
        <v>2915000000</v>
      </c>
      <c r="J558" s="271" t="s">
        <v>980</v>
      </c>
      <c r="K558" s="271" t="s">
        <v>2065</v>
      </c>
      <c r="L558" s="271" t="s">
        <v>641</v>
      </c>
      <c r="M558" s="271" t="s">
        <v>2063</v>
      </c>
      <c r="N558" s="271" t="s">
        <v>2111</v>
      </c>
    </row>
    <row r="559" spans="1:14" s="71" customFormat="1" ht="51">
      <c r="A559" s="91">
        <v>43</v>
      </c>
      <c r="B559" s="74" t="s">
        <v>2112</v>
      </c>
      <c r="C559" s="120"/>
      <c r="D559" s="271">
        <v>2013</v>
      </c>
      <c r="E559" s="271">
        <v>1</v>
      </c>
      <c r="F559" s="271">
        <v>1</v>
      </c>
      <c r="G559" s="271">
        <f t="shared" si="26"/>
        <v>0</v>
      </c>
      <c r="H559" s="76">
        <v>17290496</v>
      </c>
      <c r="I559" s="76">
        <v>17290496</v>
      </c>
      <c r="J559" s="271" t="s">
        <v>980</v>
      </c>
      <c r="K559" s="271" t="s">
        <v>2065</v>
      </c>
      <c r="L559" s="271" t="s">
        <v>641</v>
      </c>
      <c r="M559" s="271" t="s">
        <v>2063</v>
      </c>
      <c r="N559" s="271"/>
    </row>
    <row r="560" spans="1:14" s="71" customFormat="1" ht="51">
      <c r="A560" s="91">
        <v>44</v>
      </c>
      <c r="B560" s="74" t="s">
        <v>2113</v>
      </c>
      <c r="C560" s="120"/>
      <c r="D560" s="271">
        <v>2017</v>
      </c>
      <c r="E560" s="271">
        <v>1</v>
      </c>
      <c r="F560" s="271">
        <v>1</v>
      </c>
      <c r="G560" s="271">
        <f t="shared" si="26"/>
        <v>0</v>
      </c>
      <c r="H560" s="76">
        <v>109970500</v>
      </c>
      <c r="I560" s="76">
        <v>109970500</v>
      </c>
      <c r="J560" s="271" t="s">
        <v>980</v>
      </c>
      <c r="K560" s="271" t="s">
        <v>2065</v>
      </c>
      <c r="L560" s="271" t="s">
        <v>641</v>
      </c>
      <c r="M560" s="271" t="s">
        <v>2063</v>
      </c>
      <c r="N560" s="271"/>
    </row>
    <row r="561" spans="1:14" s="71" customFormat="1" ht="51">
      <c r="A561" s="91">
        <v>45</v>
      </c>
      <c r="B561" s="74" t="s">
        <v>2114</v>
      </c>
      <c r="C561" s="120"/>
      <c r="D561" s="271">
        <v>2017</v>
      </c>
      <c r="E561" s="271">
        <v>1</v>
      </c>
      <c r="F561" s="271">
        <v>1</v>
      </c>
      <c r="G561" s="271">
        <f t="shared" si="26"/>
        <v>0</v>
      </c>
      <c r="H561" s="76">
        <v>318941000</v>
      </c>
      <c r="I561" s="76">
        <v>318941000</v>
      </c>
      <c r="J561" s="271" t="s">
        <v>980</v>
      </c>
      <c r="K561" s="271" t="s">
        <v>2065</v>
      </c>
      <c r="L561" s="271" t="s">
        <v>641</v>
      </c>
      <c r="M561" s="271" t="s">
        <v>2063</v>
      </c>
      <c r="N561" s="271"/>
    </row>
    <row r="562" spans="1:14" s="71" customFormat="1" ht="51">
      <c r="A562" s="91">
        <v>46</v>
      </c>
      <c r="B562" s="74" t="s">
        <v>2115</v>
      </c>
      <c r="C562" s="120"/>
      <c r="D562" s="271">
        <v>2017</v>
      </c>
      <c r="E562" s="271">
        <v>1</v>
      </c>
      <c r="F562" s="271">
        <v>1</v>
      </c>
      <c r="G562" s="271">
        <f t="shared" si="26"/>
        <v>0</v>
      </c>
      <c r="H562" s="76">
        <v>940441000</v>
      </c>
      <c r="I562" s="76">
        <v>940441000</v>
      </c>
      <c r="J562" s="271" t="s">
        <v>980</v>
      </c>
      <c r="K562" s="271" t="s">
        <v>2065</v>
      </c>
      <c r="L562" s="271" t="s">
        <v>232</v>
      </c>
      <c r="M562" s="271" t="s">
        <v>2063</v>
      </c>
      <c r="N562" s="271" t="s">
        <v>2116</v>
      </c>
    </row>
    <row r="563" spans="1:14" s="71" customFormat="1" ht="51">
      <c r="A563" s="91">
        <v>47</v>
      </c>
      <c r="B563" s="125" t="s">
        <v>2117</v>
      </c>
      <c r="C563" s="120"/>
      <c r="D563" s="271">
        <v>2017</v>
      </c>
      <c r="E563" s="271">
        <v>1</v>
      </c>
      <c r="F563" s="271">
        <v>1</v>
      </c>
      <c r="G563" s="271">
        <f t="shared" si="26"/>
        <v>0</v>
      </c>
      <c r="H563" s="126">
        <v>142970500</v>
      </c>
      <c r="I563" s="126">
        <v>142970500</v>
      </c>
      <c r="J563" s="271" t="s">
        <v>980</v>
      </c>
      <c r="K563" s="271" t="s">
        <v>2062</v>
      </c>
      <c r="L563" s="271" t="s">
        <v>641</v>
      </c>
      <c r="M563" s="271" t="s">
        <v>2063</v>
      </c>
      <c r="N563" s="271"/>
    </row>
    <row r="564" spans="1:14" s="71" customFormat="1" ht="51">
      <c r="A564" s="91">
        <v>48</v>
      </c>
      <c r="B564" s="74" t="s">
        <v>1676</v>
      </c>
      <c r="C564" s="120"/>
      <c r="D564" s="271">
        <v>2019</v>
      </c>
      <c r="E564" s="271">
        <v>1</v>
      </c>
      <c r="F564" s="271">
        <v>1</v>
      </c>
      <c r="G564" s="271">
        <f t="shared" si="26"/>
        <v>0</v>
      </c>
      <c r="H564" s="76">
        <v>10200000</v>
      </c>
      <c r="I564" s="76">
        <v>10200000</v>
      </c>
      <c r="J564" s="271" t="s">
        <v>980</v>
      </c>
      <c r="K564" s="271" t="s">
        <v>2065</v>
      </c>
      <c r="L564" s="271" t="s">
        <v>641</v>
      </c>
      <c r="M564" s="271" t="s">
        <v>2063</v>
      </c>
      <c r="N564" s="271"/>
    </row>
    <row r="565" spans="1:14" s="71" customFormat="1" ht="51">
      <c r="A565" s="91">
        <v>49</v>
      </c>
      <c r="B565" s="74" t="s">
        <v>2118</v>
      </c>
      <c r="C565" s="120"/>
      <c r="D565" s="271">
        <v>2019</v>
      </c>
      <c r="E565" s="271">
        <v>1</v>
      </c>
      <c r="F565" s="271">
        <v>1</v>
      </c>
      <c r="G565" s="271">
        <f t="shared" si="26"/>
        <v>0</v>
      </c>
      <c r="H565" s="76">
        <v>62100000</v>
      </c>
      <c r="I565" s="76">
        <v>62100000</v>
      </c>
      <c r="J565" s="271" t="s">
        <v>980</v>
      </c>
      <c r="K565" s="271" t="s">
        <v>2062</v>
      </c>
      <c r="L565" s="271" t="s">
        <v>641</v>
      </c>
      <c r="M565" s="271" t="s">
        <v>2063</v>
      </c>
      <c r="N565" s="271"/>
    </row>
    <row r="566" spans="1:14" s="71" customFormat="1" ht="51">
      <c r="A566" s="91">
        <v>50</v>
      </c>
      <c r="B566" s="74" t="s">
        <v>2119</v>
      </c>
      <c r="C566" s="120"/>
      <c r="D566" s="271">
        <v>2019</v>
      </c>
      <c r="E566" s="271">
        <v>1</v>
      </c>
      <c r="F566" s="271">
        <v>1</v>
      </c>
      <c r="G566" s="271">
        <f t="shared" si="26"/>
        <v>0</v>
      </c>
      <c r="H566" s="76">
        <v>178000000</v>
      </c>
      <c r="I566" s="76">
        <v>178000000</v>
      </c>
      <c r="J566" s="271" t="s">
        <v>980</v>
      </c>
      <c r="K566" s="271" t="s">
        <v>2062</v>
      </c>
      <c r="L566" s="271" t="s">
        <v>95</v>
      </c>
      <c r="M566" s="271" t="s">
        <v>2063</v>
      </c>
      <c r="N566" s="271" t="s">
        <v>2120</v>
      </c>
    </row>
    <row r="567" spans="1:14" s="71" customFormat="1" ht="51">
      <c r="A567" s="91">
        <v>51</v>
      </c>
      <c r="B567" s="74" t="s">
        <v>2121</v>
      </c>
      <c r="C567" s="120"/>
      <c r="D567" s="271">
        <v>2020</v>
      </c>
      <c r="E567" s="271">
        <v>1</v>
      </c>
      <c r="F567" s="271">
        <v>1</v>
      </c>
      <c r="G567" s="271">
        <f t="shared" si="26"/>
        <v>0</v>
      </c>
      <c r="H567" s="76">
        <v>297000000</v>
      </c>
      <c r="I567" s="76">
        <v>297000000</v>
      </c>
      <c r="J567" s="271" t="s">
        <v>980</v>
      </c>
      <c r="K567" s="271" t="s">
        <v>2062</v>
      </c>
      <c r="L567" s="271" t="s">
        <v>641</v>
      </c>
      <c r="M567" s="271" t="s">
        <v>2063</v>
      </c>
      <c r="N567" s="271"/>
    </row>
    <row r="568" spans="1:14" s="71" customFormat="1" ht="51">
      <c r="A568" s="91">
        <v>52</v>
      </c>
      <c r="B568" s="74" t="s">
        <v>2122</v>
      </c>
      <c r="C568" s="120"/>
      <c r="D568" s="271">
        <v>2021</v>
      </c>
      <c r="E568" s="271">
        <v>1</v>
      </c>
      <c r="F568" s="271">
        <v>1</v>
      </c>
      <c r="G568" s="271">
        <f t="shared" si="26"/>
        <v>0</v>
      </c>
      <c r="H568" s="124">
        <v>14294500</v>
      </c>
      <c r="I568" s="124">
        <v>14294500</v>
      </c>
      <c r="J568" s="271" t="s">
        <v>980</v>
      </c>
      <c r="K568" s="271" t="s">
        <v>2065</v>
      </c>
      <c r="L568" s="271" t="s">
        <v>641</v>
      </c>
      <c r="M568" s="271" t="s">
        <v>2063</v>
      </c>
      <c r="N568" s="271"/>
    </row>
    <row r="569" spans="1:14" s="71" customFormat="1" ht="51">
      <c r="A569" s="91">
        <v>53</v>
      </c>
      <c r="B569" s="74" t="s">
        <v>2123</v>
      </c>
      <c r="C569" s="120"/>
      <c r="D569" s="271">
        <v>2022</v>
      </c>
      <c r="E569" s="271">
        <v>1</v>
      </c>
      <c r="F569" s="271">
        <v>1</v>
      </c>
      <c r="G569" s="271">
        <f t="shared" si="26"/>
        <v>0</v>
      </c>
      <c r="H569" s="127">
        <v>113300000</v>
      </c>
      <c r="I569" s="127">
        <v>113300000</v>
      </c>
      <c r="J569" s="271" t="s">
        <v>980</v>
      </c>
      <c r="K569" s="271" t="s">
        <v>2062</v>
      </c>
      <c r="L569" s="271" t="s">
        <v>641</v>
      </c>
      <c r="M569" s="271" t="s">
        <v>2063</v>
      </c>
      <c r="N569" s="271"/>
    </row>
    <row r="570" spans="1:14" s="71" customFormat="1" ht="51">
      <c r="A570" s="91">
        <v>54</v>
      </c>
      <c r="B570" s="74" t="s">
        <v>2124</v>
      </c>
      <c r="C570" s="120"/>
      <c r="D570" s="271">
        <v>2024</v>
      </c>
      <c r="E570" s="271">
        <v>1</v>
      </c>
      <c r="F570" s="271">
        <v>1</v>
      </c>
      <c r="G570" s="271">
        <f t="shared" si="26"/>
        <v>0</v>
      </c>
      <c r="H570" s="127">
        <v>1623380000</v>
      </c>
      <c r="I570" s="127">
        <v>1623380000</v>
      </c>
      <c r="J570" s="271" t="s">
        <v>980</v>
      </c>
      <c r="K570" s="271" t="s">
        <v>2062</v>
      </c>
      <c r="L570" s="271" t="s">
        <v>641</v>
      </c>
      <c r="M570" s="271" t="s">
        <v>2063</v>
      </c>
      <c r="N570" s="271"/>
    </row>
    <row r="571" spans="1:14" s="71" customFormat="1" ht="51">
      <c r="A571" s="91">
        <v>55</v>
      </c>
      <c r="B571" s="72" t="s">
        <v>2125</v>
      </c>
      <c r="C571" s="120"/>
      <c r="D571" s="271">
        <v>2011</v>
      </c>
      <c r="E571" s="271">
        <v>1</v>
      </c>
      <c r="F571" s="271">
        <v>1</v>
      </c>
      <c r="G571" s="271">
        <f t="shared" si="26"/>
        <v>0</v>
      </c>
      <c r="H571" s="271"/>
      <c r="I571" s="271"/>
      <c r="J571" s="271" t="s">
        <v>980</v>
      </c>
      <c r="K571" s="271" t="s">
        <v>2062</v>
      </c>
      <c r="L571" s="271" t="s">
        <v>641</v>
      </c>
      <c r="M571" s="271" t="s">
        <v>2063</v>
      </c>
      <c r="N571" s="271"/>
    </row>
    <row r="572" spans="1:14" s="71" customFormat="1" ht="51">
      <c r="A572" s="91">
        <v>56</v>
      </c>
      <c r="B572" s="113" t="s">
        <v>2126</v>
      </c>
      <c r="C572" s="40" t="s">
        <v>2127</v>
      </c>
      <c r="D572" s="40">
        <v>2017</v>
      </c>
      <c r="E572" s="40"/>
      <c r="F572" s="40">
        <v>1</v>
      </c>
      <c r="G572" s="271">
        <f t="shared" si="26"/>
        <v>1</v>
      </c>
      <c r="H572" s="114">
        <v>36000000</v>
      </c>
      <c r="I572" s="114">
        <v>36000000</v>
      </c>
      <c r="J572" s="271" t="s">
        <v>980</v>
      </c>
      <c r="K572" s="271" t="s">
        <v>2062</v>
      </c>
      <c r="L572" s="271" t="s">
        <v>641</v>
      </c>
      <c r="M572" s="271" t="s">
        <v>1217</v>
      </c>
      <c r="N572" s="271" t="s">
        <v>2128</v>
      </c>
    </row>
    <row r="573" spans="1:14" s="71" customFormat="1" ht="51">
      <c r="A573" s="91">
        <v>57</v>
      </c>
      <c r="B573" s="113" t="s">
        <v>2129</v>
      </c>
      <c r="C573" s="40" t="s">
        <v>2130</v>
      </c>
      <c r="D573" s="40">
        <v>2017</v>
      </c>
      <c r="E573" s="40"/>
      <c r="F573" s="40">
        <v>1</v>
      </c>
      <c r="G573" s="271">
        <f t="shared" si="26"/>
        <v>1</v>
      </c>
      <c r="H573" s="114">
        <v>107000000</v>
      </c>
      <c r="I573" s="114">
        <v>107000000</v>
      </c>
      <c r="J573" s="271" t="s">
        <v>980</v>
      </c>
      <c r="K573" s="271" t="s">
        <v>2062</v>
      </c>
      <c r="L573" s="271" t="s">
        <v>1810</v>
      </c>
      <c r="M573" s="271" t="s">
        <v>1217</v>
      </c>
      <c r="N573" s="271" t="s">
        <v>2131</v>
      </c>
    </row>
    <row r="574" spans="1:14" s="71" customFormat="1" ht="51">
      <c r="A574" s="91">
        <v>58</v>
      </c>
      <c r="B574" s="113" t="s">
        <v>2132</v>
      </c>
      <c r="C574" s="40" t="s">
        <v>2133</v>
      </c>
      <c r="D574" s="40">
        <v>2017</v>
      </c>
      <c r="E574" s="40"/>
      <c r="F574" s="40">
        <v>1</v>
      </c>
      <c r="G574" s="271">
        <f t="shared" si="26"/>
        <v>1</v>
      </c>
      <c r="H574" s="114">
        <v>329000000</v>
      </c>
      <c r="I574" s="114">
        <v>329000000</v>
      </c>
      <c r="J574" s="271" t="s">
        <v>980</v>
      </c>
      <c r="K574" s="271" t="s">
        <v>2062</v>
      </c>
      <c r="L574" s="271" t="s">
        <v>641</v>
      </c>
      <c r="M574" s="271" t="s">
        <v>1865</v>
      </c>
      <c r="N574" s="271" t="s">
        <v>2134</v>
      </c>
    </row>
    <row r="575" spans="1:14" s="71" customFormat="1" ht="51">
      <c r="A575" s="91">
        <v>59</v>
      </c>
      <c r="B575" s="113" t="s">
        <v>2135</v>
      </c>
      <c r="C575" s="40" t="s">
        <v>2136</v>
      </c>
      <c r="D575" s="40">
        <v>2017</v>
      </c>
      <c r="E575" s="40"/>
      <c r="F575" s="40">
        <v>1</v>
      </c>
      <c r="G575" s="271">
        <f t="shared" si="26"/>
        <v>1</v>
      </c>
      <c r="H575" s="114">
        <v>364600000</v>
      </c>
      <c r="I575" s="114">
        <v>364600000</v>
      </c>
      <c r="J575" s="271" t="s">
        <v>980</v>
      </c>
      <c r="K575" s="271" t="s">
        <v>2062</v>
      </c>
      <c r="L575" s="271" t="s">
        <v>641</v>
      </c>
      <c r="M575" s="271" t="s">
        <v>1801</v>
      </c>
      <c r="N575" s="271" t="s">
        <v>2137</v>
      </c>
    </row>
    <row r="576" spans="1:14" s="71" customFormat="1" ht="63.75">
      <c r="A576" s="91">
        <v>60</v>
      </c>
      <c r="B576" s="74" t="s">
        <v>1555</v>
      </c>
      <c r="C576" s="271" t="s">
        <v>2138</v>
      </c>
      <c r="D576" s="271">
        <v>2019</v>
      </c>
      <c r="E576" s="271"/>
      <c r="F576" s="271">
        <v>1</v>
      </c>
      <c r="G576" s="271">
        <f t="shared" si="26"/>
        <v>1</v>
      </c>
      <c r="H576" s="84"/>
      <c r="I576" s="84"/>
      <c r="J576" s="271" t="s">
        <v>1090</v>
      </c>
      <c r="K576" s="271" t="s">
        <v>2062</v>
      </c>
      <c r="L576" s="72" t="s">
        <v>1518</v>
      </c>
      <c r="M576" s="271"/>
      <c r="N576" s="271" t="s">
        <v>2139</v>
      </c>
    </row>
    <row r="577" spans="1:14" s="71" customFormat="1" ht="20.100000000000001" customHeight="1">
      <c r="A577" s="91"/>
      <c r="B577" s="492" t="s">
        <v>775</v>
      </c>
      <c r="C577" s="493"/>
      <c r="D577" s="493"/>
      <c r="E577" s="493"/>
      <c r="F577" s="493"/>
      <c r="G577" s="493"/>
      <c r="H577" s="493"/>
      <c r="I577" s="493"/>
      <c r="J577" s="493"/>
      <c r="K577" s="493"/>
      <c r="L577" s="493"/>
      <c r="M577" s="493"/>
      <c r="N577" s="494"/>
    </row>
    <row r="578" spans="1:14" s="71" customFormat="1" ht="51">
      <c r="A578" s="91">
        <v>1</v>
      </c>
      <c r="B578" s="81" t="s">
        <v>2140</v>
      </c>
      <c r="C578" s="120"/>
      <c r="D578" s="271">
        <v>1997</v>
      </c>
      <c r="E578" s="271">
        <v>1</v>
      </c>
      <c r="F578" s="271">
        <v>1</v>
      </c>
      <c r="G578" s="271">
        <f>F578-E578</f>
        <v>0</v>
      </c>
      <c r="H578" s="128">
        <v>5000000</v>
      </c>
      <c r="I578" s="128">
        <v>5000000</v>
      </c>
      <c r="J578" s="271" t="s">
        <v>980</v>
      </c>
      <c r="K578" s="271" t="s">
        <v>2062</v>
      </c>
      <c r="L578" s="271" t="s">
        <v>641</v>
      </c>
      <c r="M578" s="271" t="s">
        <v>2063</v>
      </c>
      <c r="N578" s="271"/>
    </row>
    <row r="579" spans="1:14" s="71" customFormat="1" ht="51">
      <c r="A579" s="91">
        <v>2</v>
      </c>
      <c r="B579" s="81" t="s">
        <v>2140</v>
      </c>
      <c r="C579" s="120"/>
      <c r="D579" s="271">
        <v>2017</v>
      </c>
      <c r="E579" s="271">
        <v>1</v>
      </c>
      <c r="F579" s="271">
        <v>1</v>
      </c>
      <c r="G579" s="271">
        <f t="shared" ref="G579:G620" si="27">F579-E579</f>
        <v>0</v>
      </c>
      <c r="H579" s="128">
        <v>4400000</v>
      </c>
      <c r="I579" s="128">
        <v>4400000</v>
      </c>
      <c r="J579" s="271" t="s">
        <v>980</v>
      </c>
      <c r="K579" s="271" t="s">
        <v>2062</v>
      </c>
      <c r="L579" s="271" t="s">
        <v>641</v>
      </c>
      <c r="M579" s="271" t="s">
        <v>2063</v>
      </c>
      <c r="N579" s="271"/>
    </row>
    <row r="580" spans="1:14" s="71" customFormat="1" ht="51">
      <c r="A580" s="91">
        <v>3</v>
      </c>
      <c r="B580" s="81" t="s">
        <v>2141</v>
      </c>
      <c r="C580" s="120"/>
      <c r="D580" s="271">
        <v>1997</v>
      </c>
      <c r="E580" s="271">
        <v>1</v>
      </c>
      <c r="F580" s="271">
        <v>1</v>
      </c>
      <c r="G580" s="271">
        <f t="shared" si="27"/>
        <v>0</v>
      </c>
      <c r="H580" s="128">
        <v>6188200</v>
      </c>
      <c r="I580" s="128">
        <v>6188200</v>
      </c>
      <c r="J580" s="271" t="s">
        <v>980</v>
      </c>
      <c r="K580" s="271" t="s">
        <v>2062</v>
      </c>
      <c r="L580" s="271" t="s">
        <v>641</v>
      </c>
      <c r="M580" s="271" t="s">
        <v>2063</v>
      </c>
      <c r="N580" s="271"/>
    </row>
    <row r="581" spans="1:14" s="71" customFormat="1" ht="51">
      <c r="A581" s="91">
        <v>4</v>
      </c>
      <c r="B581" s="81" t="s">
        <v>2142</v>
      </c>
      <c r="C581" s="120"/>
      <c r="D581" s="271">
        <v>1997</v>
      </c>
      <c r="E581" s="271">
        <v>1</v>
      </c>
      <c r="F581" s="271">
        <v>1</v>
      </c>
      <c r="G581" s="271">
        <f t="shared" si="27"/>
        <v>0</v>
      </c>
      <c r="H581" s="128">
        <v>8310000</v>
      </c>
      <c r="I581" s="128">
        <v>8310000</v>
      </c>
      <c r="J581" s="271" t="s">
        <v>980</v>
      </c>
      <c r="K581" s="271" t="s">
        <v>2062</v>
      </c>
      <c r="L581" s="271" t="s">
        <v>641</v>
      </c>
      <c r="M581" s="271" t="s">
        <v>2063</v>
      </c>
      <c r="N581" s="271"/>
    </row>
    <row r="582" spans="1:14" s="71" customFormat="1" ht="51">
      <c r="A582" s="91">
        <v>5</v>
      </c>
      <c r="B582" s="81" t="s">
        <v>2143</v>
      </c>
      <c r="C582" s="120"/>
      <c r="D582" s="271">
        <v>2011</v>
      </c>
      <c r="E582" s="271">
        <v>1</v>
      </c>
      <c r="F582" s="271">
        <v>1</v>
      </c>
      <c r="G582" s="271">
        <f t="shared" si="27"/>
        <v>0</v>
      </c>
      <c r="H582" s="128">
        <v>6185175</v>
      </c>
      <c r="I582" s="128">
        <v>6185175</v>
      </c>
      <c r="J582" s="271" t="s">
        <v>980</v>
      </c>
      <c r="K582" s="271" t="s">
        <v>2062</v>
      </c>
      <c r="L582" s="271" t="s">
        <v>641</v>
      </c>
      <c r="M582" s="271" t="s">
        <v>2063</v>
      </c>
      <c r="N582" s="271"/>
    </row>
    <row r="583" spans="1:14" s="71" customFormat="1" ht="51">
      <c r="A583" s="91">
        <v>6</v>
      </c>
      <c r="B583" s="81" t="s">
        <v>2071</v>
      </c>
      <c r="C583" s="120"/>
      <c r="D583" s="271">
        <v>2017</v>
      </c>
      <c r="E583" s="271">
        <v>1</v>
      </c>
      <c r="F583" s="271">
        <v>1</v>
      </c>
      <c r="G583" s="271">
        <f t="shared" si="27"/>
        <v>0</v>
      </c>
      <c r="H583" s="128">
        <v>1500000</v>
      </c>
      <c r="I583" s="128">
        <v>1500000</v>
      </c>
      <c r="J583" s="271" t="s">
        <v>980</v>
      </c>
      <c r="K583" s="271" t="s">
        <v>2062</v>
      </c>
      <c r="L583" s="271" t="s">
        <v>641</v>
      </c>
      <c r="M583" s="271" t="s">
        <v>2063</v>
      </c>
      <c r="N583" s="271"/>
    </row>
    <row r="584" spans="1:14" s="71" customFormat="1" ht="51">
      <c r="A584" s="91">
        <v>7</v>
      </c>
      <c r="B584" s="81" t="s">
        <v>2144</v>
      </c>
      <c r="C584" s="120"/>
      <c r="D584" s="271"/>
      <c r="E584" s="271">
        <v>1</v>
      </c>
      <c r="F584" s="271">
        <v>1</v>
      </c>
      <c r="G584" s="271">
        <f t="shared" si="27"/>
        <v>0</v>
      </c>
      <c r="H584" s="128">
        <v>6500000</v>
      </c>
      <c r="I584" s="128">
        <v>6500000</v>
      </c>
      <c r="J584" s="271" t="s">
        <v>980</v>
      </c>
      <c r="K584" s="271" t="s">
        <v>2065</v>
      </c>
      <c r="L584" s="271" t="s">
        <v>641</v>
      </c>
      <c r="M584" s="271" t="s">
        <v>2063</v>
      </c>
      <c r="N584" s="271"/>
    </row>
    <row r="585" spans="1:14" s="71" customFormat="1" ht="51">
      <c r="A585" s="91">
        <v>8</v>
      </c>
      <c r="B585" s="81" t="s">
        <v>2145</v>
      </c>
      <c r="C585" s="120"/>
      <c r="D585" s="271">
        <v>2011</v>
      </c>
      <c r="E585" s="271">
        <v>1</v>
      </c>
      <c r="F585" s="271">
        <v>1</v>
      </c>
      <c r="G585" s="271">
        <f t="shared" si="27"/>
        <v>0</v>
      </c>
      <c r="H585" s="128">
        <v>6345000</v>
      </c>
      <c r="I585" s="128">
        <v>6345000</v>
      </c>
      <c r="J585" s="271" t="s">
        <v>980</v>
      </c>
      <c r="K585" s="271" t="s">
        <v>2065</v>
      </c>
      <c r="L585" s="271" t="s">
        <v>641</v>
      </c>
      <c r="M585" s="271" t="s">
        <v>2063</v>
      </c>
      <c r="N585" s="271"/>
    </row>
    <row r="586" spans="1:14" s="71" customFormat="1" ht="51">
      <c r="A586" s="91">
        <v>9</v>
      </c>
      <c r="B586" s="81" t="s">
        <v>2146</v>
      </c>
      <c r="C586" s="120"/>
      <c r="D586" s="271">
        <v>2011</v>
      </c>
      <c r="E586" s="271">
        <v>1</v>
      </c>
      <c r="F586" s="271">
        <v>1</v>
      </c>
      <c r="G586" s="271">
        <f t="shared" si="27"/>
        <v>0</v>
      </c>
      <c r="H586" s="128">
        <v>4800000</v>
      </c>
      <c r="I586" s="128">
        <v>4800000</v>
      </c>
      <c r="J586" s="271" t="s">
        <v>980</v>
      </c>
      <c r="K586" s="271" t="s">
        <v>2065</v>
      </c>
      <c r="L586" s="271" t="s">
        <v>641</v>
      </c>
      <c r="M586" s="271" t="s">
        <v>2063</v>
      </c>
      <c r="N586" s="271"/>
    </row>
    <row r="587" spans="1:14" s="71" customFormat="1" ht="51">
      <c r="A587" s="91">
        <v>10</v>
      </c>
      <c r="B587" s="81" t="s">
        <v>2147</v>
      </c>
      <c r="C587" s="120"/>
      <c r="D587" s="271">
        <v>2012</v>
      </c>
      <c r="E587" s="271">
        <v>1</v>
      </c>
      <c r="F587" s="271">
        <v>1</v>
      </c>
      <c r="G587" s="271">
        <f t="shared" si="27"/>
        <v>0</v>
      </c>
      <c r="H587" s="128">
        <v>9959617</v>
      </c>
      <c r="I587" s="128">
        <v>9959617</v>
      </c>
      <c r="J587" s="271" t="s">
        <v>980</v>
      </c>
      <c r="K587" s="271" t="s">
        <v>2065</v>
      </c>
      <c r="L587" s="271" t="s">
        <v>641</v>
      </c>
      <c r="M587" s="271" t="s">
        <v>2063</v>
      </c>
      <c r="N587" s="271"/>
    </row>
    <row r="588" spans="1:14" s="71" customFormat="1" ht="51">
      <c r="A588" s="91">
        <v>11</v>
      </c>
      <c r="B588" s="72" t="s">
        <v>2148</v>
      </c>
      <c r="C588" s="120"/>
      <c r="D588" s="271">
        <v>2012</v>
      </c>
      <c r="E588" s="271">
        <v>1</v>
      </c>
      <c r="F588" s="271">
        <v>1</v>
      </c>
      <c r="G588" s="271">
        <f t="shared" si="27"/>
        <v>0</v>
      </c>
      <c r="H588" s="128">
        <v>7000000</v>
      </c>
      <c r="I588" s="128">
        <v>7000000</v>
      </c>
      <c r="J588" s="271" t="s">
        <v>980</v>
      </c>
      <c r="K588" s="271" t="s">
        <v>2065</v>
      </c>
      <c r="L588" s="271" t="s">
        <v>641</v>
      </c>
      <c r="M588" s="271" t="s">
        <v>2063</v>
      </c>
      <c r="N588" s="271"/>
    </row>
    <row r="589" spans="1:14" s="71" customFormat="1" ht="51">
      <c r="A589" s="91">
        <v>12</v>
      </c>
      <c r="B589" s="72" t="s">
        <v>2149</v>
      </c>
      <c r="C589" s="120"/>
      <c r="D589" s="271">
        <v>2017</v>
      </c>
      <c r="E589" s="271">
        <v>2</v>
      </c>
      <c r="F589" s="271">
        <v>2</v>
      </c>
      <c r="G589" s="271">
        <f t="shared" si="27"/>
        <v>0</v>
      </c>
      <c r="H589" s="128">
        <v>2189000</v>
      </c>
      <c r="I589" s="128">
        <v>4378000</v>
      </c>
      <c r="J589" s="271" t="s">
        <v>980</v>
      </c>
      <c r="K589" s="271" t="s">
        <v>2150</v>
      </c>
      <c r="L589" s="271" t="s">
        <v>2151</v>
      </c>
      <c r="M589" s="271" t="s">
        <v>2063</v>
      </c>
      <c r="N589" s="271" t="s">
        <v>2152</v>
      </c>
    </row>
    <row r="590" spans="1:14" s="71" customFormat="1" ht="51">
      <c r="A590" s="91">
        <v>13</v>
      </c>
      <c r="B590" s="72" t="s">
        <v>2153</v>
      </c>
      <c r="C590" s="120"/>
      <c r="D590" s="271">
        <v>2010</v>
      </c>
      <c r="E590" s="271">
        <v>1</v>
      </c>
      <c r="F590" s="271">
        <v>1</v>
      </c>
      <c r="G590" s="271">
        <f t="shared" si="27"/>
        <v>0</v>
      </c>
      <c r="H590" s="271"/>
      <c r="I590" s="271"/>
      <c r="J590" s="271" t="s">
        <v>980</v>
      </c>
      <c r="K590" s="271" t="s">
        <v>2065</v>
      </c>
      <c r="L590" s="271" t="s">
        <v>641</v>
      </c>
      <c r="M590" s="271" t="s">
        <v>2063</v>
      </c>
      <c r="N590" s="271"/>
    </row>
    <row r="591" spans="1:14" s="71" customFormat="1" ht="51">
      <c r="A591" s="91">
        <v>14</v>
      </c>
      <c r="B591" s="72" t="s">
        <v>2154</v>
      </c>
      <c r="C591" s="120"/>
      <c r="D591" s="271">
        <v>2018</v>
      </c>
      <c r="E591" s="271">
        <v>1</v>
      </c>
      <c r="F591" s="271">
        <v>1</v>
      </c>
      <c r="G591" s="271">
        <f t="shared" si="27"/>
        <v>0</v>
      </c>
      <c r="H591" s="271"/>
      <c r="I591" s="271"/>
      <c r="J591" s="271" t="s">
        <v>980</v>
      </c>
      <c r="K591" s="271" t="s">
        <v>2065</v>
      </c>
      <c r="L591" s="271" t="s">
        <v>641</v>
      </c>
      <c r="M591" s="271" t="s">
        <v>2063</v>
      </c>
      <c r="N591" s="271"/>
    </row>
    <row r="592" spans="1:14" s="71" customFormat="1" ht="51">
      <c r="A592" s="91">
        <v>15</v>
      </c>
      <c r="B592" s="72" t="s">
        <v>2155</v>
      </c>
      <c r="C592" s="120"/>
      <c r="D592" s="271"/>
      <c r="E592" s="271">
        <v>1</v>
      </c>
      <c r="F592" s="271">
        <v>1</v>
      </c>
      <c r="G592" s="271">
        <f t="shared" si="27"/>
        <v>0</v>
      </c>
      <c r="H592" s="271"/>
      <c r="I592" s="271"/>
      <c r="J592" s="271" t="s">
        <v>980</v>
      </c>
      <c r="K592" s="271" t="s">
        <v>2065</v>
      </c>
      <c r="L592" s="271" t="s">
        <v>641</v>
      </c>
      <c r="M592" s="271" t="s">
        <v>2063</v>
      </c>
      <c r="N592" s="271"/>
    </row>
    <row r="593" spans="1:14" s="71" customFormat="1" ht="51">
      <c r="A593" s="91">
        <v>16</v>
      </c>
      <c r="B593" s="72" t="s">
        <v>2156</v>
      </c>
      <c r="C593" s="120"/>
      <c r="D593" s="271"/>
      <c r="E593" s="271">
        <v>4</v>
      </c>
      <c r="F593" s="271">
        <v>4</v>
      </c>
      <c r="G593" s="271">
        <f t="shared" si="27"/>
        <v>0</v>
      </c>
      <c r="H593" s="271"/>
      <c r="I593" s="271"/>
      <c r="J593" s="271" t="s">
        <v>980</v>
      </c>
      <c r="K593" s="271" t="s">
        <v>2157</v>
      </c>
      <c r="L593" s="271" t="s">
        <v>641</v>
      </c>
      <c r="M593" s="271" t="s">
        <v>2063</v>
      </c>
      <c r="N593" s="271"/>
    </row>
    <row r="594" spans="1:14" s="71" customFormat="1" ht="51">
      <c r="A594" s="91">
        <v>17</v>
      </c>
      <c r="B594" s="72" t="s">
        <v>2158</v>
      </c>
      <c r="C594" s="120"/>
      <c r="D594" s="271"/>
      <c r="E594" s="271">
        <v>4</v>
      </c>
      <c r="F594" s="271">
        <v>4</v>
      </c>
      <c r="G594" s="271">
        <f t="shared" si="27"/>
        <v>0</v>
      </c>
      <c r="H594" s="271"/>
      <c r="I594" s="271"/>
      <c r="J594" s="271" t="s">
        <v>980</v>
      </c>
      <c r="K594" s="271" t="s">
        <v>2157</v>
      </c>
      <c r="L594" s="271" t="s">
        <v>641</v>
      </c>
      <c r="M594" s="271" t="s">
        <v>2063</v>
      </c>
      <c r="N594" s="271"/>
    </row>
    <row r="595" spans="1:14" s="71" customFormat="1" ht="51">
      <c r="A595" s="91">
        <v>18</v>
      </c>
      <c r="B595" s="72" t="s">
        <v>2159</v>
      </c>
      <c r="C595" s="120"/>
      <c r="D595" s="271"/>
      <c r="E595" s="271">
        <v>7</v>
      </c>
      <c r="F595" s="271">
        <v>7</v>
      </c>
      <c r="G595" s="271">
        <f t="shared" si="27"/>
        <v>0</v>
      </c>
      <c r="H595" s="271"/>
      <c r="I595" s="271"/>
      <c r="J595" s="271" t="s">
        <v>980</v>
      </c>
      <c r="K595" s="271" t="s">
        <v>2157</v>
      </c>
      <c r="L595" s="271" t="s">
        <v>641</v>
      </c>
      <c r="M595" s="271" t="s">
        <v>2063</v>
      </c>
      <c r="N595" s="271"/>
    </row>
    <row r="596" spans="1:14" s="71" customFormat="1" ht="51">
      <c r="A596" s="91">
        <v>19</v>
      </c>
      <c r="B596" s="72" t="s">
        <v>2160</v>
      </c>
      <c r="C596" s="120"/>
      <c r="D596" s="271"/>
      <c r="E596" s="271">
        <v>6</v>
      </c>
      <c r="F596" s="271">
        <v>6</v>
      </c>
      <c r="G596" s="271">
        <f t="shared" si="27"/>
        <v>0</v>
      </c>
      <c r="H596" s="271"/>
      <c r="I596" s="271"/>
      <c r="J596" s="271" t="s">
        <v>980</v>
      </c>
      <c r="K596" s="271" t="s">
        <v>2065</v>
      </c>
      <c r="L596" s="271" t="s">
        <v>641</v>
      </c>
      <c r="M596" s="271" t="s">
        <v>2063</v>
      </c>
      <c r="N596" s="271"/>
    </row>
    <row r="597" spans="1:14" s="71" customFormat="1" ht="51">
      <c r="A597" s="91">
        <v>20</v>
      </c>
      <c r="B597" s="72" t="s">
        <v>924</v>
      </c>
      <c r="C597" s="120"/>
      <c r="D597" s="271"/>
      <c r="E597" s="271">
        <v>7</v>
      </c>
      <c r="F597" s="271">
        <v>7</v>
      </c>
      <c r="G597" s="271">
        <f t="shared" si="27"/>
        <v>0</v>
      </c>
      <c r="H597" s="271"/>
      <c r="I597" s="271"/>
      <c r="J597" s="271" t="s">
        <v>980</v>
      </c>
      <c r="K597" s="271" t="s">
        <v>2157</v>
      </c>
      <c r="L597" s="271" t="s">
        <v>641</v>
      </c>
      <c r="M597" s="271" t="s">
        <v>2063</v>
      </c>
      <c r="N597" s="271"/>
    </row>
    <row r="598" spans="1:14" s="71" customFormat="1" ht="51">
      <c r="A598" s="91">
        <v>21</v>
      </c>
      <c r="B598" s="72" t="s">
        <v>2161</v>
      </c>
      <c r="C598" s="120"/>
      <c r="D598" s="271"/>
      <c r="E598" s="271">
        <v>3</v>
      </c>
      <c r="F598" s="271">
        <v>3</v>
      </c>
      <c r="G598" s="271">
        <f t="shared" si="27"/>
        <v>0</v>
      </c>
      <c r="H598" s="271"/>
      <c r="I598" s="271"/>
      <c r="J598" s="271" t="s">
        <v>980</v>
      </c>
      <c r="K598" s="271" t="s">
        <v>2065</v>
      </c>
      <c r="L598" s="271" t="s">
        <v>641</v>
      </c>
      <c r="M598" s="271" t="s">
        <v>2063</v>
      </c>
      <c r="N598" s="271"/>
    </row>
    <row r="599" spans="1:14" s="71" customFormat="1" ht="51">
      <c r="A599" s="91">
        <v>22</v>
      </c>
      <c r="B599" s="72" t="s">
        <v>2162</v>
      </c>
      <c r="C599" s="120"/>
      <c r="D599" s="271"/>
      <c r="E599" s="271">
        <v>3</v>
      </c>
      <c r="F599" s="271">
        <v>3</v>
      </c>
      <c r="G599" s="271">
        <f t="shared" si="27"/>
        <v>0</v>
      </c>
      <c r="H599" s="271"/>
      <c r="I599" s="271"/>
      <c r="J599" s="271" t="s">
        <v>980</v>
      </c>
      <c r="K599" s="271" t="s">
        <v>2065</v>
      </c>
      <c r="L599" s="271" t="s">
        <v>641</v>
      </c>
      <c r="M599" s="271" t="s">
        <v>2063</v>
      </c>
      <c r="N599" s="271"/>
    </row>
    <row r="600" spans="1:14" s="71" customFormat="1" ht="51">
      <c r="A600" s="91">
        <v>23</v>
      </c>
      <c r="B600" s="72" t="s">
        <v>2163</v>
      </c>
      <c r="C600" s="120"/>
      <c r="D600" s="271"/>
      <c r="E600" s="271">
        <v>1</v>
      </c>
      <c r="F600" s="271">
        <v>1</v>
      </c>
      <c r="G600" s="271">
        <f t="shared" si="27"/>
        <v>0</v>
      </c>
      <c r="H600" s="271"/>
      <c r="I600" s="271"/>
      <c r="J600" s="271" t="s">
        <v>980</v>
      </c>
      <c r="K600" s="271" t="s">
        <v>2062</v>
      </c>
      <c r="L600" s="271" t="s">
        <v>641</v>
      </c>
      <c r="M600" s="271" t="s">
        <v>2063</v>
      </c>
      <c r="N600" s="271"/>
    </row>
    <row r="601" spans="1:14" s="71" customFormat="1" ht="51">
      <c r="A601" s="91">
        <v>24</v>
      </c>
      <c r="B601" s="72" t="s">
        <v>2164</v>
      </c>
      <c r="C601" s="120"/>
      <c r="D601" s="271"/>
      <c r="E601" s="271">
        <v>2</v>
      </c>
      <c r="F601" s="271">
        <v>2</v>
      </c>
      <c r="G601" s="271">
        <f t="shared" si="27"/>
        <v>0</v>
      </c>
      <c r="H601" s="271"/>
      <c r="I601" s="271"/>
      <c r="J601" s="271" t="s">
        <v>980</v>
      </c>
      <c r="K601" s="271" t="s">
        <v>2062</v>
      </c>
      <c r="L601" s="271" t="s">
        <v>641</v>
      </c>
      <c r="M601" s="271" t="s">
        <v>2063</v>
      </c>
      <c r="N601" s="271"/>
    </row>
    <row r="602" spans="1:14" s="71" customFormat="1" ht="51">
      <c r="A602" s="91">
        <v>25</v>
      </c>
      <c r="B602" s="72" t="s">
        <v>2165</v>
      </c>
      <c r="C602" s="120"/>
      <c r="D602" s="271"/>
      <c r="E602" s="271">
        <v>1</v>
      </c>
      <c r="F602" s="271">
        <v>1</v>
      </c>
      <c r="G602" s="271">
        <f t="shared" si="27"/>
        <v>0</v>
      </c>
      <c r="H602" s="271"/>
      <c r="I602" s="271"/>
      <c r="J602" s="271" t="s">
        <v>980</v>
      </c>
      <c r="K602" s="271" t="s">
        <v>2062</v>
      </c>
      <c r="L602" s="271" t="s">
        <v>641</v>
      </c>
      <c r="M602" s="271" t="s">
        <v>2063</v>
      </c>
      <c r="N602" s="271"/>
    </row>
    <row r="603" spans="1:14" s="71" customFormat="1" ht="51">
      <c r="A603" s="91">
        <v>26</v>
      </c>
      <c r="B603" s="72" t="s">
        <v>2166</v>
      </c>
      <c r="C603" s="120"/>
      <c r="D603" s="271"/>
      <c r="E603" s="271">
        <v>2</v>
      </c>
      <c r="F603" s="271">
        <v>2</v>
      </c>
      <c r="G603" s="271">
        <f t="shared" si="27"/>
        <v>0</v>
      </c>
      <c r="H603" s="271"/>
      <c r="I603" s="271"/>
      <c r="J603" s="271" t="s">
        <v>980</v>
      </c>
      <c r="K603" s="271" t="s">
        <v>2062</v>
      </c>
      <c r="L603" s="271" t="s">
        <v>641</v>
      </c>
      <c r="M603" s="271" t="s">
        <v>2063</v>
      </c>
      <c r="N603" s="271"/>
    </row>
    <row r="604" spans="1:14" s="71" customFormat="1" ht="51">
      <c r="A604" s="91">
        <v>27</v>
      </c>
      <c r="B604" s="72" t="s">
        <v>2167</v>
      </c>
      <c r="C604" s="120"/>
      <c r="D604" s="271"/>
      <c r="E604" s="271">
        <v>13</v>
      </c>
      <c r="F604" s="271">
        <v>13</v>
      </c>
      <c r="G604" s="271">
        <f t="shared" si="27"/>
        <v>0</v>
      </c>
      <c r="H604" s="271"/>
      <c r="I604" s="271"/>
      <c r="J604" s="271" t="s">
        <v>980</v>
      </c>
      <c r="K604" s="271" t="s">
        <v>2062</v>
      </c>
      <c r="L604" s="271" t="s">
        <v>641</v>
      </c>
      <c r="M604" s="271" t="s">
        <v>2063</v>
      </c>
      <c r="N604" s="271"/>
    </row>
    <row r="605" spans="1:14" s="71" customFormat="1" ht="51">
      <c r="A605" s="91">
        <v>28</v>
      </c>
      <c r="B605" s="72" t="s">
        <v>2168</v>
      </c>
      <c r="C605" s="120"/>
      <c r="D605" s="271"/>
      <c r="E605" s="271">
        <v>1</v>
      </c>
      <c r="F605" s="271">
        <v>1</v>
      </c>
      <c r="G605" s="271">
        <f t="shared" si="27"/>
        <v>0</v>
      </c>
      <c r="H605" s="271"/>
      <c r="I605" s="271"/>
      <c r="J605" s="271" t="s">
        <v>980</v>
      </c>
      <c r="K605" s="271" t="s">
        <v>2065</v>
      </c>
      <c r="L605" s="271" t="s">
        <v>641</v>
      </c>
      <c r="M605" s="271" t="s">
        <v>2063</v>
      </c>
      <c r="N605" s="271"/>
    </row>
    <row r="606" spans="1:14" s="71" customFormat="1" ht="51">
      <c r="A606" s="91">
        <v>29</v>
      </c>
      <c r="B606" s="72" t="s">
        <v>2169</v>
      </c>
      <c r="C606" s="120"/>
      <c r="D606" s="271"/>
      <c r="E606" s="271">
        <v>1</v>
      </c>
      <c r="F606" s="271">
        <v>1</v>
      </c>
      <c r="G606" s="271">
        <f t="shared" si="27"/>
        <v>0</v>
      </c>
      <c r="H606" s="271"/>
      <c r="I606" s="271"/>
      <c r="J606" s="271" t="s">
        <v>980</v>
      </c>
      <c r="K606" s="271" t="s">
        <v>2065</v>
      </c>
      <c r="L606" s="271" t="s">
        <v>641</v>
      </c>
      <c r="M606" s="271" t="s">
        <v>2063</v>
      </c>
      <c r="N606" s="271"/>
    </row>
    <row r="607" spans="1:14" s="71" customFormat="1" ht="51">
      <c r="A607" s="91">
        <v>30</v>
      </c>
      <c r="B607" s="72" t="s">
        <v>2170</v>
      </c>
      <c r="C607" s="120"/>
      <c r="D607" s="271"/>
      <c r="E607" s="271">
        <v>2</v>
      </c>
      <c r="F607" s="271">
        <v>2</v>
      </c>
      <c r="G607" s="271">
        <f t="shared" si="27"/>
        <v>0</v>
      </c>
      <c r="H607" s="271"/>
      <c r="I607" s="271"/>
      <c r="J607" s="271" t="s">
        <v>980</v>
      </c>
      <c r="K607" s="271" t="s">
        <v>2157</v>
      </c>
      <c r="L607" s="271" t="s">
        <v>641</v>
      </c>
      <c r="M607" s="271" t="s">
        <v>2063</v>
      </c>
      <c r="N607" s="271"/>
    </row>
    <row r="608" spans="1:14" s="71" customFormat="1" ht="51">
      <c r="A608" s="91">
        <v>31</v>
      </c>
      <c r="B608" s="72" t="s">
        <v>2171</v>
      </c>
      <c r="C608" s="120"/>
      <c r="D608" s="271"/>
      <c r="E608" s="271">
        <v>1</v>
      </c>
      <c r="F608" s="271">
        <v>1</v>
      </c>
      <c r="G608" s="271">
        <f t="shared" si="27"/>
        <v>0</v>
      </c>
      <c r="H608" s="271"/>
      <c r="I608" s="271"/>
      <c r="J608" s="271" t="s">
        <v>980</v>
      </c>
      <c r="K608" s="271" t="s">
        <v>2065</v>
      </c>
      <c r="L608" s="271" t="s">
        <v>641</v>
      </c>
      <c r="M608" s="271" t="s">
        <v>2063</v>
      </c>
      <c r="N608" s="271"/>
    </row>
    <row r="609" spans="1:21" s="71" customFormat="1" ht="51">
      <c r="A609" s="91">
        <v>32</v>
      </c>
      <c r="B609" s="72" t="s">
        <v>2172</v>
      </c>
      <c r="C609" s="120"/>
      <c r="D609" s="271"/>
      <c r="E609" s="271">
        <v>11</v>
      </c>
      <c r="F609" s="271">
        <v>11</v>
      </c>
      <c r="G609" s="271">
        <f t="shared" si="27"/>
        <v>0</v>
      </c>
      <c r="H609" s="271"/>
      <c r="I609" s="271"/>
      <c r="J609" s="271" t="s">
        <v>980</v>
      </c>
      <c r="K609" s="271" t="s">
        <v>2157</v>
      </c>
      <c r="L609" s="271" t="s">
        <v>641</v>
      </c>
      <c r="M609" s="271" t="s">
        <v>2063</v>
      </c>
      <c r="N609" s="271"/>
    </row>
    <row r="610" spans="1:21" s="71" customFormat="1" ht="51">
      <c r="A610" s="91">
        <v>33</v>
      </c>
      <c r="B610" s="95" t="s">
        <v>1252</v>
      </c>
      <c r="C610" s="120"/>
      <c r="D610" s="271"/>
      <c r="E610" s="275">
        <v>3</v>
      </c>
      <c r="F610" s="275">
        <v>3</v>
      </c>
      <c r="G610" s="271">
        <f t="shared" si="27"/>
        <v>0</v>
      </c>
      <c r="H610" s="271"/>
      <c r="I610" s="271"/>
      <c r="J610" s="271" t="s">
        <v>980</v>
      </c>
      <c r="K610" s="271" t="s">
        <v>2062</v>
      </c>
      <c r="L610" s="271" t="s">
        <v>641</v>
      </c>
      <c r="M610" s="271" t="s">
        <v>2063</v>
      </c>
      <c r="N610" s="271"/>
    </row>
    <row r="611" spans="1:21" s="71" customFormat="1" ht="51">
      <c r="A611" s="91">
        <v>34</v>
      </c>
      <c r="B611" s="72" t="s">
        <v>2170</v>
      </c>
      <c r="C611" s="120"/>
      <c r="D611" s="72"/>
      <c r="E611" s="271">
        <v>1</v>
      </c>
      <c r="F611" s="271">
        <v>1</v>
      </c>
      <c r="G611" s="271">
        <f t="shared" si="27"/>
        <v>0</v>
      </c>
      <c r="H611" s="271"/>
      <c r="I611" s="271"/>
      <c r="J611" s="271" t="s">
        <v>980</v>
      </c>
      <c r="K611" s="271" t="s">
        <v>2065</v>
      </c>
      <c r="L611" s="271" t="s">
        <v>641</v>
      </c>
      <c r="M611" s="271" t="s">
        <v>2063</v>
      </c>
      <c r="N611" s="271"/>
    </row>
    <row r="612" spans="1:21" s="71" customFormat="1" ht="51">
      <c r="A612" s="91">
        <v>35</v>
      </c>
      <c r="B612" s="72" t="s">
        <v>2170</v>
      </c>
      <c r="C612" s="120"/>
      <c r="D612" s="72"/>
      <c r="E612" s="271">
        <v>1</v>
      </c>
      <c r="F612" s="271">
        <v>1</v>
      </c>
      <c r="G612" s="271">
        <f t="shared" si="27"/>
        <v>0</v>
      </c>
      <c r="H612" s="271"/>
      <c r="I612" s="271"/>
      <c r="J612" s="271" t="s">
        <v>980</v>
      </c>
      <c r="K612" s="271" t="s">
        <v>2062</v>
      </c>
      <c r="L612" s="271" t="s">
        <v>641</v>
      </c>
      <c r="M612" s="271" t="s">
        <v>2063</v>
      </c>
      <c r="N612" s="271"/>
    </row>
    <row r="613" spans="1:21" s="71" customFormat="1" ht="51">
      <c r="A613" s="91">
        <v>36</v>
      </c>
      <c r="B613" s="72" t="s">
        <v>2170</v>
      </c>
      <c r="C613" s="120"/>
      <c r="D613" s="72"/>
      <c r="E613" s="271">
        <v>1</v>
      </c>
      <c r="F613" s="271">
        <v>1</v>
      </c>
      <c r="G613" s="271">
        <f t="shared" si="27"/>
        <v>0</v>
      </c>
      <c r="H613" s="271"/>
      <c r="I613" s="271"/>
      <c r="J613" s="271" t="s">
        <v>980</v>
      </c>
      <c r="K613" s="271" t="s">
        <v>2062</v>
      </c>
      <c r="L613" s="271" t="s">
        <v>641</v>
      </c>
      <c r="M613" s="271" t="s">
        <v>2063</v>
      </c>
      <c r="N613" s="271"/>
    </row>
    <row r="614" spans="1:21" s="71" customFormat="1" ht="51">
      <c r="A614" s="91">
        <v>37</v>
      </c>
      <c r="B614" s="72" t="s">
        <v>2173</v>
      </c>
      <c r="C614" s="120"/>
      <c r="D614" s="271">
        <v>2021</v>
      </c>
      <c r="E614" s="271">
        <v>1</v>
      </c>
      <c r="F614" s="271">
        <v>1</v>
      </c>
      <c r="G614" s="271">
        <f t="shared" si="27"/>
        <v>0</v>
      </c>
      <c r="H614" s="271"/>
      <c r="I614" s="271"/>
      <c r="J614" s="271" t="s">
        <v>980</v>
      </c>
      <c r="K614" s="271" t="s">
        <v>2062</v>
      </c>
      <c r="L614" s="271" t="s">
        <v>641</v>
      </c>
      <c r="M614" s="271" t="s">
        <v>2063</v>
      </c>
      <c r="N614" s="271"/>
    </row>
    <row r="615" spans="1:21" s="71" customFormat="1" ht="51">
      <c r="A615" s="91">
        <v>38</v>
      </c>
      <c r="B615" s="72" t="s">
        <v>2174</v>
      </c>
      <c r="C615" s="120"/>
      <c r="D615" s="72"/>
      <c r="E615" s="271">
        <v>7</v>
      </c>
      <c r="F615" s="271">
        <v>7</v>
      </c>
      <c r="G615" s="271">
        <f t="shared" si="27"/>
        <v>0</v>
      </c>
      <c r="H615" s="271"/>
      <c r="I615" s="271"/>
      <c r="J615" s="271" t="s">
        <v>980</v>
      </c>
      <c r="K615" s="271" t="s">
        <v>2065</v>
      </c>
      <c r="L615" s="271" t="s">
        <v>641</v>
      </c>
      <c r="M615" s="271" t="s">
        <v>2063</v>
      </c>
      <c r="N615" s="271"/>
      <c r="U615" s="60"/>
    </row>
    <row r="616" spans="1:21" s="71" customFormat="1" ht="51">
      <c r="A616" s="91">
        <v>39</v>
      </c>
      <c r="B616" s="72" t="s">
        <v>2175</v>
      </c>
      <c r="C616" s="120"/>
      <c r="D616" s="72"/>
      <c r="E616" s="271">
        <v>1</v>
      </c>
      <c r="F616" s="271">
        <v>1</v>
      </c>
      <c r="G616" s="271">
        <f t="shared" si="27"/>
        <v>0</v>
      </c>
      <c r="H616" s="271"/>
      <c r="I616" s="271"/>
      <c r="J616" s="271" t="s">
        <v>980</v>
      </c>
      <c r="K616" s="271" t="s">
        <v>2062</v>
      </c>
      <c r="L616" s="271" t="s">
        <v>641</v>
      </c>
      <c r="M616" s="271" t="s">
        <v>2063</v>
      </c>
      <c r="N616" s="271"/>
    </row>
    <row r="617" spans="1:21" s="71" customFormat="1" ht="51">
      <c r="A617" s="91">
        <v>40</v>
      </c>
      <c r="B617" s="72" t="s">
        <v>2176</v>
      </c>
      <c r="C617" s="120"/>
      <c r="D617" s="72"/>
      <c r="E617" s="271">
        <v>5</v>
      </c>
      <c r="F617" s="271">
        <v>5</v>
      </c>
      <c r="G617" s="271">
        <f t="shared" si="27"/>
        <v>0</v>
      </c>
      <c r="H617" s="271"/>
      <c r="I617" s="271"/>
      <c r="J617" s="271" t="s">
        <v>980</v>
      </c>
      <c r="K617" s="271" t="s">
        <v>2065</v>
      </c>
      <c r="L617" s="271" t="s">
        <v>641</v>
      </c>
      <c r="M617" s="271" t="s">
        <v>2063</v>
      </c>
      <c r="N617" s="271"/>
    </row>
    <row r="618" spans="1:21" s="71" customFormat="1" ht="51">
      <c r="A618" s="91">
        <v>41</v>
      </c>
      <c r="B618" s="72" t="s">
        <v>2177</v>
      </c>
      <c r="C618" s="120"/>
      <c r="D618" s="72"/>
      <c r="E618" s="271">
        <v>1</v>
      </c>
      <c r="F618" s="271">
        <v>1</v>
      </c>
      <c r="G618" s="271">
        <f t="shared" si="27"/>
        <v>0</v>
      </c>
      <c r="H618" s="271"/>
      <c r="I618" s="271"/>
      <c r="J618" s="271" t="s">
        <v>980</v>
      </c>
      <c r="K618" s="271" t="s">
        <v>2065</v>
      </c>
      <c r="L618" s="271" t="s">
        <v>641</v>
      </c>
      <c r="M618" s="271" t="s">
        <v>2063</v>
      </c>
      <c r="N618" s="271"/>
    </row>
    <row r="619" spans="1:21" ht="51">
      <c r="A619" s="91">
        <v>42</v>
      </c>
      <c r="B619" s="119" t="s">
        <v>2178</v>
      </c>
      <c r="C619" s="120" t="s">
        <v>2179</v>
      </c>
      <c r="D619" s="271"/>
      <c r="E619" s="271">
        <v>0</v>
      </c>
      <c r="F619" s="129" t="s">
        <v>2180</v>
      </c>
      <c r="G619" s="271">
        <f t="shared" si="27"/>
        <v>2</v>
      </c>
      <c r="H619" s="100">
        <v>7200000</v>
      </c>
      <c r="I619" s="130">
        <f>+F619*H619</f>
        <v>14400000</v>
      </c>
      <c r="J619" s="271" t="s">
        <v>980</v>
      </c>
      <c r="K619" s="271"/>
      <c r="L619" s="271" t="s">
        <v>641</v>
      </c>
      <c r="M619" s="271" t="s">
        <v>1456</v>
      </c>
      <c r="N619" s="271" t="s">
        <v>2181</v>
      </c>
    </row>
    <row r="620" spans="1:21" ht="51">
      <c r="A620" s="91">
        <v>43</v>
      </c>
      <c r="B620" s="81" t="s">
        <v>2182</v>
      </c>
      <c r="C620" s="271" t="s">
        <v>2183</v>
      </c>
      <c r="D620" s="271">
        <v>2013</v>
      </c>
      <c r="E620" s="271">
        <v>0</v>
      </c>
      <c r="F620" s="271">
        <v>1</v>
      </c>
      <c r="G620" s="271">
        <f t="shared" si="27"/>
        <v>1</v>
      </c>
      <c r="H620" s="89">
        <v>20871919</v>
      </c>
      <c r="I620" s="89">
        <v>20871919</v>
      </c>
      <c r="J620" s="72" t="s">
        <v>1385</v>
      </c>
      <c r="K620" s="273"/>
      <c r="L620" s="271" t="s">
        <v>1518</v>
      </c>
      <c r="M620" s="271" t="s">
        <v>54</v>
      </c>
      <c r="N620" s="271" t="s">
        <v>2184</v>
      </c>
    </row>
    <row r="621" spans="1:21">
      <c r="A621" s="131"/>
      <c r="B621" s="132"/>
      <c r="C621" s="133"/>
      <c r="D621" s="133"/>
      <c r="E621" s="133"/>
      <c r="F621" s="133"/>
      <c r="G621" s="134"/>
      <c r="H621" s="135"/>
      <c r="I621" s="135"/>
      <c r="J621" s="136"/>
      <c r="K621" s="137"/>
      <c r="L621" s="136"/>
      <c r="M621" s="133"/>
      <c r="N621" s="133"/>
    </row>
    <row r="622" spans="1:21" s="140" customFormat="1" ht="18" customHeight="1">
      <c r="A622" s="138"/>
      <c r="B622" s="139"/>
      <c r="C622" s="138"/>
      <c r="D622" s="138"/>
      <c r="E622" s="138"/>
      <c r="F622" s="138"/>
      <c r="G622" s="138"/>
      <c r="H622" s="49"/>
      <c r="I622" s="49"/>
      <c r="J622" s="499" t="s">
        <v>965</v>
      </c>
      <c r="K622" s="499"/>
      <c r="L622" s="499"/>
      <c r="M622" s="499"/>
      <c r="N622" s="499"/>
    </row>
    <row r="623" spans="1:21" s="140" customFormat="1" ht="24.95" customHeight="1">
      <c r="A623" s="500" t="s">
        <v>953</v>
      </c>
      <c r="B623" s="500"/>
      <c r="C623" s="141"/>
      <c r="D623" s="498" t="s">
        <v>2185</v>
      </c>
      <c r="E623" s="498"/>
      <c r="F623" s="498"/>
      <c r="G623" s="498"/>
      <c r="H623" s="498"/>
      <c r="I623" s="477" t="s">
        <v>955</v>
      </c>
      <c r="J623" s="477"/>
      <c r="K623" s="477"/>
      <c r="L623" s="498" t="s">
        <v>829</v>
      </c>
      <c r="M623" s="498"/>
      <c r="N623" s="498"/>
    </row>
    <row r="624" spans="1:21" s="140" customFormat="1" ht="24.95" customHeight="1">
      <c r="A624" s="501" t="s">
        <v>966</v>
      </c>
      <c r="B624" s="501"/>
      <c r="C624" s="501"/>
      <c r="D624" s="141"/>
      <c r="E624" s="141"/>
      <c r="F624" s="141"/>
      <c r="G624" s="141"/>
      <c r="H624" s="52"/>
      <c r="I624" s="52"/>
      <c r="J624" s="141"/>
      <c r="K624" s="141"/>
      <c r="L624" s="141"/>
      <c r="M624" s="141"/>
      <c r="N624" s="142"/>
    </row>
    <row r="625" spans="1:14" s="140" customFormat="1" ht="24.95" customHeight="1">
      <c r="A625" s="501" t="s">
        <v>961</v>
      </c>
      <c r="B625" s="501"/>
      <c r="C625" s="501"/>
      <c r="D625" s="141"/>
      <c r="E625" s="141"/>
      <c r="F625" s="141"/>
      <c r="G625" s="141"/>
      <c r="H625" s="52"/>
      <c r="I625" s="52"/>
      <c r="J625" s="141"/>
      <c r="K625" s="141"/>
      <c r="L625" s="141"/>
      <c r="M625" s="141"/>
      <c r="N625" s="142"/>
    </row>
    <row r="626" spans="1:14" s="140" customFormat="1" ht="24.95" customHeight="1">
      <c r="A626" s="501" t="s">
        <v>962</v>
      </c>
      <c r="B626" s="501"/>
      <c r="C626" s="501"/>
      <c r="D626" s="141"/>
      <c r="E626" s="141"/>
      <c r="F626" s="141"/>
      <c r="G626" s="141"/>
      <c r="H626" s="52"/>
      <c r="I626" s="52"/>
      <c r="J626" s="141"/>
      <c r="K626" s="141"/>
      <c r="L626" s="141"/>
      <c r="M626" s="141"/>
      <c r="N626" s="142"/>
    </row>
    <row r="627" spans="1:14" s="140" customFormat="1" ht="24.95" customHeight="1">
      <c r="A627" s="501" t="s">
        <v>958</v>
      </c>
      <c r="B627" s="501"/>
      <c r="C627" s="501"/>
      <c r="D627" s="498" t="s">
        <v>2186</v>
      </c>
      <c r="E627" s="498"/>
      <c r="F627" s="498"/>
      <c r="G627" s="498"/>
      <c r="H627" s="498"/>
      <c r="I627" s="477" t="s">
        <v>956</v>
      </c>
      <c r="J627" s="477"/>
      <c r="K627" s="477"/>
      <c r="L627" s="498" t="s">
        <v>954</v>
      </c>
      <c r="M627" s="498"/>
      <c r="N627" s="498"/>
    </row>
    <row r="628" spans="1:14" s="140" customFormat="1" ht="24.95" customHeight="1">
      <c r="A628" s="501" t="s">
        <v>963</v>
      </c>
      <c r="B628" s="501"/>
      <c r="C628" s="501"/>
      <c r="D628" s="498"/>
      <c r="E628" s="498"/>
      <c r="F628" s="498"/>
      <c r="G628" s="498"/>
      <c r="H628" s="498"/>
      <c r="I628" s="477"/>
      <c r="J628" s="477"/>
      <c r="K628" s="477"/>
      <c r="L628" s="498"/>
      <c r="M628" s="498"/>
      <c r="N628" s="498"/>
    </row>
    <row r="629" spans="1:14">
      <c r="A629" s="131"/>
      <c r="B629" s="132"/>
      <c r="C629" s="133"/>
      <c r="D629" s="133"/>
      <c r="E629" s="133"/>
      <c r="F629" s="133"/>
      <c r="G629" s="134"/>
      <c r="H629" s="135"/>
      <c r="I629" s="135"/>
      <c r="J629" s="136"/>
      <c r="K629" s="137"/>
      <c r="L629" s="136"/>
      <c r="M629" s="133"/>
      <c r="N629" s="133"/>
    </row>
    <row r="630" spans="1:14">
      <c r="A630" s="131"/>
      <c r="B630" s="132"/>
      <c r="C630" s="133"/>
      <c r="D630" s="133"/>
      <c r="E630" s="133"/>
      <c r="F630" s="133"/>
      <c r="G630" s="134"/>
      <c r="H630" s="135"/>
      <c r="I630" s="135"/>
      <c r="J630" s="136"/>
      <c r="K630" s="137"/>
      <c r="L630" s="136"/>
      <c r="M630" s="133"/>
      <c r="N630" s="133"/>
    </row>
    <row r="631" spans="1:14">
      <c r="A631" s="131"/>
      <c r="B631" s="132"/>
      <c r="C631" s="133"/>
      <c r="D631" s="133"/>
      <c r="E631" s="133"/>
      <c r="F631" s="133"/>
      <c r="G631" s="134"/>
      <c r="H631" s="135"/>
      <c r="I631" s="135"/>
      <c r="J631" s="136"/>
      <c r="K631" s="137"/>
      <c r="L631" s="136"/>
      <c r="M631" s="133"/>
      <c r="N631" s="133"/>
    </row>
    <row r="632" spans="1:14" ht="15">
      <c r="A632" s="502" t="s">
        <v>2812</v>
      </c>
      <c r="B632" s="502"/>
      <c r="C632" s="502"/>
      <c r="D632" s="502"/>
      <c r="E632" s="502"/>
      <c r="F632" s="502"/>
      <c r="G632" s="502"/>
      <c r="H632" s="502"/>
      <c r="I632" s="502"/>
      <c r="J632" s="502"/>
      <c r="K632" s="502"/>
      <c r="L632" s="502"/>
      <c r="M632" s="502"/>
      <c r="N632" s="502"/>
    </row>
    <row r="633" spans="1:14">
      <c r="A633" s="131"/>
      <c r="B633" s="132"/>
      <c r="C633" s="133"/>
      <c r="D633" s="133"/>
      <c r="E633" s="133"/>
      <c r="F633" s="133"/>
      <c r="G633" s="134"/>
      <c r="H633" s="135"/>
      <c r="I633" s="135"/>
      <c r="J633" s="136"/>
      <c r="K633" s="137"/>
      <c r="L633" s="136"/>
      <c r="M633" s="133"/>
      <c r="N633" s="133"/>
    </row>
    <row r="634" spans="1:14">
      <c r="A634" s="131"/>
      <c r="B634" s="132"/>
      <c r="C634" s="133"/>
      <c r="D634" s="133"/>
      <c r="E634" s="133"/>
      <c r="F634" s="133"/>
      <c r="G634" s="134"/>
      <c r="H634" s="135"/>
      <c r="I634" s="135"/>
      <c r="J634" s="136"/>
      <c r="K634" s="137"/>
      <c r="L634" s="136"/>
      <c r="M634" s="133"/>
      <c r="N634" s="133"/>
    </row>
    <row r="635" spans="1:14">
      <c r="A635" s="131"/>
      <c r="B635" s="132"/>
      <c r="C635" s="133"/>
      <c r="D635" s="133"/>
      <c r="E635" s="133"/>
      <c r="F635" s="133"/>
      <c r="G635" s="134"/>
      <c r="H635" s="135"/>
      <c r="I635" s="135"/>
      <c r="J635" s="136"/>
      <c r="K635" s="137"/>
      <c r="L635" s="136"/>
      <c r="M635" s="133"/>
      <c r="N635" s="133"/>
    </row>
    <row r="636" spans="1:14">
      <c r="A636" s="131"/>
      <c r="B636" s="132"/>
      <c r="C636" s="133"/>
      <c r="D636" s="133"/>
      <c r="E636" s="133"/>
      <c r="F636" s="133"/>
      <c r="G636" s="134"/>
      <c r="H636" s="135"/>
      <c r="I636" s="135"/>
      <c r="J636" s="136"/>
      <c r="K636" s="137"/>
      <c r="L636" s="136"/>
      <c r="M636" s="133"/>
      <c r="N636" s="133"/>
    </row>
    <row r="637" spans="1:14">
      <c r="A637" s="131"/>
      <c r="B637" s="132"/>
      <c r="C637" s="133"/>
      <c r="D637" s="133"/>
      <c r="E637" s="133"/>
      <c r="F637" s="133"/>
      <c r="G637" s="134"/>
      <c r="H637" s="135"/>
      <c r="I637" s="135"/>
      <c r="J637" s="136"/>
      <c r="K637" s="137"/>
      <c r="L637" s="136"/>
      <c r="M637" s="133"/>
      <c r="N637" s="133"/>
    </row>
    <row r="638" spans="1:14">
      <c r="A638" s="131"/>
      <c r="B638" s="132"/>
      <c r="C638" s="133"/>
      <c r="D638" s="133"/>
      <c r="E638" s="133"/>
      <c r="F638" s="133"/>
      <c r="G638" s="134"/>
      <c r="H638" s="135"/>
      <c r="I638" s="135"/>
      <c r="J638" s="136"/>
      <c r="K638" s="137"/>
      <c r="L638" s="136"/>
      <c r="M638" s="133"/>
      <c r="N638" s="133"/>
    </row>
    <row r="639" spans="1:14">
      <c r="A639" s="131"/>
      <c r="B639" s="132"/>
      <c r="C639" s="133"/>
      <c r="D639" s="133"/>
      <c r="E639" s="133"/>
      <c r="F639" s="133"/>
      <c r="G639" s="134"/>
      <c r="H639" s="135"/>
      <c r="I639" s="135"/>
      <c r="J639" s="136"/>
      <c r="K639" s="137"/>
      <c r="L639" s="136"/>
      <c r="M639" s="133"/>
      <c r="N639" s="133"/>
    </row>
    <row r="640" spans="1:14">
      <c r="A640" s="131"/>
      <c r="B640" s="132"/>
      <c r="C640" s="133"/>
      <c r="D640" s="133"/>
      <c r="E640" s="133"/>
      <c r="F640" s="133"/>
      <c r="G640" s="134"/>
      <c r="H640" s="135"/>
      <c r="I640" s="135"/>
      <c r="J640" s="136"/>
      <c r="K640" s="137"/>
      <c r="L640" s="136"/>
      <c r="M640" s="133"/>
      <c r="N640" s="133"/>
    </row>
  </sheetData>
  <mergeCells count="72">
    <mergeCell ref="A628:C628"/>
    <mergeCell ref="D628:H628"/>
    <mergeCell ref="I628:K628"/>
    <mergeCell ref="L628:N628"/>
    <mergeCell ref="A632:N632"/>
    <mergeCell ref="L627:N627"/>
    <mergeCell ref="J622:N622"/>
    <mergeCell ref="A623:B623"/>
    <mergeCell ref="D623:H623"/>
    <mergeCell ref="I623:K623"/>
    <mergeCell ref="L623:N623"/>
    <mergeCell ref="A624:C624"/>
    <mergeCell ref="A625:C625"/>
    <mergeCell ref="A626:C626"/>
    <mergeCell ref="A627:C627"/>
    <mergeCell ref="D627:H627"/>
    <mergeCell ref="I627:K627"/>
    <mergeCell ref="B577:N577"/>
    <mergeCell ref="B273:N273"/>
    <mergeCell ref="B296:N296"/>
    <mergeCell ref="B315:N315"/>
    <mergeCell ref="K332:K337"/>
    <mergeCell ref="B350:N350"/>
    <mergeCell ref="B360:N360"/>
    <mergeCell ref="B371:N371"/>
    <mergeCell ref="B374:N374"/>
    <mergeCell ref="B385:N385"/>
    <mergeCell ref="B449:N449"/>
    <mergeCell ref="B516:N516"/>
    <mergeCell ref="A122:A124"/>
    <mergeCell ref="D122:D124"/>
    <mergeCell ref="J122:J124"/>
    <mergeCell ref="K122:K124"/>
    <mergeCell ref="B152:N152"/>
    <mergeCell ref="B204:N204"/>
    <mergeCell ref="E13:E15"/>
    <mergeCell ref="F13:F15"/>
    <mergeCell ref="G13:G15"/>
    <mergeCell ref="B17:N17"/>
    <mergeCell ref="A18:A22"/>
    <mergeCell ref="A71:A76"/>
    <mergeCell ref="N74:N75"/>
    <mergeCell ref="I12:I15"/>
    <mergeCell ref="J12:J15"/>
    <mergeCell ref="K12:K15"/>
    <mergeCell ref="L12:L15"/>
    <mergeCell ref="M12:M15"/>
    <mergeCell ref="N12:N15"/>
    <mergeCell ref="A12:A15"/>
    <mergeCell ref="B12:B15"/>
    <mergeCell ref="C12:C15"/>
    <mergeCell ref="D12:D15"/>
    <mergeCell ref="H12:H15"/>
    <mergeCell ref="A8:C8"/>
    <mergeCell ref="E8:I8"/>
    <mergeCell ref="K8:M8"/>
    <mergeCell ref="A9:C9"/>
    <mergeCell ref="A10:N10"/>
    <mergeCell ref="A6:C6"/>
    <mergeCell ref="E6:I6"/>
    <mergeCell ref="K6:M6"/>
    <mergeCell ref="A7:C7"/>
    <mergeCell ref="E7:I7"/>
    <mergeCell ref="K7:M7"/>
    <mergeCell ref="A5:C5"/>
    <mergeCell ref="E5:I5"/>
    <mergeCell ref="K5:M5"/>
    <mergeCell ref="A1:E1"/>
    <mergeCell ref="K1:N1"/>
    <mergeCell ref="A2:E2"/>
    <mergeCell ref="A3:N3"/>
    <mergeCell ref="A4:N4"/>
  </mergeCells>
  <pageMargins left="0.5" right="0.1" top="0.5" bottom="0.5" header="0" footer="0"/>
  <pageSetup paperSize="9" orientation="landscape" r:id="rId1"/>
  <headerFooter differentFirst="1"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opLeftCell="A37" zoomScaleNormal="100" zoomScaleSheetLayoutView="102" workbookViewId="0">
      <selection activeCell="F89" sqref="F89"/>
    </sheetView>
  </sheetViews>
  <sheetFormatPr defaultColWidth="9.140625" defaultRowHeight="15.75"/>
  <cols>
    <col min="1" max="1" width="4.5703125" style="176" customWidth="1"/>
    <col min="2" max="2" width="22.7109375" style="147" customWidth="1"/>
    <col min="3" max="3" width="10.7109375" style="147" customWidth="1"/>
    <col min="4" max="4" width="6.42578125" style="150" customWidth="1"/>
    <col min="5" max="6" width="5.85546875" style="176" customWidth="1"/>
    <col min="7" max="7" width="6.42578125" style="177" customWidth="1"/>
    <col min="8" max="9" width="13.140625" style="150" customWidth="1"/>
    <col min="10" max="10" width="8" style="150" customWidth="1"/>
    <col min="11" max="11" width="10.7109375" style="150" customWidth="1"/>
    <col min="12" max="12" width="9.7109375" style="150" customWidth="1"/>
    <col min="13" max="13" width="9" style="150" customWidth="1"/>
    <col min="14" max="14" width="13.7109375" style="150" customWidth="1"/>
    <col min="15" max="15" width="9.140625" style="150" customWidth="1"/>
    <col min="16" max="16384" width="9.140625" style="150"/>
  </cols>
  <sheetData>
    <row r="1" spans="1:14" s="60" customFormat="1" ht="15.75" customHeight="1">
      <c r="A1" s="481" t="s">
        <v>818</v>
      </c>
      <c r="B1" s="481"/>
      <c r="C1" s="481"/>
      <c r="D1" s="481"/>
      <c r="E1" s="481"/>
      <c r="F1" s="57"/>
      <c r="G1" s="58"/>
      <c r="H1" s="145"/>
      <c r="I1" s="145"/>
      <c r="J1" s="270"/>
      <c r="K1" s="482" t="s">
        <v>819</v>
      </c>
      <c r="L1" s="482"/>
      <c r="M1" s="482"/>
      <c r="N1" s="482"/>
    </row>
    <row r="2" spans="1:14" s="60" customFormat="1" ht="15" customHeight="1">
      <c r="A2" s="481" t="s">
        <v>820</v>
      </c>
      <c r="B2" s="481"/>
      <c r="C2" s="481"/>
      <c r="D2" s="481"/>
      <c r="E2" s="481"/>
      <c r="F2" s="57"/>
      <c r="G2" s="58"/>
      <c r="H2" s="58"/>
      <c r="I2" s="58"/>
      <c r="J2" s="58"/>
      <c r="K2" s="58"/>
      <c r="L2" s="58"/>
      <c r="M2" s="58"/>
      <c r="N2" s="58"/>
    </row>
    <row r="3" spans="1:14" s="60" customFormat="1" ht="46.5" customHeight="1">
      <c r="A3" s="483" t="s">
        <v>2187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</row>
    <row r="4" spans="1:14" s="62" customFormat="1" ht="18" customHeight="1">
      <c r="A4" s="484" t="s">
        <v>968</v>
      </c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</row>
    <row r="5" spans="1:14" s="62" customFormat="1" ht="15" customHeight="1">
      <c r="A5" s="479" t="s">
        <v>821</v>
      </c>
      <c r="B5" s="479"/>
      <c r="C5" s="479"/>
      <c r="D5" s="268"/>
      <c r="E5" s="480" t="s">
        <v>822</v>
      </c>
      <c r="F5" s="480"/>
      <c r="G5" s="480"/>
      <c r="H5" s="480"/>
      <c r="I5" s="480"/>
      <c r="J5" s="269"/>
      <c r="K5" s="479" t="s">
        <v>829</v>
      </c>
      <c r="L5" s="479"/>
      <c r="M5" s="479"/>
      <c r="N5" s="269"/>
    </row>
    <row r="6" spans="1:14" s="62" customFormat="1" ht="15" customHeight="1">
      <c r="A6" s="479" t="s">
        <v>949</v>
      </c>
      <c r="B6" s="479"/>
      <c r="C6" s="479"/>
      <c r="D6" s="268"/>
      <c r="E6" s="480" t="s">
        <v>824</v>
      </c>
      <c r="F6" s="480"/>
      <c r="G6" s="480"/>
      <c r="H6" s="480"/>
      <c r="I6" s="480"/>
      <c r="J6" s="269"/>
      <c r="K6" s="479" t="s">
        <v>823</v>
      </c>
      <c r="L6" s="479"/>
      <c r="M6" s="479"/>
      <c r="N6" s="269"/>
    </row>
    <row r="7" spans="1:14" s="62" customFormat="1" ht="16.899999999999999" customHeight="1">
      <c r="A7" s="479" t="s">
        <v>950</v>
      </c>
      <c r="B7" s="479"/>
      <c r="C7" s="479"/>
      <c r="D7" s="268"/>
      <c r="E7" s="480" t="s">
        <v>825</v>
      </c>
      <c r="F7" s="480"/>
      <c r="G7" s="480"/>
      <c r="H7" s="480"/>
      <c r="I7" s="480"/>
      <c r="J7" s="269"/>
      <c r="K7" s="479" t="s">
        <v>826</v>
      </c>
      <c r="L7" s="479"/>
      <c r="M7" s="479"/>
      <c r="N7" s="269"/>
    </row>
    <row r="8" spans="1:14" s="62" customFormat="1" ht="15" customHeight="1">
      <c r="A8" s="479" t="s">
        <v>2188</v>
      </c>
      <c r="B8" s="479"/>
      <c r="C8" s="479"/>
      <c r="D8" s="268"/>
      <c r="E8" s="480" t="s">
        <v>2189</v>
      </c>
      <c r="F8" s="480"/>
      <c r="G8" s="480"/>
      <c r="H8" s="480"/>
      <c r="I8" s="480"/>
      <c r="J8" s="269"/>
      <c r="K8" s="479" t="s">
        <v>830</v>
      </c>
      <c r="L8" s="479"/>
      <c r="M8" s="479"/>
      <c r="N8" s="269"/>
    </row>
    <row r="9" spans="1:14" s="62" customFormat="1" ht="15" customHeight="1">
      <c r="A9" s="479" t="s">
        <v>952</v>
      </c>
      <c r="B9" s="479"/>
      <c r="C9" s="479"/>
      <c r="D9" s="63"/>
      <c r="E9" s="63"/>
      <c r="F9" s="269"/>
      <c r="G9" s="269"/>
      <c r="H9" s="269"/>
      <c r="I9" s="269"/>
      <c r="J9" s="269"/>
      <c r="K9" s="269"/>
      <c r="L9" s="269"/>
      <c r="M9" s="269"/>
      <c r="N9" s="269"/>
    </row>
    <row r="10" spans="1:14" s="62" customFormat="1" ht="15.75" customHeight="1">
      <c r="A10" s="479" t="s">
        <v>827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9"/>
    </row>
    <row r="11" spans="1:14" ht="12.75" customHeight="1">
      <c r="A11" s="146"/>
      <c r="D11" s="148"/>
      <c r="E11" s="146"/>
      <c r="F11" s="146"/>
      <c r="G11" s="149"/>
      <c r="H11" s="148"/>
      <c r="I11" s="148"/>
      <c r="J11" s="148"/>
      <c r="K11" s="148"/>
      <c r="L11" s="148"/>
      <c r="M11" s="148"/>
      <c r="N11" s="148"/>
    </row>
    <row r="12" spans="1:14" ht="38.25" customHeight="1">
      <c r="A12" s="503" t="s">
        <v>2190</v>
      </c>
      <c r="B12" s="503" t="s">
        <v>972</v>
      </c>
      <c r="C12" s="503" t="s">
        <v>973</v>
      </c>
      <c r="D12" s="503" t="s">
        <v>974</v>
      </c>
      <c r="E12" s="276" t="s">
        <v>4</v>
      </c>
      <c r="F12" s="151" t="s">
        <v>975</v>
      </c>
      <c r="G12" s="151" t="s">
        <v>6</v>
      </c>
      <c r="H12" s="503" t="s">
        <v>7</v>
      </c>
      <c r="I12" s="503" t="s">
        <v>8</v>
      </c>
      <c r="J12" s="503" t="s">
        <v>9</v>
      </c>
      <c r="K12" s="503" t="s">
        <v>10</v>
      </c>
      <c r="L12" s="503" t="s">
        <v>11</v>
      </c>
      <c r="M12" s="503" t="s">
        <v>12</v>
      </c>
      <c r="N12" s="503" t="s">
        <v>976</v>
      </c>
    </row>
    <row r="13" spans="1:14" ht="42" customHeight="1">
      <c r="A13" s="503"/>
      <c r="B13" s="503"/>
      <c r="C13" s="503"/>
      <c r="D13" s="503"/>
      <c r="E13" s="276" t="s">
        <v>14</v>
      </c>
      <c r="F13" s="276" t="s">
        <v>14</v>
      </c>
      <c r="G13" s="276" t="s">
        <v>14</v>
      </c>
      <c r="H13" s="503"/>
      <c r="I13" s="503"/>
      <c r="J13" s="504"/>
      <c r="K13" s="504"/>
      <c r="L13" s="503"/>
      <c r="M13" s="503"/>
      <c r="N13" s="504"/>
    </row>
    <row r="14" spans="1:14" s="290" customFormat="1">
      <c r="A14" s="276" t="s">
        <v>15</v>
      </c>
      <c r="B14" s="276" t="s">
        <v>16</v>
      </c>
      <c r="C14" s="276" t="s">
        <v>17</v>
      </c>
      <c r="D14" s="276" t="s">
        <v>18</v>
      </c>
      <c r="E14" s="276">
        <v>1</v>
      </c>
      <c r="F14" s="276">
        <v>2</v>
      </c>
      <c r="G14" s="152">
        <v>3</v>
      </c>
      <c r="H14" s="152">
        <v>4</v>
      </c>
      <c r="I14" s="151">
        <v>5</v>
      </c>
      <c r="J14" s="151">
        <v>6</v>
      </c>
      <c r="K14" s="152">
        <v>6.5667804780076402</v>
      </c>
      <c r="L14" s="152">
        <v>8</v>
      </c>
      <c r="M14" s="152">
        <v>9</v>
      </c>
      <c r="N14" s="152">
        <v>10</v>
      </c>
    </row>
    <row r="15" spans="1:14" s="154" customFormat="1" ht="25.5">
      <c r="A15" s="91">
        <v>1</v>
      </c>
      <c r="B15" s="93" t="s">
        <v>2191</v>
      </c>
      <c r="C15" s="91" t="s">
        <v>2192</v>
      </c>
      <c r="D15" s="91">
        <v>2010</v>
      </c>
      <c r="E15" s="91">
        <v>1</v>
      </c>
      <c r="F15" s="91">
        <v>1</v>
      </c>
      <c r="G15" s="73">
        <f>F15-E15</f>
        <v>0</v>
      </c>
      <c r="H15" s="279"/>
      <c r="I15" s="279"/>
      <c r="J15" s="93"/>
      <c r="K15" s="279"/>
      <c r="L15" s="279"/>
      <c r="M15" s="91" t="s">
        <v>2193</v>
      </c>
      <c r="N15" s="153" t="s">
        <v>2194</v>
      </c>
    </row>
    <row r="16" spans="1:14" s="156" customFormat="1" ht="25.5">
      <c r="A16" s="91">
        <v>2</v>
      </c>
      <c r="B16" s="93" t="s">
        <v>2195</v>
      </c>
      <c r="C16" s="91" t="s">
        <v>2196</v>
      </c>
      <c r="D16" s="91">
        <v>2014</v>
      </c>
      <c r="E16" s="91">
        <v>1</v>
      </c>
      <c r="F16" s="91">
        <v>1</v>
      </c>
      <c r="G16" s="73">
        <f t="shared" ref="G16:G26" si="0">F16-E16</f>
        <v>0</v>
      </c>
      <c r="H16" s="155">
        <v>814800000</v>
      </c>
      <c r="I16" s="155">
        <v>814800000</v>
      </c>
      <c r="J16" s="93"/>
      <c r="K16" s="279"/>
      <c r="L16" s="279"/>
      <c r="M16" s="91" t="s">
        <v>2193</v>
      </c>
      <c r="N16" s="153" t="s">
        <v>2197</v>
      </c>
    </row>
    <row r="17" spans="1:14" s="156" customFormat="1" ht="25.5">
      <c r="A17" s="91">
        <v>3</v>
      </c>
      <c r="B17" s="93" t="s">
        <v>2195</v>
      </c>
      <c r="C17" s="91" t="s">
        <v>2198</v>
      </c>
      <c r="D17" s="91">
        <v>2017</v>
      </c>
      <c r="E17" s="91">
        <v>1</v>
      </c>
      <c r="F17" s="91">
        <v>1</v>
      </c>
      <c r="G17" s="73">
        <f t="shared" si="0"/>
        <v>0</v>
      </c>
      <c r="H17" s="155">
        <v>1477600000</v>
      </c>
      <c r="I17" s="155">
        <v>1477600000</v>
      </c>
      <c r="J17" s="93"/>
      <c r="K17" s="279"/>
      <c r="L17" s="279"/>
      <c r="M17" s="91" t="s">
        <v>2193</v>
      </c>
      <c r="N17" s="153" t="s">
        <v>2199</v>
      </c>
    </row>
    <row r="18" spans="1:14" s="156" customFormat="1" ht="25.5">
      <c r="A18" s="91">
        <v>4</v>
      </c>
      <c r="B18" s="93" t="s">
        <v>2195</v>
      </c>
      <c r="C18" s="91" t="s">
        <v>2200</v>
      </c>
      <c r="D18" s="91">
        <v>2018</v>
      </c>
      <c r="E18" s="91">
        <v>1</v>
      </c>
      <c r="F18" s="91">
        <v>1</v>
      </c>
      <c r="G18" s="73">
        <f t="shared" si="0"/>
        <v>0</v>
      </c>
      <c r="H18" s="155">
        <v>1448000000</v>
      </c>
      <c r="I18" s="155">
        <v>1448000000</v>
      </c>
      <c r="J18" s="93"/>
      <c r="K18" s="279"/>
      <c r="L18" s="279"/>
      <c r="M18" s="91" t="s">
        <v>2193</v>
      </c>
      <c r="N18" s="153" t="s">
        <v>2197</v>
      </c>
    </row>
    <row r="19" spans="1:14" s="156" customFormat="1" ht="25.5">
      <c r="A19" s="91">
        <v>5</v>
      </c>
      <c r="B19" s="93" t="s">
        <v>2201</v>
      </c>
      <c r="C19" s="91" t="s">
        <v>2202</v>
      </c>
      <c r="D19" s="91">
        <v>2016</v>
      </c>
      <c r="E19" s="91">
        <v>1</v>
      </c>
      <c r="F19" s="91">
        <v>1</v>
      </c>
      <c r="G19" s="73">
        <f t="shared" si="0"/>
        <v>0</v>
      </c>
      <c r="H19" s="155"/>
      <c r="I19" s="155"/>
      <c r="J19" s="93"/>
      <c r="K19" s="279"/>
      <c r="L19" s="279"/>
      <c r="M19" s="91" t="s">
        <v>2193</v>
      </c>
      <c r="N19" s="153" t="s">
        <v>2194</v>
      </c>
    </row>
    <row r="20" spans="1:14" s="154" customFormat="1" ht="25.5">
      <c r="A20" s="91">
        <v>6</v>
      </c>
      <c r="B20" s="93" t="s">
        <v>2203</v>
      </c>
      <c r="C20" s="91" t="s">
        <v>2204</v>
      </c>
      <c r="D20" s="91">
        <v>2020</v>
      </c>
      <c r="E20" s="91">
        <v>1</v>
      </c>
      <c r="F20" s="91">
        <v>1</v>
      </c>
      <c r="G20" s="73">
        <f t="shared" si="0"/>
        <v>0</v>
      </c>
      <c r="H20" s="155">
        <v>1630000000</v>
      </c>
      <c r="I20" s="155">
        <v>1630000000</v>
      </c>
      <c r="J20" s="153"/>
      <c r="K20" s="279"/>
      <c r="L20" s="279"/>
      <c r="M20" s="91" t="s">
        <v>2205</v>
      </c>
      <c r="N20" s="153" t="s">
        <v>2197</v>
      </c>
    </row>
    <row r="21" spans="1:14" s="154" customFormat="1" ht="25.5">
      <c r="A21" s="91">
        <v>7</v>
      </c>
      <c r="B21" s="93" t="s">
        <v>2206</v>
      </c>
      <c r="C21" s="91" t="s">
        <v>2207</v>
      </c>
      <c r="D21" s="91">
        <v>2020</v>
      </c>
      <c r="E21" s="91">
        <v>4</v>
      </c>
      <c r="F21" s="91">
        <v>4</v>
      </c>
      <c r="G21" s="73">
        <f t="shared" si="0"/>
        <v>0</v>
      </c>
      <c r="H21" s="89">
        <v>12410908</v>
      </c>
      <c r="I21" s="89">
        <v>49643632</v>
      </c>
      <c r="J21" s="91"/>
      <c r="K21" s="279"/>
      <c r="L21" s="279"/>
      <c r="M21" s="91" t="s">
        <v>2193</v>
      </c>
      <c r="N21" s="153" t="s">
        <v>2208</v>
      </c>
    </row>
    <row r="22" spans="1:14" s="154" customFormat="1" ht="76.5">
      <c r="A22" s="91">
        <v>8</v>
      </c>
      <c r="B22" s="93" t="s">
        <v>2209</v>
      </c>
      <c r="C22" s="91" t="s">
        <v>2210</v>
      </c>
      <c r="D22" s="91">
        <v>2021</v>
      </c>
      <c r="E22" s="91">
        <v>6</v>
      </c>
      <c r="F22" s="91">
        <v>6</v>
      </c>
      <c r="G22" s="73">
        <f t="shared" si="0"/>
        <v>0</v>
      </c>
      <c r="H22" s="157">
        <f>+I22/6</f>
        <v>389311290</v>
      </c>
      <c r="I22" s="158">
        <v>2335867740</v>
      </c>
      <c r="J22" s="91"/>
      <c r="K22" s="279"/>
      <c r="L22" s="279"/>
      <c r="M22" s="91" t="s">
        <v>2193</v>
      </c>
      <c r="N22" s="93" t="s">
        <v>2211</v>
      </c>
    </row>
    <row r="23" spans="1:14" s="154" customFormat="1" ht="51">
      <c r="A23" s="91">
        <v>9</v>
      </c>
      <c r="B23" s="93" t="s">
        <v>2212</v>
      </c>
      <c r="C23" s="91" t="s">
        <v>2213</v>
      </c>
      <c r="D23" s="91">
        <v>2021</v>
      </c>
      <c r="E23" s="91">
        <v>4</v>
      </c>
      <c r="F23" s="91">
        <v>4</v>
      </c>
      <c r="G23" s="73">
        <f t="shared" si="0"/>
        <v>0</v>
      </c>
      <c r="H23" s="157">
        <f>+I23/6</f>
        <v>9933333.333333334</v>
      </c>
      <c r="I23" s="159">
        <v>59600000</v>
      </c>
      <c r="J23" s="91"/>
      <c r="K23" s="279"/>
      <c r="L23" s="279"/>
      <c r="M23" s="91" t="s">
        <v>2193</v>
      </c>
      <c r="N23" s="153" t="s">
        <v>2214</v>
      </c>
    </row>
    <row r="24" spans="1:14" s="154" customFormat="1" ht="25.5">
      <c r="A24" s="91">
        <v>10</v>
      </c>
      <c r="B24" s="93" t="s">
        <v>2215</v>
      </c>
      <c r="C24" s="91" t="s">
        <v>2216</v>
      </c>
      <c r="D24" s="91">
        <v>2021</v>
      </c>
      <c r="E24" s="91">
        <v>8</v>
      </c>
      <c r="F24" s="91">
        <v>8</v>
      </c>
      <c r="G24" s="73">
        <f t="shared" si="0"/>
        <v>0</v>
      </c>
      <c r="H24" s="279"/>
      <c r="I24" s="279"/>
      <c r="J24" s="91"/>
      <c r="K24" s="279"/>
      <c r="L24" s="279"/>
      <c r="M24" s="91" t="s">
        <v>2193</v>
      </c>
      <c r="N24" s="153" t="s">
        <v>1301</v>
      </c>
    </row>
    <row r="25" spans="1:14" s="154" customFormat="1" ht="25.5">
      <c r="A25" s="91">
        <v>11</v>
      </c>
      <c r="B25" s="93" t="s">
        <v>2217</v>
      </c>
      <c r="C25" s="91" t="s">
        <v>2218</v>
      </c>
      <c r="D25" s="91">
        <v>2021</v>
      </c>
      <c r="E25" s="91">
        <v>4</v>
      </c>
      <c r="F25" s="91">
        <v>4</v>
      </c>
      <c r="G25" s="73">
        <f t="shared" si="0"/>
        <v>0</v>
      </c>
      <c r="H25" s="279"/>
      <c r="I25" s="279"/>
      <c r="J25" s="91"/>
      <c r="K25" s="279"/>
      <c r="L25" s="279"/>
      <c r="M25" s="91" t="s">
        <v>2193</v>
      </c>
      <c r="N25" s="153" t="s">
        <v>1301</v>
      </c>
    </row>
    <row r="26" spans="1:14" s="154" customFormat="1" ht="76.5">
      <c r="A26" s="91">
        <v>12</v>
      </c>
      <c r="B26" s="160" t="s">
        <v>2219</v>
      </c>
      <c r="C26" s="161" t="s">
        <v>2220</v>
      </c>
      <c r="D26" s="91">
        <v>2020</v>
      </c>
      <c r="E26" s="91"/>
      <c r="F26" s="91">
        <v>1</v>
      </c>
      <c r="G26" s="73">
        <f t="shared" si="0"/>
        <v>1</v>
      </c>
      <c r="H26" s="162">
        <v>1630000000</v>
      </c>
      <c r="I26" s="162">
        <v>1630000000</v>
      </c>
      <c r="J26" s="91"/>
      <c r="K26" s="279"/>
      <c r="L26" s="279"/>
      <c r="M26" s="91" t="s">
        <v>2193</v>
      </c>
      <c r="N26" s="153" t="s">
        <v>2221</v>
      </c>
    </row>
    <row r="27" spans="1:14" s="290" customFormat="1" ht="15.95" customHeight="1">
      <c r="A27" s="505" t="s">
        <v>2222</v>
      </c>
      <c r="B27" s="506"/>
      <c r="C27" s="506"/>
      <c r="D27" s="506"/>
      <c r="E27" s="506"/>
      <c r="F27" s="506"/>
      <c r="G27" s="506"/>
      <c r="H27" s="506"/>
      <c r="I27" s="506"/>
      <c r="J27" s="506"/>
      <c r="K27" s="506"/>
      <c r="L27" s="506"/>
      <c r="M27" s="506"/>
      <c r="N27" s="507"/>
    </row>
    <row r="28" spans="1:14" s="156" customFormat="1" ht="25.5">
      <c r="A28" s="91">
        <v>1</v>
      </c>
      <c r="B28" s="93" t="s">
        <v>2223</v>
      </c>
      <c r="C28" s="91" t="s">
        <v>2224</v>
      </c>
      <c r="D28" s="91">
        <v>2014</v>
      </c>
      <c r="E28" s="91">
        <v>1</v>
      </c>
      <c r="F28" s="91">
        <v>1</v>
      </c>
      <c r="G28" s="163">
        <f>F28-E28</f>
        <v>0</v>
      </c>
      <c r="H28" s="279"/>
      <c r="I28" s="279"/>
      <c r="J28" s="93"/>
      <c r="K28" s="279"/>
      <c r="L28" s="279"/>
      <c r="M28" s="91" t="s">
        <v>2193</v>
      </c>
      <c r="N28" s="153"/>
    </row>
    <row r="29" spans="1:14" s="156" customFormat="1" ht="25.5">
      <c r="A29" s="91">
        <v>2</v>
      </c>
      <c r="B29" s="93" t="s">
        <v>2225</v>
      </c>
      <c r="C29" s="91" t="s">
        <v>2226</v>
      </c>
      <c r="D29" s="91">
        <v>2017</v>
      </c>
      <c r="E29" s="91">
        <v>2</v>
      </c>
      <c r="F29" s="91">
        <v>2</v>
      </c>
      <c r="G29" s="163">
        <f t="shared" ref="G29:G57" si="1">F29-E29</f>
        <v>0</v>
      </c>
      <c r="H29" s="157">
        <f>+I29/2</f>
        <v>820000</v>
      </c>
      <c r="I29" s="155">
        <v>1640000</v>
      </c>
      <c r="J29" s="93"/>
      <c r="K29" s="279"/>
      <c r="L29" s="279"/>
      <c r="M29" s="91" t="s">
        <v>2193</v>
      </c>
      <c r="N29" s="153" t="s">
        <v>2199</v>
      </c>
    </row>
    <row r="30" spans="1:14" s="154" customFormat="1" ht="25.5">
      <c r="A30" s="91">
        <v>3</v>
      </c>
      <c r="B30" s="93" t="s">
        <v>2227</v>
      </c>
      <c r="C30" s="91" t="s">
        <v>2228</v>
      </c>
      <c r="D30" s="91">
        <v>2015</v>
      </c>
      <c r="E30" s="91">
        <v>1</v>
      </c>
      <c r="F30" s="91">
        <v>1</v>
      </c>
      <c r="G30" s="163">
        <f t="shared" si="1"/>
        <v>0</v>
      </c>
      <c r="H30" s="158">
        <v>330000</v>
      </c>
      <c r="I30" s="164">
        <v>330000</v>
      </c>
      <c r="J30" s="93"/>
      <c r="K30" s="279"/>
      <c r="L30" s="279"/>
      <c r="M30" s="91" t="s">
        <v>2193</v>
      </c>
      <c r="N30" s="153"/>
    </row>
    <row r="31" spans="1:14" s="154" customFormat="1" ht="25.5">
      <c r="A31" s="91">
        <v>4</v>
      </c>
      <c r="B31" s="93" t="s">
        <v>2227</v>
      </c>
      <c r="C31" s="91" t="s">
        <v>2229</v>
      </c>
      <c r="D31" s="91">
        <v>2015</v>
      </c>
      <c r="E31" s="91">
        <v>1</v>
      </c>
      <c r="F31" s="91">
        <v>1</v>
      </c>
      <c r="G31" s="163">
        <f t="shared" si="1"/>
        <v>0</v>
      </c>
      <c r="H31" s="158">
        <v>330000</v>
      </c>
      <c r="I31" s="164">
        <v>330000</v>
      </c>
      <c r="J31" s="93"/>
      <c r="K31" s="279"/>
      <c r="L31" s="279"/>
      <c r="M31" s="91" t="s">
        <v>2193</v>
      </c>
      <c r="N31" s="153"/>
    </row>
    <row r="32" spans="1:14" s="154" customFormat="1" ht="25.5">
      <c r="A32" s="91">
        <v>5</v>
      </c>
      <c r="B32" s="93" t="s">
        <v>2230</v>
      </c>
      <c r="C32" s="91" t="s">
        <v>2231</v>
      </c>
      <c r="D32" s="91">
        <v>2017</v>
      </c>
      <c r="E32" s="91">
        <v>2</v>
      </c>
      <c r="F32" s="91">
        <v>2</v>
      </c>
      <c r="G32" s="163">
        <f t="shared" si="1"/>
        <v>0</v>
      </c>
      <c r="H32" s="279"/>
      <c r="I32" s="279"/>
      <c r="J32" s="93"/>
      <c r="K32" s="279"/>
      <c r="L32" s="279"/>
      <c r="M32" s="91" t="s">
        <v>2193</v>
      </c>
      <c r="N32" s="153"/>
    </row>
    <row r="33" spans="1:14" s="154" customFormat="1" ht="25.5">
      <c r="A33" s="91">
        <v>6</v>
      </c>
      <c r="B33" s="93" t="s">
        <v>2232</v>
      </c>
      <c r="C33" s="91" t="s">
        <v>2233</v>
      </c>
      <c r="D33" s="91">
        <v>2015</v>
      </c>
      <c r="E33" s="91">
        <v>1</v>
      </c>
      <c r="F33" s="91">
        <v>1</v>
      </c>
      <c r="G33" s="163">
        <f t="shared" si="1"/>
        <v>0</v>
      </c>
      <c r="H33" s="279"/>
      <c r="I33" s="279"/>
      <c r="J33" s="93"/>
      <c r="K33" s="279"/>
      <c r="L33" s="279"/>
      <c r="M33" s="91" t="s">
        <v>2193</v>
      </c>
      <c r="N33" s="153"/>
    </row>
    <row r="34" spans="1:14" s="154" customFormat="1" ht="25.5">
      <c r="A34" s="91">
        <v>7</v>
      </c>
      <c r="B34" s="93" t="s">
        <v>2234</v>
      </c>
      <c r="C34" s="91" t="s">
        <v>2235</v>
      </c>
      <c r="D34" s="91">
        <v>2015</v>
      </c>
      <c r="E34" s="91">
        <v>1</v>
      </c>
      <c r="F34" s="91">
        <v>1</v>
      </c>
      <c r="G34" s="163">
        <f t="shared" si="1"/>
        <v>0</v>
      </c>
      <c r="H34" s="279"/>
      <c r="I34" s="279"/>
      <c r="J34" s="93"/>
      <c r="K34" s="279"/>
      <c r="L34" s="279"/>
      <c r="M34" s="91" t="s">
        <v>2193</v>
      </c>
      <c r="N34" s="153"/>
    </row>
    <row r="35" spans="1:14" s="154" customFormat="1" ht="25.5">
      <c r="A35" s="91">
        <v>8</v>
      </c>
      <c r="B35" s="93" t="s">
        <v>2236</v>
      </c>
      <c r="C35" s="91" t="s">
        <v>2237</v>
      </c>
      <c r="D35" s="91">
        <v>2015</v>
      </c>
      <c r="E35" s="91">
        <v>1</v>
      </c>
      <c r="F35" s="91">
        <v>1</v>
      </c>
      <c r="G35" s="163">
        <f t="shared" si="1"/>
        <v>0</v>
      </c>
      <c r="H35" s="279"/>
      <c r="I35" s="279"/>
      <c r="J35" s="93"/>
      <c r="K35" s="279"/>
      <c r="L35" s="279"/>
      <c r="M35" s="91" t="s">
        <v>2193</v>
      </c>
      <c r="N35" s="153"/>
    </row>
    <row r="36" spans="1:14" s="154" customFormat="1" ht="25.5">
      <c r="A36" s="91">
        <v>9</v>
      </c>
      <c r="B36" s="93" t="s">
        <v>2238</v>
      </c>
      <c r="C36" s="91" t="s">
        <v>2239</v>
      </c>
      <c r="D36" s="91">
        <v>2015</v>
      </c>
      <c r="E36" s="91">
        <v>1</v>
      </c>
      <c r="F36" s="91">
        <v>1</v>
      </c>
      <c r="G36" s="163">
        <f t="shared" si="1"/>
        <v>0</v>
      </c>
      <c r="H36" s="279"/>
      <c r="I36" s="279"/>
      <c r="J36" s="93"/>
      <c r="K36" s="279"/>
      <c r="L36" s="279"/>
      <c r="M36" s="91" t="s">
        <v>2193</v>
      </c>
      <c r="N36" s="153"/>
    </row>
    <row r="37" spans="1:14" s="154" customFormat="1" ht="25.5">
      <c r="A37" s="91">
        <v>10</v>
      </c>
      <c r="B37" s="93" t="s">
        <v>2240</v>
      </c>
      <c r="C37" s="91" t="s">
        <v>2241</v>
      </c>
      <c r="D37" s="91">
        <v>2015</v>
      </c>
      <c r="E37" s="91">
        <v>1</v>
      </c>
      <c r="F37" s="91">
        <v>1</v>
      </c>
      <c r="G37" s="163">
        <f t="shared" si="1"/>
        <v>0</v>
      </c>
      <c r="H37" s="279"/>
      <c r="I37" s="279"/>
      <c r="J37" s="93"/>
      <c r="K37" s="279"/>
      <c r="L37" s="279"/>
      <c r="M37" s="91" t="s">
        <v>2193</v>
      </c>
      <c r="N37" s="153"/>
    </row>
    <row r="38" spans="1:14" s="154" customFormat="1" ht="25.5">
      <c r="A38" s="91">
        <v>11</v>
      </c>
      <c r="B38" s="93" t="s">
        <v>2242</v>
      </c>
      <c r="C38" s="91" t="s">
        <v>2243</v>
      </c>
      <c r="D38" s="91">
        <v>2015</v>
      </c>
      <c r="E38" s="91">
        <v>1</v>
      </c>
      <c r="F38" s="91">
        <v>1</v>
      </c>
      <c r="G38" s="163">
        <f t="shared" si="1"/>
        <v>0</v>
      </c>
      <c r="H38" s="279"/>
      <c r="I38" s="279"/>
      <c r="J38" s="93"/>
      <c r="K38" s="279"/>
      <c r="L38" s="279"/>
      <c r="M38" s="91" t="s">
        <v>2193</v>
      </c>
      <c r="N38" s="153"/>
    </row>
    <row r="39" spans="1:14" s="154" customFormat="1" ht="25.5">
      <c r="A39" s="91">
        <v>12</v>
      </c>
      <c r="B39" s="93" t="s">
        <v>2244</v>
      </c>
      <c r="C39" s="91" t="s">
        <v>2245</v>
      </c>
      <c r="D39" s="91">
        <v>2015</v>
      </c>
      <c r="E39" s="91">
        <v>2</v>
      </c>
      <c r="F39" s="91">
        <v>2</v>
      </c>
      <c r="G39" s="163">
        <f t="shared" si="1"/>
        <v>0</v>
      </c>
      <c r="H39" s="279"/>
      <c r="I39" s="279"/>
      <c r="J39" s="93"/>
      <c r="K39" s="279"/>
      <c r="L39" s="279"/>
      <c r="M39" s="91" t="s">
        <v>2193</v>
      </c>
      <c r="N39" s="153"/>
    </row>
    <row r="40" spans="1:14" s="154" customFormat="1" ht="25.5">
      <c r="A40" s="91">
        <v>13</v>
      </c>
      <c r="B40" s="93" t="s">
        <v>2246</v>
      </c>
      <c r="C40" s="91" t="s">
        <v>2247</v>
      </c>
      <c r="D40" s="91">
        <v>2015</v>
      </c>
      <c r="E40" s="91">
        <v>5</v>
      </c>
      <c r="F40" s="91">
        <v>5</v>
      </c>
      <c r="G40" s="163">
        <f t="shared" si="1"/>
        <v>0</v>
      </c>
      <c r="H40" s="279"/>
      <c r="I40" s="279"/>
      <c r="J40" s="93"/>
      <c r="K40" s="279"/>
      <c r="L40" s="279"/>
      <c r="M40" s="91" t="s">
        <v>2193</v>
      </c>
      <c r="N40" s="153"/>
    </row>
    <row r="41" spans="1:14" s="154" customFormat="1" ht="25.5">
      <c r="A41" s="91">
        <v>14</v>
      </c>
      <c r="B41" s="93" t="s">
        <v>2248</v>
      </c>
      <c r="C41" s="91" t="s">
        <v>2249</v>
      </c>
      <c r="D41" s="91">
        <v>2015</v>
      </c>
      <c r="E41" s="91">
        <v>1</v>
      </c>
      <c r="F41" s="91">
        <v>1</v>
      </c>
      <c r="G41" s="163">
        <f t="shared" si="1"/>
        <v>0</v>
      </c>
      <c r="H41" s="279"/>
      <c r="I41" s="279"/>
      <c r="J41" s="93"/>
      <c r="K41" s="279"/>
      <c r="L41" s="279"/>
      <c r="M41" s="91" t="s">
        <v>2193</v>
      </c>
      <c r="N41" s="153"/>
    </row>
    <row r="42" spans="1:14" s="154" customFormat="1" ht="25.5">
      <c r="A42" s="91">
        <v>15</v>
      </c>
      <c r="B42" s="93" t="s">
        <v>2250</v>
      </c>
      <c r="C42" s="91" t="s">
        <v>2251</v>
      </c>
      <c r="D42" s="91">
        <v>2020</v>
      </c>
      <c r="E42" s="91">
        <v>4</v>
      </c>
      <c r="F42" s="91">
        <v>4</v>
      </c>
      <c r="G42" s="163">
        <f t="shared" si="1"/>
        <v>0</v>
      </c>
      <c r="H42" s="279"/>
      <c r="I42" s="279"/>
      <c r="J42" s="93"/>
      <c r="K42" s="279"/>
      <c r="L42" s="279"/>
      <c r="M42" s="91" t="s">
        <v>2205</v>
      </c>
      <c r="N42" s="153"/>
    </row>
    <row r="43" spans="1:14" s="154" customFormat="1" ht="25.5">
      <c r="A43" s="91">
        <v>16</v>
      </c>
      <c r="B43" s="93" t="s">
        <v>2252</v>
      </c>
      <c r="C43" s="91" t="s">
        <v>2253</v>
      </c>
      <c r="D43" s="91">
        <v>2020</v>
      </c>
      <c r="E43" s="91">
        <v>1</v>
      </c>
      <c r="F43" s="91">
        <v>1</v>
      </c>
      <c r="G43" s="163">
        <f t="shared" si="1"/>
        <v>0</v>
      </c>
      <c r="H43" s="279"/>
      <c r="I43" s="279"/>
      <c r="J43" s="153"/>
      <c r="K43" s="279"/>
      <c r="L43" s="279"/>
      <c r="M43" s="91" t="s">
        <v>2205</v>
      </c>
      <c r="N43" s="153"/>
    </row>
    <row r="44" spans="1:14" s="154" customFormat="1" ht="25.5">
      <c r="A44" s="91">
        <v>17</v>
      </c>
      <c r="B44" s="93" t="s">
        <v>2254</v>
      </c>
      <c r="C44" s="91" t="s">
        <v>2255</v>
      </c>
      <c r="D44" s="91">
        <v>2020</v>
      </c>
      <c r="E44" s="91">
        <v>2</v>
      </c>
      <c r="F44" s="91">
        <v>2</v>
      </c>
      <c r="G44" s="163">
        <f t="shared" si="1"/>
        <v>0</v>
      </c>
      <c r="H44" s="279"/>
      <c r="I44" s="279"/>
      <c r="J44" s="93"/>
      <c r="K44" s="279"/>
      <c r="L44" s="279"/>
      <c r="M44" s="91" t="s">
        <v>2193</v>
      </c>
      <c r="N44" s="93" t="s">
        <v>2256</v>
      </c>
    </row>
    <row r="45" spans="1:14" s="154" customFormat="1" ht="25.5">
      <c r="A45" s="91">
        <v>18</v>
      </c>
      <c r="B45" s="93" t="s">
        <v>2254</v>
      </c>
      <c r="C45" s="91" t="s">
        <v>2257</v>
      </c>
      <c r="D45" s="91">
        <v>2021</v>
      </c>
      <c r="E45" s="91">
        <v>2</v>
      </c>
      <c r="F45" s="91">
        <v>2</v>
      </c>
      <c r="G45" s="163">
        <f t="shared" si="1"/>
        <v>0</v>
      </c>
      <c r="H45" s="279"/>
      <c r="I45" s="279"/>
      <c r="J45" s="93"/>
      <c r="K45" s="279"/>
      <c r="L45" s="279"/>
      <c r="M45" s="91" t="s">
        <v>2193</v>
      </c>
      <c r="N45" s="153" t="s">
        <v>1301</v>
      </c>
    </row>
    <row r="46" spans="1:14" s="165" customFormat="1" ht="25.5">
      <c r="A46" s="91">
        <v>19</v>
      </c>
      <c r="B46" s="153" t="s">
        <v>2258</v>
      </c>
      <c r="C46" s="91" t="s">
        <v>2259</v>
      </c>
      <c r="D46" s="91">
        <v>2025</v>
      </c>
      <c r="E46" s="91">
        <v>0</v>
      </c>
      <c r="F46" s="91">
        <v>1</v>
      </c>
      <c r="G46" s="163">
        <f t="shared" si="1"/>
        <v>1</v>
      </c>
      <c r="H46" s="279"/>
      <c r="I46" s="279"/>
      <c r="J46" s="93"/>
      <c r="K46" s="279"/>
      <c r="L46" s="279"/>
      <c r="M46" s="91" t="s">
        <v>2193</v>
      </c>
      <c r="N46" s="153" t="s">
        <v>2260</v>
      </c>
    </row>
    <row r="47" spans="1:14" s="165" customFormat="1" ht="25.5">
      <c r="A47" s="91">
        <v>20</v>
      </c>
      <c r="B47" s="153" t="s">
        <v>2261</v>
      </c>
      <c r="C47" s="91" t="s">
        <v>2259</v>
      </c>
      <c r="D47" s="91">
        <v>2025</v>
      </c>
      <c r="E47" s="91">
        <v>0</v>
      </c>
      <c r="F47" s="91">
        <v>1</v>
      </c>
      <c r="G47" s="163">
        <f t="shared" si="1"/>
        <v>1</v>
      </c>
      <c r="H47" s="279"/>
      <c r="I47" s="279"/>
      <c r="J47" s="93"/>
      <c r="K47" s="279"/>
      <c r="L47" s="279"/>
      <c r="M47" s="91" t="s">
        <v>2193</v>
      </c>
      <c r="N47" s="153" t="s">
        <v>2260</v>
      </c>
    </row>
    <row r="48" spans="1:14" s="165" customFormat="1" ht="25.5">
      <c r="A48" s="91">
        <v>21</v>
      </c>
      <c r="B48" s="153" t="s">
        <v>2262</v>
      </c>
      <c r="C48" s="91" t="s">
        <v>2259</v>
      </c>
      <c r="D48" s="91">
        <v>2025</v>
      </c>
      <c r="E48" s="91">
        <v>0</v>
      </c>
      <c r="F48" s="91">
        <v>1</v>
      </c>
      <c r="G48" s="163">
        <f t="shared" si="1"/>
        <v>1</v>
      </c>
      <c r="H48" s="279"/>
      <c r="I48" s="279"/>
      <c r="J48" s="93"/>
      <c r="K48" s="279"/>
      <c r="L48" s="279"/>
      <c r="M48" s="91" t="s">
        <v>2193</v>
      </c>
      <c r="N48" s="153" t="s">
        <v>2260</v>
      </c>
    </row>
    <row r="49" spans="1:14" s="165" customFormat="1" ht="25.5">
      <c r="A49" s="91">
        <v>22</v>
      </c>
      <c r="B49" s="153" t="s">
        <v>2263</v>
      </c>
      <c r="C49" s="91" t="s">
        <v>2259</v>
      </c>
      <c r="D49" s="91">
        <v>2025</v>
      </c>
      <c r="E49" s="91">
        <v>0</v>
      </c>
      <c r="F49" s="91">
        <v>1</v>
      </c>
      <c r="G49" s="163">
        <f t="shared" si="1"/>
        <v>1</v>
      </c>
      <c r="H49" s="279"/>
      <c r="I49" s="279"/>
      <c r="J49" s="93"/>
      <c r="K49" s="279"/>
      <c r="L49" s="279"/>
      <c r="M49" s="91" t="s">
        <v>2193</v>
      </c>
      <c r="N49" s="153" t="s">
        <v>2260</v>
      </c>
    </row>
    <row r="50" spans="1:14" s="165" customFormat="1" ht="25.5">
      <c r="A50" s="91">
        <v>23</v>
      </c>
      <c r="B50" s="153" t="s">
        <v>2264</v>
      </c>
      <c r="C50" s="91" t="s">
        <v>2259</v>
      </c>
      <c r="D50" s="91">
        <v>2025</v>
      </c>
      <c r="E50" s="91">
        <v>0</v>
      </c>
      <c r="F50" s="91">
        <v>1</v>
      </c>
      <c r="G50" s="163">
        <f t="shared" si="1"/>
        <v>1</v>
      </c>
      <c r="H50" s="279"/>
      <c r="I50" s="279"/>
      <c r="J50" s="93"/>
      <c r="K50" s="279"/>
      <c r="L50" s="279"/>
      <c r="M50" s="91" t="s">
        <v>2193</v>
      </c>
      <c r="N50" s="153" t="s">
        <v>2260</v>
      </c>
    </row>
    <row r="51" spans="1:14" s="165" customFormat="1" ht="25.5">
      <c r="A51" s="91">
        <v>24</v>
      </c>
      <c r="B51" s="153" t="s">
        <v>2265</v>
      </c>
      <c r="C51" s="91" t="s">
        <v>2259</v>
      </c>
      <c r="D51" s="91">
        <v>2025</v>
      </c>
      <c r="E51" s="91">
        <v>0</v>
      </c>
      <c r="F51" s="91">
        <v>1</v>
      </c>
      <c r="G51" s="163">
        <f t="shared" si="1"/>
        <v>1</v>
      </c>
      <c r="H51" s="279"/>
      <c r="I51" s="279"/>
      <c r="J51" s="93"/>
      <c r="K51" s="279"/>
      <c r="L51" s="279"/>
      <c r="M51" s="91" t="s">
        <v>2193</v>
      </c>
      <c r="N51" s="153" t="s">
        <v>2260</v>
      </c>
    </row>
    <row r="52" spans="1:14" s="165" customFormat="1" ht="25.5">
      <c r="A52" s="91">
        <v>25</v>
      </c>
      <c r="B52" s="153" t="s">
        <v>2266</v>
      </c>
      <c r="C52" s="91" t="s">
        <v>2259</v>
      </c>
      <c r="D52" s="91">
        <v>2025</v>
      </c>
      <c r="E52" s="91">
        <v>0</v>
      </c>
      <c r="F52" s="91">
        <v>2</v>
      </c>
      <c r="G52" s="163">
        <f t="shared" si="1"/>
        <v>2</v>
      </c>
      <c r="H52" s="279"/>
      <c r="I52" s="279"/>
      <c r="J52" s="93"/>
      <c r="K52" s="279"/>
      <c r="L52" s="279"/>
      <c r="M52" s="91" t="s">
        <v>2193</v>
      </c>
      <c r="N52" s="153" t="s">
        <v>2260</v>
      </c>
    </row>
    <row r="53" spans="1:14" s="165" customFormat="1">
      <c r="A53" s="91">
        <v>26</v>
      </c>
      <c r="B53" s="166" t="s">
        <v>2267</v>
      </c>
      <c r="C53" s="167" t="s">
        <v>2268</v>
      </c>
      <c r="D53" s="91"/>
      <c r="E53" s="91"/>
      <c r="F53" s="91">
        <v>1</v>
      </c>
      <c r="G53" s="163">
        <f t="shared" si="1"/>
        <v>1</v>
      </c>
      <c r="H53" s="279"/>
      <c r="I53" s="279"/>
      <c r="J53" s="93"/>
      <c r="K53" s="279"/>
      <c r="L53" s="279"/>
      <c r="M53" s="91" t="s">
        <v>2193</v>
      </c>
      <c r="N53" s="153" t="s">
        <v>2221</v>
      </c>
    </row>
    <row r="54" spans="1:14" s="154" customFormat="1" ht="25.5">
      <c r="A54" s="91">
        <v>27</v>
      </c>
      <c r="B54" s="93" t="s">
        <v>2269</v>
      </c>
      <c r="C54" s="167" t="s">
        <v>2270</v>
      </c>
      <c r="D54" s="91">
        <v>2023</v>
      </c>
      <c r="E54" s="91"/>
      <c r="F54" s="91">
        <v>1</v>
      </c>
      <c r="G54" s="163">
        <f t="shared" si="1"/>
        <v>1</v>
      </c>
      <c r="H54" s="158">
        <v>2300000</v>
      </c>
      <c r="I54" s="158">
        <v>2300000</v>
      </c>
      <c r="J54" s="93"/>
      <c r="K54" s="279"/>
      <c r="L54" s="279"/>
      <c r="M54" s="91" t="s">
        <v>2193</v>
      </c>
      <c r="N54" s="153" t="s">
        <v>2221</v>
      </c>
    </row>
    <row r="55" spans="1:14" s="165" customFormat="1">
      <c r="A55" s="91">
        <v>28</v>
      </c>
      <c r="B55" s="168" t="s">
        <v>935</v>
      </c>
      <c r="C55" s="167" t="s">
        <v>2271</v>
      </c>
      <c r="D55" s="91"/>
      <c r="E55" s="91"/>
      <c r="F55" s="91">
        <v>1</v>
      </c>
      <c r="G55" s="163">
        <f t="shared" si="1"/>
        <v>1</v>
      </c>
      <c r="H55" s="279"/>
      <c r="I55" s="279"/>
      <c r="J55" s="93"/>
      <c r="K55" s="279"/>
      <c r="L55" s="279"/>
      <c r="M55" s="91" t="s">
        <v>2193</v>
      </c>
      <c r="N55" s="153" t="s">
        <v>2221</v>
      </c>
    </row>
    <row r="56" spans="1:14" s="154" customFormat="1" ht="51">
      <c r="A56" s="161">
        <v>29</v>
      </c>
      <c r="B56" s="160" t="s">
        <v>2272</v>
      </c>
      <c r="C56" s="161" t="s">
        <v>2273</v>
      </c>
      <c r="D56" s="161">
        <v>2020</v>
      </c>
      <c r="E56" s="91"/>
      <c r="F56" s="91">
        <v>1</v>
      </c>
      <c r="G56" s="163">
        <f t="shared" si="1"/>
        <v>1</v>
      </c>
      <c r="H56" s="162">
        <v>11000000</v>
      </c>
      <c r="I56" s="162">
        <v>11000000</v>
      </c>
      <c r="J56" s="93"/>
      <c r="K56" s="279"/>
      <c r="L56" s="279"/>
      <c r="M56" s="91" t="s">
        <v>2193</v>
      </c>
      <c r="N56" s="153" t="s">
        <v>2221</v>
      </c>
    </row>
    <row r="57" spans="1:14" s="165" customFormat="1" ht="25.5">
      <c r="A57" s="161">
        <v>30</v>
      </c>
      <c r="B57" s="160" t="s">
        <v>2274</v>
      </c>
      <c r="C57" s="161"/>
      <c r="D57" s="161">
        <v>2025</v>
      </c>
      <c r="E57" s="91"/>
      <c r="F57" s="91">
        <v>7</v>
      </c>
      <c r="G57" s="163">
        <f t="shared" si="1"/>
        <v>7</v>
      </c>
      <c r="H57" s="162"/>
      <c r="I57" s="162"/>
      <c r="J57" s="93"/>
      <c r="K57" s="279"/>
      <c r="L57" s="279"/>
      <c r="M57" s="91" t="s">
        <v>2193</v>
      </c>
      <c r="N57" s="153" t="s">
        <v>2275</v>
      </c>
    </row>
    <row r="58" spans="1:14" s="60" customFormat="1" ht="13.5">
      <c r="A58" s="131"/>
      <c r="B58" s="132"/>
      <c r="C58" s="133"/>
      <c r="D58" s="133"/>
      <c r="E58" s="133"/>
      <c r="F58" s="133"/>
      <c r="G58" s="134"/>
      <c r="H58" s="135"/>
      <c r="I58" s="135"/>
      <c r="J58" s="136"/>
      <c r="K58" s="137"/>
      <c r="L58" s="136"/>
      <c r="M58" s="133"/>
      <c r="N58" s="133"/>
    </row>
    <row r="59" spans="1:14" s="20" customFormat="1" ht="18" customHeight="1">
      <c r="A59" s="47"/>
      <c r="B59" s="48"/>
      <c r="C59" s="47"/>
      <c r="D59" s="47"/>
      <c r="E59" s="47"/>
      <c r="F59" s="47"/>
      <c r="G59" s="47"/>
      <c r="H59" s="49"/>
      <c r="I59" s="49"/>
      <c r="J59" s="474" t="s">
        <v>965</v>
      </c>
      <c r="K59" s="474"/>
      <c r="L59" s="474"/>
      <c r="M59" s="474"/>
      <c r="N59" s="474"/>
    </row>
    <row r="60" spans="1:14" s="20" customFormat="1" ht="24.95" customHeight="1">
      <c r="A60" s="475" t="s">
        <v>953</v>
      </c>
      <c r="B60" s="475"/>
      <c r="C60" s="51"/>
      <c r="D60" s="476" t="s">
        <v>2189</v>
      </c>
      <c r="E60" s="476"/>
      <c r="F60" s="476"/>
      <c r="G60" s="476"/>
      <c r="H60" s="476"/>
      <c r="I60" s="477" t="s">
        <v>955</v>
      </c>
      <c r="J60" s="477"/>
      <c r="K60" s="477"/>
      <c r="L60" s="476" t="s">
        <v>829</v>
      </c>
      <c r="M60" s="476"/>
      <c r="N60" s="476"/>
    </row>
    <row r="61" spans="1:14" s="20" customFormat="1" ht="24.95" customHeight="1">
      <c r="A61" s="478" t="s">
        <v>966</v>
      </c>
      <c r="B61" s="478"/>
      <c r="C61" s="478"/>
      <c r="D61" s="51"/>
      <c r="E61" s="51"/>
      <c r="F61" s="51"/>
      <c r="G61" s="51"/>
      <c r="H61" s="52"/>
      <c r="I61" s="52"/>
      <c r="J61" s="51"/>
      <c r="K61" s="51"/>
      <c r="L61" s="51"/>
      <c r="M61" s="51"/>
      <c r="N61" s="53"/>
    </row>
    <row r="62" spans="1:14" s="20" customFormat="1" ht="24.95" customHeight="1">
      <c r="A62" s="478" t="s">
        <v>961</v>
      </c>
      <c r="B62" s="478"/>
      <c r="C62" s="478"/>
      <c r="D62" s="51"/>
      <c r="E62" s="51"/>
      <c r="F62" s="51"/>
      <c r="G62" s="51"/>
      <c r="H62" s="52"/>
      <c r="I62" s="52"/>
      <c r="J62" s="51"/>
      <c r="K62" s="51"/>
      <c r="L62" s="51"/>
      <c r="M62" s="51"/>
      <c r="N62" s="53"/>
    </row>
    <row r="63" spans="1:14" s="20" customFormat="1" ht="24.95" customHeight="1">
      <c r="A63" s="478" t="s">
        <v>962</v>
      </c>
      <c r="B63" s="478"/>
      <c r="C63" s="478"/>
      <c r="D63" s="51"/>
      <c r="E63" s="51"/>
      <c r="F63" s="51"/>
      <c r="G63" s="51"/>
      <c r="H63" s="52"/>
      <c r="I63" s="52"/>
      <c r="J63" s="51"/>
      <c r="K63" s="51"/>
      <c r="L63" s="51"/>
      <c r="M63" s="51"/>
      <c r="N63" s="53"/>
    </row>
    <row r="64" spans="1:14" s="20" customFormat="1" ht="24.95" customHeight="1">
      <c r="A64" s="478" t="s">
        <v>958</v>
      </c>
      <c r="B64" s="478"/>
      <c r="C64" s="478"/>
      <c r="D64" s="476" t="s">
        <v>2276</v>
      </c>
      <c r="E64" s="476"/>
      <c r="F64" s="476"/>
      <c r="G64" s="476"/>
      <c r="H64" s="476"/>
      <c r="I64" s="477" t="s">
        <v>956</v>
      </c>
      <c r="J64" s="477"/>
      <c r="K64" s="477"/>
      <c r="L64" s="476" t="s">
        <v>954</v>
      </c>
      <c r="M64" s="476"/>
      <c r="N64" s="476"/>
    </row>
    <row r="65" spans="1:14" s="20" customFormat="1" ht="24.95" customHeight="1">
      <c r="A65" s="478" t="s">
        <v>963</v>
      </c>
      <c r="B65" s="478"/>
      <c r="C65" s="478"/>
      <c r="D65" s="476"/>
      <c r="E65" s="476"/>
      <c r="F65" s="476"/>
      <c r="G65" s="476"/>
      <c r="H65" s="476"/>
      <c r="I65" s="477"/>
      <c r="J65" s="477"/>
      <c r="K65" s="477"/>
      <c r="L65" s="476"/>
      <c r="M65" s="476"/>
      <c r="N65" s="476"/>
    </row>
    <row r="66" spans="1:14" s="165" customFormat="1">
      <c r="A66" s="169"/>
      <c r="B66" s="170"/>
      <c r="C66" s="169"/>
      <c r="D66" s="169"/>
      <c r="E66" s="131"/>
      <c r="F66" s="131"/>
      <c r="G66" s="171"/>
      <c r="H66" s="172"/>
      <c r="I66" s="172"/>
      <c r="J66" s="173"/>
      <c r="K66" s="174"/>
      <c r="L66" s="174"/>
      <c r="M66" s="131"/>
      <c r="N66" s="175"/>
    </row>
    <row r="67" spans="1:14" s="165" customFormat="1">
      <c r="A67" s="169"/>
      <c r="B67" s="170"/>
      <c r="C67" s="169"/>
      <c r="D67" s="169"/>
      <c r="E67" s="131"/>
      <c r="F67" s="131"/>
      <c r="G67" s="171"/>
      <c r="H67" s="172"/>
      <c r="I67" s="172"/>
      <c r="J67" s="173"/>
      <c r="K67" s="174"/>
      <c r="L67" s="174"/>
      <c r="M67" s="131"/>
      <c r="N67" s="175"/>
    </row>
    <row r="68" spans="1:14" s="165" customFormat="1">
      <c r="A68" s="169"/>
      <c r="B68" s="170"/>
      <c r="C68" s="169"/>
      <c r="D68" s="169"/>
      <c r="E68" s="131"/>
      <c r="F68" s="131"/>
      <c r="G68" s="171"/>
      <c r="H68" s="172"/>
      <c r="I68" s="172"/>
      <c r="J68" s="173"/>
      <c r="K68" s="174"/>
      <c r="L68" s="174"/>
      <c r="M68" s="131"/>
      <c r="N68" s="175"/>
    </row>
    <row r="69" spans="1:14" s="165" customFormat="1">
      <c r="A69" s="169"/>
      <c r="B69" s="170"/>
      <c r="C69" s="169"/>
      <c r="D69" s="169"/>
      <c r="E69" s="131"/>
      <c r="F69" s="131"/>
      <c r="G69" s="171"/>
      <c r="H69" s="172"/>
      <c r="I69" s="172"/>
      <c r="J69" s="173"/>
      <c r="K69" s="174"/>
      <c r="L69" s="174"/>
      <c r="M69" s="131"/>
      <c r="N69" s="175"/>
    </row>
    <row r="70" spans="1:14" s="165" customFormat="1">
      <c r="A70" s="169"/>
      <c r="B70" s="170"/>
      <c r="C70" s="169"/>
      <c r="D70" s="169"/>
      <c r="E70" s="131"/>
      <c r="F70" s="131"/>
      <c r="G70" s="171"/>
      <c r="H70" s="172"/>
      <c r="I70" s="172"/>
      <c r="J70" s="173"/>
      <c r="K70" s="174"/>
      <c r="L70" s="174"/>
      <c r="M70" s="131"/>
      <c r="N70" s="175"/>
    </row>
  </sheetData>
  <mergeCells count="47">
    <mergeCell ref="I64:K64"/>
    <mergeCell ref="L64:N64"/>
    <mergeCell ref="A65:C65"/>
    <mergeCell ref="D65:H65"/>
    <mergeCell ref="I65:K65"/>
    <mergeCell ref="L65:N65"/>
    <mergeCell ref="A61:C61"/>
    <mergeCell ref="A62:C62"/>
    <mergeCell ref="A63:C63"/>
    <mergeCell ref="A64:C64"/>
    <mergeCell ref="D64:H64"/>
    <mergeCell ref="A27:N27"/>
    <mergeCell ref="J59:N59"/>
    <mergeCell ref="A60:B60"/>
    <mergeCell ref="D60:H60"/>
    <mergeCell ref="I60:K60"/>
    <mergeCell ref="L60:N60"/>
    <mergeCell ref="N12:N13"/>
    <mergeCell ref="A8:C8"/>
    <mergeCell ref="E8:I8"/>
    <mergeCell ref="K8:M8"/>
    <mergeCell ref="A9:C9"/>
    <mergeCell ref="A10:N10"/>
    <mergeCell ref="A12:A13"/>
    <mergeCell ref="B12:B13"/>
    <mergeCell ref="C12:C13"/>
    <mergeCell ref="D12:D13"/>
    <mergeCell ref="H12:H13"/>
    <mergeCell ref="I12:I13"/>
    <mergeCell ref="J12:J13"/>
    <mergeCell ref="K12:K13"/>
    <mergeCell ref="L12:L13"/>
    <mergeCell ref="M12:M13"/>
    <mergeCell ref="A6:C6"/>
    <mergeCell ref="E6:I6"/>
    <mergeCell ref="K6:M6"/>
    <mergeCell ref="A7:C7"/>
    <mergeCell ref="E7:I7"/>
    <mergeCell ref="K7:M7"/>
    <mergeCell ref="A5:C5"/>
    <mergeCell ref="E5:I5"/>
    <mergeCell ref="K5:M5"/>
    <mergeCell ref="A1:E1"/>
    <mergeCell ref="K1:N1"/>
    <mergeCell ref="A2:E2"/>
    <mergeCell ref="A3:N3"/>
    <mergeCell ref="A4:N4"/>
  </mergeCells>
  <pageMargins left="0.5" right="0.1" top="0.5" bottom="0.3" header="0" footer="0"/>
  <pageSetup paperSize="9" orientation="landscape" r:id="rId1"/>
  <headerFooter differentFirst="1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4"/>
  <sheetViews>
    <sheetView topLeftCell="A31" workbookViewId="0">
      <selection activeCell="T71" sqref="T71"/>
    </sheetView>
  </sheetViews>
  <sheetFormatPr defaultRowHeight="12.75"/>
  <cols>
    <col min="1" max="1" width="4.5703125" style="191" customWidth="1"/>
    <col min="2" max="2" width="22.7109375" style="191" customWidth="1"/>
    <col min="3" max="3" width="9.42578125" style="191" customWidth="1"/>
    <col min="4" max="4" width="6.42578125" style="191" customWidth="1"/>
    <col min="5" max="6" width="5.85546875" style="191" customWidth="1"/>
    <col min="7" max="7" width="6.42578125" style="191" customWidth="1"/>
    <col min="8" max="9" width="14.28515625" style="191" customWidth="1"/>
    <col min="10" max="10" width="8" style="191" customWidth="1"/>
    <col min="11" max="11" width="10.7109375" style="191" customWidth="1"/>
    <col min="12" max="12" width="9.7109375" style="191" customWidth="1"/>
    <col min="13" max="13" width="9" style="191" customWidth="1"/>
    <col min="14" max="14" width="13.5703125" style="191" customWidth="1"/>
    <col min="15" max="16384" width="9.140625" style="191"/>
  </cols>
  <sheetData>
    <row r="1" spans="1:36" s="60" customFormat="1" ht="15.75" customHeight="1">
      <c r="A1" s="481" t="s">
        <v>818</v>
      </c>
      <c r="B1" s="481"/>
      <c r="C1" s="481"/>
      <c r="D1" s="481"/>
      <c r="E1" s="481"/>
      <c r="F1" s="57"/>
      <c r="G1" s="58"/>
      <c r="H1" s="145"/>
      <c r="I1" s="145"/>
      <c r="J1" s="270"/>
      <c r="K1" s="482" t="s">
        <v>819</v>
      </c>
      <c r="L1" s="482"/>
      <c r="M1" s="482"/>
      <c r="N1" s="482"/>
      <c r="O1" s="58"/>
      <c r="P1" s="270"/>
      <c r="Q1" s="270"/>
      <c r="R1" s="270"/>
      <c r="S1" s="270"/>
      <c r="T1" s="270"/>
      <c r="U1" s="270"/>
      <c r="V1" s="270"/>
      <c r="W1" s="270"/>
      <c r="X1" s="178"/>
      <c r="Y1" s="58"/>
      <c r="Z1" s="508" t="s">
        <v>819</v>
      </c>
      <c r="AA1" s="508"/>
      <c r="AB1" s="508"/>
      <c r="AC1" s="508"/>
      <c r="AD1" s="508"/>
      <c r="AE1" s="508"/>
      <c r="AF1" s="508"/>
      <c r="AG1" s="508"/>
      <c r="AH1" s="508"/>
      <c r="AI1" s="508"/>
      <c r="AJ1" s="508"/>
    </row>
    <row r="2" spans="1:36" s="60" customFormat="1" ht="15" customHeight="1">
      <c r="A2" s="481" t="s">
        <v>820</v>
      </c>
      <c r="B2" s="481"/>
      <c r="C2" s="481"/>
      <c r="D2" s="481"/>
      <c r="E2" s="481"/>
      <c r="F2" s="57"/>
      <c r="G2" s="58"/>
      <c r="H2" s="58"/>
      <c r="I2" s="58"/>
      <c r="J2" s="58"/>
      <c r="K2" s="58"/>
      <c r="L2" s="58"/>
      <c r="M2" s="58"/>
      <c r="N2" s="58"/>
      <c r="O2" s="179"/>
      <c r="P2" s="179"/>
      <c r="Q2" s="179"/>
      <c r="R2" s="179"/>
      <c r="S2" s="179"/>
      <c r="T2" s="179"/>
      <c r="U2" s="179"/>
      <c r="V2" s="179"/>
      <c r="W2" s="179"/>
      <c r="X2" s="178"/>
      <c r="Y2" s="58"/>
      <c r="Z2" s="509"/>
      <c r="AA2" s="509"/>
      <c r="AB2" s="509"/>
      <c r="AC2" s="509"/>
      <c r="AD2" s="509"/>
      <c r="AE2" s="509"/>
      <c r="AF2" s="509"/>
      <c r="AG2" s="509"/>
      <c r="AH2" s="509"/>
      <c r="AI2" s="509"/>
      <c r="AJ2" s="509"/>
    </row>
    <row r="3" spans="1:36" s="60" customFormat="1" ht="46.5" customHeight="1">
      <c r="A3" s="483" t="s">
        <v>2277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spans="1:36" s="62" customFormat="1" ht="18" customHeight="1">
      <c r="A4" s="484" t="s">
        <v>968</v>
      </c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2"/>
      <c r="AB4" s="183"/>
      <c r="AC4" s="183"/>
      <c r="AD4" s="183"/>
      <c r="AE4" s="183"/>
      <c r="AF4" s="184"/>
      <c r="AI4" s="185"/>
      <c r="AJ4" s="186"/>
    </row>
    <row r="5" spans="1:36" s="62" customFormat="1" ht="15" customHeight="1">
      <c r="A5" s="479" t="s">
        <v>821</v>
      </c>
      <c r="B5" s="479"/>
      <c r="C5" s="479"/>
      <c r="D5" s="268"/>
      <c r="E5" s="480" t="s">
        <v>822</v>
      </c>
      <c r="F5" s="480"/>
      <c r="G5" s="480"/>
      <c r="H5" s="480"/>
      <c r="I5" s="480"/>
      <c r="J5" s="269"/>
      <c r="K5" s="479" t="s">
        <v>829</v>
      </c>
      <c r="L5" s="479"/>
      <c r="M5" s="479"/>
      <c r="N5" s="269"/>
      <c r="O5" s="269"/>
      <c r="P5" s="269"/>
      <c r="Q5" s="269"/>
      <c r="R5" s="269"/>
      <c r="S5" s="268"/>
      <c r="T5" s="187"/>
      <c r="U5" s="269"/>
      <c r="V5" s="269"/>
      <c r="W5" s="182"/>
      <c r="X5" s="181"/>
      <c r="Y5" s="269"/>
      <c r="Z5" s="181"/>
      <c r="AA5" s="181"/>
      <c r="AB5" s="188"/>
      <c r="AF5" s="189"/>
      <c r="AG5" s="188"/>
      <c r="AI5" s="185"/>
      <c r="AJ5" s="186"/>
    </row>
    <row r="6" spans="1:36" s="62" customFormat="1" ht="15" customHeight="1">
      <c r="A6" s="479" t="s">
        <v>949</v>
      </c>
      <c r="B6" s="479"/>
      <c r="C6" s="479"/>
      <c r="D6" s="268"/>
      <c r="E6" s="480" t="s">
        <v>824</v>
      </c>
      <c r="F6" s="480"/>
      <c r="G6" s="480"/>
      <c r="H6" s="480"/>
      <c r="I6" s="480"/>
      <c r="J6" s="269"/>
      <c r="K6" s="479" t="s">
        <v>823</v>
      </c>
      <c r="L6" s="479"/>
      <c r="M6" s="479"/>
      <c r="N6" s="269"/>
      <c r="O6" s="269"/>
      <c r="P6" s="269"/>
      <c r="Q6" s="269"/>
      <c r="R6" s="269"/>
      <c r="S6" s="268"/>
      <c r="T6" s="187"/>
      <c r="U6" s="269"/>
      <c r="V6" s="269"/>
      <c r="W6" s="182"/>
      <c r="X6" s="181"/>
      <c r="Y6" s="269"/>
      <c r="Z6" s="181"/>
      <c r="AA6" s="181"/>
      <c r="AB6" s="188"/>
      <c r="AF6" s="189"/>
      <c r="AI6" s="185"/>
      <c r="AJ6" s="186"/>
    </row>
    <row r="7" spans="1:36" s="62" customFormat="1" ht="16.899999999999999" customHeight="1">
      <c r="A7" s="479" t="s">
        <v>950</v>
      </c>
      <c r="B7" s="479"/>
      <c r="C7" s="479"/>
      <c r="D7" s="268"/>
      <c r="E7" s="480" t="s">
        <v>825</v>
      </c>
      <c r="F7" s="480"/>
      <c r="G7" s="480"/>
      <c r="H7" s="480"/>
      <c r="I7" s="480"/>
      <c r="J7" s="269"/>
      <c r="K7" s="479" t="s">
        <v>2278</v>
      </c>
      <c r="L7" s="479"/>
      <c r="M7" s="479"/>
      <c r="N7" s="269"/>
      <c r="O7" s="269"/>
      <c r="P7" s="269"/>
      <c r="Q7" s="269"/>
      <c r="R7" s="269"/>
      <c r="S7" s="268"/>
      <c r="T7" s="187"/>
      <c r="U7" s="269"/>
      <c r="V7" s="269"/>
      <c r="W7" s="182"/>
      <c r="X7" s="181"/>
      <c r="Y7" s="269"/>
      <c r="Z7" s="181"/>
      <c r="AA7" s="181"/>
      <c r="AB7" s="188"/>
      <c r="AF7" s="189"/>
      <c r="AI7" s="185"/>
      <c r="AJ7" s="186"/>
    </row>
    <row r="8" spans="1:36" s="62" customFormat="1" ht="15.75" customHeight="1">
      <c r="A8" s="479" t="s">
        <v>2279</v>
      </c>
      <c r="B8" s="479"/>
      <c r="C8" s="479"/>
      <c r="D8" s="63"/>
      <c r="E8" s="63"/>
      <c r="F8" s="269"/>
      <c r="G8" s="269"/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63"/>
      <c r="Y8" s="269"/>
      <c r="Z8" s="269"/>
      <c r="AA8" s="190"/>
      <c r="AF8" s="189"/>
      <c r="AI8" s="185"/>
      <c r="AJ8" s="186"/>
    </row>
    <row r="9" spans="1:36" ht="15.75">
      <c r="A9" s="479" t="s">
        <v>827</v>
      </c>
      <c r="B9" s="479"/>
      <c r="C9" s="479"/>
      <c r="D9" s="479"/>
      <c r="E9" s="479"/>
      <c r="F9" s="479"/>
      <c r="G9" s="479"/>
      <c r="H9" s="479"/>
      <c r="I9" s="479"/>
      <c r="J9" s="479"/>
      <c r="K9" s="479"/>
      <c r="L9" s="479"/>
      <c r="M9" s="479"/>
      <c r="N9" s="479"/>
    </row>
    <row r="10" spans="1:36" ht="15.75">
      <c r="A10" s="268"/>
      <c r="B10" s="268"/>
      <c r="C10" s="268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8"/>
    </row>
    <row r="11" spans="1:36" ht="38.25">
      <c r="A11" s="510" t="s">
        <v>0</v>
      </c>
      <c r="B11" s="510" t="s">
        <v>972</v>
      </c>
      <c r="C11" s="510" t="s">
        <v>973</v>
      </c>
      <c r="D11" s="510" t="s">
        <v>974</v>
      </c>
      <c r="E11" s="279" t="s">
        <v>4</v>
      </c>
      <c r="F11" s="192" t="s">
        <v>975</v>
      </c>
      <c r="G11" s="192" t="s">
        <v>6</v>
      </c>
      <c r="H11" s="512" t="s">
        <v>7</v>
      </c>
      <c r="I11" s="512" t="s">
        <v>8</v>
      </c>
      <c r="J11" s="510" t="s">
        <v>9</v>
      </c>
      <c r="K11" s="510" t="s">
        <v>10</v>
      </c>
      <c r="L11" s="510" t="s">
        <v>11</v>
      </c>
      <c r="M11" s="510" t="s">
        <v>12</v>
      </c>
      <c r="N11" s="510" t="s">
        <v>976</v>
      </c>
    </row>
    <row r="12" spans="1:36" ht="25.5">
      <c r="A12" s="511"/>
      <c r="B12" s="511"/>
      <c r="C12" s="511"/>
      <c r="D12" s="511"/>
      <c r="E12" s="277" t="s">
        <v>14</v>
      </c>
      <c r="F12" s="277" t="s">
        <v>14</v>
      </c>
      <c r="G12" s="277" t="s">
        <v>14</v>
      </c>
      <c r="H12" s="513"/>
      <c r="I12" s="513"/>
      <c r="J12" s="511"/>
      <c r="K12" s="511"/>
      <c r="L12" s="511"/>
      <c r="M12" s="511"/>
      <c r="N12" s="511"/>
    </row>
    <row r="13" spans="1:36" ht="15" customHeight="1">
      <c r="A13" s="279" t="s">
        <v>15</v>
      </c>
      <c r="B13" s="279" t="s">
        <v>16</v>
      </c>
      <c r="C13" s="279" t="s">
        <v>17</v>
      </c>
      <c r="D13" s="279" t="s">
        <v>18</v>
      </c>
      <c r="E13" s="279">
        <v>1</v>
      </c>
      <c r="F13" s="279">
        <v>2</v>
      </c>
      <c r="G13" s="279">
        <v>3</v>
      </c>
      <c r="H13" s="279">
        <v>4</v>
      </c>
      <c r="I13" s="279">
        <v>5</v>
      </c>
      <c r="J13" s="279">
        <v>6</v>
      </c>
      <c r="K13" s="279">
        <v>7</v>
      </c>
      <c r="L13" s="279">
        <v>8</v>
      </c>
      <c r="M13" s="279">
        <v>9</v>
      </c>
      <c r="N13" s="279">
        <v>10</v>
      </c>
    </row>
    <row r="14" spans="1:36" ht="20.100000000000001" customHeight="1">
      <c r="A14" s="193"/>
      <c r="B14" s="514" t="s">
        <v>2280</v>
      </c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194"/>
    </row>
    <row r="15" spans="1:36" ht="25.5">
      <c r="A15" s="91">
        <v>1</v>
      </c>
      <c r="B15" s="93" t="s">
        <v>2281</v>
      </c>
      <c r="C15" s="91" t="s">
        <v>2282</v>
      </c>
      <c r="D15" s="91">
        <v>2008</v>
      </c>
      <c r="E15" s="91">
        <v>2</v>
      </c>
      <c r="F15" s="91">
        <v>2</v>
      </c>
      <c r="G15" s="91">
        <f>F15-E15</f>
        <v>0</v>
      </c>
      <c r="H15" s="89">
        <v>42324975</v>
      </c>
      <c r="I15" s="89">
        <v>84649950</v>
      </c>
      <c r="J15" s="91" t="s">
        <v>1245</v>
      </c>
      <c r="K15" s="91" t="s">
        <v>2283</v>
      </c>
      <c r="L15" s="91" t="s">
        <v>641</v>
      </c>
      <c r="M15" s="91" t="s">
        <v>54</v>
      </c>
      <c r="N15" s="91" t="s">
        <v>2284</v>
      </c>
    </row>
    <row r="16" spans="1:36" ht="25.5">
      <c r="A16" s="91">
        <v>2</v>
      </c>
      <c r="B16" s="93" t="s">
        <v>2281</v>
      </c>
      <c r="C16" s="91" t="s">
        <v>2285</v>
      </c>
      <c r="D16" s="91">
        <v>2008</v>
      </c>
      <c r="E16" s="91">
        <v>1</v>
      </c>
      <c r="F16" s="91">
        <v>1</v>
      </c>
      <c r="G16" s="91">
        <f t="shared" ref="G16:G45" si="0">F16-E16</f>
        <v>0</v>
      </c>
      <c r="H16" s="89">
        <v>37237364</v>
      </c>
      <c r="I16" s="89">
        <v>37237364</v>
      </c>
      <c r="J16" s="91" t="s">
        <v>1245</v>
      </c>
      <c r="K16" s="91" t="s">
        <v>2283</v>
      </c>
      <c r="L16" s="91" t="s">
        <v>641</v>
      </c>
      <c r="M16" s="91" t="s">
        <v>54</v>
      </c>
      <c r="N16" s="91"/>
    </row>
    <row r="17" spans="1:14" ht="25.5">
      <c r="A17" s="91">
        <v>3</v>
      </c>
      <c r="B17" s="93" t="s">
        <v>2286</v>
      </c>
      <c r="C17" s="91" t="s">
        <v>2287</v>
      </c>
      <c r="D17" s="91">
        <v>2011</v>
      </c>
      <c r="E17" s="91">
        <v>1</v>
      </c>
      <c r="F17" s="91">
        <v>1</v>
      </c>
      <c r="G17" s="91">
        <f t="shared" si="0"/>
        <v>0</v>
      </c>
      <c r="H17" s="89">
        <v>31999800</v>
      </c>
      <c r="I17" s="89">
        <v>31999800</v>
      </c>
      <c r="J17" s="91" t="s">
        <v>1245</v>
      </c>
      <c r="K17" s="91" t="s">
        <v>2288</v>
      </c>
      <c r="L17" s="91" t="s">
        <v>641</v>
      </c>
      <c r="M17" s="91" t="s">
        <v>54</v>
      </c>
      <c r="N17" s="91"/>
    </row>
    <row r="18" spans="1:14" ht="38.25">
      <c r="A18" s="91">
        <v>4</v>
      </c>
      <c r="B18" s="93" t="s">
        <v>2281</v>
      </c>
      <c r="C18" s="91" t="s">
        <v>2289</v>
      </c>
      <c r="D18" s="91">
        <v>2011</v>
      </c>
      <c r="E18" s="73">
        <v>2</v>
      </c>
      <c r="F18" s="73">
        <v>2</v>
      </c>
      <c r="G18" s="91">
        <f t="shared" si="0"/>
        <v>0</v>
      </c>
      <c r="H18" s="89">
        <v>42324975</v>
      </c>
      <c r="I18" s="89">
        <v>84649950</v>
      </c>
      <c r="J18" s="91" t="s">
        <v>1245</v>
      </c>
      <c r="K18" s="91" t="s">
        <v>2283</v>
      </c>
      <c r="L18" s="91" t="s">
        <v>641</v>
      </c>
      <c r="M18" s="91" t="s">
        <v>54</v>
      </c>
      <c r="N18" s="91" t="s">
        <v>2290</v>
      </c>
    </row>
    <row r="19" spans="1:14" ht="38.25">
      <c r="A19" s="91">
        <v>5</v>
      </c>
      <c r="B19" s="93" t="s">
        <v>2291</v>
      </c>
      <c r="C19" s="91" t="s">
        <v>2292</v>
      </c>
      <c r="D19" s="91">
        <v>2014</v>
      </c>
      <c r="E19" s="73">
        <v>2</v>
      </c>
      <c r="F19" s="73">
        <v>2</v>
      </c>
      <c r="G19" s="91">
        <f t="shared" si="0"/>
        <v>0</v>
      </c>
      <c r="H19" s="89">
        <v>119265000</v>
      </c>
      <c r="I19" s="89">
        <v>238530000</v>
      </c>
      <c r="J19" s="91" t="s">
        <v>1245</v>
      </c>
      <c r="K19" s="91" t="s">
        <v>2283</v>
      </c>
      <c r="L19" s="91" t="s">
        <v>641</v>
      </c>
      <c r="M19" s="91" t="s">
        <v>54</v>
      </c>
      <c r="N19" s="91" t="s">
        <v>2293</v>
      </c>
    </row>
    <row r="20" spans="1:14" ht="25.5">
      <c r="A20" s="91">
        <v>6</v>
      </c>
      <c r="B20" s="93" t="s">
        <v>2294</v>
      </c>
      <c r="C20" s="91" t="s">
        <v>2295</v>
      </c>
      <c r="D20" s="91">
        <v>2010</v>
      </c>
      <c r="E20" s="73">
        <v>1</v>
      </c>
      <c r="F20" s="73">
        <v>1</v>
      </c>
      <c r="G20" s="91">
        <f t="shared" si="0"/>
        <v>0</v>
      </c>
      <c r="H20" s="89">
        <v>42324975</v>
      </c>
      <c r="I20" s="89">
        <v>42324975</v>
      </c>
      <c r="J20" s="91" t="s">
        <v>1245</v>
      </c>
      <c r="K20" s="91" t="s">
        <v>2283</v>
      </c>
      <c r="L20" s="91" t="s">
        <v>641</v>
      </c>
      <c r="M20" s="91" t="s">
        <v>54</v>
      </c>
      <c r="N20" s="91"/>
    </row>
    <row r="21" spans="1:14" ht="25.5">
      <c r="A21" s="91">
        <v>7</v>
      </c>
      <c r="B21" s="93" t="s">
        <v>2296</v>
      </c>
      <c r="C21" s="91" t="s">
        <v>2297</v>
      </c>
      <c r="D21" s="91">
        <v>2007</v>
      </c>
      <c r="E21" s="73">
        <v>1</v>
      </c>
      <c r="F21" s="73">
        <v>1</v>
      </c>
      <c r="G21" s="91">
        <f t="shared" si="0"/>
        <v>0</v>
      </c>
      <c r="H21" s="279"/>
      <c r="I21" s="279"/>
      <c r="J21" s="91" t="s">
        <v>1245</v>
      </c>
      <c r="K21" s="91" t="s">
        <v>2283</v>
      </c>
      <c r="L21" s="91" t="s">
        <v>641</v>
      </c>
      <c r="M21" s="91" t="s">
        <v>54</v>
      </c>
      <c r="N21" s="91"/>
    </row>
    <row r="22" spans="1:14" ht="25.5">
      <c r="A22" s="91">
        <v>8</v>
      </c>
      <c r="B22" s="93" t="s">
        <v>2298</v>
      </c>
      <c r="C22" s="91" t="s">
        <v>2299</v>
      </c>
      <c r="D22" s="91">
        <v>2017</v>
      </c>
      <c r="E22" s="73">
        <v>1</v>
      </c>
      <c r="F22" s="73">
        <v>1</v>
      </c>
      <c r="G22" s="91">
        <f t="shared" si="0"/>
        <v>0</v>
      </c>
      <c r="H22" s="279"/>
      <c r="I22" s="279"/>
      <c r="J22" s="91" t="s">
        <v>1245</v>
      </c>
      <c r="K22" s="91" t="s">
        <v>2283</v>
      </c>
      <c r="L22" s="91" t="s">
        <v>641</v>
      </c>
      <c r="M22" s="91" t="s">
        <v>54</v>
      </c>
      <c r="N22" s="91"/>
    </row>
    <row r="23" spans="1:14" ht="51">
      <c r="A23" s="91">
        <v>9</v>
      </c>
      <c r="B23" s="93" t="s">
        <v>2300</v>
      </c>
      <c r="C23" s="91" t="s">
        <v>2301</v>
      </c>
      <c r="D23" s="91">
        <v>2007</v>
      </c>
      <c r="E23" s="73">
        <v>1</v>
      </c>
      <c r="F23" s="73">
        <v>1</v>
      </c>
      <c r="G23" s="91">
        <f t="shared" si="0"/>
        <v>0</v>
      </c>
      <c r="H23" s="89">
        <v>42823000</v>
      </c>
      <c r="I23" s="89">
        <v>42823000</v>
      </c>
      <c r="J23" s="91" t="s">
        <v>1245</v>
      </c>
      <c r="K23" s="91" t="s">
        <v>2283</v>
      </c>
      <c r="L23" s="91" t="s">
        <v>641</v>
      </c>
      <c r="M23" s="91" t="s">
        <v>2302</v>
      </c>
      <c r="N23" s="91"/>
    </row>
    <row r="24" spans="1:14" ht="38.25">
      <c r="A24" s="91">
        <v>10</v>
      </c>
      <c r="B24" s="93" t="s">
        <v>2303</v>
      </c>
      <c r="C24" s="91" t="s">
        <v>2304</v>
      </c>
      <c r="D24" s="91">
        <v>2006</v>
      </c>
      <c r="E24" s="73">
        <v>1</v>
      </c>
      <c r="F24" s="73">
        <v>1</v>
      </c>
      <c r="G24" s="91">
        <f t="shared" si="0"/>
        <v>0</v>
      </c>
      <c r="H24" s="155">
        <v>37237000</v>
      </c>
      <c r="I24" s="155">
        <v>37237000</v>
      </c>
      <c r="J24" s="91" t="s">
        <v>1245</v>
      </c>
      <c r="K24" s="91" t="s">
        <v>2283</v>
      </c>
      <c r="L24" s="91" t="s">
        <v>641</v>
      </c>
      <c r="M24" s="91" t="s">
        <v>2205</v>
      </c>
      <c r="N24" s="91"/>
    </row>
    <row r="25" spans="1:14" ht="25.5">
      <c r="A25" s="91">
        <v>11</v>
      </c>
      <c r="B25" s="93" t="s">
        <v>2305</v>
      </c>
      <c r="C25" s="91" t="s">
        <v>2306</v>
      </c>
      <c r="D25" s="91">
        <v>2018</v>
      </c>
      <c r="E25" s="91">
        <v>1</v>
      </c>
      <c r="F25" s="91">
        <v>1</v>
      </c>
      <c r="G25" s="91">
        <f t="shared" si="0"/>
        <v>0</v>
      </c>
      <c r="H25" s="89">
        <v>119265000</v>
      </c>
      <c r="I25" s="89">
        <v>119265000</v>
      </c>
      <c r="J25" s="91" t="s">
        <v>1245</v>
      </c>
      <c r="K25" s="91" t="s">
        <v>2283</v>
      </c>
      <c r="L25" s="91" t="s">
        <v>641</v>
      </c>
      <c r="M25" s="91" t="s">
        <v>54</v>
      </c>
      <c r="N25" s="91"/>
    </row>
    <row r="26" spans="1:14" ht="25.5">
      <c r="A26" s="91">
        <v>12</v>
      </c>
      <c r="B26" s="90" t="s">
        <v>59</v>
      </c>
      <c r="C26" s="195" t="s">
        <v>2307</v>
      </c>
      <c r="D26" s="91">
        <v>2007</v>
      </c>
      <c r="E26" s="91">
        <v>1</v>
      </c>
      <c r="F26" s="91">
        <v>1</v>
      </c>
      <c r="G26" s="91">
        <f t="shared" si="0"/>
        <v>0</v>
      </c>
      <c r="H26" s="196"/>
      <c r="I26" s="196"/>
      <c r="J26" s="91" t="s">
        <v>1245</v>
      </c>
      <c r="K26" s="91" t="s">
        <v>2283</v>
      </c>
      <c r="L26" s="91" t="s">
        <v>641</v>
      </c>
      <c r="M26" s="91" t="s">
        <v>54</v>
      </c>
      <c r="N26" s="91"/>
    </row>
    <row r="27" spans="1:14" ht="76.5">
      <c r="A27" s="91">
        <v>13</v>
      </c>
      <c r="B27" s="93" t="s">
        <v>2308</v>
      </c>
      <c r="C27" s="91" t="s">
        <v>2309</v>
      </c>
      <c r="D27" s="91">
        <v>2020</v>
      </c>
      <c r="E27" s="91">
        <v>2</v>
      </c>
      <c r="F27" s="91">
        <v>2</v>
      </c>
      <c r="G27" s="91">
        <f t="shared" si="0"/>
        <v>0</v>
      </c>
      <c r="H27" s="155">
        <v>127100000</v>
      </c>
      <c r="I27" s="155">
        <v>254200000</v>
      </c>
      <c r="J27" s="91" t="s">
        <v>1245</v>
      </c>
      <c r="K27" s="91" t="s">
        <v>2283</v>
      </c>
      <c r="L27" s="91" t="s">
        <v>641</v>
      </c>
      <c r="M27" s="91" t="s">
        <v>2310</v>
      </c>
      <c r="N27" s="91" t="s">
        <v>2311</v>
      </c>
    </row>
    <row r="28" spans="1:14" ht="63.75">
      <c r="A28" s="91">
        <v>14</v>
      </c>
      <c r="B28" s="168" t="s">
        <v>2312</v>
      </c>
      <c r="C28" s="91" t="s">
        <v>2313</v>
      </c>
      <c r="D28" s="91">
        <v>2017</v>
      </c>
      <c r="E28" s="73">
        <v>1</v>
      </c>
      <c r="F28" s="73">
        <v>1</v>
      </c>
      <c r="G28" s="91">
        <f t="shared" si="0"/>
        <v>0</v>
      </c>
      <c r="H28" s="89">
        <v>116500000</v>
      </c>
      <c r="I28" s="89">
        <v>116500000</v>
      </c>
      <c r="J28" s="91" t="s">
        <v>1245</v>
      </c>
      <c r="K28" s="91" t="s">
        <v>2314</v>
      </c>
      <c r="L28" s="91" t="s">
        <v>2315</v>
      </c>
      <c r="M28" s="91"/>
      <c r="N28" s="91" t="s">
        <v>2316</v>
      </c>
    </row>
    <row r="29" spans="1:14" ht="51">
      <c r="A29" s="91">
        <v>15</v>
      </c>
      <c r="B29" s="168" t="s">
        <v>2317</v>
      </c>
      <c r="C29" s="91" t="s">
        <v>2318</v>
      </c>
      <c r="D29" s="91">
        <v>2022</v>
      </c>
      <c r="E29" s="73">
        <v>1</v>
      </c>
      <c r="F29" s="73">
        <v>1</v>
      </c>
      <c r="G29" s="91">
        <f t="shared" si="0"/>
        <v>0</v>
      </c>
      <c r="H29" s="460">
        <v>116500000</v>
      </c>
      <c r="I29" s="460">
        <v>116500000</v>
      </c>
      <c r="J29" s="91" t="s">
        <v>1245</v>
      </c>
      <c r="K29" s="91" t="s">
        <v>2283</v>
      </c>
      <c r="L29" s="91" t="s">
        <v>641</v>
      </c>
      <c r="M29" s="91"/>
      <c r="N29" s="91" t="s">
        <v>2319</v>
      </c>
    </row>
    <row r="30" spans="1:14" ht="51">
      <c r="A30" s="91">
        <v>16</v>
      </c>
      <c r="B30" s="93" t="s">
        <v>2320</v>
      </c>
      <c r="C30" s="91" t="s">
        <v>2321</v>
      </c>
      <c r="D30" s="91">
        <v>2022</v>
      </c>
      <c r="E30" s="91">
        <v>1</v>
      </c>
      <c r="F30" s="91">
        <v>1</v>
      </c>
      <c r="G30" s="91">
        <f t="shared" si="0"/>
        <v>0</v>
      </c>
      <c r="H30" s="158">
        <v>74373678</v>
      </c>
      <c r="I30" s="158">
        <v>74373678</v>
      </c>
      <c r="J30" s="91" t="s">
        <v>1245</v>
      </c>
      <c r="K30" s="91" t="s">
        <v>2283</v>
      </c>
      <c r="L30" s="91" t="s">
        <v>641</v>
      </c>
      <c r="M30" s="91" t="s">
        <v>2322</v>
      </c>
      <c r="N30" s="91" t="s">
        <v>2323</v>
      </c>
    </row>
    <row r="31" spans="1:14" ht="51">
      <c r="A31" s="91">
        <v>17</v>
      </c>
      <c r="B31" s="93" t="s">
        <v>2324</v>
      </c>
      <c r="C31" s="91" t="s">
        <v>2325</v>
      </c>
      <c r="D31" s="91">
        <v>2022</v>
      </c>
      <c r="E31" s="91">
        <v>1</v>
      </c>
      <c r="F31" s="91">
        <v>1</v>
      </c>
      <c r="G31" s="91">
        <f t="shared" si="0"/>
        <v>0</v>
      </c>
      <c r="H31" s="461">
        <v>18282754</v>
      </c>
      <c r="I31" s="461">
        <v>18282754</v>
      </c>
      <c r="J31" s="91" t="s">
        <v>1245</v>
      </c>
      <c r="K31" s="91" t="s">
        <v>2283</v>
      </c>
      <c r="L31" s="91" t="s">
        <v>641</v>
      </c>
      <c r="M31" s="91" t="s">
        <v>2322</v>
      </c>
      <c r="N31" s="91" t="s">
        <v>2323</v>
      </c>
    </row>
    <row r="32" spans="1:14" ht="51">
      <c r="A32" s="91">
        <v>18</v>
      </c>
      <c r="B32" s="93" t="s">
        <v>2308</v>
      </c>
      <c r="C32" s="91" t="s">
        <v>2326</v>
      </c>
      <c r="D32" s="91">
        <v>2022</v>
      </c>
      <c r="E32" s="91">
        <v>3</v>
      </c>
      <c r="F32" s="91">
        <v>3</v>
      </c>
      <c r="G32" s="91">
        <f t="shared" si="0"/>
        <v>0</v>
      </c>
      <c r="H32" s="461">
        <v>96789276.666666672</v>
      </c>
      <c r="I32" s="461">
        <v>290367830</v>
      </c>
      <c r="J32" s="91" t="s">
        <v>1245</v>
      </c>
      <c r="K32" s="91" t="s">
        <v>2283</v>
      </c>
      <c r="L32" s="91" t="s">
        <v>641</v>
      </c>
      <c r="M32" s="91" t="s">
        <v>2322</v>
      </c>
      <c r="N32" s="91" t="s">
        <v>2323</v>
      </c>
    </row>
    <row r="33" spans="1:14" ht="51">
      <c r="A33" s="91">
        <v>19</v>
      </c>
      <c r="B33" s="93" t="s">
        <v>2327</v>
      </c>
      <c r="C33" s="91" t="s">
        <v>2328</v>
      </c>
      <c r="D33" s="91">
        <v>2024</v>
      </c>
      <c r="E33" s="73">
        <v>1</v>
      </c>
      <c r="F33" s="73">
        <v>1</v>
      </c>
      <c r="G33" s="91">
        <f t="shared" si="0"/>
        <v>0</v>
      </c>
      <c r="H33" s="89">
        <v>115832366</v>
      </c>
      <c r="I33" s="89">
        <v>115832366</v>
      </c>
      <c r="J33" s="91" t="s">
        <v>1245</v>
      </c>
      <c r="K33" s="91" t="s">
        <v>2283</v>
      </c>
      <c r="L33" s="91" t="s">
        <v>641</v>
      </c>
      <c r="M33" s="91"/>
      <c r="N33" s="91" t="s">
        <v>2323</v>
      </c>
    </row>
    <row r="34" spans="1:14" ht="25.5">
      <c r="A34" s="91">
        <v>20</v>
      </c>
      <c r="B34" s="93" t="s">
        <v>2329</v>
      </c>
      <c r="C34" s="91" t="s">
        <v>2330</v>
      </c>
      <c r="D34" s="91">
        <v>2022</v>
      </c>
      <c r="E34" s="73">
        <v>1</v>
      </c>
      <c r="F34" s="73">
        <v>1</v>
      </c>
      <c r="G34" s="91">
        <f t="shared" si="0"/>
        <v>0</v>
      </c>
      <c r="H34" s="197">
        <v>9210602000</v>
      </c>
      <c r="I34" s="197">
        <v>9210602000</v>
      </c>
      <c r="J34" s="91" t="s">
        <v>1245</v>
      </c>
      <c r="K34" s="73" t="s">
        <v>2331</v>
      </c>
      <c r="L34" s="91" t="s">
        <v>641</v>
      </c>
      <c r="M34" s="91"/>
      <c r="N34" s="91"/>
    </row>
    <row r="35" spans="1:14" ht="25.5">
      <c r="A35" s="91">
        <v>21</v>
      </c>
      <c r="B35" s="93" t="s">
        <v>2332</v>
      </c>
      <c r="C35" s="91" t="s">
        <v>2333</v>
      </c>
      <c r="D35" s="91">
        <v>2023</v>
      </c>
      <c r="E35" s="73">
        <v>1</v>
      </c>
      <c r="F35" s="73">
        <v>1</v>
      </c>
      <c r="G35" s="91">
        <f t="shared" si="0"/>
        <v>0</v>
      </c>
      <c r="H35" s="158">
        <v>2042210000</v>
      </c>
      <c r="I35" s="158">
        <v>2042210000</v>
      </c>
      <c r="J35" s="91" t="s">
        <v>1245</v>
      </c>
      <c r="K35" s="73" t="s">
        <v>2334</v>
      </c>
      <c r="L35" s="91" t="s">
        <v>641</v>
      </c>
      <c r="M35" s="91"/>
      <c r="N35" s="91"/>
    </row>
    <row r="36" spans="1:14" ht="38.25">
      <c r="A36" s="91">
        <v>22</v>
      </c>
      <c r="B36" s="93" t="s">
        <v>2335</v>
      </c>
      <c r="C36" s="198" t="s">
        <v>2336</v>
      </c>
      <c r="D36" s="167">
        <v>2010</v>
      </c>
      <c r="E36" s="91">
        <v>1</v>
      </c>
      <c r="F36" s="91">
        <v>1</v>
      </c>
      <c r="G36" s="91">
        <f t="shared" si="0"/>
        <v>0</v>
      </c>
      <c r="H36" s="199">
        <v>4154545</v>
      </c>
      <c r="I36" s="199">
        <v>4154545</v>
      </c>
      <c r="J36" s="91" t="s">
        <v>1245</v>
      </c>
      <c r="K36" s="73" t="s">
        <v>2337</v>
      </c>
      <c r="L36" s="91" t="s">
        <v>641</v>
      </c>
      <c r="M36" s="73" t="s">
        <v>1272</v>
      </c>
      <c r="N36" s="73"/>
    </row>
    <row r="37" spans="1:14" ht="38.25">
      <c r="A37" s="91">
        <v>23</v>
      </c>
      <c r="B37" s="93" t="s">
        <v>2338</v>
      </c>
      <c r="C37" s="198" t="s">
        <v>2339</v>
      </c>
      <c r="D37" s="167">
        <v>2011</v>
      </c>
      <c r="E37" s="91">
        <v>1</v>
      </c>
      <c r="F37" s="91">
        <v>1</v>
      </c>
      <c r="G37" s="91">
        <f t="shared" si="0"/>
        <v>0</v>
      </c>
      <c r="H37" s="460">
        <v>20700000</v>
      </c>
      <c r="I37" s="460">
        <v>20700000</v>
      </c>
      <c r="J37" s="91" t="s">
        <v>1245</v>
      </c>
      <c r="K37" s="73" t="s">
        <v>2337</v>
      </c>
      <c r="L37" s="91" t="s">
        <v>641</v>
      </c>
      <c r="M37" s="73" t="s">
        <v>1272</v>
      </c>
      <c r="N37" s="73"/>
    </row>
    <row r="38" spans="1:14" ht="38.25">
      <c r="A38" s="91">
        <v>24</v>
      </c>
      <c r="B38" s="90" t="s">
        <v>2340</v>
      </c>
      <c r="C38" s="198" t="s">
        <v>2341</v>
      </c>
      <c r="D38" s="167">
        <v>2010</v>
      </c>
      <c r="E38" s="91">
        <v>1</v>
      </c>
      <c r="F38" s="91">
        <v>1</v>
      </c>
      <c r="G38" s="91">
        <f t="shared" si="0"/>
        <v>0</v>
      </c>
      <c r="H38" s="460">
        <v>17800000</v>
      </c>
      <c r="I38" s="460">
        <v>17800000</v>
      </c>
      <c r="J38" s="91" t="s">
        <v>1245</v>
      </c>
      <c r="K38" s="73" t="s">
        <v>2337</v>
      </c>
      <c r="L38" s="91" t="s">
        <v>641</v>
      </c>
      <c r="M38" s="73" t="s">
        <v>1272</v>
      </c>
      <c r="N38" s="73" t="s">
        <v>2342</v>
      </c>
    </row>
    <row r="39" spans="1:14" ht="38.25">
      <c r="A39" s="91">
        <v>25</v>
      </c>
      <c r="B39" s="90" t="s">
        <v>2343</v>
      </c>
      <c r="C39" s="198" t="s">
        <v>2344</v>
      </c>
      <c r="D39" s="167">
        <v>2011</v>
      </c>
      <c r="E39" s="91">
        <v>1</v>
      </c>
      <c r="F39" s="91">
        <v>1</v>
      </c>
      <c r="G39" s="91">
        <f t="shared" si="0"/>
        <v>0</v>
      </c>
      <c r="H39" s="460">
        <v>21000000</v>
      </c>
      <c r="I39" s="460">
        <v>21000000</v>
      </c>
      <c r="J39" s="91" t="s">
        <v>1245</v>
      </c>
      <c r="K39" s="73" t="s">
        <v>2337</v>
      </c>
      <c r="L39" s="91" t="s">
        <v>641</v>
      </c>
      <c r="M39" s="73" t="s">
        <v>1272</v>
      </c>
      <c r="N39" s="73"/>
    </row>
    <row r="40" spans="1:14" ht="25.5">
      <c r="A40" s="91">
        <v>26</v>
      </c>
      <c r="B40" s="93" t="s">
        <v>2345</v>
      </c>
      <c r="C40" s="198" t="s">
        <v>2346</v>
      </c>
      <c r="D40" s="167">
        <v>2011</v>
      </c>
      <c r="E40" s="91">
        <v>1</v>
      </c>
      <c r="F40" s="91">
        <v>1</v>
      </c>
      <c r="G40" s="91">
        <f t="shared" si="0"/>
        <v>0</v>
      </c>
      <c r="H40" s="199">
        <v>7450000</v>
      </c>
      <c r="I40" s="199">
        <v>7450000</v>
      </c>
      <c r="J40" s="91" t="s">
        <v>1245</v>
      </c>
      <c r="K40" s="73" t="s">
        <v>2347</v>
      </c>
      <c r="L40" s="91" t="s">
        <v>641</v>
      </c>
      <c r="M40" s="73" t="s">
        <v>1272</v>
      </c>
      <c r="N40" s="73" t="s">
        <v>2342</v>
      </c>
    </row>
    <row r="41" spans="1:14" ht="25.5">
      <c r="A41" s="91">
        <v>27</v>
      </c>
      <c r="B41" s="93" t="s">
        <v>2343</v>
      </c>
      <c r="C41" s="198" t="s">
        <v>2348</v>
      </c>
      <c r="D41" s="167">
        <v>2011</v>
      </c>
      <c r="E41" s="91">
        <v>1</v>
      </c>
      <c r="F41" s="91">
        <v>1</v>
      </c>
      <c r="G41" s="91">
        <f t="shared" si="0"/>
        <v>0</v>
      </c>
      <c r="H41" s="460">
        <v>21000000</v>
      </c>
      <c r="I41" s="460">
        <v>21000000</v>
      </c>
      <c r="J41" s="91" t="s">
        <v>1245</v>
      </c>
      <c r="K41" s="73" t="s">
        <v>2347</v>
      </c>
      <c r="L41" s="91" t="s">
        <v>641</v>
      </c>
      <c r="M41" s="73" t="s">
        <v>1272</v>
      </c>
      <c r="N41" s="73"/>
    </row>
    <row r="42" spans="1:14" ht="25.5">
      <c r="A42" s="91">
        <v>28</v>
      </c>
      <c r="B42" s="93" t="s">
        <v>2349</v>
      </c>
      <c r="C42" s="198" t="s">
        <v>2350</v>
      </c>
      <c r="D42" s="91"/>
      <c r="E42" s="91">
        <v>1</v>
      </c>
      <c r="F42" s="91">
        <v>1</v>
      </c>
      <c r="G42" s="91">
        <f t="shared" si="0"/>
        <v>0</v>
      </c>
      <c r="H42" s="196"/>
      <c r="I42" s="196"/>
      <c r="J42" s="91" t="s">
        <v>1245</v>
      </c>
      <c r="K42" s="91" t="s">
        <v>2351</v>
      </c>
      <c r="L42" s="91" t="s">
        <v>641</v>
      </c>
      <c r="M42" s="73" t="s">
        <v>1272</v>
      </c>
      <c r="N42" s="91"/>
    </row>
    <row r="43" spans="1:14" ht="63.75">
      <c r="A43" s="91">
        <v>29</v>
      </c>
      <c r="B43" s="200" t="s">
        <v>2352</v>
      </c>
      <c r="C43" s="198" t="s">
        <v>2353</v>
      </c>
      <c r="D43" s="167">
        <v>2022</v>
      </c>
      <c r="E43" s="91">
        <v>1</v>
      </c>
      <c r="F43" s="91">
        <v>1</v>
      </c>
      <c r="G43" s="91">
        <f t="shared" si="0"/>
        <v>0</v>
      </c>
      <c r="H43" s="201">
        <v>10380000</v>
      </c>
      <c r="I43" s="201">
        <v>10380000</v>
      </c>
      <c r="J43" s="91" t="s">
        <v>1245</v>
      </c>
      <c r="K43" s="91" t="s">
        <v>2351</v>
      </c>
      <c r="L43" s="91" t="s">
        <v>641</v>
      </c>
      <c r="M43" s="73" t="s">
        <v>1272</v>
      </c>
      <c r="N43" s="91"/>
    </row>
    <row r="44" spans="1:14" ht="25.5">
      <c r="A44" s="91">
        <v>30</v>
      </c>
      <c r="B44" s="200" t="s">
        <v>2354</v>
      </c>
      <c r="C44" s="198" t="s">
        <v>2355</v>
      </c>
      <c r="D44" s="167">
        <v>2017</v>
      </c>
      <c r="E44" s="91">
        <v>1</v>
      </c>
      <c r="F44" s="91">
        <v>1</v>
      </c>
      <c r="G44" s="91">
        <f t="shared" si="0"/>
        <v>0</v>
      </c>
      <c r="H44" s="196"/>
      <c r="I44" s="196"/>
      <c r="J44" s="91" t="s">
        <v>1245</v>
      </c>
      <c r="K44" s="91" t="s">
        <v>2351</v>
      </c>
      <c r="L44" s="91" t="s">
        <v>641</v>
      </c>
      <c r="M44" s="73" t="s">
        <v>1272</v>
      </c>
      <c r="N44" s="91"/>
    </row>
    <row r="45" spans="1:14" ht="63.75">
      <c r="A45" s="91">
        <v>31</v>
      </c>
      <c r="B45" s="200" t="s">
        <v>2352</v>
      </c>
      <c r="C45" s="198" t="s">
        <v>2356</v>
      </c>
      <c r="D45" s="167">
        <v>2022</v>
      </c>
      <c r="E45" s="91">
        <v>1</v>
      </c>
      <c r="F45" s="91">
        <v>1</v>
      </c>
      <c r="G45" s="91">
        <f t="shared" si="0"/>
        <v>0</v>
      </c>
      <c r="H45" s="201">
        <v>10380000</v>
      </c>
      <c r="I45" s="201">
        <v>10380000</v>
      </c>
      <c r="J45" s="91" t="s">
        <v>1245</v>
      </c>
      <c r="K45" s="91" t="s">
        <v>2351</v>
      </c>
      <c r="L45" s="91" t="s">
        <v>641</v>
      </c>
      <c r="M45" s="73" t="s">
        <v>1272</v>
      </c>
      <c r="N45" s="91"/>
    </row>
    <row r="46" spans="1:14" ht="20.100000000000001" customHeight="1">
      <c r="A46" s="91"/>
      <c r="B46" s="202" t="s">
        <v>2357</v>
      </c>
      <c r="C46" s="93"/>
      <c r="D46" s="91"/>
      <c r="E46" s="153"/>
      <c r="F46" s="73"/>
      <c r="G46" s="203"/>
      <c r="H46" s="203"/>
      <c r="I46" s="203"/>
      <c r="J46" s="155"/>
      <c r="K46" s="91"/>
      <c r="L46" s="91"/>
      <c r="M46" s="91"/>
      <c r="N46" s="153"/>
    </row>
    <row r="47" spans="1:14" ht="51">
      <c r="A47" s="167">
        <v>1</v>
      </c>
      <c r="B47" s="168" t="s">
        <v>2358</v>
      </c>
      <c r="C47" s="91" t="s">
        <v>2359</v>
      </c>
      <c r="D47" s="204"/>
      <c r="E47" s="205"/>
      <c r="F47" s="73">
        <v>1</v>
      </c>
      <c r="G47" s="206">
        <f>F47-E47</f>
        <v>1</v>
      </c>
      <c r="H47" s="158">
        <v>27000000</v>
      </c>
      <c r="I47" s="158">
        <v>27000000</v>
      </c>
      <c r="J47" s="91" t="s">
        <v>1245</v>
      </c>
      <c r="K47" s="73" t="s">
        <v>2360</v>
      </c>
      <c r="L47" s="91" t="s">
        <v>1810</v>
      </c>
      <c r="M47" s="91" t="s">
        <v>54</v>
      </c>
      <c r="N47" s="91"/>
    </row>
    <row r="48" spans="1:14" ht="38.25">
      <c r="A48" s="167">
        <v>2</v>
      </c>
      <c r="B48" s="93" t="s">
        <v>2361</v>
      </c>
      <c r="C48" s="91" t="s">
        <v>2362</v>
      </c>
      <c r="D48" s="91">
        <v>2004</v>
      </c>
      <c r="E48" s="73"/>
      <c r="F48" s="73">
        <v>1</v>
      </c>
      <c r="G48" s="206">
        <f t="shared" ref="G48:G55" si="1">F48-E48</f>
        <v>1</v>
      </c>
      <c r="H48" s="89">
        <v>60595000</v>
      </c>
      <c r="I48" s="89">
        <v>60595000</v>
      </c>
      <c r="J48" s="91" t="s">
        <v>1245</v>
      </c>
      <c r="K48" s="73" t="s">
        <v>2360</v>
      </c>
      <c r="L48" s="91" t="s">
        <v>1810</v>
      </c>
      <c r="M48" s="91"/>
      <c r="N48" s="91"/>
    </row>
    <row r="49" spans="1:14" ht="25.5">
      <c r="A49" s="167">
        <v>3</v>
      </c>
      <c r="B49" s="207" t="s">
        <v>2363</v>
      </c>
      <c r="C49" s="91" t="s">
        <v>2364</v>
      </c>
      <c r="D49" s="208"/>
      <c r="E49" s="209"/>
      <c r="F49" s="73">
        <v>1</v>
      </c>
      <c r="G49" s="206">
        <f t="shared" si="1"/>
        <v>1</v>
      </c>
      <c r="H49" s="158">
        <v>4000000</v>
      </c>
      <c r="I49" s="158">
        <v>4000000</v>
      </c>
      <c r="J49" s="91" t="s">
        <v>1245</v>
      </c>
      <c r="K49" s="73" t="s">
        <v>2360</v>
      </c>
      <c r="L49" s="91" t="s">
        <v>2365</v>
      </c>
      <c r="M49" s="210" t="s">
        <v>2205</v>
      </c>
      <c r="N49" s="91"/>
    </row>
    <row r="50" spans="1:14" ht="25.5">
      <c r="A50" s="167">
        <v>4</v>
      </c>
      <c r="B50" s="207" t="s">
        <v>2366</v>
      </c>
      <c r="C50" s="91" t="s">
        <v>2367</v>
      </c>
      <c r="D50" s="204"/>
      <c r="E50" s="209"/>
      <c r="F50" s="73">
        <v>3</v>
      </c>
      <c r="G50" s="206">
        <f t="shared" si="1"/>
        <v>3</v>
      </c>
      <c r="H50" s="462"/>
      <c r="I50" s="462"/>
      <c r="J50" s="91" t="s">
        <v>1245</v>
      </c>
      <c r="K50" s="73" t="s">
        <v>2360</v>
      </c>
      <c r="L50" s="91" t="s">
        <v>2365</v>
      </c>
      <c r="M50" s="210" t="s">
        <v>2205</v>
      </c>
      <c r="N50" s="91"/>
    </row>
    <row r="51" spans="1:14" ht="25.5">
      <c r="A51" s="167">
        <v>5</v>
      </c>
      <c r="B51" s="207" t="s">
        <v>2368</v>
      </c>
      <c r="C51" s="91" t="s">
        <v>2369</v>
      </c>
      <c r="D51" s="204"/>
      <c r="E51" s="209"/>
      <c r="F51" s="73">
        <v>1</v>
      </c>
      <c r="G51" s="206">
        <f t="shared" si="1"/>
        <v>1</v>
      </c>
      <c r="H51" s="462"/>
      <c r="I51" s="462"/>
      <c r="J51" s="91" t="s">
        <v>1245</v>
      </c>
      <c r="K51" s="73" t="s">
        <v>2360</v>
      </c>
      <c r="L51" s="91" t="s">
        <v>2365</v>
      </c>
      <c r="M51" s="210" t="s">
        <v>2205</v>
      </c>
      <c r="N51" s="91"/>
    </row>
    <row r="52" spans="1:14" ht="25.5">
      <c r="A52" s="167">
        <v>6</v>
      </c>
      <c r="B52" s="207" t="s">
        <v>2370</v>
      </c>
      <c r="C52" s="91" t="s">
        <v>2371</v>
      </c>
      <c r="D52" s="204"/>
      <c r="E52" s="209"/>
      <c r="F52" s="73">
        <v>3</v>
      </c>
      <c r="G52" s="206">
        <f t="shared" si="1"/>
        <v>3</v>
      </c>
      <c r="H52" s="462"/>
      <c r="I52" s="462"/>
      <c r="J52" s="91" t="s">
        <v>1245</v>
      </c>
      <c r="K52" s="73" t="s">
        <v>2360</v>
      </c>
      <c r="L52" s="91" t="s">
        <v>1810</v>
      </c>
      <c r="M52" s="210" t="s">
        <v>2205</v>
      </c>
      <c r="N52" s="91"/>
    </row>
    <row r="53" spans="1:14" ht="38.25">
      <c r="A53" s="167">
        <v>7</v>
      </c>
      <c r="B53" s="93" t="s">
        <v>2372</v>
      </c>
      <c r="C53" s="91" t="s">
        <v>2373</v>
      </c>
      <c r="D53" s="91">
        <v>2020</v>
      </c>
      <c r="E53" s="73"/>
      <c r="F53" s="73">
        <v>3</v>
      </c>
      <c r="G53" s="206">
        <f t="shared" si="1"/>
        <v>3</v>
      </c>
      <c r="H53" s="158">
        <v>6150000</v>
      </c>
      <c r="I53" s="158">
        <v>18450000</v>
      </c>
      <c r="J53" s="91" t="s">
        <v>1245</v>
      </c>
      <c r="K53" s="73" t="s">
        <v>2360</v>
      </c>
      <c r="L53" s="91" t="s">
        <v>1810</v>
      </c>
      <c r="M53" s="91"/>
      <c r="N53" s="91"/>
    </row>
    <row r="54" spans="1:14" ht="51">
      <c r="A54" s="167">
        <v>8</v>
      </c>
      <c r="B54" s="93" t="s">
        <v>2374</v>
      </c>
      <c r="C54" s="91" t="s">
        <v>2375</v>
      </c>
      <c r="D54" s="91">
        <v>2020</v>
      </c>
      <c r="E54" s="73"/>
      <c r="F54" s="73">
        <v>5</v>
      </c>
      <c r="G54" s="206">
        <f t="shared" si="1"/>
        <v>5</v>
      </c>
      <c r="H54" s="158">
        <v>5510000</v>
      </c>
      <c r="I54" s="158">
        <v>27550000</v>
      </c>
      <c r="J54" s="91" t="s">
        <v>1245</v>
      </c>
      <c r="K54" s="73" t="s">
        <v>2360</v>
      </c>
      <c r="L54" s="91" t="s">
        <v>1810</v>
      </c>
      <c r="M54" s="91"/>
      <c r="N54" s="91"/>
    </row>
    <row r="55" spans="1:14" ht="25.5">
      <c r="A55" s="167">
        <v>9</v>
      </c>
      <c r="B55" s="93" t="s">
        <v>2376</v>
      </c>
      <c r="C55" s="91"/>
      <c r="D55" s="91"/>
      <c r="E55" s="73"/>
      <c r="F55" s="73">
        <v>3</v>
      </c>
      <c r="G55" s="206">
        <f t="shared" si="1"/>
        <v>3</v>
      </c>
      <c r="H55" s="462"/>
      <c r="I55" s="462"/>
      <c r="J55" s="91" t="s">
        <v>1245</v>
      </c>
      <c r="K55" s="73" t="s">
        <v>2360</v>
      </c>
      <c r="L55" s="91" t="s">
        <v>1810</v>
      </c>
      <c r="M55" s="91" t="s">
        <v>54</v>
      </c>
      <c r="N55" s="91"/>
    </row>
    <row r="56" spans="1:14" ht="20.100000000000001" customHeight="1">
      <c r="A56" s="211"/>
      <c r="B56" s="212" t="s">
        <v>2377</v>
      </c>
      <c r="C56" s="277"/>
      <c r="D56" s="213"/>
      <c r="E56" s="73"/>
      <c r="F56" s="73"/>
      <c r="G56" s="279"/>
      <c r="H56" s="463"/>
      <c r="I56" s="463"/>
      <c r="J56" s="214"/>
      <c r="K56" s="279"/>
      <c r="L56" s="279"/>
      <c r="M56" s="91"/>
      <c r="N56" s="91"/>
    </row>
    <row r="57" spans="1:14" ht="20.100000000000001" customHeight="1">
      <c r="A57" s="215"/>
      <c r="B57" s="216" t="s">
        <v>2378</v>
      </c>
      <c r="C57" s="279"/>
      <c r="D57" s="91"/>
      <c r="E57" s="73"/>
      <c r="F57" s="73"/>
      <c r="G57" s="279"/>
      <c r="H57" s="463"/>
      <c r="I57" s="463"/>
      <c r="J57" s="93"/>
      <c r="K57" s="91"/>
      <c r="L57" s="91"/>
      <c r="M57" s="91"/>
      <c r="N57" s="153"/>
    </row>
    <row r="58" spans="1:14" ht="25.5">
      <c r="A58" s="167">
        <v>1</v>
      </c>
      <c r="B58" s="93" t="s">
        <v>896</v>
      </c>
      <c r="C58" s="91" t="s">
        <v>2379</v>
      </c>
      <c r="D58" s="91">
        <v>2022</v>
      </c>
      <c r="E58" s="73">
        <v>1</v>
      </c>
      <c r="F58" s="73">
        <v>1</v>
      </c>
      <c r="G58" s="206">
        <f>F58-E58</f>
        <v>0</v>
      </c>
      <c r="H58" s="462"/>
      <c r="I58" s="462"/>
      <c r="J58" s="91" t="s">
        <v>1245</v>
      </c>
      <c r="K58" s="91" t="s">
        <v>2288</v>
      </c>
      <c r="L58" s="91" t="s">
        <v>641</v>
      </c>
      <c r="M58" s="91" t="s">
        <v>2322</v>
      </c>
      <c r="N58" s="153"/>
    </row>
    <row r="59" spans="1:14" ht="25.5">
      <c r="A59" s="167">
        <v>2</v>
      </c>
      <c r="B59" s="93" t="s">
        <v>2380</v>
      </c>
      <c r="C59" s="91" t="s">
        <v>2381</v>
      </c>
      <c r="D59" s="91">
        <v>2022</v>
      </c>
      <c r="E59" s="73">
        <v>1</v>
      </c>
      <c r="F59" s="73">
        <v>1</v>
      </c>
      <c r="G59" s="206">
        <f t="shared" ref="G59:G67" si="2">F59-E59</f>
        <v>0</v>
      </c>
      <c r="H59" s="462"/>
      <c r="I59" s="462"/>
      <c r="J59" s="91" t="s">
        <v>1245</v>
      </c>
      <c r="K59" s="91" t="s">
        <v>2382</v>
      </c>
      <c r="L59" s="91" t="s">
        <v>641</v>
      </c>
      <c r="M59" s="91" t="s">
        <v>2322</v>
      </c>
      <c r="N59" s="153"/>
    </row>
    <row r="60" spans="1:14" s="217" customFormat="1" ht="25.5">
      <c r="A60" s="167">
        <v>3</v>
      </c>
      <c r="B60" s="93" t="s">
        <v>2383</v>
      </c>
      <c r="C60" s="91" t="s">
        <v>2384</v>
      </c>
      <c r="D60" s="91"/>
      <c r="E60" s="91">
        <v>1</v>
      </c>
      <c r="F60" s="91">
        <v>1</v>
      </c>
      <c r="G60" s="206">
        <f t="shared" si="2"/>
        <v>0</v>
      </c>
      <c r="H60" s="89">
        <v>515000</v>
      </c>
      <c r="I60" s="89">
        <v>515000</v>
      </c>
      <c r="J60" s="91" t="s">
        <v>1245</v>
      </c>
      <c r="K60" s="155" t="s">
        <v>2385</v>
      </c>
      <c r="L60" s="91" t="s">
        <v>641</v>
      </c>
      <c r="M60" s="91" t="s">
        <v>2275</v>
      </c>
      <c r="N60" s="153" t="s">
        <v>2386</v>
      </c>
    </row>
    <row r="61" spans="1:14" s="217" customFormat="1" ht="51">
      <c r="A61" s="167">
        <v>4</v>
      </c>
      <c r="B61" s="93" t="s">
        <v>2383</v>
      </c>
      <c r="C61" s="91" t="s">
        <v>2387</v>
      </c>
      <c r="D61" s="91"/>
      <c r="E61" s="91">
        <v>3</v>
      </c>
      <c r="F61" s="91">
        <v>3</v>
      </c>
      <c r="G61" s="206">
        <f t="shared" si="2"/>
        <v>0</v>
      </c>
      <c r="H61" s="89">
        <v>515000</v>
      </c>
      <c r="I61" s="89">
        <v>1545000</v>
      </c>
      <c r="J61" s="91" t="s">
        <v>1245</v>
      </c>
      <c r="K61" s="155" t="s">
        <v>2388</v>
      </c>
      <c r="L61" s="91" t="s">
        <v>641</v>
      </c>
      <c r="M61" s="91" t="s">
        <v>2275</v>
      </c>
      <c r="N61" s="153" t="s">
        <v>2389</v>
      </c>
    </row>
    <row r="62" spans="1:14" s="217" customFormat="1" ht="38.25">
      <c r="A62" s="167">
        <v>5</v>
      </c>
      <c r="B62" s="218" t="s">
        <v>2390</v>
      </c>
      <c r="C62" s="198" t="s">
        <v>2391</v>
      </c>
      <c r="D62" s="91">
        <v>2015</v>
      </c>
      <c r="E62" s="91">
        <v>2</v>
      </c>
      <c r="F62" s="91">
        <v>2</v>
      </c>
      <c r="G62" s="206">
        <f t="shared" si="2"/>
        <v>0</v>
      </c>
      <c r="H62" s="89">
        <v>16676000</v>
      </c>
      <c r="I62" s="464">
        <v>33352000</v>
      </c>
      <c r="J62" s="91" t="s">
        <v>1245</v>
      </c>
      <c r="K62" s="91" t="s">
        <v>641</v>
      </c>
      <c r="L62" s="91" t="s">
        <v>641</v>
      </c>
      <c r="M62" s="155" t="s">
        <v>2392</v>
      </c>
      <c r="N62" s="153"/>
    </row>
    <row r="63" spans="1:14" ht="38.25">
      <c r="A63" s="167">
        <v>6</v>
      </c>
      <c r="B63" s="218" t="s">
        <v>2354</v>
      </c>
      <c r="C63" s="198" t="s">
        <v>2393</v>
      </c>
      <c r="D63" s="167">
        <v>2018</v>
      </c>
      <c r="E63" s="91">
        <v>2</v>
      </c>
      <c r="F63" s="73">
        <v>2</v>
      </c>
      <c r="G63" s="206">
        <f t="shared" si="2"/>
        <v>0</v>
      </c>
      <c r="H63" s="89">
        <v>16600000</v>
      </c>
      <c r="I63" s="89">
        <v>33200000</v>
      </c>
      <c r="J63" s="91" t="s">
        <v>1245</v>
      </c>
      <c r="K63" s="91" t="s">
        <v>2351</v>
      </c>
      <c r="L63" s="91" t="s">
        <v>641</v>
      </c>
      <c r="M63" s="155" t="s">
        <v>2392</v>
      </c>
      <c r="N63" s="153"/>
    </row>
    <row r="64" spans="1:14" ht="38.25">
      <c r="A64" s="167">
        <v>7</v>
      </c>
      <c r="B64" s="218" t="s">
        <v>2354</v>
      </c>
      <c r="C64" s="198" t="s">
        <v>2394</v>
      </c>
      <c r="D64" s="167">
        <v>2019</v>
      </c>
      <c r="E64" s="91">
        <v>1</v>
      </c>
      <c r="F64" s="91">
        <v>1</v>
      </c>
      <c r="G64" s="206">
        <f t="shared" si="2"/>
        <v>0</v>
      </c>
      <c r="H64" s="89">
        <v>500000</v>
      </c>
      <c r="I64" s="89">
        <v>500000</v>
      </c>
      <c r="J64" s="91" t="s">
        <v>1245</v>
      </c>
      <c r="K64" s="91" t="s">
        <v>2351</v>
      </c>
      <c r="L64" s="91" t="s">
        <v>641</v>
      </c>
      <c r="M64" s="155" t="s">
        <v>2392</v>
      </c>
      <c r="N64" s="153"/>
    </row>
    <row r="65" spans="1:14" ht="38.25">
      <c r="A65" s="167">
        <v>8</v>
      </c>
      <c r="B65" s="218" t="s">
        <v>2354</v>
      </c>
      <c r="C65" s="198" t="s">
        <v>2394</v>
      </c>
      <c r="D65" s="167">
        <v>2019</v>
      </c>
      <c r="E65" s="91">
        <v>1</v>
      </c>
      <c r="F65" s="91">
        <v>1</v>
      </c>
      <c r="G65" s="206">
        <f t="shared" si="2"/>
        <v>0</v>
      </c>
      <c r="H65" s="89">
        <v>500000</v>
      </c>
      <c r="I65" s="89">
        <v>500000</v>
      </c>
      <c r="J65" s="91" t="s">
        <v>1245</v>
      </c>
      <c r="K65" s="91" t="s">
        <v>2351</v>
      </c>
      <c r="L65" s="91" t="s">
        <v>641</v>
      </c>
      <c r="M65" s="155" t="s">
        <v>2392</v>
      </c>
      <c r="N65" s="153"/>
    </row>
    <row r="66" spans="1:14" ht="38.25">
      <c r="A66" s="167">
        <v>9</v>
      </c>
      <c r="B66" s="153" t="s">
        <v>2395</v>
      </c>
      <c r="C66" s="198" t="s">
        <v>2396</v>
      </c>
      <c r="D66" s="167">
        <v>2011</v>
      </c>
      <c r="E66" s="91">
        <v>1</v>
      </c>
      <c r="F66" s="91">
        <v>1</v>
      </c>
      <c r="G66" s="206">
        <f t="shared" si="2"/>
        <v>0</v>
      </c>
      <c r="H66" s="219">
        <v>5909090</v>
      </c>
      <c r="I66" s="219">
        <v>5909090</v>
      </c>
      <c r="J66" s="91" t="s">
        <v>1245</v>
      </c>
      <c r="K66" s="91" t="s">
        <v>2351</v>
      </c>
      <c r="L66" s="91" t="s">
        <v>641</v>
      </c>
      <c r="M66" s="155" t="s">
        <v>2392</v>
      </c>
      <c r="N66" s="153"/>
    </row>
    <row r="67" spans="1:14" ht="38.25">
      <c r="A67" s="167">
        <v>10</v>
      </c>
      <c r="B67" s="153" t="s">
        <v>1757</v>
      </c>
      <c r="C67" s="198" t="s">
        <v>2397</v>
      </c>
      <c r="D67" s="167"/>
      <c r="E67" s="73">
        <v>1</v>
      </c>
      <c r="F67" s="73">
        <v>1</v>
      </c>
      <c r="G67" s="206">
        <f t="shared" si="2"/>
        <v>0</v>
      </c>
      <c r="H67" s="73"/>
      <c r="I67" s="73"/>
      <c r="J67" s="91" t="s">
        <v>1245</v>
      </c>
      <c r="K67" s="91" t="s">
        <v>2351</v>
      </c>
      <c r="L67" s="91" t="s">
        <v>641</v>
      </c>
      <c r="M67" s="155" t="s">
        <v>2392</v>
      </c>
      <c r="N67" s="73"/>
    </row>
    <row r="68" spans="1:14" ht="20.100000000000001" customHeight="1">
      <c r="A68" s="91"/>
      <c r="B68" s="202" t="s">
        <v>2357</v>
      </c>
      <c r="C68" s="93"/>
      <c r="D68" s="91"/>
      <c r="E68" s="153"/>
      <c r="F68" s="73"/>
      <c r="G68" s="203"/>
      <c r="H68" s="203"/>
      <c r="I68" s="203"/>
      <c r="J68" s="155"/>
      <c r="K68" s="91"/>
      <c r="L68" s="91"/>
      <c r="M68" s="91"/>
      <c r="N68" s="153"/>
    </row>
    <row r="69" spans="1:14" ht="25.5">
      <c r="A69" s="167">
        <v>1</v>
      </c>
      <c r="B69" s="207" t="s">
        <v>2398</v>
      </c>
      <c r="C69" s="91" t="s">
        <v>2399</v>
      </c>
      <c r="D69" s="220"/>
      <c r="E69" s="205"/>
      <c r="F69" s="73">
        <v>1</v>
      </c>
      <c r="G69" s="206">
        <f>F69-E69</f>
        <v>1</v>
      </c>
      <c r="H69" s="203"/>
      <c r="I69" s="203"/>
      <c r="J69" s="91" t="s">
        <v>1245</v>
      </c>
      <c r="K69" s="73" t="s">
        <v>2360</v>
      </c>
      <c r="L69" s="91" t="s">
        <v>1810</v>
      </c>
      <c r="M69" s="91" t="s">
        <v>54</v>
      </c>
      <c r="N69" s="153"/>
    </row>
    <row r="70" spans="1:14" ht="25.5">
      <c r="A70" s="167">
        <v>2</v>
      </c>
      <c r="B70" s="207" t="s">
        <v>2400</v>
      </c>
      <c r="C70" s="91" t="s">
        <v>1244</v>
      </c>
      <c r="D70" s="220"/>
      <c r="E70" s="205"/>
      <c r="F70" s="73">
        <v>1</v>
      </c>
      <c r="G70" s="206">
        <f t="shared" ref="G70:G72" si="3">F70-E70</f>
        <v>1</v>
      </c>
      <c r="H70" s="203"/>
      <c r="I70" s="203"/>
      <c r="J70" s="91" t="s">
        <v>1245</v>
      </c>
      <c r="K70" s="73" t="s">
        <v>2360</v>
      </c>
      <c r="L70" s="91" t="s">
        <v>1810</v>
      </c>
      <c r="M70" s="91" t="s">
        <v>54</v>
      </c>
      <c r="N70" s="153"/>
    </row>
    <row r="71" spans="1:14" ht="25.5">
      <c r="A71" s="167">
        <v>3</v>
      </c>
      <c r="B71" s="207" t="s">
        <v>2401</v>
      </c>
      <c r="C71" s="91" t="s">
        <v>2402</v>
      </c>
      <c r="D71" s="220"/>
      <c r="E71" s="205"/>
      <c r="F71" s="73">
        <v>3</v>
      </c>
      <c r="G71" s="206">
        <f t="shared" si="3"/>
        <v>3</v>
      </c>
      <c r="H71" s="203"/>
      <c r="I71" s="203"/>
      <c r="J71" s="91" t="s">
        <v>1245</v>
      </c>
      <c r="K71" s="73" t="s">
        <v>2360</v>
      </c>
      <c r="L71" s="91" t="s">
        <v>1810</v>
      </c>
      <c r="M71" s="91" t="s">
        <v>54</v>
      </c>
      <c r="N71" s="153"/>
    </row>
    <row r="72" spans="1:14" ht="25.5">
      <c r="A72" s="167">
        <v>4</v>
      </c>
      <c r="B72" s="207" t="s">
        <v>2403</v>
      </c>
      <c r="C72" s="91" t="s">
        <v>2404</v>
      </c>
      <c r="D72" s="220"/>
      <c r="E72" s="205"/>
      <c r="F72" s="73">
        <v>1</v>
      </c>
      <c r="G72" s="206">
        <f t="shared" si="3"/>
        <v>1</v>
      </c>
      <c r="H72" s="203"/>
      <c r="I72" s="203"/>
      <c r="J72" s="91" t="s">
        <v>1245</v>
      </c>
      <c r="K72" s="73" t="s">
        <v>2360</v>
      </c>
      <c r="L72" s="91" t="s">
        <v>1810</v>
      </c>
      <c r="M72" s="91" t="s">
        <v>54</v>
      </c>
      <c r="N72" s="153"/>
    </row>
    <row r="73" spans="1:14" s="221" customFormat="1" ht="20.100000000000001" customHeight="1">
      <c r="A73" s="202"/>
      <c r="B73" s="505" t="s">
        <v>832</v>
      </c>
      <c r="C73" s="506"/>
      <c r="D73" s="506"/>
      <c r="E73" s="506"/>
      <c r="F73" s="506"/>
      <c r="G73" s="506"/>
      <c r="H73" s="506"/>
      <c r="I73" s="506"/>
      <c r="J73" s="506"/>
      <c r="K73" s="506"/>
      <c r="L73" s="506"/>
      <c r="M73" s="506"/>
      <c r="N73" s="507"/>
    </row>
    <row r="74" spans="1:14" ht="25.5">
      <c r="A74" s="91">
        <v>1</v>
      </c>
      <c r="B74" s="160" t="s">
        <v>2405</v>
      </c>
      <c r="C74" s="161" t="s">
        <v>2406</v>
      </c>
      <c r="D74" s="222" t="s">
        <v>2407</v>
      </c>
      <c r="E74" s="161">
        <v>1</v>
      </c>
      <c r="F74" s="161">
        <v>1</v>
      </c>
      <c r="G74" s="91">
        <f>F74-E74</f>
        <v>0</v>
      </c>
      <c r="H74" s="162">
        <v>135068000</v>
      </c>
      <c r="I74" s="162">
        <v>135068000</v>
      </c>
      <c r="J74" s="91" t="s">
        <v>1245</v>
      </c>
      <c r="K74" s="91" t="s">
        <v>1456</v>
      </c>
      <c r="L74" s="91" t="s">
        <v>641</v>
      </c>
      <c r="M74" s="91"/>
      <c r="N74" s="91"/>
    </row>
    <row r="75" spans="1:14" ht="25.5">
      <c r="A75" s="91">
        <v>2</v>
      </c>
      <c r="B75" s="160" t="s">
        <v>2408</v>
      </c>
      <c r="C75" s="161" t="s">
        <v>2409</v>
      </c>
      <c r="D75" s="222" t="s">
        <v>2410</v>
      </c>
      <c r="E75" s="161">
        <v>1</v>
      </c>
      <c r="F75" s="161">
        <v>1</v>
      </c>
      <c r="G75" s="91">
        <f t="shared" ref="G75:G98" si="4">F75-E75</f>
        <v>0</v>
      </c>
      <c r="H75" s="162">
        <v>124777000</v>
      </c>
      <c r="I75" s="162">
        <v>124777000</v>
      </c>
      <c r="J75" s="91" t="s">
        <v>1245</v>
      </c>
      <c r="K75" s="91" t="s">
        <v>1456</v>
      </c>
      <c r="L75" s="91" t="s">
        <v>641</v>
      </c>
      <c r="M75" s="91"/>
      <c r="N75" s="91"/>
    </row>
    <row r="76" spans="1:14" ht="25.5">
      <c r="A76" s="91">
        <v>3</v>
      </c>
      <c r="B76" s="160" t="s">
        <v>2411</v>
      </c>
      <c r="C76" s="161" t="s">
        <v>2412</v>
      </c>
      <c r="D76" s="222" t="s">
        <v>2410</v>
      </c>
      <c r="E76" s="161">
        <v>1</v>
      </c>
      <c r="F76" s="161">
        <v>1</v>
      </c>
      <c r="G76" s="91">
        <f t="shared" si="4"/>
        <v>0</v>
      </c>
      <c r="H76" s="162">
        <v>147653000</v>
      </c>
      <c r="I76" s="162">
        <v>147653000</v>
      </c>
      <c r="J76" s="91" t="s">
        <v>1245</v>
      </c>
      <c r="K76" s="91" t="s">
        <v>1456</v>
      </c>
      <c r="L76" s="91" t="s">
        <v>641</v>
      </c>
      <c r="M76" s="91"/>
      <c r="N76" s="91"/>
    </row>
    <row r="77" spans="1:14" ht="25.5">
      <c r="A77" s="91">
        <v>4</v>
      </c>
      <c r="B77" s="160" t="s">
        <v>2413</v>
      </c>
      <c r="C77" s="161" t="s">
        <v>2414</v>
      </c>
      <c r="D77" s="222" t="s">
        <v>2415</v>
      </c>
      <c r="E77" s="161">
        <v>1</v>
      </c>
      <c r="F77" s="161">
        <v>1</v>
      </c>
      <c r="G77" s="91">
        <f t="shared" si="4"/>
        <v>0</v>
      </c>
      <c r="H77" s="162">
        <v>25340000</v>
      </c>
      <c r="I77" s="162">
        <v>25340000</v>
      </c>
      <c r="J77" s="91" t="s">
        <v>1245</v>
      </c>
      <c r="K77" s="91" t="s">
        <v>1456</v>
      </c>
      <c r="L77" s="91" t="s">
        <v>641</v>
      </c>
      <c r="M77" s="91"/>
      <c r="N77" s="91"/>
    </row>
    <row r="78" spans="1:14" ht="25.5">
      <c r="A78" s="91">
        <v>5</v>
      </c>
      <c r="B78" s="160" t="s">
        <v>2416</v>
      </c>
      <c r="C78" s="161" t="s">
        <v>2417</v>
      </c>
      <c r="D78" s="222" t="s">
        <v>2407</v>
      </c>
      <c r="E78" s="161">
        <v>1</v>
      </c>
      <c r="F78" s="161">
        <v>1</v>
      </c>
      <c r="G78" s="91">
        <f t="shared" si="4"/>
        <v>0</v>
      </c>
      <c r="H78" s="162">
        <v>10780000</v>
      </c>
      <c r="I78" s="162">
        <v>10780000</v>
      </c>
      <c r="J78" s="91" t="s">
        <v>1245</v>
      </c>
      <c r="K78" s="91" t="s">
        <v>1456</v>
      </c>
      <c r="L78" s="91" t="s">
        <v>641</v>
      </c>
      <c r="M78" s="91"/>
      <c r="N78" s="91"/>
    </row>
    <row r="79" spans="1:14" ht="25.5">
      <c r="A79" s="91">
        <v>6</v>
      </c>
      <c r="B79" s="160" t="s">
        <v>2418</v>
      </c>
      <c r="C79" s="161" t="s">
        <v>2419</v>
      </c>
      <c r="D79" s="222" t="s">
        <v>2410</v>
      </c>
      <c r="E79" s="161">
        <v>1</v>
      </c>
      <c r="F79" s="161">
        <v>1</v>
      </c>
      <c r="G79" s="91">
        <f t="shared" si="4"/>
        <v>0</v>
      </c>
      <c r="H79" s="162">
        <v>41592000</v>
      </c>
      <c r="I79" s="162">
        <v>41592000</v>
      </c>
      <c r="J79" s="91" t="s">
        <v>1245</v>
      </c>
      <c r="K79" s="91" t="s">
        <v>1456</v>
      </c>
      <c r="L79" s="91" t="s">
        <v>641</v>
      </c>
      <c r="M79" s="91"/>
      <c r="N79" s="91"/>
    </row>
    <row r="80" spans="1:14" ht="25.5">
      <c r="A80" s="91">
        <v>7</v>
      </c>
      <c r="B80" s="160" t="s">
        <v>851</v>
      </c>
      <c r="C80" s="161" t="s">
        <v>2420</v>
      </c>
      <c r="D80" s="222" t="s">
        <v>2421</v>
      </c>
      <c r="E80" s="161">
        <v>1</v>
      </c>
      <c r="F80" s="161">
        <v>1</v>
      </c>
      <c r="G80" s="91">
        <f t="shared" si="4"/>
        <v>0</v>
      </c>
      <c r="H80" s="162">
        <v>42809228</v>
      </c>
      <c r="I80" s="162">
        <v>42809228</v>
      </c>
      <c r="J80" s="91" t="s">
        <v>1245</v>
      </c>
      <c r="K80" s="91" t="s">
        <v>1456</v>
      </c>
      <c r="L80" s="91" t="s">
        <v>641</v>
      </c>
      <c r="M80" s="91"/>
      <c r="N80" s="91"/>
    </row>
    <row r="81" spans="1:14" ht="25.5">
      <c r="A81" s="91">
        <v>8</v>
      </c>
      <c r="B81" s="160" t="s">
        <v>851</v>
      </c>
      <c r="C81" s="161" t="s">
        <v>2422</v>
      </c>
      <c r="D81" s="222" t="s">
        <v>2407</v>
      </c>
      <c r="E81" s="161">
        <v>1</v>
      </c>
      <c r="F81" s="161">
        <v>1</v>
      </c>
      <c r="G81" s="91">
        <f t="shared" si="4"/>
        <v>0</v>
      </c>
      <c r="H81" s="162">
        <v>119265000</v>
      </c>
      <c r="I81" s="162">
        <v>119265000</v>
      </c>
      <c r="J81" s="91" t="s">
        <v>1245</v>
      </c>
      <c r="K81" s="91" t="s">
        <v>1456</v>
      </c>
      <c r="L81" s="91" t="s">
        <v>641</v>
      </c>
      <c r="M81" s="91"/>
      <c r="N81" s="91"/>
    </row>
    <row r="82" spans="1:14" ht="25.5">
      <c r="A82" s="91">
        <v>9</v>
      </c>
      <c r="B82" s="160" t="s">
        <v>851</v>
      </c>
      <c r="C82" s="161" t="s">
        <v>2423</v>
      </c>
      <c r="D82" s="222" t="s">
        <v>2421</v>
      </c>
      <c r="E82" s="161">
        <v>1</v>
      </c>
      <c r="F82" s="161">
        <v>1</v>
      </c>
      <c r="G82" s="91">
        <f t="shared" si="4"/>
        <v>0</v>
      </c>
      <c r="H82" s="162">
        <v>42809228</v>
      </c>
      <c r="I82" s="162">
        <v>42809228</v>
      </c>
      <c r="J82" s="91" t="s">
        <v>1245</v>
      </c>
      <c r="K82" s="91" t="s">
        <v>1456</v>
      </c>
      <c r="L82" s="91" t="s">
        <v>95</v>
      </c>
      <c r="M82" s="91"/>
      <c r="N82" s="91" t="s">
        <v>946</v>
      </c>
    </row>
    <row r="83" spans="1:14" ht="25.5">
      <c r="A83" s="91">
        <v>10</v>
      </c>
      <c r="B83" s="160" t="s">
        <v>851</v>
      </c>
      <c r="C83" s="161" t="s">
        <v>2424</v>
      </c>
      <c r="D83" s="222" t="s">
        <v>2407</v>
      </c>
      <c r="E83" s="161">
        <v>1</v>
      </c>
      <c r="F83" s="161">
        <v>1</v>
      </c>
      <c r="G83" s="91">
        <f t="shared" si="4"/>
        <v>0</v>
      </c>
      <c r="H83" s="162">
        <v>119265000</v>
      </c>
      <c r="I83" s="162">
        <v>119265000</v>
      </c>
      <c r="J83" s="91" t="s">
        <v>1245</v>
      </c>
      <c r="K83" s="91" t="s">
        <v>1456</v>
      </c>
      <c r="L83" s="91" t="s">
        <v>641</v>
      </c>
      <c r="M83" s="91"/>
      <c r="N83" s="91"/>
    </row>
    <row r="84" spans="1:14" ht="25.5">
      <c r="A84" s="91">
        <v>11</v>
      </c>
      <c r="B84" s="160" t="s">
        <v>851</v>
      </c>
      <c r="C84" s="161" t="s">
        <v>2425</v>
      </c>
      <c r="D84" s="222" t="s">
        <v>2426</v>
      </c>
      <c r="E84" s="161">
        <v>1</v>
      </c>
      <c r="F84" s="161">
        <v>1</v>
      </c>
      <c r="G84" s="91">
        <f t="shared" si="4"/>
        <v>0</v>
      </c>
      <c r="H84" s="162">
        <v>42809228</v>
      </c>
      <c r="I84" s="162">
        <v>42809228</v>
      </c>
      <c r="J84" s="91" t="s">
        <v>1245</v>
      </c>
      <c r="K84" s="91" t="s">
        <v>1456</v>
      </c>
      <c r="L84" s="91" t="s">
        <v>641</v>
      </c>
      <c r="M84" s="91"/>
      <c r="N84" s="91"/>
    </row>
    <row r="85" spans="1:14" ht="25.5">
      <c r="A85" s="91">
        <v>12</v>
      </c>
      <c r="B85" s="160" t="s">
        <v>851</v>
      </c>
      <c r="C85" s="161" t="s">
        <v>2427</v>
      </c>
      <c r="D85" s="222" t="s">
        <v>2415</v>
      </c>
      <c r="E85" s="161">
        <v>1</v>
      </c>
      <c r="F85" s="161">
        <v>1</v>
      </c>
      <c r="G85" s="91">
        <f t="shared" si="4"/>
        <v>0</v>
      </c>
      <c r="H85" s="162">
        <v>119265000</v>
      </c>
      <c r="I85" s="162">
        <v>119265000</v>
      </c>
      <c r="J85" s="91" t="s">
        <v>1245</v>
      </c>
      <c r="K85" s="91" t="s">
        <v>1456</v>
      </c>
      <c r="L85" s="91" t="s">
        <v>641</v>
      </c>
      <c r="M85" s="91"/>
      <c r="N85" s="91"/>
    </row>
    <row r="86" spans="1:14" ht="25.5">
      <c r="A86" s="91">
        <v>13</v>
      </c>
      <c r="B86" s="160" t="s">
        <v>2317</v>
      </c>
      <c r="C86" s="161" t="s">
        <v>2428</v>
      </c>
      <c r="D86" s="222" t="s">
        <v>875</v>
      </c>
      <c r="E86" s="161">
        <v>1</v>
      </c>
      <c r="F86" s="161">
        <v>1</v>
      </c>
      <c r="G86" s="91">
        <f t="shared" si="4"/>
        <v>0</v>
      </c>
      <c r="H86" s="162">
        <v>44420000</v>
      </c>
      <c r="I86" s="162">
        <v>44420000</v>
      </c>
      <c r="J86" s="91" t="s">
        <v>1245</v>
      </c>
      <c r="K86" s="91" t="s">
        <v>1456</v>
      </c>
      <c r="L86" s="91" t="s">
        <v>641</v>
      </c>
      <c r="M86" s="91"/>
      <c r="N86" s="91"/>
    </row>
    <row r="87" spans="1:14" ht="25.5">
      <c r="A87" s="91">
        <v>14</v>
      </c>
      <c r="B87" s="160" t="s">
        <v>2429</v>
      </c>
      <c r="C87" s="161" t="s">
        <v>2430</v>
      </c>
      <c r="D87" s="222">
        <v>1998</v>
      </c>
      <c r="E87" s="161">
        <v>1</v>
      </c>
      <c r="F87" s="161">
        <v>1</v>
      </c>
      <c r="G87" s="91">
        <f t="shared" si="4"/>
        <v>0</v>
      </c>
      <c r="H87" s="162">
        <v>18964500</v>
      </c>
      <c r="I87" s="162">
        <v>18964500</v>
      </c>
      <c r="J87" s="91" t="s">
        <v>1245</v>
      </c>
      <c r="K87" s="91" t="s">
        <v>1456</v>
      </c>
      <c r="L87" s="91" t="s">
        <v>95</v>
      </c>
      <c r="M87" s="91"/>
      <c r="N87" s="91" t="s">
        <v>946</v>
      </c>
    </row>
    <row r="88" spans="1:14" ht="63.75">
      <c r="A88" s="91">
        <v>15</v>
      </c>
      <c r="B88" s="160" t="s">
        <v>2431</v>
      </c>
      <c r="C88" s="161" t="s">
        <v>2432</v>
      </c>
      <c r="D88" s="222" t="s">
        <v>1881</v>
      </c>
      <c r="E88" s="161">
        <v>1</v>
      </c>
      <c r="F88" s="161">
        <v>1</v>
      </c>
      <c r="G88" s="91">
        <f t="shared" si="4"/>
        <v>0</v>
      </c>
      <c r="H88" s="162">
        <v>127100000</v>
      </c>
      <c r="I88" s="162">
        <v>127100000</v>
      </c>
      <c r="J88" s="91" t="s">
        <v>1245</v>
      </c>
      <c r="K88" s="91" t="s">
        <v>1456</v>
      </c>
      <c r="L88" s="91" t="s">
        <v>641</v>
      </c>
      <c r="M88" s="91"/>
      <c r="N88" s="91"/>
    </row>
    <row r="89" spans="1:14" ht="63.75">
      <c r="A89" s="91">
        <v>16</v>
      </c>
      <c r="B89" s="160" t="s">
        <v>2431</v>
      </c>
      <c r="C89" s="161" t="s">
        <v>2433</v>
      </c>
      <c r="D89" s="222" t="s">
        <v>1881</v>
      </c>
      <c r="E89" s="161">
        <v>1</v>
      </c>
      <c r="F89" s="161">
        <v>1</v>
      </c>
      <c r="G89" s="91">
        <f t="shared" si="4"/>
        <v>0</v>
      </c>
      <c r="H89" s="162">
        <v>127100000</v>
      </c>
      <c r="I89" s="162">
        <v>127100000</v>
      </c>
      <c r="J89" s="91" t="s">
        <v>1245</v>
      </c>
      <c r="K89" s="91" t="s">
        <v>1456</v>
      </c>
      <c r="L89" s="91" t="s">
        <v>641</v>
      </c>
      <c r="M89" s="91"/>
      <c r="N89" s="91"/>
    </row>
    <row r="90" spans="1:14" ht="63.75">
      <c r="A90" s="91">
        <v>17</v>
      </c>
      <c r="B90" s="160" t="s">
        <v>2431</v>
      </c>
      <c r="C90" s="161" t="s">
        <v>2434</v>
      </c>
      <c r="D90" s="222" t="s">
        <v>1881</v>
      </c>
      <c r="E90" s="161">
        <v>1</v>
      </c>
      <c r="F90" s="161">
        <v>1</v>
      </c>
      <c r="G90" s="91">
        <f t="shared" si="4"/>
        <v>0</v>
      </c>
      <c r="H90" s="162">
        <v>127100000</v>
      </c>
      <c r="I90" s="162">
        <v>127100000</v>
      </c>
      <c r="J90" s="91" t="s">
        <v>1245</v>
      </c>
      <c r="K90" s="91" t="s">
        <v>1456</v>
      </c>
      <c r="L90" s="91" t="s">
        <v>641</v>
      </c>
      <c r="M90" s="91"/>
      <c r="N90" s="91"/>
    </row>
    <row r="91" spans="1:14" ht="63.75">
      <c r="A91" s="91">
        <v>18</v>
      </c>
      <c r="B91" s="160" t="s">
        <v>2431</v>
      </c>
      <c r="C91" s="161" t="s">
        <v>2435</v>
      </c>
      <c r="D91" s="222" t="s">
        <v>1881</v>
      </c>
      <c r="E91" s="161">
        <v>1</v>
      </c>
      <c r="F91" s="161">
        <v>1</v>
      </c>
      <c r="G91" s="91">
        <f t="shared" si="4"/>
        <v>0</v>
      </c>
      <c r="H91" s="162">
        <v>127100000</v>
      </c>
      <c r="I91" s="162">
        <v>127100000</v>
      </c>
      <c r="J91" s="91" t="s">
        <v>1245</v>
      </c>
      <c r="K91" s="91" t="s">
        <v>1456</v>
      </c>
      <c r="L91" s="91" t="s">
        <v>641</v>
      </c>
      <c r="M91" s="91"/>
      <c r="N91" s="91"/>
    </row>
    <row r="92" spans="1:14" ht="25.5">
      <c r="A92" s="91">
        <v>19</v>
      </c>
      <c r="B92" s="223" t="s">
        <v>2436</v>
      </c>
      <c r="C92" s="224" t="s">
        <v>2437</v>
      </c>
      <c r="D92" s="225">
        <v>2022</v>
      </c>
      <c r="E92" s="225">
        <v>1</v>
      </c>
      <c r="F92" s="225">
        <v>1</v>
      </c>
      <c r="G92" s="91">
        <f t="shared" si="4"/>
        <v>0</v>
      </c>
      <c r="H92" s="162">
        <v>74373678</v>
      </c>
      <c r="I92" s="162">
        <v>74373678</v>
      </c>
      <c r="J92" s="91" t="s">
        <v>1245</v>
      </c>
      <c r="K92" s="91" t="s">
        <v>1456</v>
      </c>
      <c r="L92" s="91" t="s">
        <v>641</v>
      </c>
      <c r="M92" s="91"/>
      <c r="N92" s="91"/>
    </row>
    <row r="93" spans="1:14" ht="38.25">
      <c r="A93" s="91">
        <v>20</v>
      </c>
      <c r="B93" s="223" t="s">
        <v>2438</v>
      </c>
      <c r="C93" s="224" t="s">
        <v>2439</v>
      </c>
      <c r="D93" s="225">
        <v>2022</v>
      </c>
      <c r="E93" s="225">
        <v>1</v>
      </c>
      <c r="F93" s="225">
        <v>1</v>
      </c>
      <c r="G93" s="91">
        <f t="shared" si="4"/>
        <v>0</v>
      </c>
      <c r="H93" s="162">
        <v>96789276</v>
      </c>
      <c r="I93" s="162">
        <v>96789276</v>
      </c>
      <c r="J93" s="91" t="s">
        <v>1245</v>
      </c>
      <c r="K93" s="91" t="s">
        <v>1456</v>
      </c>
      <c r="L93" s="91" t="s">
        <v>641</v>
      </c>
      <c r="M93" s="91"/>
      <c r="N93" s="91"/>
    </row>
    <row r="94" spans="1:14" ht="38.25">
      <c r="A94" s="91">
        <v>21</v>
      </c>
      <c r="B94" s="223" t="s">
        <v>2440</v>
      </c>
      <c r="C94" s="224" t="s">
        <v>2441</v>
      </c>
      <c r="D94" s="225">
        <v>2022</v>
      </c>
      <c r="E94" s="225">
        <v>1</v>
      </c>
      <c r="F94" s="225">
        <v>1</v>
      </c>
      <c r="G94" s="91">
        <f t="shared" si="4"/>
        <v>0</v>
      </c>
      <c r="H94" s="162">
        <v>96789276</v>
      </c>
      <c r="I94" s="162">
        <v>96789276</v>
      </c>
      <c r="J94" s="91" t="s">
        <v>1245</v>
      </c>
      <c r="K94" s="91" t="s">
        <v>1456</v>
      </c>
      <c r="L94" s="91" t="s">
        <v>641</v>
      </c>
      <c r="M94" s="91"/>
      <c r="N94" s="91"/>
    </row>
    <row r="95" spans="1:14" ht="38.25">
      <c r="A95" s="91">
        <v>22</v>
      </c>
      <c r="B95" s="223" t="s">
        <v>2440</v>
      </c>
      <c r="C95" s="224" t="s">
        <v>2442</v>
      </c>
      <c r="D95" s="225">
        <v>2022</v>
      </c>
      <c r="E95" s="225">
        <v>1</v>
      </c>
      <c r="F95" s="225">
        <v>1</v>
      </c>
      <c r="G95" s="91">
        <f t="shared" si="4"/>
        <v>0</v>
      </c>
      <c r="H95" s="162">
        <v>96789276</v>
      </c>
      <c r="I95" s="162">
        <v>96789276</v>
      </c>
      <c r="J95" s="91" t="s">
        <v>1245</v>
      </c>
      <c r="K95" s="91" t="s">
        <v>1456</v>
      </c>
      <c r="L95" s="91" t="s">
        <v>641</v>
      </c>
      <c r="M95" s="91"/>
      <c r="N95" s="91"/>
    </row>
    <row r="96" spans="1:14" ht="25.5">
      <c r="A96" s="91">
        <v>23</v>
      </c>
      <c r="B96" s="223" t="s">
        <v>2443</v>
      </c>
      <c r="C96" s="224" t="s">
        <v>2444</v>
      </c>
      <c r="D96" s="225">
        <v>2022</v>
      </c>
      <c r="E96" s="225">
        <v>1</v>
      </c>
      <c r="F96" s="225">
        <v>1</v>
      </c>
      <c r="G96" s="91">
        <f t="shared" si="4"/>
        <v>0</v>
      </c>
      <c r="H96" s="162">
        <v>18282754</v>
      </c>
      <c r="I96" s="162">
        <v>18282754</v>
      </c>
      <c r="J96" s="91" t="s">
        <v>1245</v>
      </c>
      <c r="K96" s="91" t="s">
        <v>1456</v>
      </c>
      <c r="L96" s="91" t="s">
        <v>641</v>
      </c>
      <c r="M96" s="91"/>
      <c r="N96" s="91"/>
    </row>
    <row r="97" spans="1:14" ht="51">
      <c r="A97" s="91">
        <v>24</v>
      </c>
      <c r="B97" s="223" t="s">
        <v>2445</v>
      </c>
      <c r="C97" s="226" t="s">
        <v>2446</v>
      </c>
      <c r="D97" s="226">
        <v>2023</v>
      </c>
      <c r="E97" s="161">
        <v>1</v>
      </c>
      <c r="F97" s="161">
        <v>1</v>
      </c>
      <c r="G97" s="91">
        <f t="shared" si="4"/>
        <v>0</v>
      </c>
      <c r="H97" s="227">
        <v>115832366</v>
      </c>
      <c r="I97" s="227">
        <v>115832366</v>
      </c>
      <c r="J97" s="91" t="s">
        <v>1245</v>
      </c>
      <c r="K97" s="91" t="s">
        <v>1456</v>
      </c>
      <c r="L97" s="91" t="s">
        <v>641</v>
      </c>
      <c r="M97" s="91"/>
      <c r="N97" s="91"/>
    </row>
    <row r="98" spans="1:14" ht="51">
      <c r="A98" s="91">
        <v>25</v>
      </c>
      <c r="B98" s="223" t="s">
        <v>2447</v>
      </c>
      <c r="C98" s="226" t="s">
        <v>2448</v>
      </c>
      <c r="D98" s="226">
        <v>2023</v>
      </c>
      <c r="E98" s="161">
        <v>1</v>
      </c>
      <c r="F98" s="161">
        <v>1</v>
      </c>
      <c r="G98" s="91">
        <f t="shared" si="4"/>
        <v>0</v>
      </c>
      <c r="H98" s="227">
        <v>115832366</v>
      </c>
      <c r="I98" s="227">
        <v>115832366</v>
      </c>
      <c r="J98" s="91" t="s">
        <v>1245</v>
      </c>
      <c r="K98" s="91" t="s">
        <v>1456</v>
      </c>
      <c r="L98" s="91" t="s">
        <v>641</v>
      </c>
      <c r="M98" s="91"/>
      <c r="N98" s="91"/>
    </row>
    <row r="99" spans="1:14" ht="20.100000000000001" customHeight="1">
      <c r="A99" s="91"/>
      <c r="B99" s="228" t="s">
        <v>2377</v>
      </c>
      <c r="C99" s="226"/>
      <c r="D99" s="226"/>
      <c r="E99" s="161"/>
      <c r="F99" s="161"/>
      <c r="G99" s="91"/>
      <c r="H99" s="91"/>
      <c r="I99" s="91"/>
      <c r="J99" s="91"/>
      <c r="K99" s="91"/>
      <c r="L99" s="91"/>
      <c r="M99" s="91"/>
      <c r="N99" s="91"/>
    </row>
    <row r="100" spans="1:14" ht="25.5">
      <c r="A100" s="91">
        <v>1</v>
      </c>
      <c r="B100" s="168" t="s">
        <v>910</v>
      </c>
      <c r="C100" s="226"/>
      <c r="D100" s="226"/>
      <c r="E100" s="229">
        <v>5</v>
      </c>
      <c r="F100" s="229">
        <v>5</v>
      </c>
      <c r="G100" s="91">
        <f>F100-E100</f>
        <v>0</v>
      </c>
      <c r="H100" s="230">
        <v>986000</v>
      </c>
      <c r="I100" s="230">
        <v>4930000</v>
      </c>
      <c r="J100" s="91" t="s">
        <v>1245</v>
      </c>
      <c r="K100" s="91" t="s">
        <v>1456</v>
      </c>
      <c r="L100" s="91" t="s">
        <v>641</v>
      </c>
      <c r="M100" s="91"/>
      <c r="N100" s="91"/>
    </row>
    <row r="101" spans="1:14" ht="25.5">
      <c r="A101" s="91">
        <v>2</v>
      </c>
      <c r="B101" s="168" t="s">
        <v>130</v>
      </c>
      <c r="C101" s="226"/>
      <c r="D101" s="226"/>
      <c r="E101" s="229">
        <v>1</v>
      </c>
      <c r="F101" s="229">
        <v>1</v>
      </c>
      <c r="G101" s="91">
        <f t="shared" ref="G101:G118" si="5">F101-E101</f>
        <v>0</v>
      </c>
      <c r="H101" s="230">
        <v>0</v>
      </c>
      <c r="I101" s="230">
        <v>0</v>
      </c>
      <c r="J101" s="91" t="s">
        <v>1245</v>
      </c>
      <c r="K101" s="91" t="s">
        <v>1456</v>
      </c>
      <c r="L101" s="91" t="s">
        <v>95</v>
      </c>
      <c r="M101" s="91"/>
      <c r="N101" s="91" t="s">
        <v>946</v>
      </c>
    </row>
    <row r="102" spans="1:14" ht="25.5">
      <c r="A102" s="91">
        <v>3</v>
      </c>
      <c r="B102" s="168" t="s">
        <v>2449</v>
      </c>
      <c r="C102" s="226"/>
      <c r="D102" s="226"/>
      <c r="E102" s="229">
        <v>2</v>
      </c>
      <c r="F102" s="229">
        <v>2</v>
      </c>
      <c r="G102" s="91">
        <f t="shared" si="5"/>
        <v>0</v>
      </c>
      <c r="H102" s="230">
        <v>0</v>
      </c>
      <c r="I102" s="230">
        <v>0</v>
      </c>
      <c r="J102" s="91" t="s">
        <v>1245</v>
      </c>
      <c r="K102" s="91" t="s">
        <v>1456</v>
      </c>
      <c r="L102" s="91" t="s">
        <v>641</v>
      </c>
      <c r="M102" s="91"/>
      <c r="N102" s="91"/>
    </row>
    <row r="103" spans="1:14" ht="25.5">
      <c r="A103" s="91">
        <v>4</v>
      </c>
      <c r="B103" s="168" t="s">
        <v>2450</v>
      </c>
      <c r="C103" s="226"/>
      <c r="D103" s="226"/>
      <c r="E103" s="229">
        <v>1</v>
      </c>
      <c r="F103" s="229">
        <v>1</v>
      </c>
      <c r="G103" s="91">
        <f t="shared" si="5"/>
        <v>0</v>
      </c>
      <c r="H103" s="230">
        <v>0</v>
      </c>
      <c r="I103" s="230">
        <v>0</v>
      </c>
      <c r="J103" s="91" t="s">
        <v>1245</v>
      </c>
      <c r="K103" s="91" t="s">
        <v>1456</v>
      </c>
      <c r="L103" s="91" t="s">
        <v>95</v>
      </c>
      <c r="M103" s="91"/>
      <c r="N103" s="91" t="s">
        <v>946</v>
      </c>
    </row>
    <row r="104" spans="1:14" ht="25.5">
      <c r="A104" s="91">
        <v>5</v>
      </c>
      <c r="B104" s="168" t="s">
        <v>2451</v>
      </c>
      <c r="C104" s="226"/>
      <c r="D104" s="226"/>
      <c r="E104" s="229">
        <v>1</v>
      </c>
      <c r="F104" s="229">
        <v>1</v>
      </c>
      <c r="G104" s="91">
        <f t="shared" si="5"/>
        <v>0</v>
      </c>
      <c r="H104" s="230">
        <v>0</v>
      </c>
      <c r="I104" s="230">
        <v>0</v>
      </c>
      <c r="J104" s="91" t="s">
        <v>1245</v>
      </c>
      <c r="K104" s="91" t="s">
        <v>1456</v>
      </c>
      <c r="L104" s="91" t="s">
        <v>95</v>
      </c>
      <c r="M104" s="91"/>
      <c r="N104" s="91" t="s">
        <v>946</v>
      </c>
    </row>
    <row r="105" spans="1:14" ht="25.5">
      <c r="A105" s="91">
        <v>6</v>
      </c>
      <c r="B105" s="168" t="s">
        <v>2452</v>
      </c>
      <c r="C105" s="226"/>
      <c r="D105" s="226"/>
      <c r="E105" s="229">
        <v>1</v>
      </c>
      <c r="F105" s="229">
        <v>1</v>
      </c>
      <c r="G105" s="91">
        <f t="shared" si="5"/>
        <v>0</v>
      </c>
      <c r="H105" s="230">
        <v>4050200</v>
      </c>
      <c r="I105" s="230">
        <v>4050200</v>
      </c>
      <c r="J105" s="91" t="s">
        <v>1245</v>
      </c>
      <c r="K105" s="91" t="s">
        <v>1456</v>
      </c>
      <c r="L105" s="91" t="s">
        <v>641</v>
      </c>
      <c r="M105" s="91"/>
      <c r="N105" s="91"/>
    </row>
    <row r="106" spans="1:14" ht="25.5">
      <c r="A106" s="91">
        <v>7</v>
      </c>
      <c r="B106" s="168" t="s">
        <v>2452</v>
      </c>
      <c r="C106" s="226"/>
      <c r="D106" s="226"/>
      <c r="E106" s="229">
        <v>1</v>
      </c>
      <c r="F106" s="229">
        <v>1</v>
      </c>
      <c r="G106" s="91">
        <f t="shared" si="5"/>
        <v>0</v>
      </c>
      <c r="H106" s="230">
        <v>4050200</v>
      </c>
      <c r="I106" s="230">
        <v>4050200</v>
      </c>
      <c r="J106" s="91" t="s">
        <v>1245</v>
      </c>
      <c r="K106" s="91" t="s">
        <v>1456</v>
      </c>
      <c r="L106" s="91" t="s">
        <v>641</v>
      </c>
      <c r="M106" s="91"/>
      <c r="N106" s="91"/>
    </row>
    <row r="107" spans="1:14" ht="25.5">
      <c r="A107" s="91">
        <v>8</v>
      </c>
      <c r="B107" s="168" t="s">
        <v>2452</v>
      </c>
      <c r="C107" s="226"/>
      <c r="D107" s="226"/>
      <c r="E107" s="229">
        <v>1</v>
      </c>
      <c r="F107" s="229">
        <v>1</v>
      </c>
      <c r="G107" s="91">
        <f t="shared" si="5"/>
        <v>0</v>
      </c>
      <c r="H107" s="230">
        <v>4050200</v>
      </c>
      <c r="I107" s="230">
        <v>4050200</v>
      </c>
      <c r="J107" s="91" t="s">
        <v>1245</v>
      </c>
      <c r="K107" s="91" t="s">
        <v>1456</v>
      </c>
      <c r="L107" s="91" t="s">
        <v>641</v>
      </c>
      <c r="M107" s="91"/>
      <c r="N107" s="91"/>
    </row>
    <row r="108" spans="1:14" ht="25.5">
      <c r="A108" s="91">
        <v>9</v>
      </c>
      <c r="B108" s="168" t="s">
        <v>2452</v>
      </c>
      <c r="C108" s="226"/>
      <c r="D108" s="226"/>
      <c r="E108" s="229">
        <v>1</v>
      </c>
      <c r="F108" s="229">
        <v>1</v>
      </c>
      <c r="G108" s="91">
        <f t="shared" si="5"/>
        <v>0</v>
      </c>
      <c r="H108" s="230">
        <v>4050200</v>
      </c>
      <c r="I108" s="230">
        <v>4050200</v>
      </c>
      <c r="J108" s="91" t="s">
        <v>1245</v>
      </c>
      <c r="K108" s="91" t="s">
        <v>1456</v>
      </c>
      <c r="L108" s="91" t="s">
        <v>641</v>
      </c>
      <c r="M108" s="91"/>
      <c r="N108" s="91"/>
    </row>
    <row r="109" spans="1:14" ht="25.5">
      <c r="A109" s="91">
        <v>10</v>
      </c>
      <c r="B109" s="168" t="s">
        <v>2452</v>
      </c>
      <c r="C109" s="226"/>
      <c r="D109" s="226"/>
      <c r="E109" s="229">
        <v>1</v>
      </c>
      <c r="F109" s="229">
        <v>1</v>
      </c>
      <c r="G109" s="91">
        <f t="shared" si="5"/>
        <v>0</v>
      </c>
      <c r="H109" s="230">
        <v>4050200</v>
      </c>
      <c r="I109" s="230">
        <v>4050200</v>
      </c>
      <c r="J109" s="91" t="s">
        <v>1245</v>
      </c>
      <c r="K109" s="91" t="s">
        <v>1456</v>
      </c>
      <c r="L109" s="91" t="s">
        <v>641</v>
      </c>
      <c r="M109" s="91"/>
      <c r="N109" s="91"/>
    </row>
    <row r="110" spans="1:14" ht="25.5">
      <c r="A110" s="91">
        <v>11</v>
      </c>
      <c r="B110" s="168" t="s">
        <v>2453</v>
      </c>
      <c r="C110" s="226"/>
      <c r="D110" s="226"/>
      <c r="E110" s="229">
        <v>1</v>
      </c>
      <c r="F110" s="229">
        <v>1</v>
      </c>
      <c r="G110" s="91">
        <f t="shared" si="5"/>
        <v>0</v>
      </c>
      <c r="H110" s="230">
        <v>6700000</v>
      </c>
      <c r="I110" s="230">
        <v>6700000</v>
      </c>
      <c r="J110" s="91" t="s">
        <v>1245</v>
      </c>
      <c r="K110" s="91" t="s">
        <v>1456</v>
      </c>
      <c r="L110" s="91" t="s">
        <v>641</v>
      </c>
      <c r="M110" s="91"/>
      <c r="N110" s="91"/>
    </row>
    <row r="111" spans="1:14" ht="25.5">
      <c r="A111" s="91">
        <v>12</v>
      </c>
      <c r="B111" s="168" t="s">
        <v>2453</v>
      </c>
      <c r="C111" s="226"/>
      <c r="D111" s="226"/>
      <c r="E111" s="229">
        <v>1</v>
      </c>
      <c r="F111" s="229">
        <v>1</v>
      </c>
      <c r="G111" s="91">
        <f t="shared" si="5"/>
        <v>0</v>
      </c>
      <c r="H111" s="230">
        <v>6100000</v>
      </c>
      <c r="I111" s="230">
        <v>6100000</v>
      </c>
      <c r="J111" s="91" t="s">
        <v>1245</v>
      </c>
      <c r="K111" s="91" t="s">
        <v>1456</v>
      </c>
      <c r="L111" s="91" t="s">
        <v>641</v>
      </c>
      <c r="M111" s="91"/>
      <c r="N111" s="91"/>
    </row>
    <row r="112" spans="1:14" ht="38.25">
      <c r="A112" s="91">
        <v>13</v>
      </c>
      <c r="B112" s="168" t="s">
        <v>2454</v>
      </c>
      <c r="C112" s="226"/>
      <c r="D112" s="226"/>
      <c r="E112" s="229">
        <v>1</v>
      </c>
      <c r="F112" s="229">
        <v>1</v>
      </c>
      <c r="G112" s="91">
        <f t="shared" si="5"/>
        <v>0</v>
      </c>
      <c r="H112" s="230">
        <v>990000</v>
      </c>
      <c r="I112" s="230">
        <v>990000</v>
      </c>
      <c r="J112" s="91" t="s">
        <v>1245</v>
      </c>
      <c r="K112" s="91" t="s">
        <v>1456</v>
      </c>
      <c r="L112" s="91" t="s">
        <v>641</v>
      </c>
      <c r="M112" s="91"/>
      <c r="N112" s="91"/>
    </row>
    <row r="113" spans="1:14" ht="25.5">
      <c r="A113" s="91">
        <v>14</v>
      </c>
      <c r="B113" s="168" t="s">
        <v>2455</v>
      </c>
      <c r="C113" s="226"/>
      <c r="D113" s="226"/>
      <c r="E113" s="229">
        <v>1</v>
      </c>
      <c r="F113" s="229">
        <v>1</v>
      </c>
      <c r="G113" s="91">
        <f t="shared" si="5"/>
        <v>0</v>
      </c>
      <c r="H113" s="230">
        <v>9330000</v>
      </c>
      <c r="I113" s="230">
        <v>9330000</v>
      </c>
      <c r="J113" s="91" t="s">
        <v>1245</v>
      </c>
      <c r="K113" s="91" t="s">
        <v>1456</v>
      </c>
      <c r="L113" s="91" t="s">
        <v>641</v>
      </c>
      <c r="M113" s="91"/>
      <c r="N113" s="91"/>
    </row>
    <row r="114" spans="1:14" ht="25.5">
      <c r="A114" s="91">
        <v>15</v>
      </c>
      <c r="B114" s="168" t="s">
        <v>2456</v>
      </c>
      <c r="C114" s="226"/>
      <c r="D114" s="226"/>
      <c r="E114" s="229">
        <v>1</v>
      </c>
      <c r="F114" s="229">
        <v>1</v>
      </c>
      <c r="G114" s="91">
        <f t="shared" si="5"/>
        <v>0</v>
      </c>
      <c r="H114" s="230">
        <v>8905930</v>
      </c>
      <c r="I114" s="230">
        <v>8905930</v>
      </c>
      <c r="J114" s="91" t="s">
        <v>1245</v>
      </c>
      <c r="K114" s="91" t="s">
        <v>1456</v>
      </c>
      <c r="L114" s="91" t="s">
        <v>641</v>
      </c>
      <c r="M114" s="91"/>
      <c r="N114" s="91"/>
    </row>
    <row r="115" spans="1:14" ht="25.5">
      <c r="A115" s="91">
        <v>16</v>
      </c>
      <c r="B115" s="168" t="s">
        <v>2456</v>
      </c>
      <c r="C115" s="226"/>
      <c r="D115" s="226"/>
      <c r="E115" s="229">
        <v>1</v>
      </c>
      <c r="F115" s="229">
        <v>1</v>
      </c>
      <c r="G115" s="91">
        <f t="shared" si="5"/>
        <v>0</v>
      </c>
      <c r="H115" s="230">
        <v>9240000</v>
      </c>
      <c r="I115" s="230">
        <v>9240000</v>
      </c>
      <c r="J115" s="91" t="s">
        <v>1245</v>
      </c>
      <c r="K115" s="91" t="s">
        <v>1456</v>
      </c>
      <c r="L115" s="91" t="s">
        <v>641</v>
      </c>
      <c r="M115" s="91"/>
      <c r="N115" s="91"/>
    </row>
    <row r="116" spans="1:14" ht="25.5">
      <c r="A116" s="91">
        <v>17</v>
      </c>
      <c r="B116" s="168" t="s">
        <v>2456</v>
      </c>
      <c r="C116" s="226"/>
      <c r="D116" s="226"/>
      <c r="E116" s="229">
        <v>1</v>
      </c>
      <c r="F116" s="229">
        <v>1</v>
      </c>
      <c r="G116" s="91">
        <f t="shared" si="5"/>
        <v>0</v>
      </c>
      <c r="H116" s="230">
        <v>9240000</v>
      </c>
      <c r="I116" s="230">
        <v>9240000</v>
      </c>
      <c r="J116" s="91" t="s">
        <v>1245</v>
      </c>
      <c r="K116" s="91" t="s">
        <v>1456</v>
      </c>
      <c r="L116" s="91" t="s">
        <v>641</v>
      </c>
      <c r="M116" s="91"/>
      <c r="N116" s="91"/>
    </row>
    <row r="117" spans="1:14" ht="25.5">
      <c r="A117" s="91">
        <v>18</v>
      </c>
      <c r="B117" s="168" t="s">
        <v>2457</v>
      </c>
      <c r="C117" s="226"/>
      <c r="D117" s="226"/>
      <c r="E117" s="229">
        <v>1</v>
      </c>
      <c r="F117" s="229">
        <v>1</v>
      </c>
      <c r="G117" s="91">
        <f t="shared" si="5"/>
        <v>0</v>
      </c>
      <c r="H117" s="230">
        <v>3220000</v>
      </c>
      <c r="I117" s="230">
        <v>3220000</v>
      </c>
      <c r="J117" s="91" t="s">
        <v>1245</v>
      </c>
      <c r="K117" s="91" t="s">
        <v>1456</v>
      </c>
      <c r="L117" s="91" t="s">
        <v>641</v>
      </c>
      <c r="M117" s="91"/>
      <c r="N117" s="91"/>
    </row>
    <row r="118" spans="1:14" ht="25.5">
      <c r="A118" s="91">
        <v>19</v>
      </c>
      <c r="B118" s="168" t="s">
        <v>2458</v>
      </c>
      <c r="C118" s="226"/>
      <c r="D118" s="226"/>
      <c r="E118" s="229">
        <v>1</v>
      </c>
      <c r="F118" s="229">
        <v>1</v>
      </c>
      <c r="G118" s="91">
        <f t="shared" si="5"/>
        <v>0</v>
      </c>
      <c r="H118" s="230">
        <v>5500000</v>
      </c>
      <c r="I118" s="230">
        <v>5500000</v>
      </c>
      <c r="J118" s="91" t="s">
        <v>1245</v>
      </c>
      <c r="K118" s="91" t="s">
        <v>1456</v>
      </c>
      <c r="L118" s="91" t="s">
        <v>641</v>
      </c>
      <c r="M118" s="91"/>
      <c r="N118" s="91"/>
    </row>
    <row r="119" spans="1:14">
      <c r="A119" s="131"/>
      <c r="B119" s="231"/>
      <c r="C119" s="232"/>
      <c r="D119" s="232"/>
      <c r="E119" s="233"/>
      <c r="F119" s="233"/>
      <c r="G119" s="131"/>
      <c r="H119" s="234"/>
      <c r="I119" s="234"/>
      <c r="J119" s="131"/>
      <c r="K119" s="131"/>
      <c r="L119" s="131"/>
      <c r="M119" s="131"/>
      <c r="N119" s="131"/>
    </row>
    <row r="120" spans="1:14" s="20" customFormat="1" ht="18" customHeight="1">
      <c r="A120" s="47"/>
      <c r="B120" s="48"/>
      <c r="C120" s="47"/>
      <c r="D120" s="47"/>
      <c r="E120" s="47"/>
      <c r="F120" s="47"/>
      <c r="G120" s="47"/>
      <c r="H120" s="49"/>
      <c r="I120" s="49"/>
      <c r="J120" s="474" t="s">
        <v>965</v>
      </c>
      <c r="K120" s="474"/>
      <c r="L120" s="474"/>
      <c r="M120" s="474"/>
      <c r="N120" s="474"/>
    </row>
    <row r="121" spans="1:14" s="20" customFormat="1" ht="24.95" customHeight="1">
      <c r="A121" s="475" t="s">
        <v>953</v>
      </c>
      <c r="B121" s="475"/>
      <c r="C121" s="51"/>
      <c r="D121" s="476" t="s">
        <v>2459</v>
      </c>
      <c r="E121" s="476"/>
      <c r="F121" s="476"/>
      <c r="G121" s="476"/>
      <c r="H121" s="476"/>
      <c r="I121" s="477" t="s">
        <v>955</v>
      </c>
      <c r="J121" s="477"/>
      <c r="K121" s="477"/>
      <c r="L121" s="476" t="s">
        <v>829</v>
      </c>
      <c r="M121" s="476"/>
      <c r="N121" s="476"/>
    </row>
    <row r="122" spans="1:14" s="20" customFormat="1" ht="24.95" customHeight="1">
      <c r="A122" s="478" t="s">
        <v>961</v>
      </c>
      <c r="B122" s="478"/>
      <c r="C122" s="478"/>
      <c r="D122" s="51"/>
      <c r="E122" s="51"/>
      <c r="F122" s="51"/>
      <c r="G122" s="51"/>
      <c r="H122" s="52"/>
      <c r="I122" s="52"/>
      <c r="J122" s="51"/>
      <c r="K122" s="51"/>
      <c r="L122" s="51"/>
      <c r="M122" s="51"/>
      <c r="N122" s="53"/>
    </row>
    <row r="123" spans="1:14" s="20" customFormat="1" ht="24.95" customHeight="1">
      <c r="A123" s="478" t="s">
        <v>962</v>
      </c>
      <c r="B123" s="478"/>
      <c r="C123" s="478"/>
      <c r="D123" s="51"/>
      <c r="E123" s="51"/>
      <c r="F123" s="51"/>
      <c r="G123" s="51"/>
      <c r="H123" s="52"/>
      <c r="I123" s="52"/>
      <c r="J123" s="51"/>
      <c r="K123" s="51"/>
      <c r="L123" s="51"/>
      <c r="M123" s="51"/>
      <c r="N123" s="53"/>
    </row>
    <row r="124" spans="1:14" s="20" customFormat="1" ht="24.95" customHeight="1">
      <c r="A124" s="478" t="s">
        <v>958</v>
      </c>
      <c r="B124" s="478"/>
      <c r="C124" s="478"/>
      <c r="D124" s="51"/>
      <c r="E124" s="51"/>
      <c r="F124" s="51"/>
      <c r="G124" s="51"/>
      <c r="H124" s="52"/>
      <c r="I124" s="52"/>
      <c r="J124" s="51"/>
      <c r="K124" s="51"/>
      <c r="L124" s="51"/>
      <c r="M124" s="51"/>
      <c r="N124" s="53"/>
    </row>
    <row r="125" spans="1:14" s="20" customFormat="1" ht="24.95" customHeight="1">
      <c r="A125" s="478" t="s">
        <v>963</v>
      </c>
      <c r="B125" s="478"/>
      <c r="C125" s="478"/>
      <c r="D125" s="476" t="s">
        <v>2460</v>
      </c>
      <c r="E125" s="476"/>
      <c r="F125" s="476"/>
      <c r="G125" s="476"/>
      <c r="H125" s="476"/>
      <c r="I125" s="477" t="s">
        <v>956</v>
      </c>
      <c r="J125" s="477"/>
      <c r="K125" s="477"/>
      <c r="L125" s="476" t="s">
        <v>954</v>
      </c>
      <c r="M125" s="476"/>
      <c r="N125" s="476"/>
    </row>
    <row r="126" spans="1:14">
      <c r="A126" s="131"/>
      <c r="B126" s="231"/>
      <c r="C126" s="232"/>
      <c r="D126" s="232"/>
      <c r="E126" s="233"/>
      <c r="F126" s="233"/>
      <c r="G126" s="131"/>
      <c r="H126" s="234"/>
      <c r="I126" s="234"/>
      <c r="J126" s="131"/>
      <c r="K126" s="131"/>
      <c r="L126" s="131"/>
      <c r="M126" s="131"/>
      <c r="N126" s="131"/>
    </row>
    <row r="127" spans="1:14">
      <c r="A127" s="131"/>
      <c r="B127" s="231"/>
      <c r="C127" s="232"/>
      <c r="D127" s="232"/>
      <c r="E127" s="233"/>
      <c r="F127" s="233"/>
      <c r="G127" s="131"/>
      <c r="H127" s="234"/>
      <c r="I127" s="234"/>
      <c r="J127" s="131"/>
      <c r="K127" s="131"/>
      <c r="L127" s="131"/>
      <c r="M127" s="131"/>
      <c r="N127" s="131"/>
    </row>
    <row r="128" spans="1:14">
      <c r="A128" s="131"/>
      <c r="B128" s="231"/>
      <c r="C128" s="232"/>
      <c r="D128" s="232"/>
      <c r="E128" s="233"/>
      <c r="F128" s="233"/>
      <c r="G128" s="131"/>
      <c r="H128" s="234"/>
      <c r="I128" s="234"/>
      <c r="J128" s="131"/>
      <c r="K128" s="131"/>
      <c r="L128" s="131"/>
      <c r="M128" s="131"/>
      <c r="N128" s="131"/>
    </row>
    <row r="129" spans="1:14">
      <c r="A129" s="131"/>
      <c r="B129" s="231"/>
      <c r="C129" s="232"/>
      <c r="D129" s="232"/>
      <c r="E129" s="233"/>
      <c r="F129" s="233"/>
      <c r="G129" s="131"/>
      <c r="H129" s="234"/>
      <c r="I129" s="234"/>
      <c r="J129" s="131"/>
      <c r="K129" s="131"/>
      <c r="L129" s="131"/>
      <c r="M129" s="131"/>
      <c r="N129" s="131"/>
    </row>
    <row r="130" spans="1:14">
      <c r="A130" s="131"/>
      <c r="B130" s="231"/>
      <c r="C130" s="232"/>
      <c r="D130" s="232"/>
      <c r="E130" s="233"/>
      <c r="F130" s="233"/>
      <c r="G130" s="131"/>
      <c r="H130" s="234"/>
      <c r="I130" s="234"/>
      <c r="J130" s="131"/>
      <c r="K130" s="131"/>
      <c r="L130" s="131"/>
      <c r="M130" s="131"/>
      <c r="N130" s="131"/>
    </row>
    <row r="131" spans="1:14">
      <c r="A131" s="131"/>
      <c r="B131" s="231"/>
      <c r="C131" s="232"/>
      <c r="D131" s="232"/>
      <c r="E131" s="233"/>
      <c r="F131" s="233"/>
      <c r="G131" s="131"/>
      <c r="H131" s="234"/>
      <c r="I131" s="234"/>
      <c r="J131" s="131"/>
      <c r="K131" s="131"/>
      <c r="L131" s="131"/>
      <c r="M131" s="131"/>
      <c r="N131" s="131"/>
    </row>
    <row r="132" spans="1:14">
      <c r="A132" s="131"/>
      <c r="B132" s="231"/>
      <c r="C132" s="232"/>
      <c r="D132" s="232"/>
      <c r="E132" s="233"/>
      <c r="F132" s="233"/>
      <c r="G132" s="131"/>
      <c r="H132" s="234"/>
      <c r="I132" s="234"/>
      <c r="J132" s="131"/>
      <c r="K132" s="131"/>
      <c r="L132" s="131"/>
      <c r="M132" s="131"/>
      <c r="N132" s="131"/>
    </row>
    <row r="133" spans="1:14">
      <c r="A133" s="131"/>
      <c r="B133" s="231"/>
      <c r="C133" s="232"/>
      <c r="D133" s="232"/>
      <c r="E133" s="233"/>
      <c r="F133" s="233"/>
      <c r="G133" s="131"/>
      <c r="H133" s="234"/>
      <c r="I133" s="234"/>
      <c r="J133" s="131"/>
      <c r="K133" s="131"/>
      <c r="L133" s="131"/>
      <c r="M133" s="131"/>
      <c r="N133" s="131"/>
    </row>
    <row r="134" spans="1:14">
      <c r="A134" s="131"/>
      <c r="B134" s="231"/>
      <c r="C134" s="232"/>
      <c r="D134" s="232"/>
      <c r="E134" s="233"/>
      <c r="F134" s="233"/>
      <c r="G134" s="131"/>
      <c r="H134" s="234"/>
      <c r="I134" s="234"/>
      <c r="J134" s="131"/>
      <c r="K134" s="131"/>
      <c r="L134" s="131"/>
      <c r="M134" s="131"/>
      <c r="N134" s="131"/>
    </row>
    <row r="135" spans="1:14">
      <c r="A135" s="131"/>
      <c r="B135" s="231"/>
      <c r="C135" s="232"/>
      <c r="D135" s="232"/>
      <c r="E135" s="233"/>
      <c r="F135" s="233"/>
      <c r="G135" s="131"/>
      <c r="H135" s="234"/>
      <c r="I135" s="234"/>
      <c r="J135" s="131"/>
      <c r="K135" s="131"/>
      <c r="L135" s="131"/>
      <c r="M135" s="131"/>
      <c r="N135" s="131"/>
    </row>
    <row r="136" spans="1:14">
      <c r="A136" s="131"/>
      <c r="B136" s="231"/>
      <c r="C136" s="232"/>
      <c r="D136" s="232"/>
      <c r="E136" s="233"/>
      <c r="F136" s="233"/>
      <c r="G136" s="131"/>
      <c r="H136" s="234"/>
      <c r="I136" s="234"/>
      <c r="J136" s="131"/>
      <c r="K136" s="131"/>
      <c r="L136" s="131"/>
      <c r="M136" s="131"/>
      <c r="N136" s="131"/>
    </row>
    <row r="137" spans="1:14">
      <c r="A137" s="131"/>
      <c r="B137" s="231"/>
      <c r="C137" s="232"/>
      <c r="D137" s="232"/>
      <c r="E137" s="233"/>
      <c r="F137" s="233"/>
      <c r="G137" s="131"/>
      <c r="H137" s="234"/>
      <c r="I137" s="234"/>
      <c r="J137" s="131"/>
      <c r="K137" s="131"/>
      <c r="L137" s="131"/>
      <c r="M137" s="131"/>
      <c r="N137" s="131"/>
    </row>
    <row r="138" spans="1:14">
      <c r="A138" s="131"/>
      <c r="B138" s="231"/>
      <c r="C138" s="232"/>
      <c r="D138" s="232"/>
      <c r="E138" s="233"/>
      <c r="F138" s="233"/>
      <c r="G138" s="131"/>
      <c r="H138" s="234"/>
      <c r="I138" s="234"/>
      <c r="J138" s="131"/>
      <c r="K138" s="131"/>
      <c r="L138" s="131"/>
      <c r="M138" s="131"/>
      <c r="N138" s="131"/>
    </row>
    <row r="139" spans="1:14">
      <c r="A139" s="131"/>
      <c r="B139" s="231"/>
      <c r="C139" s="232"/>
      <c r="D139" s="232"/>
      <c r="E139" s="233"/>
      <c r="F139" s="233"/>
      <c r="G139" s="131"/>
      <c r="H139" s="234"/>
      <c r="I139" s="234"/>
      <c r="J139" s="131"/>
      <c r="K139" s="131"/>
      <c r="L139" s="131"/>
      <c r="M139" s="131"/>
      <c r="N139" s="131"/>
    </row>
    <row r="140" spans="1:14">
      <c r="A140" s="131"/>
      <c r="B140" s="231"/>
      <c r="C140" s="232"/>
      <c r="D140" s="232"/>
      <c r="E140" s="233"/>
      <c r="F140" s="233"/>
      <c r="G140" s="131"/>
      <c r="H140" s="234"/>
      <c r="I140" s="234"/>
      <c r="J140" s="131"/>
      <c r="K140" s="131"/>
      <c r="L140" s="131"/>
      <c r="M140" s="131"/>
      <c r="N140" s="131"/>
    </row>
    <row r="141" spans="1:14">
      <c r="A141" s="131"/>
      <c r="B141" s="231"/>
      <c r="C141" s="232"/>
      <c r="D141" s="232"/>
      <c r="E141" s="233"/>
      <c r="F141" s="233"/>
      <c r="G141" s="131"/>
      <c r="H141" s="234"/>
      <c r="I141" s="234"/>
      <c r="J141" s="131"/>
      <c r="K141" s="131"/>
      <c r="L141" s="131"/>
      <c r="M141" s="131"/>
      <c r="N141" s="131"/>
    </row>
    <row r="142" spans="1:14">
      <c r="A142" s="131"/>
      <c r="B142" s="231"/>
      <c r="C142" s="232"/>
      <c r="D142" s="232"/>
      <c r="E142" s="233"/>
      <c r="F142" s="233"/>
      <c r="G142" s="131"/>
      <c r="H142" s="234"/>
      <c r="I142" s="234"/>
      <c r="J142" s="131"/>
      <c r="K142" s="131"/>
      <c r="L142" s="131"/>
      <c r="M142" s="131"/>
      <c r="N142" s="131"/>
    </row>
    <row r="143" spans="1:14">
      <c r="A143" s="131"/>
      <c r="B143" s="231"/>
      <c r="C143" s="232"/>
      <c r="D143" s="232"/>
      <c r="E143" s="233"/>
      <c r="F143" s="233"/>
      <c r="G143" s="131"/>
      <c r="H143" s="234"/>
      <c r="I143" s="234"/>
      <c r="J143" s="131"/>
      <c r="K143" s="131"/>
      <c r="L143" s="131"/>
      <c r="M143" s="131"/>
      <c r="N143" s="131"/>
    </row>
    <row r="144" spans="1:14">
      <c r="A144" s="131"/>
      <c r="B144" s="231"/>
      <c r="C144" s="232"/>
      <c r="D144" s="232"/>
      <c r="E144" s="233"/>
      <c r="F144" s="233"/>
      <c r="G144" s="131"/>
      <c r="H144" s="234"/>
      <c r="I144" s="234"/>
      <c r="J144" s="131"/>
      <c r="K144" s="131"/>
      <c r="L144" s="131"/>
      <c r="M144" s="131"/>
      <c r="N144" s="131"/>
    </row>
  </sheetData>
  <mergeCells count="43">
    <mergeCell ref="L125:N125"/>
    <mergeCell ref="A122:C122"/>
    <mergeCell ref="A123:C123"/>
    <mergeCell ref="A124:C124"/>
    <mergeCell ref="A125:C125"/>
    <mergeCell ref="D125:H125"/>
    <mergeCell ref="I125:K125"/>
    <mergeCell ref="B14:N14"/>
    <mergeCell ref="B73:N73"/>
    <mergeCell ref="J120:N120"/>
    <mergeCell ref="A121:B121"/>
    <mergeCell ref="D121:H121"/>
    <mergeCell ref="I121:K121"/>
    <mergeCell ref="L121:N121"/>
    <mergeCell ref="N11:N12"/>
    <mergeCell ref="A7:C7"/>
    <mergeCell ref="E7:I7"/>
    <mergeCell ref="K7:M7"/>
    <mergeCell ref="A8:C8"/>
    <mergeCell ref="A9:N9"/>
    <mergeCell ref="A11:A12"/>
    <mergeCell ref="B11:B12"/>
    <mergeCell ref="C11:C12"/>
    <mergeCell ref="D11:D12"/>
    <mergeCell ref="H11:H12"/>
    <mergeCell ref="I11:I12"/>
    <mergeCell ref="J11:J12"/>
    <mergeCell ref="K11:K12"/>
    <mergeCell ref="L11:L12"/>
    <mergeCell ref="M11:M12"/>
    <mergeCell ref="A4:N4"/>
    <mergeCell ref="A5:C5"/>
    <mergeCell ref="E5:I5"/>
    <mergeCell ref="K5:M5"/>
    <mergeCell ref="A6:C6"/>
    <mergeCell ref="E6:I6"/>
    <mergeCell ref="K6:M6"/>
    <mergeCell ref="A3:N3"/>
    <mergeCell ref="A1:E1"/>
    <mergeCell ref="K1:N1"/>
    <mergeCell ref="Z1:AJ1"/>
    <mergeCell ref="A2:E2"/>
    <mergeCell ref="Z2:AJ2"/>
  </mergeCells>
  <pageMargins left="0.5" right="0.3" top="0.5" bottom="0.5" header="0" footer="0"/>
  <pageSetup paperSize="9" orientation="landscape" verticalDpi="0" r:id="rId1"/>
  <headerFooter differentFirst="1"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opLeftCell="A49" zoomScaleNormal="100" zoomScaleSheetLayoutView="118" workbookViewId="0">
      <selection activeCell="A71" sqref="A71:XFD199"/>
    </sheetView>
  </sheetViews>
  <sheetFormatPr defaultColWidth="9.140625" defaultRowHeight="15.75"/>
  <cols>
    <col min="1" max="1" width="4.5703125" style="185" customWidth="1"/>
    <col min="2" max="2" width="22.7109375" style="62" customWidth="1"/>
    <col min="3" max="3" width="9.42578125" style="188" customWidth="1"/>
    <col min="4" max="4" width="6.42578125" style="185" customWidth="1"/>
    <col min="5" max="6" width="5.85546875" style="185" customWidth="1"/>
    <col min="7" max="7" width="6.42578125" style="260" customWidth="1"/>
    <col min="8" max="9" width="13.28515625" style="62" customWidth="1"/>
    <col min="10" max="10" width="10.85546875" style="62" customWidth="1"/>
    <col min="11" max="11" width="10.7109375" style="62" customWidth="1"/>
    <col min="12" max="12" width="9.7109375" style="62" customWidth="1"/>
    <col min="13" max="13" width="9" style="62" customWidth="1"/>
    <col min="14" max="14" width="13" style="62" customWidth="1"/>
    <col min="15" max="16384" width="9.140625" style="62"/>
  </cols>
  <sheetData>
    <row r="1" spans="1:14" s="60" customFormat="1" ht="15.75" customHeight="1">
      <c r="A1" s="481" t="s">
        <v>818</v>
      </c>
      <c r="B1" s="481"/>
      <c r="C1" s="481"/>
      <c r="D1" s="481"/>
      <c r="E1" s="481"/>
      <c r="F1" s="57"/>
      <c r="G1" s="58"/>
      <c r="H1" s="145"/>
      <c r="I1" s="145"/>
      <c r="J1" s="270"/>
      <c r="K1" s="482" t="s">
        <v>819</v>
      </c>
      <c r="L1" s="482"/>
      <c r="M1" s="482"/>
      <c r="N1" s="482"/>
    </row>
    <row r="2" spans="1:14" s="60" customFormat="1" ht="15" customHeight="1">
      <c r="A2" s="481" t="s">
        <v>820</v>
      </c>
      <c r="B2" s="481"/>
      <c r="C2" s="481"/>
      <c r="D2" s="481"/>
      <c r="E2" s="481"/>
      <c r="F2" s="57"/>
      <c r="G2" s="58"/>
      <c r="H2" s="58"/>
      <c r="I2" s="58"/>
      <c r="J2" s="58"/>
      <c r="K2" s="58"/>
      <c r="L2" s="58"/>
      <c r="M2" s="58"/>
      <c r="N2" s="58"/>
    </row>
    <row r="3" spans="1:14" s="60" customFormat="1" ht="46.5" customHeight="1">
      <c r="A3" s="483" t="s">
        <v>2461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</row>
    <row r="4" spans="1:14" ht="18" customHeight="1">
      <c r="A4" s="484" t="s">
        <v>968</v>
      </c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</row>
    <row r="5" spans="1:14" ht="15" customHeight="1">
      <c r="A5" s="479" t="s">
        <v>821</v>
      </c>
      <c r="B5" s="479"/>
      <c r="C5" s="479"/>
      <c r="D5" s="268"/>
      <c r="E5" s="480" t="s">
        <v>822</v>
      </c>
      <c r="F5" s="480"/>
      <c r="G5" s="480"/>
      <c r="H5" s="480"/>
      <c r="I5" s="480"/>
      <c r="J5" s="269"/>
      <c r="K5" s="479" t="s">
        <v>829</v>
      </c>
      <c r="L5" s="479"/>
      <c r="M5" s="479"/>
      <c r="N5" s="269"/>
    </row>
    <row r="6" spans="1:14" ht="15" customHeight="1">
      <c r="A6" s="479" t="s">
        <v>949</v>
      </c>
      <c r="B6" s="479"/>
      <c r="C6" s="479"/>
      <c r="D6" s="268"/>
      <c r="E6" s="480" t="s">
        <v>824</v>
      </c>
      <c r="F6" s="480"/>
      <c r="G6" s="480"/>
      <c r="H6" s="480"/>
      <c r="I6" s="480"/>
      <c r="J6" s="269"/>
      <c r="K6" s="479" t="s">
        <v>823</v>
      </c>
      <c r="L6" s="479"/>
      <c r="M6" s="479"/>
      <c r="N6" s="269"/>
    </row>
    <row r="7" spans="1:14" ht="16.899999999999999" customHeight="1">
      <c r="A7" s="479" t="s">
        <v>950</v>
      </c>
      <c r="B7" s="479"/>
      <c r="C7" s="479"/>
      <c r="D7" s="268"/>
      <c r="E7" s="480" t="s">
        <v>825</v>
      </c>
      <c r="F7" s="480"/>
      <c r="G7" s="480"/>
      <c r="H7" s="480"/>
      <c r="I7" s="480"/>
      <c r="J7" s="269"/>
      <c r="K7" s="479" t="s">
        <v>826</v>
      </c>
      <c r="L7" s="479"/>
      <c r="M7" s="479"/>
      <c r="N7" s="269"/>
    </row>
    <row r="8" spans="1:14" ht="15" customHeight="1">
      <c r="A8" s="479" t="s">
        <v>2462</v>
      </c>
      <c r="B8" s="479"/>
      <c r="C8" s="479"/>
      <c r="D8" s="268"/>
      <c r="E8" s="480" t="s">
        <v>2463</v>
      </c>
      <c r="F8" s="480"/>
      <c r="G8" s="480"/>
      <c r="H8" s="480"/>
      <c r="I8" s="480"/>
      <c r="J8" s="269"/>
      <c r="K8" s="479" t="s">
        <v>830</v>
      </c>
      <c r="L8" s="479"/>
      <c r="M8" s="479"/>
      <c r="N8" s="269"/>
    </row>
    <row r="9" spans="1:14" ht="15" customHeight="1">
      <c r="A9" s="479" t="s">
        <v>952</v>
      </c>
      <c r="B9" s="479"/>
      <c r="C9" s="479"/>
      <c r="D9" s="63"/>
      <c r="E9" s="63"/>
      <c r="F9" s="269"/>
      <c r="G9" s="269"/>
      <c r="H9" s="269"/>
      <c r="I9" s="269"/>
      <c r="J9" s="269"/>
      <c r="K9" s="269"/>
      <c r="L9" s="269"/>
      <c r="M9" s="269"/>
      <c r="N9" s="269"/>
    </row>
    <row r="10" spans="1:14" ht="15.75" customHeight="1">
      <c r="A10" s="479" t="s">
        <v>827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9"/>
    </row>
    <row r="11" spans="1:14" ht="15.75" customHeight="1">
      <c r="A11" s="268"/>
      <c r="B11" s="269"/>
      <c r="C11" s="62"/>
      <c r="D11" s="63"/>
      <c r="E11" s="63"/>
      <c r="F11" s="63"/>
      <c r="G11" s="190"/>
      <c r="J11" s="189"/>
      <c r="M11" s="185"/>
      <c r="N11" s="186"/>
    </row>
    <row r="12" spans="1:14" ht="38.25">
      <c r="A12" s="515" t="s">
        <v>2190</v>
      </c>
      <c r="B12" s="517" t="s">
        <v>972</v>
      </c>
      <c r="C12" s="515" t="s">
        <v>973</v>
      </c>
      <c r="D12" s="515" t="s">
        <v>974</v>
      </c>
      <c r="E12" s="279" t="s">
        <v>4</v>
      </c>
      <c r="F12" s="192" t="s">
        <v>975</v>
      </c>
      <c r="G12" s="192" t="s">
        <v>6</v>
      </c>
      <c r="H12" s="515" t="s">
        <v>7</v>
      </c>
      <c r="I12" s="515" t="s">
        <v>8</v>
      </c>
      <c r="J12" s="515" t="s">
        <v>9</v>
      </c>
      <c r="K12" s="515" t="s">
        <v>10</v>
      </c>
      <c r="L12" s="515" t="s">
        <v>11</v>
      </c>
      <c r="M12" s="515" t="s">
        <v>12</v>
      </c>
      <c r="N12" s="515" t="s">
        <v>976</v>
      </c>
    </row>
    <row r="13" spans="1:14">
      <c r="A13" s="517"/>
      <c r="B13" s="517"/>
      <c r="C13" s="515"/>
      <c r="D13" s="517"/>
      <c r="E13" s="515" t="s">
        <v>14</v>
      </c>
      <c r="F13" s="515" t="s">
        <v>14</v>
      </c>
      <c r="G13" s="515" t="s">
        <v>14</v>
      </c>
      <c r="H13" s="515"/>
      <c r="I13" s="515"/>
      <c r="J13" s="516"/>
      <c r="K13" s="516"/>
      <c r="L13" s="517"/>
      <c r="M13" s="515"/>
      <c r="N13" s="516"/>
    </row>
    <row r="14" spans="1:14">
      <c r="A14" s="517"/>
      <c r="B14" s="517"/>
      <c r="C14" s="515"/>
      <c r="D14" s="517"/>
      <c r="E14" s="517"/>
      <c r="F14" s="517"/>
      <c r="G14" s="517"/>
      <c r="H14" s="515"/>
      <c r="I14" s="515"/>
      <c r="J14" s="516"/>
      <c r="K14" s="516"/>
      <c r="L14" s="517"/>
      <c r="M14" s="515"/>
      <c r="N14" s="516"/>
    </row>
    <row r="15" spans="1:14">
      <c r="A15" s="517"/>
      <c r="B15" s="517"/>
      <c r="C15" s="515"/>
      <c r="D15" s="517"/>
      <c r="E15" s="517"/>
      <c r="F15" s="517"/>
      <c r="G15" s="517"/>
      <c r="H15" s="515"/>
      <c r="I15" s="515"/>
      <c r="J15" s="516"/>
      <c r="K15" s="516"/>
      <c r="L15" s="517"/>
      <c r="M15" s="515"/>
      <c r="N15" s="516"/>
    </row>
    <row r="16" spans="1:14">
      <c r="A16" s="238" t="s">
        <v>15</v>
      </c>
      <c r="B16" s="280" t="s">
        <v>16</v>
      </c>
      <c r="C16" s="280" t="s">
        <v>17</v>
      </c>
      <c r="D16" s="280" t="s">
        <v>18</v>
      </c>
      <c r="E16" s="280">
        <v>1</v>
      </c>
      <c r="F16" s="280">
        <v>2</v>
      </c>
      <c r="G16" s="239">
        <v>3</v>
      </c>
      <c r="H16" s="280">
        <v>4</v>
      </c>
      <c r="I16" s="280">
        <v>5</v>
      </c>
      <c r="J16" s="280">
        <v>6</v>
      </c>
      <c r="K16" s="280">
        <v>7</v>
      </c>
      <c r="L16" s="280">
        <v>8</v>
      </c>
      <c r="M16" s="280">
        <v>9</v>
      </c>
      <c r="N16" s="280">
        <v>10</v>
      </c>
    </row>
    <row r="17" spans="1:15" s="240" customFormat="1" ht="12.75">
      <c r="A17" s="91"/>
      <c r="B17" s="518" t="s">
        <v>2464</v>
      </c>
      <c r="C17" s="518"/>
      <c r="D17" s="518"/>
      <c r="E17" s="518"/>
      <c r="F17" s="518"/>
      <c r="G17" s="518"/>
      <c r="H17" s="518"/>
      <c r="I17" s="518"/>
      <c r="J17" s="518"/>
      <c r="K17" s="518"/>
      <c r="L17" s="518"/>
      <c r="M17" s="518"/>
      <c r="N17" s="518"/>
    </row>
    <row r="18" spans="1:15" s="245" customFormat="1" ht="12.75">
      <c r="A18" s="91"/>
      <c r="B18" s="202" t="s">
        <v>775</v>
      </c>
      <c r="C18" s="198"/>
      <c r="D18" s="167"/>
      <c r="E18" s="91"/>
      <c r="F18" s="73"/>
      <c r="G18" s="241"/>
      <c r="H18" s="242"/>
      <c r="I18" s="243"/>
      <c r="J18" s="91"/>
      <c r="K18" s="153"/>
      <c r="L18" s="244"/>
      <c r="M18" s="91"/>
      <c r="N18" s="91"/>
    </row>
    <row r="19" spans="1:15" s="247" customFormat="1" ht="25.5">
      <c r="A19" s="91">
        <v>1</v>
      </c>
      <c r="B19" s="93" t="s">
        <v>2465</v>
      </c>
      <c r="C19" s="198" t="s">
        <v>2466</v>
      </c>
      <c r="D19" s="167">
        <v>2011</v>
      </c>
      <c r="E19" s="91">
        <v>1</v>
      </c>
      <c r="F19" s="73">
        <v>1</v>
      </c>
      <c r="G19" s="246">
        <f>F19-E19</f>
        <v>0</v>
      </c>
      <c r="H19" s="242"/>
      <c r="I19" s="243"/>
      <c r="J19" s="91" t="s">
        <v>2467</v>
      </c>
      <c r="K19" s="73" t="s">
        <v>1272</v>
      </c>
      <c r="L19" s="244" t="s">
        <v>95</v>
      </c>
      <c r="M19" s="91" t="s">
        <v>1272</v>
      </c>
      <c r="N19" s="91" t="s">
        <v>158</v>
      </c>
    </row>
    <row r="20" spans="1:15" s="247" customFormat="1" ht="25.5">
      <c r="A20" s="91">
        <v>2</v>
      </c>
      <c r="B20" s="218" t="s">
        <v>2468</v>
      </c>
      <c r="C20" s="198" t="s">
        <v>2469</v>
      </c>
      <c r="D20" s="167"/>
      <c r="E20" s="91">
        <v>1</v>
      </c>
      <c r="F20" s="91">
        <v>1</v>
      </c>
      <c r="G20" s="246">
        <f t="shared" ref="G20:G22" si="0">F20-E20</f>
        <v>0</v>
      </c>
      <c r="H20" s="248">
        <v>2250000</v>
      </c>
      <c r="I20" s="248">
        <v>2250000</v>
      </c>
      <c r="J20" s="91" t="s">
        <v>2467</v>
      </c>
      <c r="K20" s="73" t="s">
        <v>1272</v>
      </c>
      <c r="L20" s="244" t="s">
        <v>641</v>
      </c>
      <c r="M20" s="91" t="s">
        <v>1272</v>
      </c>
      <c r="N20" s="249" t="s">
        <v>2470</v>
      </c>
      <c r="O20" s="247" t="s">
        <v>2471</v>
      </c>
    </row>
    <row r="21" spans="1:15" s="104" customFormat="1" ht="25.5">
      <c r="A21" s="91">
        <v>3</v>
      </c>
      <c r="B21" s="218" t="s">
        <v>2472</v>
      </c>
      <c r="C21" s="198" t="s">
        <v>2473</v>
      </c>
      <c r="D21" s="167">
        <v>2011</v>
      </c>
      <c r="E21" s="91">
        <v>1</v>
      </c>
      <c r="F21" s="91">
        <v>1</v>
      </c>
      <c r="G21" s="246">
        <f t="shared" si="0"/>
        <v>0</v>
      </c>
      <c r="H21" s="248">
        <v>950000</v>
      </c>
      <c r="I21" s="248">
        <v>950000</v>
      </c>
      <c r="J21" s="91" t="s">
        <v>2467</v>
      </c>
      <c r="K21" s="73" t="s">
        <v>1272</v>
      </c>
      <c r="L21" s="244" t="s">
        <v>641</v>
      </c>
      <c r="M21" s="91" t="s">
        <v>1272</v>
      </c>
      <c r="N21" s="249" t="s">
        <v>2470</v>
      </c>
      <c r="O21" s="247" t="s">
        <v>2471</v>
      </c>
    </row>
    <row r="22" spans="1:15" ht="25.5">
      <c r="A22" s="91">
        <v>4</v>
      </c>
      <c r="B22" s="218" t="s">
        <v>2474</v>
      </c>
      <c r="C22" s="198" t="s">
        <v>2475</v>
      </c>
      <c r="D22" s="167">
        <v>2022</v>
      </c>
      <c r="E22" s="91">
        <v>1</v>
      </c>
      <c r="F22" s="91">
        <v>1</v>
      </c>
      <c r="G22" s="246">
        <f t="shared" si="0"/>
        <v>0</v>
      </c>
      <c r="H22" s="243"/>
      <c r="I22" s="243"/>
      <c r="J22" s="91" t="s">
        <v>2467</v>
      </c>
      <c r="K22" s="73" t="s">
        <v>1272</v>
      </c>
      <c r="L22" s="244" t="s">
        <v>641</v>
      </c>
      <c r="M22" s="91" t="s">
        <v>1272</v>
      </c>
      <c r="N22" s="153" t="s">
        <v>2476</v>
      </c>
      <c r="O22" s="104" t="s">
        <v>2476</v>
      </c>
    </row>
    <row r="23" spans="1:15" s="240" customFormat="1" ht="12.75">
      <c r="A23" s="514" t="s">
        <v>2477</v>
      </c>
      <c r="B23" s="514"/>
      <c r="C23" s="514"/>
      <c r="D23" s="514"/>
      <c r="E23" s="514"/>
      <c r="F23" s="514"/>
      <c r="G23" s="514"/>
      <c r="H23" s="514"/>
      <c r="I23" s="514"/>
      <c r="J23" s="514"/>
      <c r="K23" s="514"/>
      <c r="L23" s="514"/>
      <c r="M23" s="514"/>
      <c r="N23" s="514"/>
    </row>
    <row r="24" spans="1:15" s="104" customFormat="1" ht="38.25">
      <c r="A24" s="91">
        <v>1</v>
      </c>
      <c r="B24" s="218" t="s">
        <v>2478</v>
      </c>
      <c r="C24" s="198" t="s">
        <v>2479</v>
      </c>
      <c r="D24" s="167">
        <v>2022</v>
      </c>
      <c r="E24" s="73">
        <v>1</v>
      </c>
      <c r="F24" s="91">
        <v>1</v>
      </c>
      <c r="G24" s="73">
        <f>F24-E24</f>
        <v>0</v>
      </c>
      <c r="H24" s="250"/>
      <c r="I24" s="243"/>
      <c r="J24" s="91" t="s">
        <v>2480</v>
      </c>
      <c r="K24" s="73" t="s">
        <v>1272</v>
      </c>
      <c r="L24" s="244" t="s">
        <v>641</v>
      </c>
      <c r="M24" s="91" t="s">
        <v>1272</v>
      </c>
      <c r="N24" s="202"/>
    </row>
    <row r="25" spans="1:15" s="104" customFormat="1" ht="25.5">
      <c r="A25" s="91">
        <v>2</v>
      </c>
      <c r="B25" s="218" t="s">
        <v>2481</v>
      </c>
      <c r="C25" s="198" t="s">
        <v>2482</v>
      </c>
      <c r="D25" s="167"/>
      <c r="E25" s="73">
        <v>1</v>
      </c>
      <c r="F25" s="91">
        <v>1</v>
      </c>
      <c r="G25" s="73">
        <f t="shared" ref="G25:G27" si="1">F25-E25</f>
        <v>0</v>
      </c>
      <c r="H25" s="248">
        <v>270000</v>
      </c>
      <c r="I25" s="248">
        <v>270000</v>
      </c>
      <c r="J25" s="91" t="s">
        <v>2480</v>
      </c>
      <c r="K25" s="73" t="s">
        <v>1272</v>
      </c>
      <c r="L25" s="244" t="s">
        <v>641</v>
      </c>
      <c r="M25" s="91" t="s">
        <v>1272</v>
      </c>
      <c r="N25" s="91" t="s">
        <v>2483</v>
      </c>
    </row>
    <row r="26" spans="1:15" s="104" customFormat="1" ht="25.5">
      <c r="A26" s="91">
        <v>3</v>
      </c>
      <c r="B26" s="218" t="s">
        <v>2484</v>
      </c>
      <c r="C26" s="198" t="s">
        <v>2485</v>
      </c>
      <c r="D26" s="167">
        <v>2014</v>
      </c>
      <c r="E26" s="73">
        <v>1</v>
      </c>
      <c r="F26" s="91">
        <v>1</v>
      </c>
      <c r="G26" s="73">
        <f t="shared" si="1"/>
        <v>0</v>
      </c>
      <c r="H26" s="89">
        <v>42900000</v>
      </c>
      <c r="I26" s="89">
        <v>42900000</v>
      </c>
      <c r="J26" s="91" t="s">
        <v>2480</v>
      </c>
      <c r="K26" s="73" t="s">
        <v>1272</v>
      </c>
      <c r="L26" s="244" t="s">
        <v>641</v>
      </c>
      <c r="M26" s="91" t="s">
        <v>1272</v>
      </c>
      <c r="N26" s="91"/>
    </row>
    <row r="27" spans="1:15" ht="25.5">
      <c r="A27" s="91">
        <v>4</v>
      </c>
      <c r="B27" s="218" t="s">
        <v>2486</v>
      </c>
      <c r="C27" s="198" t="s">
        <v>2487</v>
      </c>
      <c r="D27" s="167">
        <v>2011</v>
      </c>
      <c r="E27" s="91">
        <v>1</v>
      </c>
      <c r="F27" s="91">
        <v>1</v>
      </c>
      <c r="G27" s="73">
        <f t="shared" si="1"/>
        <v>0</v>
      </c>
      <c r="H27" s="158">
        <v>4909090</v>
      </c>
      <c r="I27" s="158">
        <v>4909090</v>
      </c>
      <c r="J27" s="91" t="s">
        <v>2480</v>
      </c>
      <c r="K27" s="73" t="s">
        <v>1272</v>
      </c>
      <c r="L27" s="244" t="s">
        <v>641</v>
      </c>
      <c r="M27" s="91" t="s">
        <v>1272</v>
      </c>
      <c r="N27" s="91" t="s">
        <v>2488</v>
      </c>
    </row>
    <row r="28" spans="1:15">
      <c r="A28" s="91"/>
      <c r="B28" s="278" t="s">
        <v>775</v>
      </c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</row>
    <row r="29" spans="1:15" ht="26.25">
      <c r="A29" s="91">
        <v>1</v>
      </c>
      <c r="B29" s="218" t="s">
        <v>2489</v>
      </c>
      <c r="C29" s="198" t="s">
        <v>2490</v>
      </c>
      <c r="D29" s="167">
        <v>2011</v>
      </c>
      <c r="E29" s="91">
        <v>2</v>
      </c>
      <c r="F29" s="91">
        <v>2</v>
      </c>
      <c r="G29" s="246">
        <f t="shared" ref="G29:G36" si="2">F29-E29</f>
        <v>0</v>
      </c>
      <c r="H29" s="250"/>
      <c r="I29" s="243"/>
      <c r="J29" s="91" t="s">
        <v>2480</v>
      </c>
      <c r="K29" s="73" t="s">
        <v>1272</v>
      </c>
      <c r="L29" s="244" t="s">
        <v>95</v>
      </c>
      <c r="M29" s="91" t="s">
        <v>1272</v>
      </c>
      <c r="N29" s="249" t="s">
        <v>2470</v>
      </c>
      <c r="O29" s="62" t="s">
        <v>2491</v>
      </c>
    </row>
    <row r="30" spans="1:15" ht="25.5">
      <c r="A30" s="91">
        <v>2</v>
      </c>
      <c r="B30" s="93" t="s">
        <v>2492</v>
      </c>
      <c r="C30" s="198" t="s">
        <v>2493</v>
      </c>
      <c r="D30" s="167">
        <v>2011</v>
      </c>
      <c r="E30" s="73">
        <v>2</v>
      </c>
      <c r="F30" s="73">
        <v>2</v>
      </c>
      <c r="G30" s="246">
        <f t="shared" si="2"/>
        <v>0</v>
      </c>
      <c r="H30" s="242"/>
      <c r="I30" s="243"/>
      <c r="J30" s="91" t="s">
        <v>2480</v>
      </c>
      <c r="K30" s="73" t="s">
        <v>1272</v>
      </c>
      <c r="L30" s="244" t="s">
        <v>641</v>
      </c>
      <c r="M30" s="91" t="s">
        <v>1272</v>
      </c>
      <c r="N30" s="249" t="s">
        <v>2494</v>
      </c>
      <c r="O30" s="62" t="s">
        <v>2495</v>
      </c>
    </row>
    <row r="31" spans="1:15" ht="25.5">
      <c r="A31" s="91">
        <v>3</v>
      </c>
      <c r="B31" s="93" t="s">
        <v>2496</v>
      </c>
      <c r="C31" s="198" t="s">
        <v>2497</v>
      </c>
      <c r="D31" s="167">
        <v>2011</v>
      </c>
      <c r="E31" s="91">
        <v>1</v>
      </c>
      <c r="F31" s="91">
        <v>1</v>
      </c>
      <c r="G31" s="246">
        <f t="shared" si="2"/>
        <v>0</v>
      </c>
      <c r="H31" s="158">
        <v>1995000</v>
      </c>
      <c r="I31" s="158">
        <v>1995000</v>
      </c>
      <c r="J31" s="91" t="s">
        <v>2480</v>
      </c>
      <c r="K31" s="73" t="s">
        <v>1272</v>
      </c>
      <c r="L31" s="244" t="s">
        <v>641</v>
      </c>
      <c r="M31" s="91" t="s">
        <v>1272</v>
      </c>
      <c r="N31" s="91" t="s">
        <v>2498</v>
      </c>
    </row>
    <row r="32" spans="1:15" ht="25.5">
      <c r="A32" s="91">
        <v>4</v>
      </c>
      <c r="B32" s="93" t="s">
        <v>2499</v>
      </c>
      <c r="C32" s="198" t="s">
        <v>2500</v>
      </c>
      <c r="D32" s="167">
        <v>2011</v>
      </c>
      <c r="E32" s="91">
        <v>1</v>
      </c>
      <c r="F32" s="91">
        <v>1</v>
      </c>
      <c r="G32" s="246">
        <f t="shared" si="2"/>
        <v>0</v>
      </c>
      <c r="H32" s="158">
        <v>892500</v>
      </c>
      <c r="I32" s="158">
        <v>892500</v>
      </c>
      <c r="J32" s="91" t="s">
        <v>2480</v>
      </c>
      <c r="K32" s="73" t="s">
        <v>1272</v>
      </c>
      <c r="L32" s="244" t="s">
        <v>641</v>
      </c>
      <c r="M32" s="91" t="s">
        <v>1272</v>
      </c>
      <c r="N32" s="91" t="s">
        <v>2498</v>
      </c>
    </row>
    <row r="33" spans="1:15" s="104" customFormat="1" ht="25.5">
      <c r="A33" s="91">
        <v>5</v>
      </c>
      <c r="B33" s="153" t="s">
        <v>2501</v>
      </c>
      <c r="C33" s="198" t="s">
        <v>2502</v>
      </c>
      <c r="D33" s="167">
        <v>2011</v>
      </c>
      <c r="E33" s="91">
        <v>1</v>
      </c>
      <c r="F33" s="91">
        <v>1</v>
      </c>
      <c r="G33" s="246">
        <f t="shared" si="2"/>
        <v>0</v>
      </c>
      <c r="H33" s="158">
        <v>1470000</v>
      </c>
      <c r="I33" s="158">
        <v>1470000</v>
      </c>
      <c r="J33" s="91" t="s">
        <v>2480</v>
      </c>
      <c r="K33" s="73" t="s">
        <v>1272</v>
      </c>
      <c r="L33" s="244" t="s">
        <v>641</v>
      </c>
      <c r="M33" s="91" t="s">
        <v>1272</v>
      </c>
      <c r="N33" s="91" t="s">
        <v>2498</v>
      </c>
      <c r="O33" s="62"/>
    </row>
    <row r="34" spans="1:15" s="240" customFormat="1" ht="25.5">
      <c r="A34" s="91">
        <v>6</v>
      </c>
      <c r="B34" s="218" t="s">
        <v>2503</v>
      </c>
      <c r="C34" s="198" t="s">
        <v>2504</v>
      </c>
      <c r="D34" s="167"/>
      <c r="E34" s="91">
        <v>1</v>
      </c>
      <c r="F34" s="91">
        <v>1</v>
      </c>
      <c r="G34" s="246">
        <f t="shared" si="2"/>
        <v>0</v>
      </c>
      <c r="H34" s="250"/>
      <c r="I34" s="243"/>
      <c r="J34" s="91" t="s">
        <v>2480</v>
      </c>
      <c r="K34" s="73" t="s">
        <v>1272</v>
      </c>
      <c r="L34" s="244" t="s">
        <v>641</v>
      </c>
      <c r="M34" s="91" t="s">
        <v>1272</v>
      </c>
      <c r="N34" s="153"/>
    </row>
    <row r="35" spans="1:15" s="104" customFormat="1" ht="25.5">
      <c r="A35" s="91">
        <v>7</v>
      </c>
      <c r="B35" s="218" t="s">
        <v>596</v>
      </c>
      <c r="C35" s="198" t="s">
        <v>2505</v>
      </c>
      <c r="D35" s="167"/>
      <c r="E35" s="91">
        <v>1</v>
      </c>
      <c r="F35" s="91">
        <v>1</v>
      </c>
      <c r="G35" s="246">
        <f t="shared" si="2"/>
        <v>0</v>
      </c>
      <c r="H35" s="250"/>
      <c r="I35" s="243"/>
      <c r="J35" s="91" t="s">
        <v>2480</v>
      </c>
      <c r="K35" s="73" t="s">
        <v>1272</v>
      </c>
      <c r="L35" s="244" t="s">
        <v>641</v>
      </c>
      <c r="M35" s="91" t="s">
        <v>1272</v>
      </c>
      <c r="N35" s="153"/>
    </row>
    <row r="36" spans="1:15" s="104" customFormat="1" ht="25.5">
      <c r="A36" s="91">
        <v>8</v>
      </c>
      <c r="B36" s="218" t="s">
        <v>2474</v>
      </c>
      <c r="C36" s="198" t="s">
        <v>2506</v>
      </c>
      <c r="D36" s="167">
        <v>2022</v>
      </c>
      <c r="E36" s="91">
        <v>1</v>
      </c>
      <c r="F36" s="91">
        <v>1</v>
      </c>
      <c r="G36" s="246">
        <f t="shared" si="2"/>
        <v>0</v>
      </c>
      <c r="H36" s="243"/>
      <c r="I36" s="243"/>
      <c r="J36" s="91" t="s">
        <v>2480</v>
      </c>
      <c r="K36" s="73" t="s">
        <v>1272</v>
      </c>
      <c r="L36" s="244" t="s">
        <v>641</v>
      </c>
      <c r="M36" s="91" t="s">
        <v>1272</v>
      </c>
      <c r="N36" s="153"/>
    </row>
    <row r="37" spans="1:15" s="61" customFormat="1" ht="12.75">
      <c r="A37" s="515" t="s">
        <v>2507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515"/>
      <c r="O37" s="251"/>
    </row>
    <row r="38" spans="1:15" s="245" customFormat="1" ht="25.5">
      <c r="A38" s="252">
        <v>1</v>
      </c>
      <c r="B38" s="253" t="s">
        <v>2508</v>
      </c>
      <c r="C38" s="252" t="s">
        <v>2509</v>
      </c>
      <c r="D38" s="161">
        <v>2017</v>
      </c>
      <c r="E38" s="91">
        <v>1</v>
      </c>
      <c r="F38" s="91">
        <v>1</v>
      </c>
      <c r="G38" s="246">
        <f>F38-E38</f>
        <v>0</v>
      </c>
      <c r="H38" s="254">
        <v>3000000</v>
      </c>
      <c r="I38" s="254">
        <v>3000000</v>
      </c>
      <c r="J38" s="252" t="s">
        <v>876</v>
      </c>
      <c r="K38" s="73" t="s">
        <v>1272</v>
      </c>
      <c r="L38" s="246" t="s">
        <v>2510</v>
      </c>
      <c r="M38" s="246"/>
      <c r="N38" s="246"/>
      <c r="O38" s="251"/>
    </row>
    <row r="39" spans="1:15" s="245" customFormat="1" ht="25.5">
      <c r="A39" s="252">
        <v>2</v>
      </c>
      <c r="B39" s="253" t="s">
        <v>2511</v>
      </c>
      <c r="C39" s="91" t="s">
        <v>2512</v>
      </c>
      <c r="D39" s="161">
        <v>2014</v>
      </c>
      <c r="E39" s="91">
        <v>1</v>
      </c>
      <c r="F39" s="91">
        <v>1</v>
      </c>
      <c r="G39" s="246">
        <f t="shared" ref="G39:G60" si="3">F39-E39</f>
        <v>0</v>
      </c>
      <c r="H39" s="255">
        <v>1500000</v>
      </c>
      <c r="I39" s="255">
        <v>1500000</v>
      </c>
      <c r="J39" s="252" t="s">
        <v>876</v>
      </c>
      <c r="K39" s="73" t="s">
        <v>1272</v>
      </c>
      <c r="L39" s="246" t="s">
        <v>2510</v>
      </c>
      <c r="M39" s="246"/>
      <c r="N39" s="246"/>
      <c r="O39" s="251"/>
    </row>
    <row r="40" spans="1:15" s="245" customFormat="1" ht="25.5">
      <c r="A40" s="252">
        <v>3</v>
      </c>
      <c r="B40" s="253" t="s">
        <v>2511</v>
      </c>
      <c r="C40" s="91" t="s">
        <v>2513</v>
      </c>
      <c r="D40" s="161">
        <v>2014</v>
      </c>
      <c r="E40" s="91">
        <v>1</v>
      </c>
      <c r="F40" s="91">
        <v>1</v>
      </c>
      <c r="G40" s="246">
        <f t="shared" si="3"/>
        <v>0</v>
      </c>
      <c r="H40" s="255">
        <v>1500000</v>
      </c>
      <c r="I40" s="255">
        <v>1500000</v>
      </c>
      <c r="J40" s="252" t="s">
        <v>876</v>
      </c>
      <c r="K40" s="73" t="s">
        <v>1272</v>
      </c>
      <c r="L40" s="246" t="s">
        <v>2510</v>
      </c>
      <c r="M40" s="246"/>
      <c r="N40" s="246"/>
      <c r="O40" s="251"/>
    </row>
    <row r="41" spans="1:15" s="245" customFormat="1" ht="25.5">
      <c r="A41" s="252">
        <v>4</v>
      </c>
      <c r="B41" s="253" t="s">
        <v>2511</v>
      </c>
      <c r="C41" s="91" t="s">
        <v>2514</v>
      </c>
      <c r="D41" s="161">
        <v>2014</v>
      </c>
      <c r="E41" s="91">
        <v>1</v>
      </c>
      <c r="F41" s="91">
        <v>1</v>
      </c>
      <c r="G41" s="246">
        <f t="shared" si="3"/>
        <v>0</v>
      </c>
      <c r="H41" s="255">
        <v>1500000</v>
      </c>
      <c r="I41" s="255">
        <v>1500000</v>
      </c>
      <c r="J41" s="252" t="s">
        <v>876</v>
      </c>
      <c r="K41" s="73" t="s">
        <v>1272</v>
      </c>
      <c r="L41" s="246" t="s">
        <v>2510</v>
      </c>
      <c r="M41" s="246"/>
      <c r="N41" s="246"/>
      <c r="O41" s="251"/>
    </row>
    <row r="42" spans="1:15" s="245" customFormat="1" ht="25.5">
      <c r="A42" s="252">
        <v>5</v>
      </c>
      <c r="B42" s="253" t="s">
        <v>2511</v>
      </c>
      <c r="C42" s="91" t="s">
        <v>2515</v>
      </c>
      <c r="D42" s="161">
        <v>2014</v>
      </c>
      <c r="E42" s="91">
        <v>1</v>
      </c>
      <c r="F42" s="91">
        <v>1</v>
      </c>
      <c r="G42" s="246">
        <f t="shared" si="3"/>
        <v>0</v>
      </c>
      <c r="H42" s="255">
        <v>1500000</v>
      </c>
      <c r="I42" s="255">
        <v>1500000</v>
      </c>
      <c r="J42" s="252" t="s">
        <v>876</v>
      </c>
      <c r="K42" s="73" t="s">
        <v>1272</v>
      </c>
      <c r="L42" s="246" t="s">
        <v>2510</v>
      </c>
      <c r="M42" s="246"/>
      <c r="N42" s="93" t="s">
        <v>1911</v>
      </c>
      <c r="O42" s="251" t="s">
        <v>2516</v>
      </c>
    </row>
    <row r="43" spans="1:15" s="245" customFormat="1" ht="25.5">
      <c r="A43" s="252">
        <v>6</v>
      </c>
      <c r="B43" s="253" t="s">
        <v>2511</v>
      </c>
      <c r="C43" s="91" t="s">
        <v>2517</v>
      </c>
      <c r="D43" s="161">
        <v>2014</v>
      </c>
      <c r="E43" s="91">
        <v>1</v>
      </c>
      <c r="F43" s="91">
        <v>1</v>
      </c>
      <c r="G43" s="246">
        <f t="shared" si="3"/>
        <v>0</v>
      </c>
      <c r="H43" s="255">
        <v>1500000</v>
      </c>
      <c r="I43" s="255">
        <v>1500000</v>
      </c>
      <c r="J43" s="252" t="s">
        <v>876</v>
      </c>
      <c r="K43" s="73" t="s">
        <v>1272</v>
      </c>
      <c r="L43" s="246" t="s">
        <v>2510</v>
      </c>
      <c r="M43" s="246"/>
      <c r="N43" s="93" t="s">
        <v>1911</v>
      </c>
      <c r="O43" s="251" t="s">
        <v>2516</v>
      </c>
    </row>
    <row r="44" spans="1:15" s="245" customFormat="1" ht="25.5">
      <c r="A44" s="252">
        <v>7</v>
      </c>
      <c r="B44" s="253" t="s">
        <v>2518</v>
      </c>
      <c r="C44" s="91" t="s">
        <v>2519</v>
      </c>
      <c r="D44" s="161">
        <v>2014</v>
      </c>
      <c r="E44" s="91">
        <v>1</v>
      </c>
      <c r="F44" s="91">
        <v>1</v>
      </c>
      <c r="G44" s="246">
        <f t="shared" si="3"/>
        <v>0</v>
      </c>
      <c r="H44" s="255">
        <v>3500000</v>
      </c>
      <c r="I44" s="255">
        <v>3500000</v>
      </c>
      <c r="J44" s="252" t="s">
        <v>876</v>
      </c>
      <c r="K44" s="73" t="s">
        <v>1272</v>
      </c>
      <c r="L44" s="246" t="s">
        <v>2510</v>
      </c>
      <c r="M44" s="246"/>
      <c r="N44" s="246"/>
      <c r="O44" s="251"/>
    </row>
    <row r="45" spans="1:15" s="245" customFormat="1" ht="25.5">
      <c r="A45" s="252">
        <v>8</v>
      </c>
      <c r="B45" s="253" t="s">
        <v>2520</v>
      </c>
      <c r="C45" s="91" t="s">
        <v>2521</v>
      </c>
      <c r="D45" s="161">
        <v>2014</v>
      </c>
      <c r="E45" s="91">
        <v>1</v>
      </c>
      <c r="F45" s="91">
        <v>1</v>
      </c>
      <c r="G45" s="246">
        <f t="shared" si="3"/>
        <v>0</v>
      </c>
      <c r="H45" s="255">
        <v>1900000</v>
      </c>
      <c r="I45" s="255">
        <v>1900000</v>
      </c>
      <c r="J45" s="252" t="s">
        <v>876</v>
      </c>
      <c r="K45" s="73" t="s">
        <v>1272</v>
      </c>
      <c r="L45" s="246" t="s">
        <v>2510</v>
      </c>
      <c r="M45" s="246"/>
      <c r="N45" s="246"/>
      <c r="O45" s="251"/>
    </row>
    <row r="46" spans="1:15" s="245" customFormat="1" ht="12.75">
      <c r="A46" s="252">
        <v>9</v>
      </c>
      <c r="B46" s="253" t="s">
        <v>2522</v>
      </c>
      <c r="C46" s="91" t="s">
        <v>2523</v>
      </c>
      <c r="D46" s="161">
        <v>2014</v>
      </c>
      <c r="E46" s="91">
        <v>1</v>
      </c>
      <c r="F46" s="91">
        <v>1</v>
      </c>
      <c r="G46" s="246">
        <f t="shared" si="3"/>
        <v>0</v>
      </c>
      <c r="H46" s="255">
        <v>3500000</v>
      </c>
      <c r="I46" s="255">
        <v>3500000</v>
      </c>
      <c r="J46" s="252" t="s">
        <v>876</v>
      </c>
      <c r="K46" s="73" t="s">
        <v>1272</v>
      </c>
      <c r="L46" s="246" t="s">
        <v>2524</v>
      </c>
      <c r="M46" s="246"/>
      <c r="N46" s="93" t="s">
        <v>232</v>
      </c>
      <c r="O46" s="251" t="s">
        <v>232</v>
      </c>
    </row>
    <row r="47" spans="1:15" s="245" customFormat="1" ht="51">
      <c r="A47" s="252">
        <v>10</v>
      </c>
      <c r="B47" s="253" t="s">
        <v>2525</v>
      </c>
      <c r="C47" s="91" t="s">
        <v>2526</v>
      </c>
      <c r="D47" s="161">
        <v>2017</v>
      </c>
      <c r="E47" s="91">
        <v>1</v>
      </c>
      <c r="F47" s="91">
        <v>1</v>
      </c>
      <c r="G47" s="246">
        <f t="shared" si="3"/>
        <v>0</v>
      </c>
      <c r="H47" s="255">
        <v>1600000</v>
      </c>
      <c r="I47" s="255">
        <v>1600000</v>
      </c>
      <c r="J47" s="252" t="s">
        <v>876</v>
      </c>
      <c r="K47" s="73" t="s">
        <v>1272</v>
      </c>
      <c r="L47" s="246" t="s">
        <v>2510</v>
      </c>
      <c r="M47" s="246"/>
      <c r="N47" s="246"/>
      <c r="O47" s="251"/>
    </row>
    <row r="48" spans="1:15" s="245" customFormat="1" ht="51">
      <c r="A48" s="252">
        <v>11</v>
      </c>
      <c r="B48" s="253" t="s">
        <v>2527</v>
      </c>
      <c r="C48" s="91" t="s">
        <v>2528</v>
      </c>
      <c r="D48" s="161">
        <v>2017</v>
      </c>
      <c r="E48" s="91">
        <v>1</v>
      </c>
      <c r="F48" s="91">
        <v>1</v>
      </c>
      <c r="G48" s="246">
        <f t="shared" si="3"/>
        <v>0</v>
      </c>
      <c r="H48" s="255">
        <v>1600000</v>
      </c>
      <c r="I48" s="255">
        <v>1600000</v>
      </c>
      <c r="J48" s="252" t="s">
        <v>876</v>
      </c>
      <c r="K48" s="73" t="s">
        <v>1272</v>
      </c>
      <c r="L48" s="246" t="s">
        <v>2510</v>
      </c>
      <c r="M48" s="246"/>
      <c r="N48" s="246"/>
      <c r="O48" s="251"/>
    </row>
    <row r="49" spans="1:16" s="245" customFormat="1" ht="38.25">
      <c r="A49" s="252">
        <v>12</v>
      </c>
      <c r="B49" s="253" t="s">
        <v>2529</v>
      </c>
      <c r="C49" s="91" t="s">
        <v>2530</v>
      </c>
      <c r="D49" s="161">
        <v>2017</v>
      </c>
      <c r="E49" s="91">
        <v>1</v>
      </c>
      <c r="F49" s="91">
        <v>1</v>
      </c>
      <c r="G49" s="246">
        <f t="shared" si="3"/>
        <v>0</v>
      </c>
      <c r="H49" s="255">
        <v>1600000</v>
      </c>
      <c r="I49" s="255">
        <v>1600000</v>
      </c>
      <c r="J49" s="252" t="s">
        <v>876</v>
      </c>
      <c r="K49" s="73" t="s">
        <v>1272</v>
      </c>
      <c r="L49" s="246" t="s">
        <v>2510</v>
      </c>
      <c r="M49" s="246"/>
      <c r="N49" s="246"/>
      <c r="O49" s="251"/>
    </row>
    <row r="50" spans="1:16" s="245" customFormat="1" ht="25.5">
      <c r="A50" s="252">
        <v>13</v>
      </c>
      <c r="B50" s="253" t="s">
        <v>2531</v>
      </c>
      <c r="C50" s="91" t="s">
        <v>2532</v>
      </c>
      <c r="D50" s="161">
        <v>2017</v>
      </c>
      <c r="E50" s="91">
        <v>1</v>
      </c>
      <c r="F50" s="91">
        <v>1</v>
      </c>
      <c r="G50" s="246">
        <f t="shared" si="3"/>
        <v>0</v>
      </c>
      <c r="H50" s="255">
        <v>4750000</v>
      </c>
      <c r="I50" s="255">
        <v>4750000</v>
      </c>
      <c r="J50" s="252" t="s">
        <v>876</v>
      </c>
      <c r="K50" s="73" t="s">
        <v>1272</v>
      </c>
      <c r="L50" s="246" t="s">
        <v>2510</v>
      </c>
      <c r="M50" s="246"/>
      <c r="N50" s="246"/>
      <c r="O50" s="251"/>
    </row>
    <row r="51" spans="1:16" s="245" customFormat="1" ht="25.5">
      <c r="A51" s="252">
        <v>14</v>
      </c>
      <c r="B51" s="253" t="s">
        <v>927</v>
      </c>
      <c r="C51" s="91" t="s">
        <v>2533</v>
      </c>
      <c r="D51" s="161">
        <v>2015</v>
      </c>
      <c r="E51" s="91">
        <v>1</v>
      </c>
      <c r="F51" s="91">
        <v>1</v>
      </c>
      <c r="G51" s="246">
        <f t="shared" si="3"/>
        <v>0</v>
      </c>
      <c r="H51" s="255">
        <v>2750000</v>
      </c>
      <c r="I51" s="255">
        <v>2750000</v>
      </c>
      <c r="J51" s="252" t="s">
        <v>876</v>
      </c>
      <c r="K51" s="73" t="s">
        <v>1272</v>
      </c>
      <c r="L51" s="246" t="s">
        <v>2510</v>
      </c>
      <c r="M51" s="246"/>
      <c r="N51" s="93" t="s">
        <v>1911</v>
      </c>
      <c r="O51" s="251" t="s">
        <v>2516</v>
      </c>
    </row>
    <row r="52" spans="1:16" s="251" customFormat="1" ht="25.5">
      <c r="A52" s="252">
        <v>15</v>
      </c>
      <c r="B52" s="253" t="s">
        <v>927</v>
      </c>
      <c r="C52" s="91" t="s">
        <v>2534</v>
      </c>
      <c r="D52" s="161">
        <v>2015</v>
      </c>
      <c r="E52" s="91">
        <v>1</v>
      </c>
      <c r="F52" s="91">
        <v>1</v>
      </c>
      <c r="G52" s="246">
        <f t="shared" si="3"/>
        <v>0</v>
      </c>
      <c r="H52" s="255">
        <v>2750000</v>
      </c>
      <c r="I52" s="255">
        <v>2750000</v>
      </c>
      <c r="J52" s="252" t="s">
        <v>876</v>
      </c>
      <c r="K52" s="73" t="s">
        <v>1272</v>
      </c>
      <c r="L52" s="246" t="s">
        <v>2510</v>
      </c>
      <c r="M52" s="246"/>
      <c r="N52" s="93" t="s">
        <v>1911</v>
      </c>
      <c r="O52" s="251" t="s">
        <v>2516</v>
      </c>
      <c r="P52" s="245"/>
    </row>
    <row r="53" spans="1:16" s="251" customFormat="1" ht="25.5">
      <c r="A53" s="252">
        <v>16</v>
      </c>
      <c r="B53" s="253" t="s">
        <v>927</v>
      </c>
      <c r="C53" s="91" t="s">
        <v>2535</v>
      </c>
      <c r="D53" s="161">
        <v>2015</v>
      </c>
      <c r="E53" s="91">
        <v>1</v>
      </c>
      <c r="F53" s="91">
        <v>1</v>
      </c>
      <c r="G53" s="246">
        <f t="shared" si="3"/>
        <v>0</v>
      </c>
      <c r="H53" s="255">
        <v>2750000</v>
      </c>
      <c r="I53" s="255">
        <v>2750000</v>
      </c>
      <c r="J53" s="252" t="s">
        <v>876</v>
      </c>
      <c r="K53" s="73" t="s">
        <v>1272</v>
      </c>
      <c r="L53" s="246" t="s">
        <v>2510</v>
      </c>
      <c r="M53" s="246"/>
      <c r="N53" s="93" t="s">
        <v>1911</v>
      </c>
      <c r="O53" s="251" t="s">
        <v>2516</v>
      </c>
      <c r="P53" s="245"/>
    </row>
    <row r="54" spans="1:16" s="251" customFormat="1" ht="25.5">
      <c r="A54" s="252">
        <v>17</v>
      </c>
      <c r="B54" s="253" t="s">
        <v>927</v>
      </c>
      <c r="C54" s="91" t="s">
        <v>2536</v>
      </c>
      <c r="D54" s="161">
        <v>2015</v>
      </c>
      <c r="E54" s="91">
        <v>1</v>
      </c>
      <c r="F54" s="91">
        <v>1</v>
      </c>
      <c r="G54" s="246">
        <f t="shared" si="3"/>
        <v>0</v>
      </c>
      <c r="H54" s="255">
        <v>2750000</v>
      </c>
      <c r="I54" s="255">
        <v>2750000</v>
      </c>
      <c r="J54" s="252" t="s">
        <v>876</v>
      </c>
      <c r="K54" s="73" t="s">
        <v>1272</v>
      </c>
      <c r="L54" s="246" t="s">
        <v>2510</v>
      </c>
      <c r="M54" s="246"/>
      <c r="N54" s="93" t="s">
        <v>1911</v>
      </c>
      <c r="O54" s="251" t="s">
        <v>2516</v>
      </c>
      <c r="P54" s="245"/>
    </row>
    <row r="55" spans="1:16" s="251" customFormat="1" ht="25.5">
      <c r="A55" s="252">
        <v>18</v>
      </c>
      <c r="B55" s="253" t="s">
        <v>927</v>
      </c>
      <c r="C55" s="91" t="s">
        <v>2537</v>
      </c>
      <c r="D55" s="161">
        <v>2015</v>
      </c>
      <c r="E55" s="91">
        <v>1</v>
      </c>
      <c r="F55" s="91">
        <v>1</v>
      </c>
      <c r="G55" s="246">
        <f t="shared" si="3"/>
        <v>0</v>
      </c>
      <c r="H55" s="255">
        <v>2750000</v>
      </c>
      <c r="I55" s="255">
        <v>2750000</v>
      </c>
      <c r="J55" s="252" t="s">
        <v>876</v>
      </c>
      <c r="K55" s="73" t="s">
        <v>1272</v>
      </c>
      <c r="L55" s="246" t="s">
        <v>2510</v>
      </c>
      <c r="M55" s="246"/>
      <c r="N55" s="93" t="s">
        <v>1911</v>
      </c>
      <c r="O55" s="251" t="s">
        <v>2516</v>
      </c>
      <c r="P55" s="245"/>
    </row>
    <row r="56" spans="1:16" s="251" customFormat="1" ht="63.75">
      <c r="A56" s="252">
        <v>19</v>
      </c>
      <c r="B56" s="253" t="s">
        <v>2538</v>
      </c>
      <c r="C56" s="91" t="s">
        <v>2539</v>
      </c>
      <c r="D56" s="161">
        <v>2015</v>
      </c>
      <c r="E56" s="91">
        <v>1</v>
      </c>
      <c r="F56" s="91">
        <v>1</v>
      </c>
      <c r="G56" s="246">
        <f t="shared" si="3"/>
        <v>0</v>
      </c>
      <c r="H56" s="255">
        <v>3520000</v>
      </c>
      <c r="I56" s="255">
        <v>3520000</v>
      </c>
      <c r="J56" s="252" t="s">
        <v>876</v>
      </c>
      <c r="K56" s="73" t="s">
        <v>1272</v>
      </c>
      <c r="L56" s="246" t="s">
        <v>95</v>
      </c>
      <c r="M56" s="246"/>
      <c r="N56" s="93" t="s">
        <v>2540</v>
      </c>
      <c r="O56" s="251" t="s">
        <v>2541</v>
      </c>
      <c r="P56" s="245"/>
    </row>
    <row r="57" spans="1:16" s="251" customFormat="1" ht="25.5">
      <c r="A57" s="252">
        <v>20</v>
      </c>
      <c r="B57" s="253" t="s">
        <v>2542</v>
      </c>
      <c r="C57" s="91" t="s">
        <v>2543</v>
      </c>
      <c r="D57" s="161">
        <v>2015</v>
      </c>
      <c r="E57" s="91">
        <v>1</v>
      </c>
      <c r="F57" s="91">
        <v>1</v>
      </c>
      <c r="G57" s="246">
        <f t="shared" si="3"/>
        <v>0</v>
      </c>
      <c r="H57" s="255">
        <v>4620000</v>
      </c>
      <c r="I57" s="255">
        <v>4620000</v>
      </c>
      <c r="J57" s="252" t="s">
        <v>876</v>
      </c>
      <c r="K57" s="73" t="s">
        <v>1272</v>
      </c>
      <c r="L57" s="246" t="s">
        <v>2510</v>
      </c>
      <c r="M57" s="246"/>
      <c r="N57" s="246"/>
      <c r="P57" s="245"/>
    </row>
    <row r="58" spans="1:16" s="251" customFormat="1" ht="12.75">
      <c r="A58" s="252">
        <v>21</v>
      </c>
      <c r="B58" s="253" t="s">
        <v>2544</v>
      </c>
      <c r="C58" s="91" t="s">
        <v>2545</v>
      </c>
      <c r="D58" s="161">
        <v>2015</v>
      </c>
      <c r="E58" s="91">
        <v>1</v>
      </c>
      <c r="F58" s="91">
        <v>1</v>
      </c>
      <c r="G58" s="246">
        <f t="shared" si="3"/>
        <v>0</v>
      </c>
      <c r="H58" s="255">
        <v>5280000</v>
      </c>
      <c r="I58" s="255">
        <v>5280000</v>
      </c>
      <c r="J58" s="252" t="s">
        <v>876</v>
      </c>
      <c r="K58" s="73" t="s">
        <v>1272</v>
      </c>
      <c r="L58" s="246" t="s">
        <v>2510</v>
      </c>
      <c r="M58" s="246"/>
      <c r="N58" s="246"/>
      <c r="P58" s="245"/>
    </row>
    <row r="59" spans="1:16" s="245" customFormat="1" ht="51">
      <c r="A59" s="252">
        <v>22</v>
      </c>
      <c r="B59" s="93" t="s">
        <v>2546</v>
      </c>
      <c r="C59" s="91" t="s">
        <v>2547</v>
      </c>
      <c r="D59" s="161">
        <v>2023</v>
      </c>
      <c r="E59" s="91">
        <v>5</v>
      </c>
      <c r="F59" s="91">
        <v>5</v>
      </c>
      <c r="G59" s="246">
        <f t="shared" si="3"/>
        <v>0</v>
      </c>
      <c r="H59" s="89">
        <v>296154</v>
      </c>
      <c r="I59" s="89">
        <v>1480770</v>
      </c>
      <c r="J59" s="252" t="s">
        <v>876</v>
      </c>
      <c r="K59" s="73" t="s">
        <v>1272</v>
      </c>
      <c r="L59" s="246" t="s">
        <v>2548</v>
      </c>
      <c r="M59" s="246"/>
      <c r="N59" s="246" t="s">
        <v>2549</v>
      </c>
      <c r="O59" s="251"/>
    </row>
    <row r="60" spans="1:16" s="245" customFormat="1" ht="89.25">
      <c r="A60" s="252">
        <v>23</v>
      </c>
      <c r="B60" s="93" t="s">
        <v>933</v>
      </c>
      <c r="C60" s="91" t="s">
        <v>2550</v>
      </c>
      <c r="D60" s="161">
        <v>2023</v>
      </c>
      <c r="E60" s="91">
        <v>3</v>
      </c>
      <c r="F60" s="91">
        <v>3</v>
      </c>
      <c r="G60" s="246">
        <f t="shared" si="3"/>
        <v>0</v>
      </c>
      <c r="H60" s="89">
        <v>2100000</v>
      </c>
      <c r="I60" s="89">
        <v>6300000</v>
      </c>
      <c r="J60" s="252" t="s">
        <v>876</v>
      </c>
      <c r="K60" s="73" t="s">
        <v>1272</v>
      </c>
      <c r="L60" s="246" t="s">
        <v>2510</v>
      </c>
      <c r="M60" s="246"/>
      <c r="N60" s="246"/>
      <c r="O60" s="251"/>
    </row>
    <row r="61" spans="1:16" s="245" customFormat="1" ht="18" customHeight="1">
      <c r="A61" s="256"/>
      <c r="B61" s="173"/>
      <c r="C61" s="131"/>
      <c r="D61" s="169"/>
      <c r="E61" s="131"/>
      <c r="F61" s="131"/>
      <c r="G61" s="257"/>
      <c r="H61" s="258"/>
      <c r="I61" s="258"/>
      <c r="J61" s="256"/>
      <c r="K61" s="257"/>
      <c r="L61" s="259"/>
      <c r="M61" s="259"/>
      <c r="N61" s="259"/>
      <c r="O61" s="251"/>
    </row>
    <row r="62" spans="1:16" s="20" customFormat="1" ht="18" customHeight="1">
      <c r="A62" s="47"/>
      <c r="B62" s="48"/>
      <c r="C62" s="47"/>
      <c r="D62" s="47"/>
      <c r="E62" s="47"/>
      <c r="F62" s="47"/>
      <c r="G62" s="47"/>
      <c r="H62" s="49"/>
      <c r="I62" s="49"/>
      <c r="J62" s="474" t="s">
        <v>965</v>
      </c>
      <c r="K62" s="474"/>
      <c r="L62" s="474"/>
      <c r="M62" s="474"/>
      <c r="N62" s="474"/>
    </row>
    <row r="63" spans="1:16" s="20" customFormat="1" ht="24.95" customHeight="1">
      <c r="A63" s="475" t="s">
        <v>953</v>
      </c>
      <c r="B63" s="475"/>
      <c r="C63" s="51"/>
      <c r="D63" s="476" t="s">
        <v>2551</v>
      </c>
      <c r="E63" s="476"/>
      <c r="F63" s="476"/>
      <c r="G63" s="476"/>
      <c r="H63" s="476"/>
      <c r="I63" s="477" t="s">
        <v>955</v>
      </c>
      <c r="J63" s="477"/>
      <c r="K63" s="477"/>
      <c r="L63" s="476" t="s">
        <v>829</v>
      </c>
      <c r="M63" s="476"/>
      <c r="N63" s="476"/>
    </row>
    <row r="64" spans="1:16" s="20" customFormat="1" ht="24.95" customHeight="1">
      <c r="A64" s="478" t="s">
        <v>966</v>
      </c>
      <c r="B64" s="478"/>
      <c r="C64" s="478"/>
      <c r="D64" s="51"/>
      <c r="E64" s="51"/>
      <c r="F64" s="51"/>
      <c r="G64" s="51"/>
      <c r="H64" s="52"/>
      <c r="I64" s="52"/>
      <c r="J64" s="51"/>
      <c r="K64" s="51"/>
      <c r="L64" s="51"/>
      <c r="M64" s="51"/>
      <c r="N64" s="53"/>
    </row>
    <row r="65" spans="1:15" s="20" customFormat="1" ht="24.95" customHeight="1">
      <c r="A65" s="478" t="s">
        <v>961</v>
      </c>
      <c r="B65" s="478"/>
      <c r="C65" s="478"/>
      <c r="D65" s="51"/>
      <c r="E65" s="51"/>
      <c r="F65" s="51"/>
      <c r="G65" s="51"/>
      <c r="H65" s="52"/>
      <c r="I65" s="52"/>
      <c r="J65" s="51"/>
      <c r="K65" s="51"/>
      <c r="L65" s="51"/>
      <c r="M65" s="51"/>
      <c r="N65" s="53"/>
    </row>
    <row r="66" spans="1:15" s="20" customFormat="1" ht="24.95" customHeight="1">
      <c r="A66" s="478" t="s">
        <v>962</v>
      </c>
      <c r="B66" s="478"/>
      <c r="C66" s="478"/>
      <c r="D66" s="51"/>
      <c r="E66" s="51"/>
      <c r="F66" s="51"/>
      <c r="G66" s="51"/>
      <c r="H66" s="52"/>
      <c r="I66" s="52"/>
      <c r="J66" s="51"/>
      <c r="K66" s="51"/>
      <c r="L66" s="51"/>
      <c r="M66" s="51"/>
      <c r="N66" s="53"/>
    </row>
    <row r="67" spans="1:15" s="20" customFormat="1" ht="24.95" customHeight="1">
      <c r="A67" s="478" t="s">
        <v>958</v>
      </c>
      <c r="B67" s="478"/>
      <c r="C67" s="478"/>
      <c r="D67" s="476" t="s">
        <v>2552</v>
      </c>
      <c r="E67" s="476"/>
      <c r="F67" s="476"/>
      <c r="G67" s="476"/>
      <c r="H67" s="476"/>
      <c r="I67" s="477" t="s">
        <v>956</v>
      </c>
      <c r="J67" s="477"/>
      <c r="K67" s="477"/>
      <c r="L67" s="476" t="s">
        <v>954</v>
      </c>
      <c r="M67" s="476"/>
      <c r="N67" s="476"/>
    </row>
    <row r="68" spans="1:15" s="20" customFormat="1" ht="24.95" customHeight="1">
      <c r="A68" s="478" t="s">
        <v>963</v>
      </c>
      <c r="B68" s="478"/>
      <c r="C68" s="478"/>
      <c r="D68" s="476"/>
      <c r="E68" s="476"/>
      <c r="F68" s="476"/>
      <c r="G68" s="476"/>
      <c r="H68" s="476"/>
      <c r="I68" s="477"/>
      <c r="J68" s="477"/>
      <c r="K68" s="477"/>
      <c r="L68" s="476"/>
      <c r="M68" s="476"/>
      <c r="N68" s="476"/>
    </row>
    <row r="69" spans="1:15" s="245" customFormat="1" ht="12.75">
      <c r="A69" s="256"/>
      <c r="B69" s="173"/>
      <c r="C69" s="131"/>
      <c r="D69" s="169"/>
      <c r="E69" s="131"/>
      <c r="F69" s="131"/>
      <c r="G69" s="257"/>
      <c r="H69" s="258"/>
      <c r="I69" s="258"/>
      <c r="J69" s="256"/>
      <c r="K69" s="257"/>
      <c r="L69" s="259"/>
      <c r="M69" s="259"/>
      <c r="N69" s="259"/>
      <c r="O69" s="251"/>
    </row>
    <row r="70" spans="1:15" s="245" customFormat="1" ht="12.75">
      <c r="A70" s="256"/>
      <c r="B70" s="173"/>
      <c r="C70" s="131"/>
      <c r="D70" s="169"/>
      <c r="E70" s="131"/>
      <c r="F70" s="131"/>
      <c r="G70" s="257"/>
      <c r="H70" s="258"/>
      <c r="I70" s="258"/>
      <c r="J70" s="256"/>
      <c r="K70" s="257"/>
      <c r="L70" s="259"/>
      <c r="M70" s="259"/>
      <c r="N70" s="259"/>
      <c r="O70" s="251"/>
    </row>
  </sheetData>
  <mergeCells count="52">
    <mergeCell ref="A68:C68"/>
    <mergeCell ref="D68:H68"/>
    <mergeCell ref="I68:K68"/>
    <mergeCell ref="L68:N68"/>
    <mergeCell ref="A23:N23"/>
    <mergeCell ref="L67:N67"/>
    <mergeCell ref="J62:N62"/>
    <mergeCell ref="A63:B63"/>
    <mergeCell ref="D63:H63"/>
    <mergeCell ref="I63:K63"/>
    <mergeCell ref="L63:N63"/>
    <mergeCell ref="A64:C64"/>
    <mergeCell ref="A65:C65"/>
    <mergeCell ref="A66:C66"/>
    <mergeCell ref="A67:C67"/>
    <mergeCell ref="D67:H67"/>
    <mergeCell ref="I67:K67"/>
    <mergeCell ref="A37:N37"/>
    <mergeCell ref="I12:I15"/>
    <mergeCell ref="J12:J15"/>
    <mergeCell ref="K12:K15"/>
    <mergeCell ref="L12:L15"/>
    <mergeCell ref="M12:M15"/>
    <mergeCell ref="N12:N15"/>
    <mergeCell ref="A12:A15"/>
    <mergeCell ref="B12:B15"/>
    <mergeCell ref="C12:C15"/>
    <mergeCell ref="D12:D15"/>
    <mergeCell ref="H12:H15"/>
    <mergeCell ref="E13:E15"/>
    <mergeCell ref="F13:F15"/>
    <mergeCell ref="G13:G15"/>
    <mergeCell ref="B17:N17"/>
    <mergeCell ref="A8:C8"/>
    <mergeCell ref="E8:I8"/>
    <mergeCell ref="K8:M8"/>
    <mergeCell ref="A9:C9"/>
    <mergeCell ref="A10:N10"/>
    <mergeCell ref="A6:C6"/>
    <mergeCell ref="E6:I6"/>
    <mergeCell ref="K6:M6"/>
    <mergeCell ref="A7:C7"/>
    <mergeCell ref="E7:I7"/>
    <mergeCell ref="K7:M7"/>
    <mergeCell ref="A5:C5"/>
    <mergeCell ref="E5:I5"/>
    <mergeCell ref="K5:M5"/>
    <mergeCell ref="A1:E1"/>
    <mergeCell ref="K1:N1"/>
    <mergeCell ref="A2:E2"/>
    <mergeCell ref="A3:N3"/>
    <mergeCell ref="A4:N4"/>
  </mergeCells>
  <pageMargins left="0.5" right="0.2" top="0.5" bottom="0.5" header="0" footer="0"/>
  <pageSetup paperSize="9" orientation="landscape" r:id="rId1"/>
  <headerFooter differentFirst="1"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opLeftCell="A3" zoomScaleNormal="100" zoomScaleSheetLayoutView="102" workbookViewId="0">
      <selection activeCell="F34" sqref="F34"/>
    </sheetView>
  </sheetViews>
  <sheetFormatPr defaultColWidth="9.140625" defaultRowHeight="16.5"/>
  <cols>
    <col min="1" max="1" width="4.5703125" style="313" customWidth="1"/>
    <col min="2" max="2" width="22.7109375" style="294" customWidth="1"/>
    <col min="3" max="3" width="9.42578125" style="313" customWidth="1"/>
    <col min="4" max="4" width="6.42578125" style="313" customWidth="1"/>
    <col min="5" max="6" width="5.85546875" style="313" customWidth="1"/>
    <col min="7" max="7" width="6.42578125" style="314" customWidth="1"/>
    <col min="8" max="9" width="13.140625" style="314" customWidth="1"/>
    <col min="10" max="10" width="8" style="313" customWidth="1"/>
    <col min="11" max="11" width="10.7109375" style="313" customWidth="1"/>
    <col min="12" max="12" width="9.7109375" style="315" customWidth="1"/>
    <col min="13" max="13" width="9" style="313" customWidth="1"/>
    <col min="14" max="14" width="13" style="316" customWidth="1"/>
    <col min="15" max="16384" width="9.140625" style="294"/>
  </cols>
  <sheetData>
    <row r="1" spans="1:16" s="148" customFormat="1" ht="15.75" customHeight="1">
      <c r="A1" s="521" t="s">
        <v>818</v>
      </c>
      <c r="B1" s="521"/>
      <c r="C1" s="521"/>
      <c r="D1" s="521"/>
      <c r="E1" s="521"/>
      <c r="F1" s="281"/>
      <c r="G1" s="282"/>
      <c r="H1" s="283"/>
      <c r="I1" s="283"/>
      <c r="J1" s="284"/>
      <c r="K1" s="522" t="s">
        <v>819</v>
      </c>
      <c r="L1" s="522"/>
      <c r="M1" s="522"/>
      <c r="N1" s="522"/>
      <c r="O1" s="285"/>
      <c r="P1" s="285"/>
    </row>
    <row r="2" spans="1:16" s="148" customFormat="1" ht="15" customHeight="1">
      <c r="A2" s="521" t="s">
        <v>820</v>
      </c>
      <c r="B2" s="521"/>
      <c r="C2" s="521"/>
      <c r="D2" s="521"/>
      <c r="E2" s="521"/>
      <c r="F2" s="281"/>
      <c r="G2" s="282"/>
      <c r="H2" s="282"/>
      <c r="I2" s="282"/>
      <c r="J2" s="282"/>
      <c r="K2" s="282"/>
      <c r="L2" s="282"/>
      <c r="M2" s="282"/>
      <c r="N2" s="282"/>
      <c r="O2" s="286"/>
      <c r="P2" s="286"/>
    </row>
    <row r="3" spans="1:16" s="148" customFormat="1" ht="46.5" customHeight="1">
      <c r="A3" s="523" t="s">
        <v>2553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523"/>
      <c r="O3" s="287"/>
      <c r="P3" s="287"/>
    </row>
    <row r="4" spans="1:16" s="150" customFormat="1" ht="18" customHeight="1">
      <c r="A4" s="524" t="s">
        <v>968</v>
      </c>
      <c r="B4" s="524"/>
      <c r="C4" s="524"/>
      <c r="D4" s="524"/>
      <c r="E4" s="524"/>
      <c r="F4" s="524"/>
      <c r="G4" s="524"/>
      <c r="H4" s="524"/>
      <c r="I4" s="524"/>
      <c r="J4" s="524"/>
      <c r="K4" s="524"/>
      <c r="L4" s="524"/>
      <c r="M4" s="524"/>
      <c r="N4" s="524"/>
      <c r="O4" s="176"/>
      <c r="P4" s="288"/>
    </row>
    <row r="5" spans="1:16" s="150" customFormat="1" ht="15" customHeight="1">
      <c r="A5" s="519" t="s">
        <v>821</v>
      </c>
      <c r="B5" s="519"/>
      <c r="C5" s="519"/>
      <c r="D5" s="289"/>
      <c r="E5" s="520" t="s">
        <v>822</v>
      </c>
      <c r="F5" s="520"/>
      <c r="G5" s="520"/>
      <c r="H5" s="520"/>
      <c r="I5" s="520"/>
      <c r="J5" s="290"/>
      <c r="K5" s="519" t="s">
        <v>829</v>
      </c>
      <c r="L5" s="519"/>
      <c r="M5" s="519"/>
      <c r="N5" s="290"/>
      <c r="O5" s="176"/>
      <c r="P5" s="288"/>
    </row>
    <row r="6" spans="1:16" s="150" customFormat="1" ht="15" customHeight="1">
      <c r="A6" s="519" t="s">
        <v>949</v>
      </c>
      <c r="B6" s="519"/>
      <c r="C6" s="519"/>
      <c r="D6" s="289"/>
      <c r="E6" s="520" t="s">
        <v>824</v>
      </c>
      <c r="F6" s="520"/>
      <c r="G6" s="520"/>
      <c r="H6" s="520"/>
      <c r="I6" s="520"/>
      <c r="J6" s="290"/>
      <c r="K6" s="519" t="s">
        <v>823</v>
      </c>
      <c r="L6" s="519"/>
      <c r="M6" s="519"/>
      <c r="N6" s="290"/>
      <c r="O6" s="176"/>
      <c r="P6" s="288"/>
    </row>
    <row r="7" spans="1:16" s="150" customFormat="1" ht="16.899999999999999" customHeight="1">
      <c r="A7" s="519" t="s">
        <v>950</v>
      </c>
      <c r="B7" s="519"/>
      <c r="C7" s="519"/>
      <c r="D7" s="289"/>
      <c r="E7" s="520" t="s">
        <v>825</v>
      </c>
      <c r="F7" s="520"/>
      <c r="G7" s="520"/>
      <c r="H7" s="520"/>
      <c r="I7" s="520"/>
      <c r="J7" s="290"/>
      <c r="K7" s="519" t="s">
        <v>826</v>
      </c>
      <c r="L7" s="519"/>
      <c r="M7" s="519"/>
      <c r="N7" s="290"/>
      <c r="O7" s="176"/>
      <c r="P7" s="288"/>
    </row>
    <row r="8" spans="1:16" s="150" customFormat="1" ht="15" customHeight="1">
      <c r="A8" s="519" t="s">
        <v>2554</v>
      </c>
      <c r="B8" s="519"/>
      <c r="C8" s="519"/>
      <c r="D8" s="289"/>
      <c r="E8" s="520" t="s">
        <v>2555</v>
      </c>
      <c r="F8" s="520"/>
      <c r="G8" s="520"/>
      <c r="H8" s="520"/>
      <c r="I8" s="520"/>
      <c r="J8" s="290"/>
      <c r="K8" s="519" t="s">
        <v>830</v>
      </c>
      <c r="L8" s="519"/>
      <c r="M8" s="519"/>
      <c r="N8" s="290"/>
      <c r="O8" s="176"/>
      <c r="P8" s="291"/>
    </row>
    <row r="9" spans="1:16" s="150" customFormat="1" ht="15" customHeight="1">
      <c r="A9" s="519" t="s">
        <v>952</v>
      </c>
      <c r="B9" s="519"/>
      <c r="C9" s="519"/>
      <c r="D9" s="291"/>
      <c r="E9" s="291"/>
      <c r="F9" s="290"/>
      <c r="G9" s="290"/>
      <c r="H9" s="290"/>
      <c r="I9" s="290"/>
      <c r="J9" s="290"/>
      <c r="K9" s="290"/>
      <c r="L9" s="290"/>
      <c r="M9" s="290"/>
      <c r="N9" s="290"/>
      <c r="O9" s="176"/>
      <c r="P9" s="291"/>
    </row>
    <row r="10" spans="1:16" s="150" customFormat="1" ht="15.75" customHeight="1">
      <c r="A10" s="519" t="s">
        <v>827</v>
      </c>
      <c r="B10" s="519"/>
      <c r="C10" s="519"/>
      <c r="D10" s="519"/>
      <c r="E10" s="519"/>
      <c r="F10" s="519"/>
      <c r="G10" s="519"/>
      <c r="H10" s="519"/>
      <c r="I10" s="519"/>
      <c r="J10" s="519"/>
      <c r="K10" s="519"/>
      <c r="L10" s="519"/>
      <c r="M10" s="519"/>
      <c r="N10" s="519"/>
      <c r="O10" s="176"/>
      <c r="P10" s="288"/>
    </row>
    <row r="11" spans="1:16" s="150" customFormat="1" ht="15.75" customHeight="1">
      <c r="A11" s="289"/>
      <c r="B11" s="290"/>
      <c r="D11" s="291"/>
      <c r="E11" s="291"/>
      <c r="F11" s="291"/>
      <c r="G11" s="190"/>
      <c r="L11" s="292"/>
      <c r="O11" s="176"/>
      <c r="P11" s="288"/>
    </row>
    <row r="12" spans="1:16" ht="47.25" customHeight="1">
      <c r="A12" s="532" t="s">
        <v>2190</v>
      </c>
      <c r="B12" s="532" t="s">
        <v>972</v>
      </c>
      <c r="C12" s="525" t="s">
        <v>973</v>
      </c>
      <c r="D12" s="525" t="s">
        <v>974</v>
      </c>
      <c r="E12" s="293" t="s">
        <v>4</v>
      </c>
      <c r="F12" s="407" t="s">
        <v>975</v>
      </c>
      <c r="G12" s="407" t="s">
        <v>6</v>
      </c>
      <c r="H12" s="528" t="s">
        <v>7</v>
      </c>
      <c r="I12" s="528" t="s">
        <v>8</v>
      </c>
      <c r="J12" s="532" t="s">
        <v>9</v>
      </c>
      <c r="K12" s="532" t="s">
        <v>10</v>
      </c>
      <c r="L12" s="532" t="s">
        <v>11</v>
      </c>
      <c r="M12" s="525" t="s">
        <v>12</v>
      </c>
      <c r="N12" s="532" t="s">
        <v>976</v>
      </c>
    </row>
    <row r="13" spans="1:16" ht="14.25" customHeight="1">
      <c r="A13" s="532"/>
      <c r="B13" s="532"/>
      <c r="C13" s="526"/>
      <c r="D13" s="526"/>
      <c r="E13" s="525" t="s">
        <v>14</v>
      </c>
      <c r="F13" s="525" t="s">
        <v>14</v>
      </c>
      <c r="G13" s="525" t="s">
        <v>14</v>
      </c>
      <c r="H13" s="529"/>
      <c r="I13" s="529"/>
      <c r="J13" s="533"/>
      <c r="K13" s="533"/>
      <c r="L13" s="532"/>
      <c r="M13" s="526"/>
      <c r="N13" s="533"/>
    </row>
    <row r="14" spans="1:16" ht="14.25" customHeight="1">
      <c r="A14" s="532"/>
      <c r="B14" s="532"/>
      <c r="C14" s="526"/>
      <c r="D14" s="526"/>
      <c r="E14" s="526"/>
      <c r="F14" s="526"/>
      <c r="G14" s="526"/>
      <c r="H14" s="529"/>
      <c r="I14" s="529"/>
      <c r="J14" s="533"/>
      <c r="K14" s="533"/>
      <c r="L14" s="532"/>
      <c r="M14" s="526"/>
      <c r="N14" s="533"/>
    </row>
    <row r="15" spans="1:16" ht="14.25" customHeight="1">
      <c r="A15" s="532"/>
      <c r="B15" s="532"/>
      <c r="C15" s="527"/>
      <c r="D15" s="527"/>
      <c r="E15" s="527"/>
      <c r="F15" s="527"/>
      <c r="G15" s="527"/>
      <c r="H15" s="530"/>
      <c r="I15" s="530"/>
      <c r="J15" s="533"/>
      <c r="K15" s="533"/>
      <c r="L15" s="532"/>
      <c r="M15" s="527"/>
      <c r="N15" s="533"/>
    </row>
    <row r="16" spans="1:16" s="295" customFormat="1" ht="18" customHeight="1">
      <c r="A16" s="293" t="s">
        <v>15</v>
      </c>
      <c r="B16" s="293" t="s">
        <v>16</v>
      </c>
      <c r="C16" s="293" t="s">
        <v>17</v>
      </c>
      <c r="D16" s="293" t="s">
        <v>18</v>
      </c>
      <c r="E16" s="293">
        <v>1</v>
      </c>
      <c r="F16" s="293">
        <v>2</v>
      </c>
      <c r="G16" s="407">
        <v>3</v>
      </c>
      <c r="H16" s="407">
        <v>4</v>
      </c>
      <c r="I16" s="407">
        <v>5</v>
      </c>
      <c r="J16" s="293">
        <v>6</v>
      </c>
      <c r="K16" s="293">
        <v>7</v>
      </c>
      <c r="L16" s="293">
        <v>8</v>
      </c>
      <c r="M16" s="293">
        <v>9</v>
      </c>
      <c r="N16" s="293">
        <v>10</v>
      </c>
    </row>
    <row r="17" spans="1:18" s="303" customFormat="1" ht="51.75" customHeight="1">
      <c r="A17" s="296">
        <v>1</v>
      </c>
      <c r="B17" s="297" t="s">
        <v>2556</v>
      </c>
      <c r="C17" s="298" t="s">
        <v>2557</v>
      </c>
      <c r="D17" s="299">
        <v>2025</v>
      </c>
      <c r="E17" s="300">
        <v>1</v>
      </c>
      <c r="F17" s="300">
        <v>1</v>
      </c>
      <c r="G17" s="300">
        <f>F17-E17</f>
        <v>0</v>
      </c>
      <c r="H17" s="301">
        <v>14800000</v>
      </c>
      <c r="I17" s="301">
        <v>14800000</v>
      </c>
      <c r="J17" s="299" t="s">
        <v>2558</v>
      </c>
      <c r="K17" s="299" t="s">
        <v>2559</v>
      </c>
      <c r="L17" s="296" t="s">
        <v>641</v>
      </c>
      <c r="M17" s="302"/>
      <c r="N17" s="296" t="s">
        <v>2560</v>
      </c>
      <c r="P17" s="304"/>
      <c r="Q17" s="304"/>
      <c r="R17" s="304"/>
    </row>
    <row r="18" spans="1:18" s="20" customFormat="1" ht="24" customHeight="1">
      <c r="A18" s="47"/>
      <c r="B18" s="48"/>
      <c r="C18" s="47"/>
      <c r="D18" s="47"/>
      <c r="E18" s="47"/>
      <c r="F18" s="47"/>
      <c r="G18" s="47"/>
      <c r="H18" s="49"/>
      <c r="I18" s="49"/>
      <c r="J18" s="531" t="s">
        <v>965</v>
      </c>
      <c r="K18" s="531"/>
      <c r="L18" s="531"/>
      <c r="M18" s="531"/>
      <c r="N18" s="531"/>
    </row>
    <row r="19" spans="1:18" s="20" customFormat="1" ht="24.95" customHeight="1">
      <c r="A19" s="475" t="s">
        <v>953</v>
      </c>
      <c r="B19" s="475"/>
      <c r="C19" s="51"/>
      <c r="D19" s="476" t="s">
        <v>2561</v>
      </c>
      <c r="E19" s="476"/>
      <c r="F19" s="476"/>
      <c r="G19" s="476"/>
      <c r="H19" s="476"/>
      <c r="I19" s="477" t="s">
        <v>955</v>
      </c>
      <c r="J19" s="477"/>
      <c r="K19" s="477"/>
      <c r="L19" s="476" t="s">
        <v>829</v>
      </c>
      <c r="M19" s="476"/>
      <c r="N19" s="476"/>
    </row>
    <row r="20" spans="1:18" s="20" customFormat="1" ht="24.95" customHeight="1">
      <c r="A20" s="478" t="s">
        <v>966</v>
      </c>
      <c r="B20" s="478"/>
      <c r="C20" s="478"/>
      <c r="D20" s="51"/>
      <c r="E20" s="51"/>
      <c r="F20" s="51"/>
      <c r="G20" s="51"/>
      <c r="H20" s="52"/>
      <c r="I20" s="52"/>
      <c r="J20" s="51"/>
      <c r="K20" s="51"/>
      <c r="L20" s="51"/>
      <c r="M20" s="51"/>
      <c r="N20" s="53"/>
    </row>
    <row r="21" spans="1:18" s="20" customFormat="1" ht="24.95" customHeight="1">
      <c r="A21" s="478" t="s">
        <v>961</v>
      </c>
      <c r="B21" s="478"/>
      <c r="C21" s="478"/>
      <c r="D21" s="51"/>
      <c r="E21" s="51"/>
      <c r="F21" s="51"/>
      <c r="G21" s="51"/>
      <c r="H21" s="52"/>
      <c r="I21" s="52"/>
      <c r="J21" s="51"/>
      <c r="K21" s="51"/>
      <c r="L21" s="51"/>
      <c r="M21" s="51"/>
      <c r="N21" s="53"/>
    </row>
    <row r="22" spans="1:18" s="20" customFormat="1" ht="24.95" customHeight="1">
      <c r="A22" s="478" t="s">
        <v>962</v>
      </c>
      <c r="B22" s="478"/>
      <c r="C22" s="478"/>
      <c r="D22" s="51"/>
      <c r="E22" s="51"/>
      <c r="F22" s="51"/>
      <c r="G22" s="51"/>
      <c r="H22" s="52"/>
      <c r="I22" s="52"/>
      <c r="J22" s="51"/>
      <c r="K22" s="51"/>
      <c r="L22" s="51"/>
      <c r="M22" s="51"/>
      <c r="N22" s="53"/>
    </row>
    <row r="23" spans="1:18" s="20" customFormat="1" ht="24.95" customHeight="1">
      <c r="A23" s="478" t="s">
        <v>958</v>
      </c>
      <c r="B23" s="478"/>
      <c r="C23" s="478"/>
      <c r="D23" s="476" t="s">
        <v>2562</v>
      </c>
      <c r="E23" s="476"/>
      <c r="F23" s="476"/>
      <c r="G23" s="476"/>
      <c r="H23" s="476"/>
      <c r="I23" s="477" t="s">
        <v>956</v>
      </c>
      <c r="J23" s="477"/>
      <c r="K23" s="477"/>
      <c r="L23" s="476" t="s">
        <v>954</v>
      </c>
      <c r="M23" s="476"/>
      <c r="N23" s="476"/>
    </row>
    <row r="24" spans="1:18" s="20" customFormat="1" ht="24.95" customHeight="1">
      <c r="A24" s="478" t="s">
        <v>963</v>
      </c>
      <c r="B24" s="478"/>
      <c r="C24" s="478"/>
      <c r="D24" s="476"/>
      <c r="E24" s="476"/>
      <c r="F24" s="476"/>
      <c r="G24" s="476"/>
      <c r="H24" s="476"/>
      <c r="I24" s="477"/>
      <c r="J24" s="477"/>
      <c r="K24" s="477"/>
      <c r="L24" s="476"/>
      <c r="M24" s="476"/>
      <c r="N24" s="476"/>
    </row>
    <row r="25" spans="1:18">
      <c r="A25" s="305"/>
      <c r="B25" s="306"/>
      <c r="C25" s="305"/>
      <c r="D25" s="305"/>
      <c r="E25" s="305"/>
      <c r="F25" s="305"/>
      <c r="G25" s="307"/>
      <c r="H25" s="307"/>
      <c r="I25" s="307"/>
      <c r="J25" s="305"/>
      <c r="K25" s="305"/>
      <c r="L25" s="308"/>
      <c r="M25" s="305"/>
      <c r="N25" s="309"/>
    </row>
    <row r="26" spans="1:18">
      <c r="A26" s="305"/>
      <c r="B26" s="306"/>
      <c r="C26" s="305"/>
      <c r="D26" s="305"/>
      <c r="E26" s="305"/>
      <c r="F26" s="305"/>
      <c r="G26" s="307"/>
      <c r="H26" s="307"/>
      <c r="I26" s="307"/>
      <c r="J26" s="305"/>
      <c r="K26" s="305"/>
      <c r="L26" s="308"/>
      <c r="M26" s="305"/>
      <c r="N26" s="309"/>
    </row>
    <row r="27" spans="1:18" s="60" customFormat="1" ht="15">
      <c r="A27" s="502" t="s">
        <v>2813</v>
      </c>
      <c r="B27" s="502"/>
      <c r="C27" s="502"/>
      <c r="D27" s="502"/>
      <c r="E27" s="502"/>
      <c r="F27" s="502"/>
      <c r="G27" s="502"/>
      <c r="H27" s="502"/>
      <c r="I27" s="502"/>
      <c r="J27" s="502"/>
      <c r="K27" s="502"/>
      <c r="L27" s="502"/>
      <c r="M27" s="502"/>
      <c r="N27" s="502"/>
    </row>
    <row r="28" spans="1:18">
      <c r="A28" s="305"/>
      <c r="B28" s="306"/>
      <c r="C28" s="305"/>
      <c r="D28" s="305"/>
      <c r="E28" s="305"/>
      <c r="F28" s="305"/>
      <c r="G28" s="307"/>
      <c r="H28" s="307"/>
      <c r="I28" s="307"/>
      <c r="J28" s="305"/>
      <c r="K28" s="305"/>
      <c r="L28" s="308"/>
      <c r="M28" s="305"/>
      <c r="N28" s="309"/>
    </row>
    <row r="29" spans="1:18">
      <c r="A29" s="305"/>
      <c r="B29" s="306"/>
      <c r="C29" s="305"/>
      <c r="D29" s="305"/>
      <c r="E29" s="305"/>
      <c r="F29" s="305"/>
      <c r="G29" s="307"/>
      <c r="H29" s="307"/>
      <c r="I29" s="307"/>
      <c r="J29" s="305"/>
      <c r="K29" s="305"/>
      <c r="L29" s="308"/>
      <c r="M29" s="305"/>
      <c r="N29" s="309"/>
    </row>
    <row r="30" spans="1:18">
      <c r="A30" s="305"/>
      <c r="B30" s="306"/>
      <c r="C30" s="305"/>
      <c r="D30" s="305"/>
      <c r="E30" s="305"/>
      <c r="F30" s="305"/>
      <c r="G30" s="307"/>
      <c r="H30" s="307"/>
      <c r="I30" s="307"/>
      <c r="J30" s="305"/>
      <c r="K30" s="305"/>
      <c r="L30" s="308"/>
      <c r="M30" s="305"/>
      <c r="N30" s="309"/>
    </row>
  </sheetData>
  <mergeCells count="50">
    <mergeCell ref="A27:N27"/>
    <mergeCell ref="A20:C20"/>
    <mergeCell ref="A21:C21"/>
    <mergeCell ref="A22:C22"/>
    <mergeCell ref="A23:C23"/>
    <mergeCell ref="D23:H23"/>
    <mergeCell ref="I23:K23"/>
    <mergeCell ref="L23:N23"/>
    <mergeCell ref="A24:C24"/>
    <mergeCell ref="D24:H24"/>
    <mergeCell ref="I24:K24"/>
    <mergeCell ref="L24:N24"/>
    <mergeCell ref="J18:N18"/>
    <mergeCell ref="A19:B19"/>
    <mergeCell ref="D19:H19"/>
    <mergeCell ref="I19:K19"/>
    <mergeCell ref="L19:N19"/>
    <mergeCell ref="K8:M8"/>
    <mergeCell ref="A9:C9"/>
    <mergeCell ref="A10:N10"/>
    <mergeCell ref="E13:E15"/>
    <mergeCell ref="F13:F15"/>
    <mergeCell ref="G13:G15"/>
    <mergeCell ref="I12:I15"/>
    <mergeCell ref="J12:J15"/>
    <mergeCell ref="K12:K15"/>
    <mergeCell ref="L12:L15"/>
    <mergeCell ref="M12:M15"/>
    <mergeCell ref="N12:N15"/>
    <mergeCell ref="A12:A15"/>
    <mergeCell ref="B12:B15"/>
    <mergeCell ref="C12:C15"/>
    <mergeCell ref="D12:D15"/>
    <mergeCell ref="H12:H15"/>
    <mergeCell ref="A6:C6"/>
    <mergeCell ref="E6:I6"/>
    <mergeCell ref="A8:C8"/>
    <mergeCell ref="E8:I8"/>
    <mergeCell ref="K6:M6"/>
    <mergeCell ref="A7:C7"/>
    <mergeCell ref="E7:I7"/>
    <mergeCell ref="K7:M7"/>
    <mergeCell ref="A1:E1"/>
    <mergeCell ref="K1:N1"/>
    <mergeCell ref="A2:E2"/>
    <mergeCell ref="A3:N3"/>
    <mergeCell ref="A4:N4"/>
    <mergeCell ref="A5:C5"/>
    <mergeCell ref="E5:I5"/>
    <mergeCell ref="K5:M5"/>
  </mergeCells>
  <pageMargins left="0.5" right="0.3" top="0.5" bottom="0.5" header="0" footer="0"/>
  <pageSetup paperSize="9" orientation="landscape" r:id="rId1"/>
  <headerFooter differentFirs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opLeftCell="A4" zoomScaleNormal="100" zoomScaleSheetLayoutView="102" workbookViewId="0">
      <selection activeCell="U26" sqref="U26"/>
    </sheetView>
  </sheetViews>
  <sheetFormatPr defaultColWidth="9.140625" defaultRowHeight="15.75"/>
  <cols>
    <col min="1" max="1" width="4.5703125" style="334" customWidth="1"/>
    <col min="2" max="2" width="22.7109375" style="303" customWidth="1"/>
    <col min="3" max="3" width="10" style="303" customWidth="1"/>
    <col min="4" max="4" width="6.42578125" style="303" customWidth="1"/>
    <col min="5" max="6" width="5.85546875" style="334" customWidth="1"/>
    <col min="7" max="7" width="6.42578125" style="335" customWidth="1"/>
    <col min="8" max="9" width="13.140625" style="303" customWidth="1"/>
    <col min="10" max="10" width="8" style="303" customWidth="1"/>
    <col min="11" max="11" width="10.7109375" style="303" customWidth="1"/>
    <col min="12" max="12" width="9.7109375" style="303" customWidth="1"/>
    <col min="13" max="13" width="9" style="303" customWidth="1"/>
    <col min="14" max="14" width="13" style="303" customWidth="1"/>
    <col min="15" max="15" width="9.42578125" style="303" customWidth="1"/>
    <col min="16" max="16" width="10.85546875" style="303" bestFit="1" customWidth="1"/>
    <col min="17" max="16384" width="9.140625" style="303"/>
  </cols>
  <sheetData>
    <row r="1" spans="1:14" s="148" customFormat="1" ht="15.75" customHeight="1">
      <c r="A1" s="521" t="s">
        <v>818</v>
      </c>
      <c r="B1" s="521"/>
      <c r="C1" s="521"/>
      <c r="D1" s="521"/>
      <c r="E1" s="521"/>
      <c r="F1" s="281"/>
      <c r="G1" s="282"/>
      <c r="H1" s="283"/>
      <c r="I1" s="283"/>
      <c r="J1" s="284"/>
      <c r="K1" s="522" t="s">
        <v>819</v>
      </c>
      <c r="L1" s="522"/>
      <c r="M1" s="522"/>
      <c r="N1" s="522"/>
    </row>
    <row r="2" spans="1:14" s="148" customFormat="1" ht="15" customHeight="1">
      <c r="A2" s="521" t="s">
        <v>820</v>
      </c>
      <c r="B2" s="521"/>
      <c r="C2" s="521"/>
      <c r="D2" s="521"/>
      <c r="E2" s="521"/>
      <c r="F2" s="281"/>
      <c r="G2" s="282"/>
      <c r="H2" s="282"/>
      <c r="I2" s="282"/>
      <c r="J2" s="282"/>
      <c r="K2" s="282"/>
      <c r="L2" s="282"/>
      <c r="M2" s="282"/>
      <c r="N2" s="282"/>
    </row>
    <row r="3" spans="1:14" s="148" customFormat="1" ht="46.5" customHeight="1">
      <c r="A3" s="523" t="s">
        <v>2574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523"/>
    </row>
    <row r="4" spans="1:14" s="150" customFormat="1" ht="18" customHeight="1">
      <c r="A4" s="524" t="s">
        <v>968</v>
      </c>
      <c r="B4" s="524"/>
      <c r="C4" s="524"/>
      <c r="D4" s="524"/>
      <c r="E4" s="524"/>
      <c r="F4" s="524"/>
      <c r="G4" s="524"/>
      <c r="H4" s="524"/>
      <c r="I4" s="524"/>
      <c r="J4" s="524"/>
      <c r="K4" s="524"/>
      <c r="L4" s="524"/>
      <c r="M4" s="524"/>
      <c r="N4" s="524"/>
    </row>
    <row r="5" spans="1:14" s="150" customFormat="1" ht="15" customHeight="1">
      <c r="A5" s="519" t="s">
        <v>821</v>
      </c>
      <c r="B5" s="519"/>
      <c r="C5" s="519"/>
      <c r="D5" s="289"/>
      <c r="E5" s="520" t="s">
        <v>822</v>
      </c>
      <c r="F5" s="520"/>
      <c r="G5" s="520"/>
      <c r="H5" s="520"/>
      <c r="I5" s="520"/>
      <c r="J5" s="290"/>
      <c r="K5" s="519" t="s">
        <v>829</v>
      </c>
      <c r="L5" s="519"/>
      <c r="M5" s="519"/>
      <c r="N5" s="290"/>
    </row>
    <row r="6" spans="1:14" s="150" customFormat="1" ht="15" customHeight="1">
      <c r="A6" s="519" t="s">
        <v>949</v>
      </c>
      <c r="B6" s="519"/>
      <c r="C6" s="519"/>
      <c r="D6" s="289"/>
      <c r="E6" s="520" t="s">
        <v>824</v>
      </c>
      <c r="F6" s="520"/>
      <c r="G6" s="520"/>
      <c r="H6" s="520"/>
      <c r="I6" s="520"/>
      <c r="J6" s="290"/>
      <c r="K6" s="519" t="s">
        <v>823</v>
      </c>
      <c r="L6" s="519"/>
      <c r="M6" s="519"/>
      <c r="N6" s="290"/>
    </row>
    <row r="7" spans="1:14" s="150" customFormat="1" ht="16.899999999999999" customHeight="1">
      <c r="A7" s="519" t="s">
        <v>950</v>
      </c>
      <c r="B7" s="519"/>
      <c r="C7" s="519"/>
      <c r="D7" s="289"/>
      <c r="E7" s="520" t="s">
        <v>825</v>
      </c>
      <c r="F7" s="520"/>
      <c r="G7" s="520"/>
      <c r="H7" s="520"/>
      <c r="I7" s="520"/>
      <c r="J7" s="290"/>
      <c r="K7" s="519" t="s">
        <v>826</v>
      </c>
      <c r="L7" s="519"/>
      <c r="M7" s="519"/>
      <c r="N7" s="290"/>
    </row>
    <row r="8" spans="1:14" s="150" customFormat="1" ht="15" customHeight="1">
      <c r="A8" s="519" t="s">
        <v>2575</v>
      </c>
      <c r="B8" s="519"/>
      <c r="C8" s="519"/>
      <c r="D8" s="289"/>
      <c r="E8" s="520" t="s">
        <v>2576</v>
      </c>
      <c r="F8" s="520"/>
      <c r="G8" s="520"/>
      <c r="H8" s="520"/>
      <c r="I8" s="520"/>
      <c r="J8" s="290"/>
      <c r="K8" s="519" t="s">
        <v>830</v>
      </c>
      <c r="L8" s="519"/>
      <c r="M8" s="519"/>
      <c r="N8" s="290"/>
    </row>
    <row r="9" spans="1:14" s="150" customFormat="1" ht="15" customHeight="1">
      <c r="A9" s="519" t="s">
        <v>952</v>
      </c>
      <c r="B9" s="519"/>
      <c r="C9" s="519"/>
      <c r="D9" s="291"/>
      <c r="E9" s="291"/>
      <c r="F9" s="290"/>
      <c r="G9" s="290"/>
      <c r="H9" s="290"/>
      <c r="I9" s="290"/>
      <c r="J9" s="290"/>
      <c r="K9" s="290"/>
      <c r="L9" s="290"/>
      <c r="M9" s="290"/>
      <c r="N9" s="290"/>
    </row>
    <row r="10" spans="1:14" s="150" customFormat="1" ht="15" customHeight="1">
      <c r="A10" s="519" t="s">
        <v>827</v>
      </c>
      <c r="B10" s="519"/>
      <c r="C10" s="519"/>
      <c r="D10" s="519"/>
      <c r="E10" s="519"/>
      <c r="F10" s="519"/>
      <c r="G10" s="519"/>
      <c r="H10" s="519"/>
      <c r="I10" s="519"/>
      <c r="J10" s="519"/>
      <c r="K10" s="519"/>
      <c r="L10" s="519"/>
      <c r="M10" s="519"/>
      <c r="N10" s="519"/>
    </row>
    <row r="11" spans="1:14" s="150" customFormat="1" ht="15.75" customHeight="1">
      <c r="A11" s="289"/>
      <c r="B11" s="290"/>
      <c r="D11" s="291"/>
      <c r="E11" s="291"/>
      <c r="F11" s="291"/>
      <c r="G11" s="190"/>
      <c r="H11" s="292"/>
      <c r="K11" s="176"/>
      <c r="L11" s="288"/>
    </row>
    <row r="12" spans="1:14" s="319" customFormat="1" ht="38.25">
      <c r="A12" s="503" t="s">
        <v>2190</v>
      </c>
      <c r="B12" s="534" t="s">
        <v>972</v>
      </c>
      <c r="C12" s="503" t="s">
        <v>973</v>
      </c>
      <c r="D12" s="503" t="s">
        <v>974</v>
      </c>
      <c r="E12" s="317" t="s">
        <v>4</v>
      </c>
      <c r="F12" s="318" t="s">
        <v>975</v>
      </c>
      <c r="G12" s="318" t="s">
        <v>6</v>
      </c>
      <c r="H12" s="503" t="s">
        <v>7</v>
      </c>
      <c r="I12" s="503" t="s">
        <v>2577</v>
      </c>
      <c r="J12" s="503" t="s">
        <v>9</v>
      </c>
      <c r="K12" s="503" t="s">
        <v>10</v>
      </c>
      <c r="L12" s="503" t="s">
        <v>11</v>
      </c>
      <c r="M12" s="503" t="s">
        <v>12</v>
      </c>
      <c r="N12" s="503" t="s">
        <v>976</v>
      </c>
    </row>
    <row r="13" spans="1:14" s="319" customFormat="1" ht="18.75">
      <c r="A13" s="534"/>
      <c r="B13" s="534"/>
      <c r="C13" s="503"/>
      <c r="D13" s="534"/>
      <c r="E13" s="503" t="s">
        <v>14</v>
      </c>
      <c r="F13" s="503" t="s">
        <v>14</v>
      </c>
      <c r="G13" s="503" t="s">
        <v>14</v>
      </c>
      <c r="H13" s="503"/>
      <c r="I13" s="503"/>
      <c r="J13" s="535"/>
      <c r="K13" s="535"/>
      <c r="L13" s="534"/>
      <c r="M13" s="503"/>
      <c r="N13" s="535"/>
    </row>
    <row r="14" spans="1:14" s="319" customFormat="1" ht="18.75">
      <c r="A14" s="534"/>
      <c r="B14" s="534"/>
      <c r="C14" s="503"/>
      <c r="D14" s="534"/>
      <c r="E14" s="534"/>
      <c r="F14" s="534"/>
      <c r="G14" s="534"/>
      <c r="H14" s="503"/>
      <c r="I14" s="503"/>
      <c r="J14" s="535"/>
      <c r="K14" s="535"/>
      <c r="L14" s="534"/>
      <c r="M14" s="503"/>
      <c r="N14" s="535"/>
    </row>
    <row r="15" spans="1:14" s="319" customFormat="1" ht="18.75">
      <c r="A15" s="534"/>
      <c r="B15" s="534"/>
      <c r="C15" s="503"/>
      <c r="D15" s="534"/>
      <c r="E15" s="534"/>
      <c r="F15" s="534"/>
      <c r="G15" s="534"/>
      <c r="H15" s="503"/>
      <c r="I15" s="503"/>
      <c r="J15" s="535"/>
      <c r="K15" s="535"/>
      <c r="L15" s="534"/>
      <c r="M15" s="503"/>
      <c r="N15" s="535"/>
    </row>
    <row r="16" spans="1:14" s="319" customFormat="1" ht="18.75">
      <c r="A16" s="320" t="s">
        <v>15</v>
      </c>
      <c r="B16" s="320" t="s">
        <v>16</v>
      </c>
      <c r="C16" s="320" t="s">
        <v>17</v>
      </c>
      <c r="D16" s="320" t="s">
        <v>18</v>
      </c>
      <c r="E16" s="320">
        <v>1</v>
      </c>
      <c r="F16" s="320">
        <v>2</v>
      </c>
      <c r="G16" s="321">
        <v>3</v>
      </c>
      <c r="H16" s="320">
        <v>4</v>
      </c>
      <c r="I16" s="320">
        <v>5</v>
      </c>
      <c r="J16" s="320">
        <v>6</v>
      </c>
      <c r="K16" s="320">
        <v>7</v>
      </c>
      <c r="L16" s="320">
        <v>8</v>
      </c>
      <c r="M16" s="320">
        <v>9</v>
      </c>
      <c r="N16" s="320">
        <v>10</v>
      </c>
    </row>
    <row r="17" spans="1:14" s="319" customFormat="1" ht="18.75">
      <c r="A17" s="322"/>
      <c r="B17" s="536" t="s">
        <v>2578</v>
      </c>
      <c r="C17" s="537"/>
      <c r="D17" s="537"/>
      <c r="E17" s="537"/>
      <c r="F17" s="537"/>
      <c r="G17" s="537"/>
      <c r="H17" s="537"/>
      <c r="I17" s="537"/>
      <c r="J17" s="537"/>
      <c r="K17" s="537"/>
      <c r="L17" s="537"/>
      <c r="M17" s="537"/>
      <c r="N17" s="538"/>
    </row>
    <row r="18" spans="1:14" s="319" customFormat="1" ht="25.5">
      <c r="A18" s="323">
        <v>1</v>
      </c>
      <c r="B18" s="324" t="s">
        <v>2579</v>
      </c>
      <c r="C18" s="323" t="s">
        <v>2580</v>
      </c>
      <c r="D18" s="236">
        <v>2016</v>
      </c>
      <c r="E18" s="323">
        <v>1</v>
      </c>
      <c r="F18" s="323">
        <v>1</v>
      </c>
      <c r="G18" s="325">
        <f>F18-E18</f>
        <v>0</v>
      </c>
      <c r="H18" s="326">
        <v>1097250000</v>
      </c>
      <c r="I18" s="326">
        <v>1097250000</v>
      </c>
      <c r="J18" s="327" t="s">
        <v>2581</v>
      </c>
      <c r="K18" s="320"/>
      <c r="L18" s="328" t="s">
        <v>95</v>
      </c>
      <c r="M18" s="323" t="s">
        <v>19</v>
      </c>
      <c r="N18" s="328" t="s">
        <v>158</v>
      </c>
    </row>
    <row r="19" spans="1:14" s="329" customFormat="1">
      <c r="A19" s="322"/>
      <c r="B19" s="536" t="s">
        <v>832</v>
      </c>
      <c r="C19" s="537"/>
      <c r="D19" s="537"/>
      <c r="E19" s="537"/>
      <c r="F19" s="537"/>
      <c r="G19" s="537"/>
      <c r="H19" s="537"/>
      <c r="I19" s="537"/>
      <c r="J19" s="537"/>
      <c r="K19" s="537"/>
      <c r="L19" s="537"/>
      <c r="M19" s="537"/>
      <c r="N19" s="538"/>
    </row>
    <row r="20" spans="1:14" s="329" customFormat="1" ht="25.5">
      <c r="A20" s="330">
        <v>1</v>
      </c>
      <c r="B20" s="331" t="s">
        <v>2582</v>
      </c>
      <c r="C20" s="330" t="s">
        <v>2583</v>
      </c>
      <c r="D20" s="323"/>
      <c r="E20" s="328">
        <v>1</v>
      </c>
      <c r="F20" s="328">
        <v>1</v>
      </c>
      <c r="G20" s="332">
        <f>F20-E20</f>
        <v>0</v>
      </c>
      <c r="H20" s="328"/>
      <c r="I20" s="328"/>
      <c r="J20" s="327" t="s">
        <v>2581</v>
      </c>
      <c r="K20" s="328"/>
      <c r="L20" s="328" t="s">
        <v>95</v>
      </c>
      <c r="M20" s="328" t="s">
        <v>1456</v>
      </c>
      <c r="N20" s="328" t="s">
        <v>158</v>
      </c>
    </row>
    <row r="21" spans="1:14" s="329" customFormat="1" ht="25.5">
      <c r="A21" s="330">
        <v>2</v>
      </c>
      <c r="B21" s="331" t="s">
        <v>2584</v>
      </c>
      <c r="C21" s="330" t="s">
        <v>2585</v>
      </c>
      <c r="D21" s="323"/>
      <c r="E21" s="328">
        <v>1</v>
      </c>
      <c r="F21" s="328">
        <v>1</v>
      </c>
      <c r="G21" s="332">
        <f t="shared" ref="G21:G27" si="0">F21-E21</f>
        <v>0</v>
      </c>
      <c r="H21" s="328"/>
      <c r="I21" s="328"/>
      <c r="J21" s="327" t="s">
        <v>2581</v>
      </c>
      <c r="K21" s="328"/>
      <c r="L21" s="328" t="s">
        <v>95</v>
      </c>
      <c r="M21" s="328" t="s">
        <v>1456</v>
      </c>
      <c r="N21" s="328" t="s">
        <v>158</v>
      </c>
    </row>
    <row r="22" spans="1:14" s="329" customFormat="1" ht="25.5">
      <c r="A22" s="330">
        <v>3</v>
      </c>
      <c r="B22" s="331" t="s">
        <v>2586</v>
      </c>
      <c r="C22" s="330" t="s">
        <v>2587</v>
      </c>
      <c r="D22" s="323"/>
      <c r="E22" s="328">
        <v>1</v>
      </c>
      <c r="F22" s="328">
        <v>1</v>
      </c>
      <c r="G22" s="332">
        <f t="shared" si="0"/>
        <v>0</v>
      </c>
      <c r="H22" s="328"/>
      <c r="I22" s="328"/>
      <c r="J22" s="327" t="s">
        <v>2581</v>
      </c>
      <c r="K22" s="328"/>
      <c r="L22" s="328" t="s">
        <v>95</v>
      </c>
      <c r="M22" s="328" t="s">
        <v>1456</v>
      </c>
      <c r="N22" s="328" t="s">
        <v>158</v>
      </c>
    </row>
    <row r="23" spans="1:14" s="329" customFormat="1" ht="25.5">
      <c r="A23" s="330">
        <v>4</v>
      </c>
      <c r="B23" s="331" t="s">
        <v>2588</v>
      </c>
      <c r="C23" s="330" t="s">
        <v>2589</v>
      </c>
      <c r="D23" s="323"/>
      <c r="E23" s="328">
        <v>1</v>
      </c>
      <c r="F23" s="328">
        <v>1</v>
      </c>
      <c r="G23" s="332">
        <f t="shared" si="0"/>
        <v>0</v>
      </c>
      <c r="H23" s="333">
        <v>290400</v>
      </c>
      <c r="I23" s="333">
        <v>290400</v>
      </c>
      <c r="J23" s="327" t="s">
        <v>2581</v>
      </c>
      <c r="K23" s="328"/>
      <c r="L23" s="328" t="s">
        <v>95</v>
      </c>
      <c r="M23" s="328" t="s">
        <v>1456</v>
      </c>
      <c r="N23" s="328" t="s">
        <v>158</v>
      </c>
    </row>
    <row r="24" spans="1:14" s="329" customFormat="1" ht="25.5">
      <c r="A24" s="330">
        <v>5</v>
      </c>
      <c r="B24" s="331" t="s">
        <v>2590</v>
      </c>
      <c r="C24" s="330" t="s">
        <v>2591</v>
      </c>
      <c r="D24" s="323"/>
      <c r="E24" s="328">
        <v>1</v>
      </c>
      <c r="F24" s="328">
        <v>1</v>
      </c>
      <c r="G24" s="332">
        <f t="shared" si="0"/>
        <v>0</v>
      </c>
      <c r="H24" s="333">
        <v>1000000</v>
      </c>
      <c r="I24" s="333">
        <v>1000000</v>
      </c>
      <c r="J24" s="327" t="s">
        <v>2581</v>
      </c>
      <c r="K24" s="328"/>
      <c r="L24" s="328" t="s">
        <v>95</v>
      </c>
      <c r="M24" s="328" t="s">
        <v>1456</v>
      </c>
      <c r="N24" s="328" t="s">
        <v>158</v>
      </c>
    </row>
    <row r="25" spans="1:14" s="329" customFormat="1" ht="25.5">
      <c r="A25" s="330">
        <v>6</v>
      </c>
      <c r="B25" s="331" t="s">
        <v>2592</v>
      </c>
      <c r="C25" s="330" t="s">
        <v>2593</v>
      </c>
      <c r="D25" s="323"/>
      <c r="E25" s="328">
        <v>1</v>
      </c>
      <c r="F25" s="328">
        <v>1</v>
      </c>
      <c r="G25" s="332">
        <f t="shared" si="0"/>
        <v>0</v>
      </c>
      <c r="H25" s="328"/>
      <c r="I25" s="328"/>
      <c r="J25" s="327" t="s">
        <v>2581</v>
      </c>
      <c r="K25" s="328"/>
      <c r="L25" s="328" t="s">
        <v>95</v>
      </c>
      <c r="M25" s="328" t="s">
        <v>1456</v>
      </c>
      <c r="N25" s="328" t="s">
        <v>158</v>
      </c>
    </row>
    <row r="26" spans="1:14" s="329" customFormat="1" ht="25.5">
      <c r="A26" s="330">
        <v>7</v>
      </c>
      <c r="B26" s="331" t="s">
        <v>2594</v>
      </c>
      <c r="C26" s="330" t="s">
        <v>2595</v>
      </c>
      <c r="D26" s="323"/>
      <c r="E26" s="328">
        <v>1</v>
      </c>
      <c r="F26" s="328">
        <v>1</v>
      </c>
      <c r="G26" s="332">
        <f t="shared" si="0"/>
        <v>0</v>
      </c>
      <c r="H26" s="328"/>
      <c r="I26" s="328"/>
      <c r="J26" s="327" t="s">
        <v>2581</v>
      </c>
      <c r="K26" s="328"/>
      <c r="L26" s="328" t="s">
        <v>95</v>
      </c>
      <c r="M26" s="328" t="s">
        <v>1456</v>
      </c>
      <c r="N26" s="328" t="s">
        <v>158</v>
      </c>
    </row>
    <row r="27" spans="1:14" s="329" customFormat="1" ht="25.5">
      <c r="A27" s="330">
        <v>8</v>
      </c>
      <c r="B27" s="331" t="s">
        <v>2596</v>
      </c>
      <c r="C27" s="330" t="s">
        <v>2597</v>
      </c>
      <c r="D27" s="323"/>
      <c r="E27" s="328">
        <v>1</v>
      </c>
      <c r="F27" s="328">
        <v>1</v>
      </c>
      <c r="G27" s="332">
        <f t="shared" si="0"/>
        <v>0</v>
      </c>
      <c r="H27" s="328"/>
      <c r="I27" s="328"/>
      <c r="J27" s="327" t="s">
        <v>2581</v>
      </c>
      <c r="K27" s="328"/>
      <c r="L27" s="328" t="s">
        <v>95</v>
      </c>
      <c r="M27" s="328" t="s">
        <v>1456</v>
      </c>
      <c r="N27" s="328" t="s">
        <v>158</v>
      </c>
    </row>
    <row r="29" spans="1:14" s="20" customFormat="1" ht="18" customHeight="1">
      <c r="A29" s="47"/>
      <c r="B29" s="48"/>
      <c r="C29" s="47"/>
      <c r="D29" s="47"/>
      <c r="E29" s="47"/>
      <c r="F29" s="47"/>
      <c r="G29" s="47"/>
      <c r="H29" s="49"/>
      <c r="I29" s="49"/>
      <c r="J29" s="474" t="s">
        <v>965</v>
      </c>
      <c r="K29" s="474"/>
      <c r="L29" s="474"/>
      <c r="M29" s="474"/>
      <c r="N29" s="474"/>
    </row>
    <row r="30" spans="1:14" s="20" customFormat="1" ht="24.95" customHeight="1">
      <c r="A30" s="475" t="s">
        <v>953</v>
      </c>
      <c r="B30" s="475"/>
      <c r="C30" s="51"/>
      <c r="D30" s="476" t="s">
        <v>2598</v>
      </c>
      <c r="E30" s="476"/>
      <c r="F30" s="476"/>
      <c r="G30" s="476"/>
      <c r="H30" s="476"/>
      <c r="I30" s="477" t="s">
        <v>955</v>
      </c>
      <c r="J30" s="477"/>
      <c r="K30" s="477"/>
      <c r="L30" s="476" t="s">
        <v>829</v>
      </c>
      <c r="M30" s="476"/>
      <c r="N30" s="476"/>
    </row>
    <row r="31" spans="1:14" s="20" customFormat="1" ht="24.95" customHeight="1">
      <c r="A31" s="478" t="s">
        <v>966</v>
      </c>
      <c r="B31" s="478"/>
      <c r="C31" s="478"/>
      <c r="D31" s="51"/>
      <c r="E31" s="51"/>
      <c r="F31" s="51"/>
      <c r="G31" s="51"/>
      <c r="H31" s="52"/>
      <c r="I31" s="52"/>
      <c r="J31" s="51"/>
      <c r="K31" s="51"/>
      <c r="L31" s="51"/>
      <c r="M31" s="51"/>
      <c r="N31" s="53"/>
    </row>
    <row r="32" spans="1:14" s="20" customFormat="1" ht="24.95" customHeight="1">
      <c r="A32" s="478" t="s">
        <v>961</v>
      </c>
      <c r="B32" s="478"/>
      <c r="C32" s="478"/>
      <c r="D32" s="51"/>
      <c r="E32" s="51"/>
      <c r="F32" s="51"/>
      <c r="G32" s="51"/>
      <c r="H32" s="52"/>
      <c r="I32" s="52"/>
      <c r="J32" s="51"/>
      <c r="K32" s="51"/>
      <c r="L32" s="51"/>
      <c r="M32" s="51"/>
      <c r="N32" s="53"/>
    </row>
    <row r="33" spans="1:14" s="20" customFormat="1" ht="24.95" customHeight="1">
      <c r="A33" s="478" t="s">
        <v>962</v>
      </c>
      <c r="B33" s="478"/>
      <c r="C33" s="478"/>
      <c r="D33" s="51"/>
      <c r="E33" s="51"/>
      <c r="F33" s="51"/>
      <c r="G33" s="51"/>
      <c r="H33" s="52"/>
      <c r="I33" s="52"/>
      <c r="J33" s="51"/>
      <c r="K33" s="51"/>
      <c r="L33" s="51"/>
      <c r="M33" s="51"/>
      <c r="N33" s="53"/>
    </row>
    <row r="34" spans="1:14" s="20" customFormat="1" ht="24.95" customHeight="1">
      <c r="A34" s="478" t="s">
        <v>958</v>
      </c>
      <c r="B34" s="478"/>
      <c r="C34" s="478"/>
      <c r="D34" s="476" t="s">
        <v>2599</v>
      </c>
      <c r="E34" s="476"/>
      <c r="F34" s="476"/>
      <c r="G34" s="476"/>
      <c r="H34" s="476"/>
      <c r="I34" s="477" t="s">
        <v>956</v>
      </c>
      <c r="J34" s="477"/>
      <c r="K34" s="477"/>
      <c r="L34" s="476" t="s">
        <v>954</v>
      </c>
      <c r="M34" s="476"/>
      <c r="N34" s="476"/>
    </row>
    <row r="35" spans="1:14" s="20" customFormat="1" ht="24.95" customHeight="1">
      <c r="A35" s="478" t="s">
        <v>963</v>
      </c>
      <c r="B35" s="478"/>
      <c r="C35" s="478"/>
      <c r="D35" s="476"/>
      <c r="E35" s="476"/>
      <c r="F35" s="476"/>
      <c r="G35" s="476"/>
      <c r="H35" s="476"/>
      <c r="I35" s="477"/>
      <c r="J35" s="477"/>
      <c r="K35" s="477"/>
      <c r="L35" s="476"/>
      <c r="M35" s="476"/>
      <c r="N35" s="476"/>
    </row>
  </sheetData>
  <mergeCells count="51">
    <mergeCell ref="A35:C35"/>
    <mergeCell ref="D35:H35"/>
    <mergeCell ref="I35:K35"/>
    <mergeCell ref="L35:N35"/>
    <mergeCell ref="A30:B30"/>
    <mergeCell ref="D30:H30"/>
    <mergeCell ref="I30:K30"/>
    <mergeCell ref="L30:N30"/>
    <mergeCell ref="A31:C31"/>
    <mergeCell ref="A32:C32"/>
    <mergeCell ref="A33:C33"/>
    <mergeCell ref="A34:C34"/>
    <mergeCell ref="D34:H34"/>
    <mergeCell ref="I34:K34"/>
    <mergeCell ref="L34:N34"/>
    <mergeCell ref="J29:N29"/>
    <mergeCell ref="I12:I15"/>
    <mergeCell ref="J12:J15"/>
    <mergeCell ref="K12:K15"/>
    <mergeCell ref="L12:L15"/>
    <mergeCell ref="M12:M15"/>
    <mergeCell ref="N12:N15"/>
    <mergeCell ref="B17:N17"/>
    <mergeCell ref="B19:N19"/>
    <mergeCell ref="A8:C8"/>
    <mergeCell ref="E8:I8"/>
    <mergeCell ref="K8:M8"/>
    <mergeCell ref="A9:C9"/>
    <mergeCell ref="A10:N10"/>
    <mergeCell ref="A12:A15"/>
    <mergeCell ref="B12:B15"/>
    <mergeCell ref="C12:C15"/>
    <mergeCell ref="D12:D15"/>
    <mergeCell ref="H12:H15"/>
    <mergeCell ref="E13:E15"/>
    <mergeCell ref="F13:F15"/>
    <mergeCell ref="G13:G15"/>
    <mergeCell ref="A6:C6"/>
    <mergeCell ref="E6:I6"/>
    <mergeCell ref="K6:M6"/>
    <mergeCell ref="A7:C7"/>
    <mergeCell ref="E7:I7"/>
    <mergeCell ref="K7:M7"/>
    <mergeCell ref="A5:C5"/>
    <mergeCell ref="E5:I5"/>
    <mergeCell ref="K5:M5"/>
    <mergeCell ref="A1:E1"/>
    <mergeCell ref="K1:N1"/>
    <mergeCell ref="A2:E2"/>
    <mergeCell ref="A3:N3"/>
    <mergeCell ref="A4:N4"/>
  </mergeCells>
  <pageMargins left="0.5" right="0.3" top="0.5" bottom="0.5" header="0" footer="0"/>
  <pageSetup paperSize="9" orientation="landscape" r:id="rId1"/>
  <headerFooter differentFirst="1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opLeftCell="A7" zoomScale="93" zoomScaleNormal="93" zoomScaleSheetLayoutView="102" workbookViewId="0">
      <selection activeCell="I38" sqref="I38:K38"/>
    </sheetView>
  </sheetViews>
  <sheetFormatPr defaultColWidth="9.140625" defaultRowHeight="13.5"/>
  <cols>
    <col min="1" max="1" width="4.5703125" style="365" customWidth="1"/>
    <col min="2" max="2" width="23" style="366" customWidth="1"/>
    <col min="3" max="3" width="9.85546875" style="366" customWidth="1"/>
    <col min="4" max="4" width="6.42578125" style="366" customWidth="1"/>
    <col min="5" max="6" width="5.85546875" style="365" customWidth="1"/>
    <col min="7" max="7" width="6.42578125" style="367" customWidth="1"/>
    <col min="8" max="9" width="11.5703125" style="366" customWidth="1"/>
    <col min="10" max="10" width="15.140625" style="366" customWidth="1"/>
    <col min="11" max="11" width="10.7109375" style="366" customWidth="1"/>
    <col min="12" max="12" width="9.7109375" style="366" customWidth="1"/>
    <col min="13" max="13" width="9" style="366" customWidth="1"/>
    <col min="14" max="14" width="12.140625" style="366" customWidth="1"/>
    <col min="15" max="16384" width="9.140625" style="366"/>
  </cols>
  <sheetData>
    <row r="1" spans="1:14" s="60" customFormat="1" ht="15.75" customHeight="1">
      <c r="A1" s="481" t="s">
        <v>818</v>
      </c>
      <c r="B1" s="481"/>
      <c r="C1" s="481"/>
      <c r="D1" s="481"/>
      <c r="E1" s="481"/>
      <c r="F1" s="57"/>
      <c r="G1" s="58"/>
      <c r="H1" s="145"/>
      <c r="I1" s="145"/>
      <c r="J1" s="270"/>
      <c r="K1" s="482" t="s">
        <v>819</v>
      </c>
      <c r="L1" s="482"/>
      <c r="M1" s="482"/>
      <c r="N1" s="482"/>
    </row>
    <row r="2" spans="1:14" s="60" customFormat="1" ht="15" customHeight="1">
      <c r="A2" s="481" t="s">
        <v>820</v>
      </c>
      <c r="B2" s="481"/>
      <c r="C2" s="481"/>
      <c r="D2" s="481"/>
      <c r="E2" s="481"/>
      <c r="F2" s="57"/>
      <c r="G2" s="58"/>
      <c r="H2" s="58"/>
      <c r="I2" s="58"/>
      <c r="J2" s="58"/>
      <c r="K2" s="58"/>
      <c r="L2" s="58"/>
      <c r="M2" s="58"/>
      <c r="N2" s="58"/>
    </row>
    <row r="3" spans="1:14" s="60" customFormat="1" ht="35.25" customHeight="1">
      <c r="A3" s="483" t="s">
        <v>2600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</row>
    <row r="4" spans="1:14" s="62" customFormat="1" ht="18" customHeight="1">
      <c r="A4" s="484" t="s">
        <v>968</v>
      </c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</row>
    <row r="5" spans="1:14" s="62" customFormat="1" ht="15" customHeight="1">
      <c r="A5" s="479" t="s">
        <v>821</v>
      </c>
      <c r="B5" s="479"/>
      <c r="C5" s="479"/>
      <c r="D5" s="268"/>
      <c r="E5" s="480" t="s">
        <v>822</v>
      </c>
      <c r="F5" s="480"/>
      <c r="G5" s="480"/>
      <c r="H5" s="480"/>
      <c r="I5" s="480"/>
      <c r="J5" s="269"/>
      <c r="K5" s="479" t="s">
        <v>829</v>
      </c>
      <c r="L5" s="479"/>
      <c r="M5" s="479"/>
      <c r="N5" s="269"/>
    </row>
    <row r="6" spans="1:14" s="62" customFormat="1" ht="15" customHeight="1">
      <c r="A6" s="479" t="s">
        <v>949</v>
      </c>
      <c r="B6" s="479"/>
      <c r="C6" s="479"/>
      <c r="D6" s="268"/>
      <c r="E6" s="480" t="s">
        <v>824</v>
      </c>
      <c r="F6" s="480"/>
      <c r="G6" s="480"/>
      <c r="H6" s="480"/>
      <c r="I6" s="480"/>
      <c r="J6" s="269"/>
      <c r="K6" s="479" t="s">
        <v>823</v>
      </c>
      <c r="L6" s="479"/>
      <c r="M6" s="479"/>
      <c r="N6" s="269"/>
    </row>
    <row r="7" spans="1:14" s="62" customFormat="1" ht="16.899999999999999" customHeight="1">
      <c r="A7" s="479" t="s">
        <v>950</v>
      </c>
      <c r="B7" s="479"/>
      <c r="C7" s="479"/>
      <c r="D7" s="268"/>
      <c r="E7" s="480" t="s">
        <v>825</v>
      </c>
      <c r="F7" s="480"/>
      <c r="G7" s="480"/>
      <c r="H7" s="480"/>
      <c r="I7" s="480"/>
      <c r="J7" s="269"/>
      <c r="K7" s="479" t="s">
        <v>826</v>
      </c>
      <c r="L7" s="479"/>
      <c r="M7" s="479"/>
      <c r="N7" s="269"/>
    </row>
    <row r="8" spans="1:14" s="62" customFormat="1" ht="15" customHeight="1">
      <c r="A8" s="479" t="s">
        <v>2601</v>
      </c>
      <c r="B8" s="479"/>
      <c r="C8" s="479"/>
      <c r="D8" s="268"/>
      <c r="E8" s="480" t="s">
        <v>2602</v>
      </c>
      <c r="F8" s="480"/>
      <c r="G8" s="480"/>
      <c r="H8" s="480"/>
      <c r="I8" s="480"/>
      <c r="J8" s="269"/>
      <c r="K8" s="479" t="s">
        <v>830</v>
      </c>
      <c r="L8" s="479"/>
      <c r="M8" s="479"/>
      <c r="N8" s="269"/>
    </row>
    <row r="9" spans="1:14" s="62" customFormat="1" ht="15" customHeight="1">
      <c r="A9" s="479" t="s">
        <v>952</v>
      </c>
      <c r="B9" s="479"/>
      <c r="C9" s="479"/>
      <c r="D9" s="63"/>
      <c r="E9" s="63"/>
      <c r="F9" s="269"/>
      <c r="G9" s="269"/>
      <c r="H9" s="269"/>
      <c r="I9" s="269"/>
      <c r="J9" s="269"/>
      <c r="K9" s="269"/>
      <c r="L9" s="269"/>
      <c r="M9" s="269"/>
      <c r="N9" s="269"/>
    </row>
    <row r="10" spans="1:14" s="62" customFormat="1" ht="15" customHeight="1">
      <c r="A10" s="479" t="s">
        <v>827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9"/>
    </row>
    <row r="11" spans="1:14" s="338" customFormat="1" ht="38.25">
      <c r="A11" s="539" t="s">
        <v>2190</v>
      </c>
      <c r="B11" s="539" t="s">
        <v>972</v>
      </c>
      <c r="C11" s="539" t="s">
        <v>973</v>
      </c>
      <c r="D11" s="539" t="s">
        <v>974</v>
      </c>
      <c r="E11" s="336" t="s">
        <v>4</v>
      </c>
      <c r="F11" s="337" t="s">
        <v>975</v>
      </c>
      <c r="G11" s="337" t="s">
        <v>6</v>
      </c>
      <c r="H11" s="539" t="s">
        <v>2603</v>
      </c>
      <c r="I11" s="539" t="s">
        <v>2604</v>
      </c>
      <c r="J11" s="539" t="s">
        <v>9</v>
      </c>
      <c r="K11" s="539" t="s">
        <v>10</v>
      </c>
      <c r="L11" s="539" t="s">
        <v>11</v>
      </c>
      <c r="M11" s="539" t="s">
        <v>12</v>
      </c>
      <c r="N11" s="539" t="s">
        <v>976</v>
      </c>
    </row>
    <row r="12" spans="1:14" s="338" customFormat="1" ht="25.5">
      <c r="A12" s="539"/>
      <c r="B12" s="539"/>
      <c r="C12" s="539"/>
      <c r="D12" s="539"/>
      <c r="E12" s="336" t="s">
        <v>14</v>
      </c>
      <c r="F12" s="336" t="s">
        <v>14</v>
      </c>
      <c r="G12" s="336" t="s">
        <v>14</v>
      </c>
      <c r="H12" s="539"/>
      <c r="I12" s="539"/>
      <c r="J12" s="539"/>
      <c r="K12" s="539"/>
      <c r="L12" s="539"/>
      <c r="M12" s="539"/>
      <c r="N12" s="539"/>
    </row>
    <row r="13" spans="1:14" s="339" customFormat="1" ht="12.75">
      <c r="A13" s="336" t="s">
        <v>15</v>
      </c>
      <c r="B13" s="336" t="s">
        <v>16</v>
      </c>
      <c r="C13" s="336" t="s">
        <v>17</v>
      </c>
      <c r="D13" s="336" t="s">
        <v>18</v>
      </c>
      <c r="E13" s="336">
        <v>1</v>
      </c>
      <c r="F13" s="336">
        <v>2</v>
      </c>
      <c r="G13" s="337">
        <v>3</v>
      </c>
      <c r="H13" s="336">
        <v>4</v>
      </c>
      <c r="I13" s="336">
        <v>5</v>
      </c>
      <c r="J13" s="336">
        <v>6</v>
      </c>
      <c r="K13" s="336">
        <v>7</v>
      </c>
      <c r="L13" s="336">
        <v>8</v>
      </c>
      <c r="M13" s="336">
        <v>9</v>
      </c>
      <c r="N13" s="336">
        <v>10</v>
      </c>
    </row>
    <row r="14" spans="1:14" s="339" customFormat="1" ht="38.25">
      <c r="A14" s="340">
        <v>1</v>
      </c>
      <c r="B14" s="341" t="s">
        <v>2605</v>
      </c>
      <c r="C14" s="340" t="s">
        <v>2606</v>
      </c>
      <c r="D14" s="340">
        <v>2011</v>
      </c>
      <c r="E14" s="340">
        <v>7</v>
      </c>
      <c r="F14" s="340">
        <v>7</v>
      </c>
      <c r="G14" s="337"/>
      <c r="H14" s="342">
        <f>+I14/7</f>
        <v>3990000</v>
      </c>
      <c r="I14" s="342">
        <v>27930000</v>
      </c>
      <c r="J14" s="340" t="s">
        <v>2607</v>
      </c>
      <c r="K14" s="340" t="s">
        <v>2608</v>
      </c>
      <c r="L14" s="340" t="s">
        <v>641</v>
      </c>
      <c r="M14" s="340" t="s">
        <v>54</v>
      </c>
      <c r="N14" s="340"/>
    </row>
    <row r="15" spans="1:14" s="339" customFormat="1" ht="38.25">
      <c r="A15" s="340">
        <v>2</v>
      </c>
      <c r="B15" s="341" t="s">
        <v>2609</v>
      </c>
      <c r="C15" s="340" t="s">
        <v>2610</v>
      </c>
      <c r="D15" s="340">
        <v>2012</v>
      </c>
      <c r="E15" s="340">
        <v>1</v>
      </c>
      <c r="F15" s="340">
        <v>1</v>
      </c>
      <c r="G15" s="337"/>
      <c r="H15" s="342">
        <v>14250000</v>
      </c>
      <c r="I15" s="342">
        <v>14250000</v>
      </c>
      <c r="J15" s="340" t="s">
        <v>2611</v>
      </c>
      <c r="K15" s="340" t="s">
        <v>2608</v>
      </c>
      <c r="L15" s="340" t="s">
        <v>641</v>
      </c>
      <c r="M15" s="340" t="s">
        <v>54</v>
      </c>
      <c r="N15" s="340"/>
    </row>
    <row r="16" spans="1:14" s="339" customFormat="1" ht="41.25" customHeight="1">
      <c r="A16" s="340">
        <v>3</v>
      </c>
      <c r="B16" s="343" t="s">
        <v>2612</v>
      </c>
      <c r="C16" s="340" t="s">
        <v>2613</v>
      </c>
      <c r="D16" s="340">
        <v>2018</v>
      </c>
      <c r="E16" s="340">
        <v>1</v>
      </c>
      <c r="F16" s="340">
        <v>1</v>
      </c>
      <c r="G16" s="344"/>
      <c r="H16" s="342">
        <v>35000000</v>
      </c>
      <c r="I16" s="342">
        <v>35000000</v>
      </c>
      <c r="J16" s="340" t="s">
        <v>2614</v>
      </c>
      <c r="K16" s="340" t="s">
        <v>2608</v>
      </c>
      <c r="L16" s="340" t="s">
        <v>641</v>
      </c>
      <c r="M16" s="340" t="s">
        <v>54</v>
      </c>
      <c r="N16" s="340"/>
    </row>
    <row r="17" spans="1:19" s="339" customFormat="1" ht="25.5">
      <c r="A17" s="340">
        <v>4</v>
      </c>
      <c r="B17" s="345" t="s">
        <v>2615</v>
      </c>
      <c r="C17" s="340" t="s">
        <v>2616</v>
      </c>
      <c r="D17" s="340">
        <v>2008</v>
      </c>
      <c r="E17" s="340">
        <v>1</v>
      </c>
      <c r="F17" s="340">
        <v>1</v>
      </c>
      <c r="G17" s="337"/>
      <c r="H17" s="346">
        <v>6185520</v>
      </c>
      <c r="I17" s="346">
        <v>6185520</v>
      </c>
      <c r="J17" s="340" t="s">
        <v>2617</v>
      </c>
      <c r="K17" s="340" t="s">
        <v>2618</v>
      </c>
      <c r="L17" s="340" t="s">
        <v>641</v>
      </c>
      <c r="M17" s="340" t="s">
        <v>2193</v>
      </c>
      <c r="N17" s="340"/>
    </row>
    <row r="18" spans="1:19" s="339" customFormat="1" ht="38.25">
      <c r="A18" s="347">
        <v>5</v>
      </c>
      <c r="B18" s="348" t="s">
        <v>2619</v>
      </c>
      <c r="C18" s="347" t="s">
        <v>2620</v>
      </c>
      <c r="D18" s="347">
        <v>2020</v>
      </c>
      <c r="E18" s="347">
        <v>2</v>
      </c>
      <c r="F18" s="347">
        <v>2</v>
      </c>
      <c r="G18" s="349"/>
      <c r="H18" s="350">
        <f>+I18/2</f>
        <v>13000000</v>
      </c>
      <c r="I18" s="350">
        <v>26000000</v>
      </c>
      <c r="J18" s="347" t="s">
        <v>2617</v>
      </c>
      <c r="K18" s="347" t="s">
        <v>2621</v>
      </c>
      <c r="L18" s="340" t="s">
        <v>641</v>
      </c>
      <c r="M18" s="347"/>
      <c r="N18" s="347"/>
    </row>
    <row r="19" spans="1:19" s="339" customFormat="1" ht="33.75" customHeight="1">
      <c r="A19" s="347">
        <v>6</v>
      </c>
      <c r="B19" s="348" t="s">
        <v>2622</v>
      </c>
      <c r="C19" s="347" t="s">
        <v>2623</v>
      </c>
      <c r="D19" s="347">
        <v>2020</v>
      </c>
      <c r="E19" s="347">
        <v>1</v>
      </c>
      <c r="F19" s="347">
        <v>1</v>
      </c>
      <c r="G19" s="349"/>
      <c r="H19" s="351">
        <f>54000000/2</f>
        <v>27000000</v>
      </c>
      <c r="I19" s="351">
        <f>54000000/2</f>
        <v>27000000</v>
      </c>
      <c r="J19" s="347" t="s">
        <v>2617</v>
      </c>
      <c r="K19" s="347" t="s">
        <v>2624</v>
      </c>
      <c r="L19" s="340" t="s">
        <v>641</v>
      </c>
      <c r="M19" s="347"/>
      <c r="N19" s="347"/>
    </row>
    <row r="20" spans="1:19" s="339" customFormat="1" ht="25.5">
      <c r="A20" s="347">
        <v>7</v>
      </c>
      <c r="B20" s="348" t="s">
        <v>2625</v>
      </c>
      <c r="C20" s="347" t="s">
        <v>2626</v>
      </c>
      <c r="D20" s="347">
        <v>2021</v>
      </c>
      <c r="E20" s="347">
        <v>2</v>
      </c>
      <c r="F20" s="347">
        <v>2</v>
      </c>
      <c r="G20" s="349"/>
      <c r="H20" s="342">
        <v>15500000</v>
      </c>
      <c r="I20" s="342">
        <v>31000000</v>
      </c>
      <c r="J20" s="347" t="s">
        <v>2617</v>
      </c>
      <c r="K20" s="347" t="s">
        <v>2621</v>
      </c>
      <c r="L20" s="340" t="s">
        <v>641</v>
      </c>
      <c r="M20" s="347"/>
      <c r="N20" s="347"/>
    </row>
    <row r="21" spans="1:19" s="354" customFormat="1" ht="25.5">
      <c r="A21" s="340">
        <v>8</v>
      </c>
      <c r="B21" s="352" t="s">
        <v>2627</v>
      </c>
      <c r="C21" s="353" t="str">
        <f t="shared" ref="C21:C22" si="0">+A21&amp;"/SR-BC"</f>
        <v>8/SR-BC</v>
      </c>
      <c r="D21" s="340"/>
      <c r="E21" s="347">
        <v>1</v>
      </c>
      <c r="F21" s="347">
        <v>1</v>
      </c>
      <c r="G21" s="344"/>
      <c r="H21" s="341"/>
      <c r="I21" s="341"/>
      <c r="J21" s="340" t="s">
        <v>2617</v>
      </c>
      <c r="K21" s="340" t="s">
        <v>2628</v>
      </c>
      <c r="L21" s="340" t="s">
        <v>232</v>
      </c>
      <c r="M21" s="340" t="s">
        <v>876</v>
      </c>
      <c r="N21" s="340" t="s">
        <v>1911</v>
      </c>
    </row>
    <row r="22" spans="1:19" s="354" customFormat="1" ht="25.5">
      <c r="A22" s="340">
        <v>9</v>
      </c>
      <c r="B22" s="352" t="s">
        <v>2629</v>
      </c>
      <c r="C22" s="353" t="str">
        <f t="shared" si="0"/>
        <v>9/SR-BC</v>
      </c>
      <c r="D22" s="340"/>
      <c r="E22" s="347">
        <v>2</v>
      </c>
      <c r="F22" s="347">
        <v>2</v>
      </c>
      <c r="G22" s="344"/>
      <c r="H22" s="341"/>
      <c r="I22" s="341"/>
      <c r="J22" s="340" t="s">
        <v>2617</v>
      </c>
      <c r="K22" s="340" t="s">
        <v>2628</v>
      </c>
      <c r="L22" s="340" t="s">
        <v>232</v>
      </c>
      <c r="M22" s="340" t="s">
        <v>876</v>
      </c>
      <c r="N22" s="340" t="s">
        <v>1911</v>
      </c>
    </row>
    <row r="23" spans="1:19" s="354" customFormat="1" ht="25.5">
      <c r="A23" s="340">
        <v>10</v>
      </c>
      <c r="B23" s="352" t="s">
        <v>2629</v>
      </c>
      <c r="C23" s="353" t="s">
        <v>2630</v>
      </c>
      <c r="D23" s="340"/>
      <c r="E23" s="347">
        <v>3</v>
      </c>
      <c r="F23" s="347">
        <v>3</v>
      </c>
      <c r="G23" s="344"/>
      <c r="H23" s="341"/>
      <c r="I23" s="341"/>
      <c r="J23" s="340" t="s">
        <v>2617</v>
      </c>
      <c r="K23" s="340" t="s">
        <v>2628</v>
      </c>
      <c r="L23" s="340" t="s">
        <v>232</v>
      </c>
      <c r="M23" s="340" t="s">
        <v>876</v>
      </c>
      <c r="N23" s="340" t="s">
        <v>1911</v>
      </c>
    </row>
    <row r="24" spans="1:19" s="354" customFormat="1" ht="25.5">
      <c r="A24" s="340">
        <v>11</v>
      </c>
      <c r="B24" s="352" t="s">
        <v>2629</v>
      </c>
      <c r="C24" s="353"/>
      <c r="D24" s="340">
        <v>2025</v>
      </c>
      <c r="E24" s="347">
        <v>4</v>
      </c>
      <c r="F24" s="347">
        <v>4</v>
      </c>
      <c r="G24" s="344"/>
      <c r="H24" s="341"/>
      <c r="I24" s="341"/>
      <c r="J24" s="340" t="s">
        <v>2617</v>
      </c>
      <c r="K24" s="340" t="s">
        <v>2608</v>
      </c>
      <c r="L24" s="340" t="s">
        <v>641</v>
      </c>
      <c r="M24" s="341"/>
      <c r="N24" s="340" t="s">
        <v>2275</v>
      </c>
    </row>
    <row r="25" spans="1:19" s="295" customFormat="1" ht="51">
      <c r="A25" s="340">
        <v>12</v>
      </c>
      <c r="B25" s="355" t="s">
        <v>2563</v>
      </c>
      <c r="C25" s="356" t="s">
        <v>2564</v>
      </c>
      <c r="D25" s="357">
        <v>2020</v>
      </c>
      <c r="E25" s="347">
        <v>1</v>
      </c>
      <c r="F25" s="347">
        <v>1</v>
      </c>
      <c r="G25" s="358"/>
      <c r="H25" s="359">
        <v>11000000</v>
      </c>
      <c r="I25" s="358">
        <v>11000000</v>
      </c>
      <c r="J25" s="340" t="s">
        <v>2617</v>
      </c>
      <c r="K25" s="340" t="s">
        <v>2617</v>
      </c>
      <c r="L25" s="347" t="s">
        <v>641</v>
      </c>
      <c r="M25" s="347" t="s">
        <v>2631</v>
      </c>
      <c r="N25" s="347"/>
    </row>
    <row r="26" spans="1:19" s="295" customFormat="1" ht="25.5">
      <c r="A26" s="340">
        <v>13</v>
      </c>
      <c r="B26" s="355" t="s">
        <v>2565</v>
      </c>
      <c r="C26" s="356" t="s">
        <v>2566</v>
      </c>
      <c r="D26" s="357">
        <v>2010</v>
      </c>
      <c r="E26" s="347">
        <v>1</v>
      </c>
      <c r="F26" s="347">
        <v>1</v>
      </c>
      <c r="G26" s="358"/>
      <c r="H26" s="359">
        <v>20852500</v>
      </c>
      <c r="I26" s="358">
        <v>20852500</v>
      </c>
      <c r="J26" s="340" t="s">
        <v>2617</v>
      </c>
      <c r="K26" s="340" t="s">
        <v>2617</v>
      </c>
      <c r="L26" s="347" t="s">
        <v>641</v>
      </c>
      <c r="M26" s="347" t="s">
        <v>2631</v>
      </c>
      <c r="N26" s="347"/>
    </row>
    <row r="27" spans="1:19" s="295" customFormat="1" ht="25.5">
      <c r="A27" s="340">
        <v>14</v>
      </c>
      <c r="B27" s="355" t="s">
        <v>2565</v>
      </c>
      <c r="C27" s="356" t="s">
        <v>2567</v>
      </c>
      <c r="D27" s="357">
        <v>2010</v>
      </c>
      <c r="E27" s="347">
        <v>1</v>
      </c>
      <c r="F27" s="347">
        <v>1</v>
      </c>
      <c r="G27" s="358"/>
      <c r="H27" s="359">
        <v>20852500</v>
      </c>
      <c r="I27" s="358">
        <v>20852500</v>
      </c>
      <c r="J27" s="340" t="s">
        <v>2617</v>
      </c>
      <c r="K27" s="340" t="s">
        <v>2617</v>
      </c>
      <c r="L27" s="347" t="s">
        <v>641</v>
      </c>
      <c r="M27" s="347" t="s">
        <v>2631</v>
      </c>
      <c r="N27" s="347"/>
    </row>
    <row r="28" spans="1:19" s="295" customFormat="1" ht="25.5">
      <c r="A28" s="340">
        <v>15</v>
      </c>
      <c r="B28" s="355" t="s">
        <v>2568</v>
      </c>
      <c r="C28" s="356" t="s">
        <v>2569</v>
      </c>
      <c r="D28" s="357">
        <v>2020</v>
      </c>
      <c r="E28" s="347">
        <v>1</v>
      </c>
      <c r="F28" s="347">
        <v>1</v>
      </c>
      <c r="G28" s="358"/>
      <c r="H28" s="359">
        <v>17000000</v>
      </c>
      <c r="I28" s="358">
        <v>17000000</v>
      </c>
      <c r="J28" s="340" t="s">
        <v>2617</v>
      </c>
      <c r="K28" s="340" t="s">
        <v>2617</v>
      </c>
      <c r="L28" s="347" t="s">
        <v>641</v>
      </c>
      <c r="M28" s="347" t="s">
        <v>2631</v>
      </c>
      <c r="N28" s="347"/>
    </row>
    <row r="29" spans="1:19" s="303" customFormat="1" ht="38.25">
      <c r="A29" s="340">
        <v>16</v>
      </c>
      <c r="B29" s="360" t="s">
        <v>2570</v>
      </c>
      <c r="C29" s="347" t="s">
        <v>2571</v>
      </c>
      <c r="D29" s="347">
        <v>2020</v>
      </c>
      <c r="E29" s="361">
        <v>1</v>
      </c>
      <c r="F29" s="361">
        <v>1</v>
      </c>
      <c r="G29" s="349"/>
      <c r="H29" s="362">
        <v>13000000</v>
      </c>
      <c r="I29" s="362">
        <v>13000000</v>
      </c>
      <c r="J29" s="340" t="s">
        <v>2617</v>
      </c>
      <c r="K29" s="340" t="s">
        <v>2617</v>
      </c>
      <c r="L29" s="347" t="s">
        <v>641</v>
      </c>
      <c r="M29" s="347" t="s">
        <v>2631</v>
      </c>
      <c r="N29" s="347"/>
      <c r="P29" s="304"/>
      <c r="Q29" s="304"/>
      <c r="R29" s="304"/>
    </row>
    <row r="30" spans="1:19" s="311" customFormat="1" ht="25.5">
      <c r="A30" s="340">
        <v>17</v>
      </c>
      <c r="B30" s="360" t="s">
        <v>2572</v>
      </c>
      <c r="C30" s="347" t="s">
        <v>2573</v>
      </c>
      <c r="D30" s="347"/>
      <c r="E30" s="361">
        <v>2</v>
      </c>
      <c r="F30" s="361">
        <v>2</v>
      </c>
      <c r="G30" s="349"/>
      <c r="H30" s="363"/>
      <c r="I30" s="364"/>
      <c r="J30" s="340" t="s">
        <v>2617</v>
      </c>
      <c r="K30" s="340" t="s">
        <v>2617</v>
      </c>
      <c r="L30" s="347" t="s">
        <v>641</v>
      </c>
      <c r="M30" s="347" t="s">
        <v>2631</v>
      </c>
      <c r="N30" s="347"/>
      <c r="Q30" s="312"/>
      <c r="R30" s="312"/>
      <c r="S30" s="312"/>
    </row>
    <row r="31" spans="1:19" s="303" customFormat="1" ht="25.5">
      <c r="A31" s="340">
        <v>18</v>
      </c>
      <c r="B31" s="360" t="s">
        <v>2556</v>
      </c>
      <c r="C31" s="347" t="s">
        <v>2557</v>
      </c>
      <c r="D31" s="347">
        <v>2025</v>
      </c>
      <c r="E31" s="361">
        <v>1</v>
      </c>
      <c r="F31" s="361">
        <v>1</v>
      </c>
      <c r="G31" s="349"/>
      <c r="H31" s="353">
        <v>14800000</v>
      </c>
      <c r="I31" s="353">
        <v>14800000</v>
      </c>
      <c r="J31" s="340" t="s">
        <v>2617</v>
      </c>
      <c r="K31" s="340" t="s">
        <v>2617</v>
      </c>
      <c r="L31" s="347" t="s">
        <v>641</v>
      </c>
      <c r="M31" s="347" t="s">
        <v>2631</v>
      </c>
      <c r="N31" s="347" t="s">
        <v>2632</v>
      </c>
      <c r="P31" s="304"/>
      <c r="Q31" s="304"/>
      <c r="R31" s="304"/>
    </row>
    <row r="32" spans="1:19" s="303" customFormat="1" ht="4.5" customHeight="1">
      <c r="A32" s="334"/>
      <c r="E32" s="334"/>
      <c r="F32" s="334"/>
      <c r="G32" s="335"/>
    </row>
    <row r="33" spans="1:14" s="20" customFormat="1" ht="17.25" customHeight="1">
      <c r="A33" s="47"/>
      <c r="B33" s="48"/>
      <c r="C33" s="47"/>
      <c r="D33" s="47"/>
      <c r="E33" s="47"/>
      <c r="F33" s="47"/>
      <c r="G33" s="47"/>
      <c r="H33" s="49"/>
      <c r="I33" s="49"/>
      <c r="J33" s="474" t="s">
        <v>965</v>
      </c>
      <c r="K33" s="474"/>
      <c r="L33" s="474"/>
      <c r="M33" s="474"/>
      <c r="N33" s="474"/>
    </row>
    <row r="34" spans="1:14" s="20" customFormat="1" ht="24.95" customHeight="1">
      <c r="A34" s="475" t="s">
        <v>953</v>
      </c>
      <c r="B34" s="475"/>
      <c r="C34" s="51"/>
      <c r="D34" s="476" t="s">
        <v>2633</v>
      </c>
      <c r="E34" s="476"/>
      <c r="F34" s="476"/>
      <c r="G34" s="476"/>
      <c r="H34" s="476"/>
      <c r="I34" s="477" t="s">
        <v>955</v>
      </c>
      <c r="J34" s="477"/>
      <c r="K34" s="477"/>
      <c r="L34" s="476" t="s">
        <v>829</v>
      </c>
      <c r="M34" s="476"/>
      <c r="N34" s="476"/>
    </row>
    <row r="35" spans="1:14" s="20" customFormat="1" ht="22.5" customHeight="1">
      <c r="A35" s="478" t="s">
        <v>966</v>
      </c>
      <c r="B35" s="478"/>
      <c r="C35" s="478"/>
      <c r="D35" s="51"/>
      <c r="E35" s="51"/>
      <c r="F35" s="51"/>
      <c r="G35" s="51"/>
      <c r="H35" s="52"/>
      <c r="I35" s="52"/>
      <c r="J35" s="51"/>
      <c r="K35" s="51"/>
      <c r="L35" s="51"/>
      <c r="M35" s="51"/>
      <c r="N35" s="53"/>
    </row>
    <row r="36" spans="1:14" s="20" customFormat="1" ht="24.75" customHeight="1">
      <c r="A36" s="478" t="s">
        <v>961</v>
      </c>
      <c r="B36" s="478"/>
      <c r="C36" s="478"/>
      <c r="D36" s="51"/>
      <c r="E36" s="51"/>
      <c r="F36" s="51"/>
      <c r="G36" s="51"/>
      <c r="H36" s="52"/>
      <c r="I36" s="52"/>
      <c r="J36" s="51"/>
      <c r="K36" s="51"/>
      <c r="L36" s="51"/>
      <c r="M36" s="51"/>
      <c r="N36" s="53"/>
    </row>
    <row r="37" spans="1:14" s="20" customFormat="1" ht="24.95" customHeight="1">
      <c r="A37" s="478" t="s">
        <v>962</v>
      </c>
      <c r="B37" s="478"/>
      <c r="C37" s="478"/>
      <c r="D37" s="51"/>
      <c r="E37" s="51"/>
      <c r="F37" s="51"/>
      <c r="G37" s="51"/>
      <c r="H37" s="52"/>
      <c r="I37" s="52"/>
      <c r="J37" s="51"/>
      <c r="K37" s="51"/>
      <c r="L37" s="51"/>
      <c r="M37" s="51"/>
      <c r="N37" s="53"/>
    </row>
    <row r="38" spans="1:14" s="20" customFormat="1" ht="24.95" customHeight="1">
      <c r="A38" s="478" t="s">
        <v>958</v>
      </c>
      <c r="B38" s="478"/>
      <c r="C38" s="478"/>
      <c r="D38" s="476" t="s">
        <v>2634</v>
      </c>
      <c r="E38" s="476"/>
      <c r="F38" s="476"/>
      <c r="G38" s="476"/>
      <c r="H38" s="476"/>
      <c r="I38" s="477" t="s">
        <v>956</v>
      </c>
      <c r="J38" s="477"/>
      <c r="K38" s="477"/>
      <c r="L38" s="476" t="s">
        <v>954</v>
      </c>
      <c r="M38" s="476"/>
      <c r="N38" s="476"/>
    </row>
    <row r="39" spans="1:14" s="20" customFormat="1" ht="24.95" customHeight="1">
      <c r="A39" s="478" t="s">
        <v>963</v>
      </c>
      <c r="B39" s="478"/>
      <c r="C39" s="478"/>
      <c r="D39" s="476"/>
      <c r="E39" s="476"/>
      <c r="F39" s="476"/>
      <c r="G39" s="476"/>
      <c r="H39" s="476"/>
      <c r="I39" s="477"/>
      <c r="J39" s="477"/>
      <c r="K39" s="477"/>
      <c r="L39" s="476"/>
      <c r="M39" s="476"/>
      <c r="N39" s="476"/>
    </row>
  </sheetData>
  <mergeCells count="46">
    <mergeCell ref="A39:C39"/>
    <mergeCell ref="D39:H39"/>
    <mergeCell ref="I39:K39"/>
    <mergeCell ref="L39:N39"/>
    <mergeCell ref="A36:C36"/>
    <mergeCell ref="A37:C37"/>
    <mergeCell ref="A38:C38"/>
    <mergeCell ref="D38:H38"/>
    <mergeCell ref="I38:K38"/>
    <mergeCell ref="L38:N38"/>
    <mergeCell ref="A35:C35"/>
    <mergeCell ref="I11:I12"/>
    <mergeCell ref="J11:J12"/>
    <mergeCell ref="K11:K12"/>
    <mergeCell ref="L11:L12"/>
    <mergeCell ref="J33:N33"/>
    <mergeCell ref="A34:B34"/>
    <mergeCell ref="D34:H34"/>
    <mergeCell ref="I34:K34"/>
    <mergeCell ref="L34:N34"/>
    <mergeCell ref="M11:M12"/>
    <mergeCell ref="N11:N12"/>
    <mergeCell ref="A8:C8"/>
    <mergeCell ref="E8:I8"/>
    <mergeCell ref="K8:M8"/>
    <mergeCell ref="A9:C9"/>
    <mergeCell ref="A10:N10"/>
    <mergeCell ref="A11:A12"/>
    <mergeCell ref="B11:B12"/>
    <mergeCell ref="C11:C12"/>
    <mergeCell ref="D11:D12"/>
    <mergeCell ref="H11:H12"/>
    <mergeCell ref="A6:C6"/>
    <mergeCell ref="E6:I6"/>
    <mergeCell ref="K6:M6"/>
    <mergeCell ref="A7:C7"/>
    <mergeCell ref="E7:I7"/>
    <mergeCell ref="K7:M7"/>
    <mergeCell ref="A5:C5"/>
    <mergeCell ref="E5:I5"/>
    <mergeCell ref="K5:M5"/>
    <mergeCell ref="A1:E1"/>
    <mergeCell ref="K1:N1"/>
    <mergeCell ref="A2:E2"/>
    <mergeCell ref="A3:N3"/>
    <mergeCell ref="A4:N4"/>
  </mergeCells>
  <pageMargins left="0.5" right="0.3" top="0.5" bottom="0.5" header="0" footer="0"/>
  <pageSetup paperSize="9" orientation="landscape" r:id="rId1"/>
  <headerFooter differentFirst="1"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9"/>
  <sheetViews>
    <sheetView topLeftCell="A53" zoomScaleNormal="100" workbookViewId="0">
      <selection activeCell="G83" sqref="G83"/>
    </sheetView>
  </sheetViews>
  <sheetFormatPr defaultRowHeight="12.75"/>
  <cols>
    <col min="1" max="1" width="4.5703125" style="375" customWidth="1"/>
    <col min="2" max="2" width="22.7109375" style="375" customWidth="1"/>
    <col min="3" max="3" width="9.42578125" style="375" customWidth="1"/>
    <col min="4" max="4" width="6.42578125" style="375" customWidth="1"/>
    <col min="5" max="6" width="5.85546875" style="375" customWidth="1"/>
    <col min="7" max="7" width="6.42578125" style="375" customWidth="1"/>
    <col min="8" max="9" width="13.140625" style="375" customWidth="1"/>
    <col min="10" max="10" width="8" style="375" customWidth="1"/>
    <col min="11" max="11" width="10.7109375" style="375" customWidth="1"/>
    <col min="12" max="12" width="9.7109375" style="375" customWidth="1"/>
    <col min="13" max="13" width="9" style="375" customWidth="1"/>
    <col min="14" max="14" width="13" style="375" customWidth="1"/>
    <col min="15" max="16384" width="9.140625" style="375"/>
  </cols>
  <sheetData>
    <row r="1" spans="1:36" s="310" customFormat="1" ht="15">
      <c r="A1" s="521" t="s">
        <v>818</v>
      </c>
      <c r="B1" s="521"/>
      <c r="C1" s="521"/>
      <c r="D1" s="521"/>
      <c r="E1" s="521"/>
      <c r="F1" s="281"/>
      <c r="G1" s="282"/>
      <c r="H1" s="283"/>
      <c r="I1" s="283"/>
      <c r="J1" s="284"/>
      <c r="K1" s="522" t="s">
        <v>819</v>
      </c>
      <c r="L1" s="522"/>
      <c r="M1" s="522"/>
      <c r="N1" s="522"/>
      <c r="O1" s="282"/>
      <c r="P1" s="284"/>
      <c r="Q1" s="284"/>
      <c r="R1" s="284"/>
      <c r="S1" s="284"/>
      <c r="T1" s="284"/>
      <c r="U1" s="284"/>
      <c r="V1" s="284"/>
      <c r="W1" s="284"/>
      <c r="X1" s="368"/>
      <c r="Y1" s="282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6" s="310" customFormat="1" ht="15">
      <c r="A2" s="521" t="s">
        <v>820</v>
      </c>
      <c r="B2" s="521"/>
      <c r="C2" s="521"/>
      <c r="D2" s="521"/>
      <c r="E2" s="521"/>
      <c r="F2" s="281"/>
      <c r="G2" s="282"/>
      <c r="H2" s="282"/>
      <c r="I2" s="282"/>
      <c r="J2" s="282"/>
      <c r="K2" s="282"/>
      <c r="L2" s="282"/>
      <c r="M2" s="282"/>
      <c r="N2" s="282"/>
      <c r="O2" s="369"/>
      <c r="P2" s="369"/>
      <c r="Q2" s="369"/>
      <c r="R2" s="369"/>
      <c r="S2" s="369"/>
      <c r="T2" s="369"/>
      <c r="U2" s="369"/>
      <c r="V2" s="369"/>
      <c r="W2" s="369"/>
      <c r="X2" s="368"/>
      <c r="Y2" s="282"/>
      <c r="Z2" s="540"/>
      <c r="AA2" s="540"/>
      <c r="AB2" s="540"/>
      <c r="AC2" s="540"/>
      <c r="AD2" s="540"/>
      <c r="AE2" s="540"/>
      <c r="AF2" s="540"/>
      <c r="AG2" s="540"/>
      <c r="AH2" s="540"/>
      <c r="AI2" s="540"/>
      <c r="AJ2" s="540"/>
    </row>
    <row r="3" spans="1:36" s="310" customFormat="1" ht="45.75" customHeight="1">
      <c r="A3" s="523" t="s">
        <v>2635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523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</row>
    <row r="4" spans="1:36" s="310" customFormat="1" ht="15.75">
      <c r="A4" s="524" t="s">
        <v>968</v>
      </c>
      <c r="B4" s="524"/>
      <c r="C4" s="524"/>
      <c r="D4" s="524"/>
      <c r="E4" s="524"/>
      <c r="F4" s="524"/>
      <c r="G4" s="524"/>
      <c r="H4" s="524"/>
      <c r="I4" s="524"/>
      <c r="J4" s="524"/>
      <c r="K4" s="524"/>
      <c r="L4" s="524"/>
      <c r="M4" s="524"/>
      <c r="N4" s="524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182"/>
      <c r="AB4" s="371"/>
      <c r="AC4" s="371"/>
      <c r="AD4" s="371"/>
      <c r="AE4" s="371"/>
      <c r="AF4" s="372"/>
      <c r="AG4" s="150"/>
      <c r="AH4" s="150"/>
      <c r="AI4" s="176"/>
      <c r="AJ4" s="288"/>
    </row>
    <row r="5" spans="1:36" s="310" customFormat="1" ht="15.75">
      <c r="A5" s="519" t="s">
        <v>821</v>
      </c>
      <c r="B5" s="519"/>
      <c r="C5" s="519"/>
      <c r="D5" s="289"/>
      <c r="E5" s="520" t="s">
        <v>822</v>
      </c>
      <c r="F5" s="520"/>
      <c r="G5" s="520"/>
      <c r="H5" s="520"/>
      <c r="I5" s="520"/>
      <c r="J5" s="290"/>
      <c r="K5" s="519" t="s">
        <v>829</v>
      </c>
      <c r="L5" s="519"/>
      <c r="M5" s="519"/>
      <c r="N5" s="290"/>
      <c r="O5" s="290"/>
      <c r="P5" s="290"/>
      <c r="Q5" s="290"/>
      <c r="R5" s="290"/>
      <c r="S5" s="289"/>
      <c r="T5" s="373"/>
      <c r="U5" s="290"/>
      <c r="V5" s="290"/>
      <c r="W5" s="182"/>
      <c r="X5" s="370"/>
      <c r="Y5" s="290"/>
      <c r="Z5" s="370"/>
      <c r="AA5" s="370"/>
      <c r="AB5" s="374"/>
      <c r="AC5" s="150"/>
      <c r="AD5" s="150"/>
      <c r="AE5" s="150"/>
      <c r="AF5" s="292"/>
      <c r="AG5" s="374"/>
      <c r="AH5" s="150"/>
      <c r="AI5" s="176"/>
      <c r="AJ5" s="288"/>
    </row>
    <row r="6" spans="1:36" s="310" customFormat="1" ht="15.75">
      <c r="A6" s="519" t="s">
        <v>949</v>
      </c>
      <c r="B6" s="519"/>
      <c r="C6" s="519"/>
      <c r="D6" s="289"/>
      <c r="E6" s="520" t="s">
        <v>824</v>
      </c>
      <c r="F6" s="520"/>
      <c r="G6" s="520"/>
      <c r="H6" s="520"/>
      <c r="I6" s="520"/>
      <c r="J6" s="290"/>
      <c r="K6" s="519" t="s">
        <v>823</v>
      </c>
      <c r="L6" s="519"/>
      <c r="M6" s="519"/>
      <c r="N6" s="290"/>
      <c r="O6" s="290"/>
      <c r="P6" s="290"/>
      <c r="Q6" s="290"/>
      <c r="R6" s="290"/>
      <c r="S6" s="289"/>
      <c r="T6" s="373"/>
      <c r="U6" s="290"/>
      <c r="V6" s="290"/>
      <c r="W6" s="182"/>
      <c r="X6" s="370"/>
      <c r="Y6" s="290"/>
      <c r="Z6" s="370"/>
      <c r="AA6" s="370"/>
      <c r="AB6" s="374"/>
      <c r="AC6" s="150"/>
      <c r="AD6" s="150"/>
      <c r="AE6" s="150"/>
      <c r="AF6" s="292"/>
      <c r="AG6" s="150"/>
      <c r="AH6" s="150"/>
      <c r="AI6" s="176"/>
      <c r="AJ6" s="288"/>
    </row>
    <row r="7" spans="1:36" s="310" customFormat="1" ht="15.75">
      <c r="A7" s="519" t="s">
        <v>950</v>
      </c>
      <c r="B7" s="519"/>
      <c r="C7" s="519"/>
      <c r="D7" s="289"/>
      <c r="E7" s="520" t="s">
        <v>825</v>
      </c>
      <c r="F7" s="520"/>
      <c r="G7" s="520"/>
      <c r="H7" s="520"/>
      <c r="I7" s="520"/>
      <c r="J7" s="290"/>
      <c r="K7" s="519" t="s">
        <v>826</v>
      </c>
      <c r="L7" s="519"/>
      <c r="M7" s="519"/>
      <c r="N7" s="290"/>
      <c r="O7" s="290"/>
      <c r="P7" s="290"/>
      <c r="Q7" s="290"/>
      <c r="R7" s="290"/>
      <c r="S7" s="289"/>
      <c r="T7" s="373"/>
      <c r="U7" s="290"/>
      <c r="V7" s="290"/>
      <c r="W7" s="182"/>
      <c r="X7" s="370"/>
      <c r="Y7" s="290"/>
      <c r="Z7" s="370"/>
      <c r="AA7" s="370"/>
      <c r="AB7" s="374"/>
      <c r="AC7" s="150"/>
      <c r="AD7" s="150"/>
      <c r="AE7" s="150"/>
      <c r="AF7" s="292"/>
      <c r="AG7" s="150"/>
      <c r="AH7" s="150"/>
      <c r="AI7" s="176"/>
      <c r="AJ7" s="288"/>
    </row>
    <row r="8" spans="1:36" s="310" customFormat="1" ht="15.75">
      <c r="A8" s="519" t="s">
        <v>2636</v>
      </c>
      <c r="B8" s="519"/>
      <c r="C8" s="519"/>
      <c r="D8" s="289"/>
      <c r="E8" s="520" t="s">
        <v>2637</v>
      </c>
      <c r="F8" s="520"/>
      <c r="G8" s="520"/>
      <c r="H8" s="520"/>
      <c r="I8" s="520"/>
      <c r="J8" s="290"/>
      <c r="K8" s="519" t="s">
        <v>830</v>
      </c>
      <c r="L8" s="519"/>
      <c r="M8" s="519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150"/>
      <c r="AC8" s="150"/>
      <c r="AD8" s="150"/>
      <c r="AE8" s="150"/>
      <c r="AF8" s="292"/>
      <c r="AG8" s="150"/>
      <c r="AH8" s="150"/>
      <c r="AI8" s="176"/>
      <c r="AJ8" s="291"/>
    </row>
    <row r="9" spans="1:36" s="310" customFormat="1" ht="15.75">
      <c r="A9" s="519" t="s">
        <v>952</v>
      </c>
      <c r="B9" s="519"/>
      <c r="C9" s="519"/>
      <c r="D9" s="291"/>
      <c r="E9" s="291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150"/>
      <c r="AC9" s="150"/>
      <c r="AD9" s="150"/>
      <c r="AE9" s="150"/>
      <c r="AF9" s="292"/>
      <c r="AG9" s="150"/>
      <c r="AH9" s="150"/>
      <c r="AI9" s="176"/>
      <c r="AJ9" s="291"/>
    </row>
    <row r="10" spans="1:36" s="310" customFormat="1" ht="15.75">
      <c r="A10" s="519" t="s">
        <v>827</v>
      </c>
      <c r="B10" s="519"/>
      <c r="C10" s="519"/>
      <c r="D10" s="519"/>
      <c r="E10" s="519"/>
      <c r="F10" s="519"/>
      <c r="G10" s="519"/>
      <c r="H10" s="519"/>
      <c r="I10" s="519"/>
      <c r="J10" s="519"/>
      <c r="K10" s="519"/>
      <c r="L10" s="519"/>
      <c r="M10" s="519"/>
      <c r="N10" s="519"/>
      <c r="O10" s="290"/>
      <c r="P10" s="290"/>
      <c r="Q10" s="290"/>
      <c r="R10" s="290"/>
      <c r="S10" s="290"/>
      <c r="T10" s="290"/>
      <c r="U10" s="290"/>
      <c r="V10" s="290"/>
      <c r="W10" s="290"/>
      <c r="X10" s="291"/>
      <c r="Y10" s="290"/>
      <c r="Z10" s="290"/>
      <c r="AA10" s="190"/>
      <c r="AB10" s="150"/>
      <c r="AC10" s="150"/>
      <c r="AD10" s="150"/>
      <c r="AE10" s="150"/>
      <c r="AF10" s="292"/>
      <c r="AG10" s="150"/>
      <c r="AH10" s="150"/>
      <c r="AI10" s="176"/>
      <c r="AJ10" s="288"/>
    </row>
    <row r="12" spans="1:36" ht="38.25">
      <c r="A12" s="532" t="s">
        <v>2190</v>
      </c>
      <c r="B12" s="532" t="s">
        <v>972</v>
      </c>
      <c r="C12" s="532" t="s">
        <v>973</v>
      </c>
      <c r="D12" s="532" t="s">
        <v>974</v>
      </c>
      <c r="E12" s="293" t="s">
        <v>4</v>
      </c>
      <c r="F12" s="407" t="s">
        <v>975</v>
      </c>
      <c r="G12" s="407" t="s">
        <v>6</v>
      </c>
      <c r="H12" s="532" t="s">
        <v>7</v>
      </c>
      <c r="I12" s="532" t="s">
        <v>8</v>
      </c>
      <c r="J12" s="532" t="s">
        <v>9</v>
      </c>
      <c r="K12" s="532" t="s">
        <v>10</v>
      </c>
      <c r="L12" s="532" t="s">
        <v>11</v>
      </c>
      <c r="M12" s="532" t="s">
        <v>12</v>
      </c>
      <c r="N12" s="532" t="s">
        <v>976</v>
      </c>
    </row>
    <row r="13" spans="1:36">
      <c r="A13" s="532"/>
      <c r="B13" s="532"/>
      <c r="C13" s="532"/>
      <c r="D13" s="532"/>
      <c r="E13" s="532" t="s">
        <v>14</v>
      </c>
      <c r="F13" s="532" t="s">
        <v>14</v>
      </c>
      <c r="G13" s="532" t="s">
        <v>14</v>
      </c>
      <c r="H13" s="532"/>
      <c r="I13" s="532"/>
      <c r="J13" s="541"/>
      <c r="K13" s="542"/>
      <c r="L13" s="532"/>
      <c r="M13" s="532"/>
      <c r="N13" s="542"/>
    </row>
    <row r="14" spans="1:36">
      <c r="A14" s="532"/>
      <c r="B14" s="532"/>
      <c r="C14" s="532"/>
      <c r="D14" s="532"/>
      <c r="E14" s="532"/>
      <c r="F14" s="532"/>
      <c r="G14" s="532"/>
      <c r="H14" s="532"/>
      <c r="I14" s="532"/>
      <c r="J14" s="541"/>
      <c r="K14" s="542"/>
      <c r="L14" s="532"/>
      <c r="M14" s="532"/>
      <c r="N14" s="542"/>
    </row>
    <row r="15" spans="1:36">
      <c r="A15" s="532"/>
      <c r="B15" s="532"/>
      <c r="C15" s="532"/>
      <c r="D15" s="532"/>
      <c r="E15" s="532"/>
      <c r="F15" s="532"/>
      <c r="G15" s="532"/>
      <c r="H15" s="532"/>
      <c r="I15" s="532"/>
      <c r="J15" s="541"/>
      <c r="K15" s="542"/>
      <c r="L15" s="532"/>
      <c r="M15" s="532"/>
      <c r="N15" s="542"/>
    </row>
    <row r="16" spans="1:36">
      <c r="A16" s="293" t="s">
        <v>15</v>
      </c>
      <c r="B16" s="293" t="s">
        <v>16</v>
      </c>
      <c r="C16" s="293" t="s">
        <v>17</v>
      </c>
      <c r="D16" s="293" t="s">
        <v>18</v>
      </c>
      <c r="E16" s="293">
        <v>1</v>
      </c>
      <c r="F16" s="293">
        <v>2</v>
      </c>
      <c r="G16" s="407">
        <v>3</v>
      </c>
      <c r="H16" s="293">
        <v>4</v>
      </c>
      <c r="I16" s="293">
        <v>5</v>
      </c>
      <c r="J16" s="293">
        <v>6</v>
      </c>
      <c r="K16" s="293">
        <v>7</v>
      </c>
      <c r="L16" s="293">
        <v>8</v>
      </c>
      <c r="M16" s="293">
        <v>9</v>
      </c>
      <c r="N16" s="302">
        <v>10</v>
      </c>
    </row>
    <row r="17" spans="1:14" ht="25.5">
      <c r="A17" s="376">
        <v>1</v>
      </c>
      <c r="B17" s="74" t="s">
        <v>2638</v>
      </c>
      <c r="C17" s="376" t="s">
        <v>2639</v>
      </c>
      <c r="D17" s="376">
        <v>2009</v>
      </c>
      <c r="E17" s="376">
        <v>1</v>
      </c>
      <c r="F17" s="376">
        <v>1</v>
      </c>
      <c r="G17" s="377">
        <f>F17-E17</f>
        <v>0</v>
      </c>
      <c r="H17" s="155">
        <v>15000000</v>
      </c>
      <c r="I17" s="155">
        <v>15000000</v>
      </c>
      <c r="J17" s="376" t="s">
        <v>2640</v>
      </c>
      <c r="K17" s="378"/>
      <c r="L17" s="376" t="s">
        <v>641</v>
      </c>
      <c r="M17" s="376" t="s">
        <v>54</v>
      </c>
      <c r="N17" s="376"/>
    </row>
    <row r="18" spans="1:14" ht="25.5">
      <c r="A18" s="376">
        <v>2</v>
      </c>
      <c r="B18" s="74" t="s">
        <v>2641</v>
      </c>
      <c r="C18" s="376" t="s">
        <v>2642</v>
      </c>
      <c r="D18" s="376">
        <v>2000</v>
      </c>
      <c r="E18" s="376">
        <v>1</v>
      </c>
      <c r="F18" s="376">
        <v>1</v>
      </c>
      <c r="G18" s="377">
        <f t="shared" ref="G18:G60" si="0">F18-E18</f>
        <v>0</v>
      </c>
      <c r="H18" s="155">
        <v>15900000</v>
      </c>
      <c r="I18" s="155">
        <v>15900000</v>
      </c>
      <c r="J18" s="376" t="s">
        <v>2640</v>
      </c>
      <c r="K18" s="378"/>
      <c r="L18" s="376" t="s">
        <v>641</v>
      </c>
      <c r="M18" s="376" t="s">
        <v>54</v>
      </c>
      <c r="N18" s="376"/>
    </row>
    <row r="19" spans="1:14" ht="38.25">
      <c r="A19" s="376">
        <v>3</v>
      </c>
      <c r="B19" s="74" t="s">
        <v>2643</v>
      </c>
      <c r="C19" s="376" t="s">
        <v>2644</v>
      </c>
      <c r="D19" s="376">
        <v>2006</v>
      </c>
      <c r="E19" s="376">
        <v>1</v>
      </c>
      <c r="F19" s="376">
        <v>1</v>
      </c>
      <c r="G19" s="377">
        <f t="shared" si="0"/>
        <v>0</v>
      </c>
      <c r="H19" s="155">
        <v>185535000</v>
      </c>
      <c r="I19" s="155">
        <v>185535000</v>
      </c>
      <c r="J19" s="376" t="s">
        <v>2640</v>
      </c>
      <c r="K19" s="378"/>
      <c r="L19" s="376" t="s">
        <v>641</v>
      </c>
      <c r="M19" s="376" t="s">
        <v>54</v>
      </c>
      <c r="N19" s="376"/>
    </row>
    <row r="20" spans="1:14" ht="25.5">
      <c r="A20" s="376">
        <v>4</v>
      </c>
      <c r="B20" s="74" t="s">
        <v>2645</v>
      </c>
      <c r="C20" s="376" t="s">
        <v>2646</v>
      </c>
      <c r="D20" s="379">
        <v>2012</v>
      </c>
      <c r="E20" s="376">
        <v>1</v>
      </c>
      <c r="F20" s="376">
        <v>1</v>
      </c>
      <c r="G20" s="377">
        <f t="shared" si="0"/>
        <v>0</v>
      </c>
      <c r="H20" s="155">
        <v>105600000</v>
      </c>
      <c r="I20" s="155">
        <v>105600000</v>
      </c>
      <c r="J20" s="376" t="s">
        <v>2640</v>
      </c>
      <c r="K20" s="378"/>
      <c r="L20" s="376" t="s">
        <v>641</v>
      </c>
      <c r="M20" s="376" t="s">
        <v>54</v>
      </c>
      <c r="N20" s="376"/>
    </row>
    <row r="21" spans="1:14" ht="25.5">
      <c r="A21" s="376">
        <v>5</v>
      </c>
      <c r="B21" s="74" t="s">
        <v>2647</v>
      </c>
      <c r="C21" s="376" t="s">
        <v>2648</v>
      </c>
      <c r="D21" s="379">
        <v>2012</v>
      </c>
      <c r="E21" s="376">
        <v>1</v>
      </c>
      <c r="F21" s="376">
        <v>1</v>
      </c>
      <c r="G21" s="377">
        <f t="shared" si="0"/>
        <v>0</v>
      </c>
      <c r="H21" s="155">
        <v>130500000</v>
      </c>
      <c r="I21" s="155">
        <v>130500000</v>
      </c>
      <c r="J21" s="376" t="s">
        <v>2640</v>
      </c>
      <c r="K21" s="378"/>
      <c r="L21" s="376" t="s">
        <v>641</v>
      </c>
      <c r="M21" s="376" t="s">
        <v>54</v>
      </c>
      <c r="N21" s="376"/>
    </row>
    <row r="22" spans="1:14" ht="25.5">
      <c r="A22" s="376">
        <v>6</v>
      </c>
      <c r="B22" s="74" t="s">
        <v>2649</v>
      </c>
      <c r="C22" s="376" t="s">
        <v>2650</v>
      </c>
      <c r="D22" s="376">
        <v>2013</v>
      </c>
      <c r="E22" s="376">
        <v>1</v>
      </c>
      <c r="F22" s="376">
        <v>1</v>
      </c>
      <c r="G22" s="377">
        <f t="shared" si="0"/>
        <v>0</v>
      </c>
      <c r="H22" s="155">
        <v>135300000</v>
      </c>
      <c r="I22" s="155">
        <v>135300000</v>
      </c>
      <c r="J22" s="376" t="s">
        <v>2640</v>
      </c>
      <c r="K22" s="378"/>
      <c r="L22" s="376" t="s">
        <v>641</v>
      </c>
      <c r="M22" s="376" t="s">
        <v>54</v>
      </c>
      <c r="N22" s="376"/>
    </row>
    <row r="23" spans="1:14" ht="25.5">
      <c r="A23" s="376">
        <v>7</v>
      </c>
      <c r="B23" s="74" t="s">
        <v>2651</v>
      </c>
      <c r="C23" s="376" t="s">
        <v>2652</v>
      </c>
      <c r="D23" s="376">
        <v>2011</v>
      </c>
      <c r="E23" s="376">
        <v>1</v>
      </c>
      <c r="F23" s="376">
        <v>1</v>
      </c>
      <c r="G23" s="377">
        <f t="shared" si="0"/>
        <v>0</v>
      </c>
      <c r="H23" s="155">
        <v>36875966</v>
      </c>
      <c r="I23" s="155">
        <v>36875966</v>
      </c>
      <c r="J23" s="376" t="s">
        <v>2640</v>
      </c>
      <c r="K23" s="378"/>
      <c r="L23" s="376" t="s">
        <v>641</v>
      </c>
      <c r="M23" s="376" t="s">
        <v>54</v>
      </c>
      <c r="N23" s="376"/>
    </row>
    <row r="24" spans="1:14" ht="38.25">
      <c r="A24" s="376">
        <v>8</v>
      </c>
      <c r="B24" s="74" t="s">
        <v>2653</v>
      </c>
      <c r="C24" s="376" t="s">
        <v>2654</v>
      </c>
      <c r="D24" s="376">
        <v>2011</v>
      </c>
      <c r="E24" s="376">
        <v>1</v>
      </c>
      <c r="F24" s="376">
        <v>1</v>
      </c>
      <c r="G24" s="377">
        <f t="shared" si="0"/>
        <v>0</v>
      </c>
      <c r="H24" s="155">
        <v>58342163</v>
      </c>
      <c r="I24" s="155">
        <v>58342163</v>
      </c>
      <c r="J24" s="376" t="s">
        <v>2640</v>
      </c>
      <c r="K24" s="378"/>
      <c r="L24" s="376" t="s">
        <v>641</v>
      </c>
      <c r="M24" s="376" t="s">
        <v>54</v>
      </c>
      <c r="N24" s="376"/>
    </row>
    <row r="25" spans="1:14" ht="38.25">
      <c r="A25" s="376">
        <v>9</v>
      </c>
      <c r="B25" s="95" t="s">
        <v>2655</v>
      </c>
      <c r="C25" s="376" t="s">
        <v>2656</v>
      </c>
      <c r="D25" s="376">
        <v>2011</v>
      </c>
      <c r="E25" s="376">
        <v>1</v>
      </c>
      <c r="F25" s="376">
        <v>1</v>
      </c>
      <c r="G25" s="377">
        <f t="shared" si="0"/>
        <v>0</v>
      </c>
      <c r="H25" s="155">
        <v>184842474</v>
      </c>
      <c r="I25" s="155">
        <v>184842474</v>
      </c>
      <c r="J25" s="376" t="s">
        <v>2640</v>
      </c>
      <c r="K25" s="378"/>
      <c r="L25" s="376" t="s">
        <v>641</v>
      </c>
      <c r="M25" s="376" t="s">
        <v>54</v>
      </c>
      <c r="N25" s="376"/>
    </row>
    <row r="26" spans="1:14" ht="25.5">
      <c r="A26" s="376">
        <v>10</v>
      </c>
      <c r="B26" s="95" t="s">
        <v>2657</v>
      </c>
      <c r="C26" s="376" t="s">
        <v>2658</v>
      </c>
      <c r="D26" s="376">
        <v>2011</v>
      </c>
      <c r="E26" s="376">
        <v>1</v>
      </c>
      <c r="F26" s="376">
        <v>1</v>
      </c>
      <c r="G26" s="377">
        <f t="shared" si="0"/>
        <v>0</v>
      </c>
      <c r="H26" s="155">
        <v>27987052</v>
      </c>
      <c r="I26" s="155">
        <v>27987052</v>
      </c>
      <c r="J26" s="376" t="s">
        <v>2640</v>
      </c>
      <c r="K26" s="378"/>
      <c r="L26" s="376" t="s">
        <v>641</v>
      </c>
      <c r="M26" s="376" t="s">
        <v>54</v>
      </c>
      <c r="N26" s="376"/>
    </row>
    <row r="27" spans="1:14" ht="25.5">
      <c r="A27" s="376">
        <v>11</v>
      </c>
      <c r="B27" s="380" t="s">
        <v>2659</v>
      </c>
      <c r="C27" s="376" t="s">
        <v>2660</v>
      </c>
      <c r="D27" s="376">
        <v>2011</v>
      </c>
      <c r="E27" s="376">
        <v>1</v>
      </c>
      <c r="F27" s="376">
        <v>1</v>
      </c>
      <c r="G27" s="377">
        <f t="shared" si="0"/>
        <v>0</v>
      </c>
      <c r="H27" s="155">
        <v>163849718</v>
      </c>
      <c r="I27" s="155">
        <v>163849718</v>
      </c>
      <c r="J27" s="376" t="s">
        <v>2640</v>
      </c>
      <c r="K27" s="378"/>
      <c r="L27" s="376" t="s">
        <v>641</v>
      </c>
      <c r="M27" s="376" t="s">
        <v>54</v>
      </c>
      <c r="N27" s="376"/>
    </row>
    <row r="28" spans="1:14" ht="38.25">
      <c r="A28" s="376">
        <v>12</v>
      </c>
      <c r="B28" s="380" t="s">
        <v>2661</v>
      </c>
      <c r="C28" s="376" t="s">
        <v>2662</v>
      </c>
      <c r="D28" s="376">
        <v>2011</v>
      </c>
      <c r="E28" s="376">
        <v>1</v>
      </c>
      <c r="F28" s="376">
        <v>1</v>
      </c>
      <c r="G28" s="377">
        <f t="shared" si="0"/>
        <v>0</v>
      </c>
      <c r="H28" s="155">
        <v>132438460</v>
      </c>
      <c r="I28" s="155">
        <v>132438460</v>
      </c>
      <c r="J28" s="376" t="s">
        <v>2640</v>
      </c>
      <c r="K28" s="378"/>
      <c r="L28" s="376" t="s">
        <v>641</v>
      </c>
      <c r="M28" s="376" t="s">
        <v>54</v>
      </c>
      <c r="N28" s="376"/>
    </row>
    <row r="29" spans="1:14" ht="25.5">
      <c r="A29" s="376">
        <v>13</v>
      </c>
      <c r="B29" s="380" t="s">
        <v>2663</v>
      </c>
      <c r="C29" s="376" t="s">
        <v>2664</v>
      </c>
      <c r="D29" s="376">
        <v>2011</v>
      </c>
      <c r="E29" s="376">
        <v>1</v>
      </c>
      <c r="F29" s="376">
        <v>1</v>
      </c>
      <c r="G29" s="377">
        <f t="shared" si="0"/>
        <v>0</v>
      </c>
      <c r="H29" s="155">
        <v>88751929</v>
      </c>
      <c r="I29" s="155">
        <v>88751929</v>
      </c>
      <c r="J29" s="376" t="s">
        <v>2640</v>
      </c>
      <c r="K29" s="378"/>
      <c r="L29" s="376" t="s">
        <v>641</v>
      </c>
      <c r="M29" s="376" t="s">
        <v>54</v>
      </c>
      <c r="N29" s="376"/>
    </row>
    <row r="30" spans="1:14" ht="25.5">
      <c r="A30" s="376">
        <v>14</v>
      </c>
      <c r="B30" s="381" t="s">
        <v>2665</v>
      </c>
      <c r="C30" s="376" t="s">
        <v>2666</v>
      </c>
      <c r="D30" s="376">
        <v>2013</v>
      </c>
      <c r="E30" s="376">
        <v>1</v>
      </c>
      <c r="F30" s="376">
        <v>1</v>
      </c>
      <c r="G30" s="377">
        <f t="shared" si="0"/>
        <v>0</v>
      </c>
      <c r="H30" s="155">
        <v>16207598</v>
      </c>
      <c r="I30" s="155">
        <v>16207598</v>
      </c>
      <c r="J30" s="376" t="s">
        <v>2640</v>
      </c>
      <c r="K30" s="378"/>
      <c r="L30" s="376" t="s">
        <v>641</v>
      </c>
      <c r="M30" s="376" t="s">
        <v>54</v>
      </c>
      <c r="N30" s="376"/>
    </row>
    <row r="31" spans="1:14" ht="25.5">
      <c r="A31" s="376">
        <v>15</v>
      </c>
      <c r="B31" s="381" t="s">
        <v>2667</v>
      </c>
      <c r="C31" s="376" t="s">
        <v>2668</v>
      </c>
      <c r="D31" s="376">
        <v>2013</v>
      </c>
      <c r="E31" s="376">
        <v>1</v>
      </c>
      <c r="F31" s="376">
        <v>1</v>
      </c>
      <c r="G31" s="377">
        <f t="shared" si="0"/>
        <v>0</v>
      </c>
      <c r="H31" s="155">
        <v>7446734</v>
      </c>
      <c r="I31" s="155">
        <v>7446734</v>
      </c>
      <c r="J31" s="376" t="s">
        <v>2640</v>
      </c>
      <c r="K31" s="378"/>
      <c r="L31" s="376" t="s">
        <v>641</v>
      </c>
      <c r="M31" s="376" t="s">
        <v>54</v>
      </c>
      <c r="N31" s="376"/>
    </row>
    <row r="32" spans="1:14" ht="25.5">
      <c r="A32" s="376">
        <v>16</v>
      </c>
      <c r="B32" s="380" t="s">
        <v>2669</v>
      </c>
      <c r="C32" s="376" t="s">
        <v>2670</v>
      </c>
      <c r="D32" s="376">
        <v>2017</v>
      </c>
      <c r="E32" s="376">
        <v>1</v>
      </c>
      <c r="F32" s="376">
        <v>1</v>
      </c>
      <c r="G32" s="377">
        <f t="shared" si="0"/>
        <v>0</v>
      </c>
      <c r="H32" s="155">
        <v>9900000</v>
      </c>
      <c r="I32" s="155">
        <v>9900000</v>
      </c>
      <c r="J32" s="376" t="s">
        <v>2640</v>
      </c>
      <c r="K32" s="378"/>
      <c r="L32" s="376" t="s">
        <v>641</v>
      </c>
      <c r="M32" s="376" t="s">
        <v>54</v>
      </c>
      <c r="N32" s="376" t="s">
        <v>158</v>
      </c>
    </row>
    <row r="33" spans="1:15" ht="38.25">
      <c r="A33" s="376">
        <v>17</v>
      </c>
      <c r="B33" s="380" t="s">
        <v>2671</v>
      </c>
      <c r="C33" s="376" t="s">
        <v>2672</v>
      </c>
      <c r="D33" s="376">
        <v>2017</v>
      </c>
      <c r="E33" s="376">
        <v>1</v>
      </c>
      <c r="F33" s="376">
        <v>1</v>
      </c>
      <c r="G33" s="377">
        <f t="shared" si="0"/>
        <v>0</v>
      </c>
      <c r="H33" s="155">
        <v>315000000</v>
      </c>
      <c r="I33" s="155">
        <v>315000000</v>
      </c>
      <c r="J33" s="376" t="s">
        <v>2640</v>
      </c>
      <c r="K33" s="378"/>
      <c r="L33" s="376" t="s">
        <v>641</v>
      </c>
      <c r="M33" s="376" t="s">
        <v>54</v>
      </c>
      <c r="N33" s="376"/>
    </row>
    <row r="34" spans="1:15" ht="38.25">
      <c r="A34" s="376">
        <v>18</v>
      </c>
      <c r="B34" s="382" t="s">
        <v>2673</v>
      </c>
      <c r="C34" s="376" t="s">
        <v>2674</v>
      </c>
      <c r="D34" s="376">
        <v>2019</v>
      </c>
      <c r="E34" s="376">
        <v>1</v>
      </c>
      <c r="F34" s="376">
        <v>1</v>
      </c>
      <c r="G34" s="377">
        <f t="shared" si="0"/>
        <v>0</v>
      </c>
      <c r="H34" s="155">
        <v>39800000</v>
      </c>
      <c r="I34" s="155">
        <v>39800000</v>
      </c>
      <c r="J34" s="376" t="s">
        <v>2640</v>
      </c>
      <c r="K34" s="378"/>
      <c r="L34" s="376" t="s">
        <v>641</v>
      </c>
      <c r="M34" s="376"/>
      <c r="N34" s="376"/>
    </row>
    <row r="35" spans="1:15" ht="38.25">
      <c r="A35" s="376">
        <v>19</v>
      </c>
      <c r="B35" s="382" t="s">
        <v>2675</v>
      </c>
      <c r="C35" s="376" t="s">
        <v>2676</v>
      </c>
      <c r="D35" s="376">
        <v>2019</v>
      </c>
      <c r="E35" s="376">
        <v>1</v>
      </c>
      <c r="F35" s="376">
        <v>1</v>
      </c>
      <c r="G35" s="377">
        <f t="shared" si="0"/>
        <v>0</v>
      </c>
      <c r="H35" s="155">
        <v>29800000</v>
      </c>
      <c r="I35" s="155">
        <v>29800000</v>
      </c>
      <c r="J35" s="376" t="s">
        <v>2640</v>
      </c>
      <c r="K35" s="378"/>
      <c r="L35" s="376" t="s">
        <v>641</v>
      </c>
      <c r="M35" s="376"/>
      <c r="N35" s="376"/>
    </row>
    <row r="36" spans="1:15" ht="51">
      <c r="A36" s="376">
        <v>20</v>
      </c>
      <c r="B36" s="380" t="s">
        <v>2677</v>
      </c>
      <c r="C36" s="376" t="s">
        <v>2678</v>
      </c>
      <c r="D36" s="376">
        <v>2017</v>
      </c>
      <c r="E36" s="376">
        <v>1</v>
      </c>
      <c r="F36" s="376">
        <v>1</v>
      </c>
      <c r="G36" s="377">
        <f t="shared" si="0"/>
        <v>0</v>
      </c>
      <c r="H36" s="155">
        <v>162124000</v>
      </c>
      <c r="I36" s="155">
        <v>162124000</v>
      </c>
      <c r="J36" s="376" t="s">
        <v>2640</v>
      </c>
      <c r="K36" s="378"/>
      <c r="L36" s="376" t="s">
        <v>641</v>
      </c>
      <c r="M36" s="376" t="s">
        <v>54</v>
      </c>
      <c r="N36" s="376" t="s">
        <v>158</v>
      </c>
    </row>
    <row r="37" spans="1:15" ht="25.5">
      <c r="A37" s="376">
        <v>21</v>
      </c>
      <c r="B37" s="93" t="s">
        <v>2679</v>
      </c>
      <c r="C37" s="376" t="s">
        <v>2680</v>
      </c>
      <c r="D37" s="376">
        <v>2025</v>
      </c>
      <c r="E37" s="376">
        <v>1</v>
      </c>
      <c r="F37" s="376">
        <v>1</v>
      </c>
      <c r="G37" s="377">
        <f t="shared" si="0"/>
        <v>0</v>
      </c>
      <c r="H37" s="155">
        <v>33000000</v>
      </c>
      <c r="I37" s="155">
        <v>33000000</v>
      </c>
      <c r="J37" s="376" t="s">
        <v>2640</v>
      </c>
      <c r="K37" s="378"/>
      <c r="L37" s="376" t="s">
        <v>641</v>
      </c>
      <c r="M37" s="271"/>
      <c r="N37" s="376"/>
    </row>
    <row r="38" spans="1:15" ht="25.5">
      <c r="A38" s="376">
        <v>22</v>
      </c>
      <c r="B38" s="93" t="s">
        <v>2681</v>
      </c>
      <c r="C38" s="376" t="s">
        <v>2682</v>
      </c>
      <c r="D38" s="376">
        <v>2025</v>
      </c>
      <c r="E38" s="376">
        <v>1</v>
      </c>
      <c r="F38" s="376">
        <v>1</v>
      </c>
      <c r="G38" s="377">
        <f t="shared" si="0"/>
        <v>0</v>
      </c>
      <c r="H38" s="383">
        <v>27500000</v>
      </c>
      <c r="I38" s="384">
        <v>27500000</v>
      </c>
      <c r="J38" s="376" t="s">
        <v>2640</v>
      </c>
      <c r="K38" s="378"/>
      <c r="L38" s="376" t="s">
        <v>641</v>
      </c>
      <c r="M38" s="271"/>
      <c r="N38" s="376"/>
    </row>
    <row r="39" spans="1:15" ht="25.5">
      <c r="A39" s="376">
        <v>23</v>
      </c>
      <c r="B39" s="93" t="s">
        <v>2683</v>
      </c>
      <c r="C39" s="376" t="s">
        <v>2684</v>
      </c>
      <c r="D39" s="376">
        <v>2025</v>
      </c>
      <c r="E39" s="376">
        <v>1</v>
      </c>
      <c r="F39" s="376">
        <v>1</v>
      </c>
      <c r="G39" s="377">
        <f t="shared" si="0"/>
        <v>0</v>
      </c>
      <c r="H39" s="383">
        <v>27500000</v>
      </c>
      <c r="I39" s="383">
        <v>27500000</v>
      </c>
      <c r="J39" s="376" t="s">
        <v>2640</v>
      </c>
      <c r="K39" s="378"/>
      <c r="L39" s="376" t="s">
        <v>641</v>
      </c>
      <c r="M39" s="271"/>
      <c r="N39" s="376"/>
    </row>
    <row r="40" spans="1:15" ht="25.5">
      <c r="A40" s="376">
        <v>24</v>
      </c>
      <c r="B40" s="385" t="s">
        <v>2685</v>
      </c>
      <c r="C40" s="386" t="s">
        <v>2686</v>
      </c>
      <c r="D40" s="376"/>
      <c r="E40" s="386">
        <v>1</v>
      </c>
      <c r="F40" s="376">
        <v>1</v>
      </c>
      <c r="G40" s="377">
        <f t="shared" si="0"/>
        <v>0</v>
      </c>
      <c r="H40" s="158">
        <v>6200000</v>
      </c>
      <c r="I40" s="387">
        <f t="shared" ref="I40:I60" si="1">H40*E40</f>
        <v>6200000</v>
      </c>
      <c r="J40" s="376" t="s">
        <v>2640</v>
      </c>
      <c r="K40" s="378"/>
      <c r="L40" s="376" t="s">
        <v>641</v>
      </c>
      <c r="M40" s="376" t="s">
        <v>876</v>
      </c>
      <c r="N40" s="376"/>
    </row>
    <row r="41" spans="1:15" ht="25.5">
      <c r="A41" s="376">
        <v>25</v>
      </c>
      <c r="B41" s="385" t="s">
        <v>2687</v>
      </c>
      <c r="C41" s="386" t="s">
        <v>2688</v>
      </c>
      <c r="D41" s="376">
        <v>2020</v>
      </c>
      <c r="E41" s="386">
        <v>1</v>
      </c>
      <c r="F41" s="376">
        <v>1</v>
      </c>
      <c r="G41" s="377">
        <f t="shared" si="0"/>
        <v>0</v>
      </c>
      <c r="H41" s="158">
        <v>5500000</v>
      </c>
      <c r="I41" s="387">
        <f t="shared" si="1"/>
        <v>5500000</v>
      </c>
      <c r="J41" s="376" t="s">
        <v>2640</v>
      </c>
      <c r="K41" s="378"/>
      <c r="L41" s="376" t="s">
        <v>641</v>
      </c>
      <c r="M41" s="376" t="s">
        <v>876</v>
      </c>
      <c r="N41" s="376"/>
    </row>
    <row r="42" spans="1:15" ht="25.5">
      <c r="A42" s="376">
        <v>26</v>
      </c>
      <c r="B42" s="385" t="s">
        <v>2689</v>
      </c>
      <c r="C42" s="386" t="s">
        <v>2690</v>
      </c>
      <c r="D42" s="376">
        <v>2020</v>
      </c>
      <c r="E42" s="386">
        <v>1</v>
      </c>
      <c r="F42" s="376">
        <v>1</v>
      </c>
      <c r="G42" s="377">
        <f t="shared" si="0"/>
        <v>0</v>
      </c>
      <c r="H42" s="158">
        <v>5808000</v>
      </c>
      <c r="I42" s="387">
        <f t="shared" si="1"/>
        <v>5808000</v>
      </c>
      <c r="J42" s="376" t="s">
        <v>2640</v>
      </c>
      <c r="K42" s="378"/>
      <c r="L42" s="376" t="s">
        <v>641</v>
      </c>
      <c r="M42" s="376" t="s">
        <v>876</v>
      </c>
      <c r="N42" s="376" t="s">
        <v>2691</v>
      </c>
      <c r="O42" s="388"/>
    </row>
    <row r="43" spans="1:15" ht="25.5">
      <c r="A43" s="376">
        <v>27</v>
      </c>
      <c r="B43" s="385" t="s">
        <v>2692</v>
      </c>
      <c r="C43" s="386"/>
      <c r="D43" s="376">
        <v>2024</v>
      </c>
      <c r="E43" s="386">
        <v>1</v>
      </c>
      <c r="F43" s="376">
        <v>1</v>
      </c>
      <c r="G43" s="377">
        <f t="shared" si="0"/>
        <v>0</v>
      </c>
      <c r="H43" s="89">
        <v>4015000</v>
      </c>
      <c r="I43" s="387">
        <f t="shared" si="1"/>
        <v>4015000</v>
      </c>
      <c r="J43" s="376" t="s">
        <v>2640</v>
      </c>
      <c r="K43" s="378"/>
      <c r="L43" s="376" t="s">
        <v>641</v>
      </c>
      <c r="M43" s="376" t="s">
        <v>876</v>
      </c>
      <c r="N43" s="376"/>
    </row>
    <row r="44" spans="1:15" ht="38.25">
      <c r="A44" s="376">
        <v>28</v>
      </c>
      <c r="B44" s="385" t="s">
        <v>2693</v>
      </c>
      <c r="C44" s="386" t="s">
        <v>2694</v>
      </c>
      <c r="D44" s="376">
        <v>2024</v>
      </c>
      <c r="E44" s="386">
        <v>1</v>
      </c>
      <c r="F44" s="376">
        <v>1</v>
      </c>
      <c r="G44" s="377">
        <f t="shared" si="0"/>
        <v>0</v>
      </c>
      <c r="H44" s="389">
        <v>8600000</v>
      </c>
      <c r="I44" s="387">
        <f t="shared" si="1"/>
        <v>8600000</v>
      </c>
      <c r="J44" s="376" t="s">
        <v>2640</v>
      </c>
      <c r="K44" s="378"/>
      <c r="L44" s="376" t="s">
        <v>641</v>
      </c>
      <c r="M44" s="376" t="s">
        <v>876</v>
      </c>
      <c r="N44" s="376"/>
    </row>
    <row r="45" spans="1:15" ht="38.25">
      <c r="A45" s="376">
        <v>29</v>
      </c>
      <c r="B45" s="385" t="s">
        <v>2695</v>
      </c>
      <c r="C45" s="386" t="s">
        <v>2696</v>
      </c>
      <c r="D45" s="376">
        <v>2024</v>
      </c>
      <c r="E45" s="386">
        <v>1</v>
      </c>
      <c r="F45" s="376">
        <v>1</v>
      </c>
      <c r="G45" s="377">
        <f t="shared" si="0"/>
        <v>0</v>
      </c>
      <c r="H45" s="389">
        <v>4500000</v>
      </c>
      <c r="I45" s="387">
        <f t="shared" si="1"/>
        <v>4500000</v>
      </c>
      <c r="J45" s="376" t="s">
        <v>2640</v>
      </c>
      <c r="K45" s="378"/>
      <c r="L45" s="376" t="s">
        <v>641</v>
      </c>
      <c r="M45" s="376" t="s">
        <v>876</v>
      </c>
      <c r="N45" s="376"/>
    </row>
    <row r="46" spans="1:15" ht="38.25">
      <c r="A46" s="376">
        <v>30</v>
      </c>
      <c r="B46" s="385" t="s">
        <v>2697</v>
      </c>
      <c r="C46" s="386" t="s">
        <v>2698</v>
      </c>
      <c r="D46" s="376">
        <v>2024</v>
      </c>
      <c r="E46" s="386">
        <v>3</v>
      </c>
      <c r="F46" s="376">
        <v>3</v>
      </c>
      <c r="G46" s="377">
        <f t="shared" si="0"/>
        <v>0</v>
      </c>
      <c r="H46" s="389">
        <v>200000</v>
      </c>
      <c r="I46" s="387">
        <f t="shared" si="1"/>
        <v>600000</v>
      </c>
      <c r="J46" s="376" t="s">
        <v>2640</v>
      </c>
      <c r="K46" s="378"/>
      <c r="L46" s="376" t="s">
        <v>641</v>
      </c>
      <c r="M46" s="376" t="s">
        <v>876</v>
      </c>
      <c r="N46" s="376"/>
    </row>
    <row r="47" spans="1:15" ht="38.25">
      <c r="A47" s="376">
        <v>31</v>
      </c>
      <c r="B47" s="385" t="s">
        <v>2699</v>
      </c>
      <c r="C47" s="386" t="s">
        <v>2700</v>
      </c>
      <c r="D47" s="376">
        <v>2024</v>
      </c>
      <c r="E47" s="386">
        <v>2</v>
      </c>
      <c r="F47" s="376">
        <v>2</v>
      </c>
      <c r="G47" s="377">
        <f t="shared" si="0"/>
        <v>0</v>
      </c>
      <c r="H47" s="389">
        <v>8900000</v>
      </c>
      <c r="I47" s="387">
        <f t="shared" si="1"/>
        <v>17800000</v>
      </c>
      <c r="J47" s="376" t="s">
        <v>2640</v>
      </c>
      <c r="K47" s="378"/>
      <c r="L47" s="376" t="s">
        <v>641</v>
      </c>
      <c r="M47" s="376" t="s">
        <v>876</v>
      </c>
      <c r="N47" s="376"/>
    </row>
    <row r="48" spans="1:15" ht="25.5">
      <c r="A48" s="376">
        <v>32</v>
      </c>
      <c r="B48" s="385" t="s">
        <v>2701</v>
      </c>
      <c r="C48" s="386" t="s">
        <v>2702</v>
      </c>
      <c r="D48" s="376">
        <v>2018</v>
      </c>
      <c r="E48" s="386">
        <v>1</v>
      </c>
      <c r="F48" s="376">
        <v>1</v>
      </c>
      <c r="G48" s="377">
        <f t="shared" si="0"/>
        <v>0</v>
      </c>
      <c r="H48" s="390">
        <v>88000000</v>
      </c>
      <c r="I48" s="387">
        <f t="shared" si="1"/>
        <v>88000000</v>
      </c>
      <c r="J48" s="376" t="s">
        <v>2640</v>
      </c>
      <c r="K48" s="378"/>
      <c r="L48" s="376" t="s">
        <v>641</v>
      </c>
      <c r="M48" s="376" t="s">
        <v>876</v>
      </c>
      <c r="N48" s="376"/>
    </row>
    <row r="49" spans="1:15" ht="25.5">
      <c r="A49" s="376">
        <v>33</v>
      </c>
      <c r="B49" s="385" t="s">
        <v>2703</v>
      </c>
      <c r="C49" s="386" t="s">
        <v>2704</v>
      </c>
      <c r="D49" s="376">
        <v>2018</v>
      </c>
      <c r="E49" s="386">
        <v>1</v>
      </c>
      <c r="F49" s="376">
        <v>1</v>
      </c>
      <c r="G49" s="377">
        <f t="shared" si="0"/>
        <v>0</v>
      </c>
      <c r="H49" s="390">
        <v>21000000</v>
      </c>
      <c r="I49" s="387">
        <f t="shared" si="1"/>
        <v>21000000</v>
      </c>
      <c r="J49" s="376" t="s">
        <v>2640</v>
      </c>
      <c r="K49" s="378"/>
      <c r="L49" s="376" t="s">
        <v>641</v>
      </c>
      <c r="M49" s="376" t="s">
        <v>876</v>
      </c>
      <c r="N49" s="376"/>
    </row>
    <row r="50" spans="1:15" ht="25.5">
      <c r="A50" s="376">
        <v>34</v>
      </c>
      <c r="B50" s="385" t="s">
        <v>2705</v>
      </c>
      <c r="C50" s="386" t="s">
        <v>2706</v>
      </c>
      <c r="D50" s="376">
        <v>2012</v>
      </c>
      <c r="E50" s="386">
        <v>1</v>
      </c>
      <c r="F50" s="376">
        <v>1</v>
      </c>
      <c r="G50" s="377">
        <f t="shared" si="0"/>
        <v>0</v>
      </c>
      <c r="H50" s="390">
        <v>73500000</v>
      </c>
      <c r="I50" s="387">
        <f t="shared" si="1"/>
        <v>73500000</v>
      </c>
      <c r="J50" s="376" t="s">
        <v>2640</v>
      </c>
      <c r="K50" s="378"/>
      <c r="L50" s="376" t="s">
        <v>641</v>
      </c>
      <c r="M50" s="376" t="s">
        <v>876</v>
      </c>
      <c r="N50" s="376"/>
    </row>
    <row r="51" spans="1:15" ht="25.5">
      <c r="A51" s="376">
        <v>35</v>
      </c>
      <c r="B51" s="385" t="s">
        <v>2707</v>
      </c>
      <c r="C51" s="386" t="s">
        <v>2708</v>
      </c>
      <c r="D51" s="376">
        <v>2012</v>
      </c>
      <c r="E51" s="386">
        <v>1</v>
      </c>
      <c r="F51" s="376">
        <v>1</v>
      </c>
      <c r="G51" s="377">
        <f t="shared" si="0"/>
        <v>0</v>
      </c>
      <c r="H51" s="390">
        <v>20400000</v>
      </c>
      <c r="I51" s="387">
        <f t="shared" si="1"/>
        <v>20400000</v>
      </c>
      <c r="J51" s="376" t="s">
        <v>2640</v>
      </c>
      <c r="K51" s="378"/>
      <c r="L51" s="376" t="s">
        <v>641</v>
      </c>
      <c r="M51" s="376" t="s">
        <v>876</v>
      </c>
      <c r="N51" s="376"/>
    </row>
    <row r="52" spans="1:15" ht="25.5">
      <c r="A52" s="376">
        <v>36</v>
      </c>
      <c r="B52" s="385" t="s">
        <v>2709</v>
      </c>
      <c r="C52" s="386" t="s">
        <v>2710</v>
      </c>
      <c r="D52" s="376">
        <v>2018</v>
      </c>
      <c r="E52" s="386">
        <v>1</v>
      </c>
      <c r="F52" s="376">
        <v>1</v>
      </c>
      <c r="G52" s="377">
        <f t="shared" si="0"/>
        <v>0</v>
      </c>
      <c r="H52" s="390">
        <v>93000000</v>
      </c>
      <c r="I52" s="387">
        <f t="shared" si="1"/>
        <v>93000000</v>
      </c>
      <c r="J52" s="376" t="s">
        <v>2640</v>
      </c>
      <c r="K52" s="378"/>
      <c r="L52" s="376" t="s">
        <v>641</v>
      </c>
      <c r="M52" s="376" t="s">
        <v>876</v>
      </c>
      <c r="N52" s="376"/>
    </row>
    <row r="53" spans="1:15" ht="25.5">
      <c r="A53" s="376">
        <v>37</v>
      </c>
      <c r="B53" s="385" t="s">
        <v>2711</v>
      </c>
      <c r="C53" s="386" t="s">
        <v>2712</v>
      </c>
      <c r="D53" s="376">
        <v>2012</v>
      </c>
      <c r="E53" s="386">
        <v>1</v>
      </c>
      <c r="F53" s="376">
        <v>1</v>
      </c>
      <c r="G53" s="377">
        <f t="shared" si="0"/>
        <v>0</v>
      </c>
      <c r="H53" s="390">
        <v>26300000</v>
      </c>
      <c r="I53" s="387">
        <f t="shared" si="1"/>
        <v>26300000</v>
      </c>
      <c r="J53" s="376" t="s">
        <v>2640</v>
      </c>
      <c r="K53" s="378"/>
      <c r="L53" s="376" t="s">
        <v>641</v>
      </c>
      <c r="M53" s="376" t="s">
        <v>876</v>
      </c>
      <c r="N53" s="376"/>
    </row>
    <row r="54" spans="1:15" ht="25.5">
      <c r="A54" s="376">
        <v>38</v>
      </c>
      <c r="B54" s="385" t="s">
        <v>2713</v>
      </c>
      <c r="C54" s="386" t="s">
        <v>2714</v>
      </c>
      <c r="D54" s="376">
        <v>2018</v>
      </c>
      <c r="E54" s="386">
        <v>1</v>
      </c>
      <c r="F54" s="376">
        <v>1</v>
      </c>
      <c r="G54" s="377">
        <f t="shared" si="0"/>
        <v>0</v>
      </c>
      <c r="H54" s="390">
        <v>88100000</v>
      </c>
      <c r="I54" s="387">
        <f t="shared" si="1"/>
        <v>88100000</v>
      </c>
      <c r="J54" s="376" t="s">
        <v>2640</v>
      </c>
      <c r="K54" s="378"/>
      <c r="L54" s="376" t="s">
        <v>641</v>
      </c>
      <c r="M54" s="376" t="s">
        <v>876</v>
      </c>
      <c r="N54" s="376"/>
    </row>
    <row r="55" spans="1:15" ht="38.25">
      <c r="A55" s="376">
        <v>39</v>
      </c>
      <c r="B55" s="385" t="s">
        <v>2715</v>
      </c>
      <c r="C55" s="386" t="s">
        <v>2716</v>
      </c>
      <c r="D55" s="376">
        <v>2020</v>
      </c>
      <c r="E55" s="386">
        <v>1</v>
      </c>
      <c r="F55" s="376">
        <v>1</v>
      </c>
      <c r="G55" s="377">
        <f t="shared" si="0"/>
        <v>0</v>
      </c>
      <c r="H55" s="390">
        <v>44000000</v>
      </c>
      <c r="I55" s="387">
        <f t="shared" si="1"/>
        <v>44000000</v>
      </c>
      <c r="J55" s="376" t="s">
        <v>2640</v>
      </c>
      <c r="K55" s="378"/>
      <c r="L55" s="376" t="s">
        <v>641</v>
      </c>
      <c r="M55" s="376" t="s">
        <v>876</v>
      </c>
      <c r="N55" s="376"/>
    </row>
    <row r="56" spans="1:15" ht="25.5">
      <c r="A56" s="376">
        <v>40</v>
      </c>
      <c r="B56" s="385" t="s">
        <v>2717</v>
      </c>
      <c r="C56" s="386" t="s">
        <v>2718</v>
      </c>
      <c r="D56" s="376">
        <v>2012</v>
      </c>
      <c r="E56" s="386">
        <v>1</v>
      </c>
      <c r="F56" s="376">
        <v>1</v>
      </c>
      <c r="G56" s="377">
        <f t="shared" si="0"/>
        <v>0</v>
      </c>
      <c r="H56" s="391">
        <v>163849718</v>
      </c>
      <c r="I56" s="387">
        <f t="shared" si="1"/>
        <v>163849718</v>
      </c>
      <c r="J56" s="376" t="s">
        <v>2640</v>
      </c>
      <c r="K56" s="378"/>
      <c r="L56" s="376" t="s">
        <v>641</v>
      </c>
      <c r="M56" s="376" t="s">
        <v>876</v>
      </c>
      <c r="N56" s="386" t="s">
        <v>1911</v>
      </c>
    </row>
    <row r="57" spans="1:15" ht="38.25">
      <c r="A57" s="376">
        <v>41</v>
      </c>
      <c r="B57" s="385" t="s">
        <v>2719</v>
      </c>
      <c r="C57" s="386" t="s">
        <v>2720</v>
      </c>
      <c r="D57" s="376">
        <v>2020</v>
      </c>
      <c r="E57" s="386">
        <v>1</v>
      </c>
      <c r="F57" s="376">
        <v>1</v>
      </c>
      <c r="G57" s="377">
        <f t="shared" si="0"/>
        <v>0</v>
      </c>
      <c r="H57" s="390">
        <v>16808000</v>
      </c>
      <c r="I57" s="387">
        <f t="shared" si="1"/>
        <v>16808000</v>
      </c>
      <c r="J57" s="376" t="s">
        <v>2640</v>
      </c>
      <c r="K57" s="378"/>
      <c r="L57" s="376" t="s">
        <v>641</v>
      </c>
      <c r="M57" s="376" t="s">
        <v>876</v>
      </c>
      <c r="N57" s="386" t="s">
        <v>1911</v>
      </c>
    </row>
    <row r="58" spans="1:15" ht="25.5">
      <c r="A58" s="376">
        <v>42</v>
      </c>
      <c r="B58" s="385" t="s">
        <v>2721</v>
      </c>
      <c r="C58" s="386" t="s">
        <v>2722</v>
      </c>
      <c r="D58" s="376">
        <v>2012</v>
      </c>
      <c r="E58" s="386">
        <v>1</v>
      </c>
      <c r="F58" s="376">
        <v>1</v>
      </c>
      <c r="G58" s="377">
        <f t="shared" si="0"/>
        <v>0</v>
      </c>
      <c r="H58" s="390">
        <v>369500071</v>
      </c>
      <c r="I58" s="387">
        <f t="shared" si="1"/>
        <v>369500071</v>
      </c>
      <c r="J58" s="376" t="s">
        <v>2640</v>
      </c>
      <c r="K58" s="378"/>
      <c r="L58" s="376" t="s">
        <v>641</v>
      </c>
      <c r="M58" s="376" t="s">
        <v>876</v>
      </c>
      <c r="N58" s="386" t="s">
        <v>1911</v>
      </c>
    </row>
    <row r="59" spans="1:15" ht="25.5">
      <c r="A59" s="376">
        <v>43</v>
      </c>
      <c r="B59" s="385" t="s">
        <v>2723</v>
      </c>
      <c r="C59" s="386" t="s">
        <v>2724</v>
      </c>
      <c r="D59" s="376">
        <v>2012</v>
      </c>
      <c r="E59" s="386">
        <v>1</v>
      </c>
      <c r="F59" s="376">
        <v>1</v>
      </c>
      <c r="G59" s="377">
        <f t="shared" si="0"/>
        <v>0</v>
      </c>
      <c r="H59" s="390">
        <v>112506083</v>
      </c>
      <c r="I59" s="387">
        <f t="shared" si="1"/>
        <v>112506083</v>
      </c>
      <c r="J59" s="376" t="s">
        <v>2640</v>
      </c>
      <c r="K59" s="378"/>
      <c r="L59" s="376" t="s">
        <v>641</v>
      </c>
      <c r="M59" s="376" t="s">
        <v>876</v>
      </c>
      <c r="N59" s="386" t="s">
        <v>1911</v>
      </c>
    </row>
    <row r="60" spans="1:15" ht="25.5">
      <c r="A60" s="376">
        <v>44</v>
      </c>
      <c r="B60" s="385" t="s">
        <v>2725</v>
      </c>
      <c r="C60" s="386" t="s">
        <v>2726</v>
      </c>
      <c r="D60" s="376">
        <v>2012</v>
      </c>
      <c r="E60" s="386">
        <v>1</v>
      </c>
      <c r="F60" s="376">
        <v>1</v>
      </c>
      <c r="G60" s="377">
        <f t="shared" si="0"/>
        <v>0</v>
      </c>
      <c r="H60" s="390">
        <v>132438460</v>
      </c>
      <c r="I60" s="387">
        <f t="shared" si="1"/>
        <v>132438460</v>
      </c>
      <c r="J60" s="376" t="s">
        <v>2640</v>
      </c>
      <c r="K60" s="378"/>
      <c r="L60" s="376" t="s">
        <v>641</v>
      </c>
      <c r="M60" s="376" t="s">
        <v>876</v>
      </c>
      <c r="N60" s="386" t="s">
        <v>1911</v>
      </c>
    </row>
    <row r="61" spans="1:15">
      <c r="A61" s="376"/>
      <c r="B61" s="543" t="s">
        <v>2377</v>
      </c>
      <c r="C61" s="543"/>
      <c r="D61" s="543"/>
      <c r="E61" s="543"/>
      <c r="F61" s="543"/>
      <c r="G61" s="543"/>
      <c r="H61" s="543"/>
      <c r="I61" s="543"/>
      <c r="J61" s="543"/>
      <c r="K61" s="543"/>
      <c r="L61" s="543"/>
      <c r="M61" s="543"/>
      <c r="N61" s="543"/>
    </row>
    <row r="62" spans="1:15" ht="25.5">
      <c r="A62" s="376">
        <v>1</v>
      </c>
      <c r="B62" s="381" t="s">
        <v>2727</v>
      </c>
      <c r="C62" s="376" t="s">
        <v>2728</v>
      </c>
      <c r="D62" s="376">
        <v>2000</v>
      </c>
      <c r="E62" s="376">
        <v>1</v>
      </c>
      <c r="F62" s="376">
        <v>1</v>
      </c>
      <c r="G62" s="377">
        <f>F62-E62</f>
        <v>0</v>
      </c>
      <c r="H62" s="392"/>
      <c r="I62" s="392"/>
      <c r="J62" s="376" t="s">
        <v>2640</v>
      </c>
      <c r="K62" s="378"/>
      <c r="L62" s="376" t="s">
        <v>641</v>
      </c>
      <c r="M62" s="376" t="s">
        <v>54</v>
      </c>
      <c r="N62" s="386" t="s">
        <v>158</v>
      </c>
    </row>
    <row r="63" spans="1:15" ht="25.5">
      <c r="A63" s="376">
        <v>2</v>
      </c>
      <c r="B63" s="381" t="s">
        <v>2729</v>
      </c>
      <c r="C63" s="376" t="s">
        <v>2730</v>
      </c>
      <c r="D63" s="376">
        <v>2005</v>
      </c>
      <c r="E63" s="376">
        <v>1</v>
      </c>
      <c r="F63" s="376">
        <v>1</v>
      </c>
      <c r="G63" s="377">
        <f t="shared" ref="G63:G64" si="2">F63-E63</f>
        <v>0</v>
      </c>
      <c r="H63" s="392">
        <v>1449000</v>
      </c>
      <c r="I63" s="392">
        <v>1449000</v>
      </c>
      <c r="J63" s="376" t="s">
        <v>2640</v>
      </c>
      <c r="K63" s="378"/>
      <c r="L63" s="376" t="s">
        <v>641</v>
      </c>
      <c r="M63" s="376" t="s">
        <v>54</v>
      </c>
      <c r="N63" s="386"/>
    </row>
    <row r="64" spans="1:15" ht="38.25">
      <c r="A64" s="376">
        <v>3</v>
      </c>
      <c r="B64" s="380" t="s">
        <v>2731</v>
      </c>
      <c r="C64" s="376" t="s">
        <v>2732</v>
      </c>
      <c r="D64" s="376">
        <v>2017</v>
      </c>
      <c r="E64" s="393">
        <v>1</v>
      </c>
      <c r="F64" s="393">
        <v>1</v>
      </c>
      <c r="G64" s="377">
        <f t="shared" si="2"/>
        <v>0</v>
      </c>
      <c r="H64" s="392">
        <v>2850000</v>
      </c>
      <c r="I64" s="392">
        <v>2850000</v>
      </c>
      <c r="J64" s="376" t="s">
        <v>2640</v>
      </c>
      <c r="K64" s="378"/>
      <c r="L64" s="376" t="s">
        <v>641</v>
      </c>
      <c r="M64" s="376" t="s">
        <v>54</v>
      </c>
      <c r="N64" s="376" t="s">
        <v>2733</v>
      </c>
      <c r="O64" s="388"/>
    </row>
    <row r="65" spans="1:15" s="303" customFormat="1" ht="15.75">
      <c r="A65" s="334"/>
      <c r="E65" s="334"/>
      <c r="F65" s="334"/>
      <c r="G65" s="335"/>
    </row>
    <row r="66" spans="1:15" s="20" customFormat="1" ht="18" customHeight="1">
      <c r="A66" s="47"/>
      <c r="B66" s="48"/>
      <c r="C66" s="47"/>
      <c r="D66" s="47"/>
      <c r="E66" s="47"/>
      <c r="F66" s="47"/>
      <c r="G66" s="47"/>
      <c r="H66" s="49"/>
      <c r="I66" s="49"/>
      <c r="J66" s="474" t="s">
        <v>965</v>
      </c>
      <c r="K66" s="474"/>
      <c r="L66" s="474"/>
      <c r="M66" s="474"/>
      <c r="N66" s="474"/>
    </row>
    <row r="67" spans="1:15" s="20" customFormat="1" ht="24.95" customHeight="1">
      <c r="A67" s="475" t="s">
        <v>953</v>
      </c>
      <c r="B67" s="475"/>
      <c r="C67" s="51"/>
      <c r="D67" s="476" t="s">
        <v>2734</v>
      </c>
      <c r="E67" s="476"/>
      <c r="F67" s="476"/>
      <c r="G67" s="476"/>
      <c r="H67" s="476"/>
      <c r="I67" s="477" t="s">
        <v>955</v>
      </c>
      <c r="J67" s="477"/>
      <c r="K67" s="477"/>
      <c r="L67" s="476" t="s">
        <v>829</v>
      </c>
      <c r="M67" s="476"/>
      <c r="N67" s="476"/>
    </row>
    <row r="68" spans="1:15" s="20" customFormat="1" ht="24.95" customHeight="1">
      <c r="A68" s="478" t="s">
        <v>966</v>
      </c>
      <c r="B68" s="478"/>
      <c r="C68" s="478"/>
      <c r="D68" s="51"/>
      <c r="E68" s="51"/>
      <c r="F68" s="51"/>
      <c r="G68" s="51"/>
      <c r="H68" s="52"/>
      <c r="I68" s="52"/>
      <c r="J68" s="51"/>
      <c r="K68" s="51"/>
      <c r="L68" s="51"/>
      <c r="M68" s="51"/>
      <c r="N68" s="53"/>
    </row>
    <row r="69" spans="1:15" s="20" customFormat="1" ht="24.95" customHeight="1">
      <c r="A69" s="478" t="s">
        <v>961</v>
      </c>
      <c r="B69" s="478"/>
      <c r="C69" s="478"/>
      <c r="D69" s="51"/>
      <c r="E69" s="51"/>
      <c r="F69" s="51"/>
      <c r="G69" s="51"/>
      <c r="H69" s="52"/>
      <c r="I69" s="52"/>
      <c r="J69" s="51"/>
      <c r="K69" s="51"/>
      <c r="L69" s="51"/>
      <c r="M69" s="51"/>
      <c r="N69" s="53"/>
    </row>
    <row r="70" spans="1:15" s="20" customFormat="1" ht="24.95" customHeight="1">
      <c r="A70" s="478" t="s">
        <v>962</v>
      </c>
      <c r="B70" s="478"/>
      <c r="C70" s="478"/>
      <c r="D70" s="51"/>
      <c r="E70" s="51"/>
      <c r="F70" s="51"/>
      <c r="G70" s="51"/>
      <c r="H70" s="52"/>
      <c r="I70" s="52"/>
      <c r="J70" s="51"/>
      <c r="K70" s="51"/>
      <c r="L70" s="51"/>
      <c r="M70" s="51"/>
      <c r="N70" s="53"/>
    </row>
    <row r="71" spans="1:15" s="20" customFormat="1" ht="24.95" customHeight="1">
      <c r="A71" s="478" t="s">
        <v>958</v>
      </c>
      <c r="B71" s="478"/>
      <c r="C71" s="478"/>
      <c r="D71" s="476" t="s">
        <v>2735</v>
      </c>
      <c r="E71" s="476"/>
      <c r="F71" s="476"/>
      <c r="G71" s="476"/>
      <c r="H71" s="476"/>
      <c r="I71" s="477" t="s">
        <v>956</v>
      </c>
      <c r="J71" s="477"/>
      <c r="K71" s="477"/>
      <c r="L71" s="476" t="s">
        <v>954</v>
      </c>
      <c r="M71" s="476"/>
      <c r="N71" s="476"/>
    </row>
    <row r="72" spans="1:15" s="20" customFormat="1" ht="24.95" customHeight="1">
      <c r="A72" s="478" t="s">
        <v>963</v>
      </c>
      <c r="B72" s="478"/>
      <c r="C72" s="478"/>
      <c r="D72" s="476"/>
      <c r="E72" s="476"/>
      <c r="F72" s="476"/>
      <c r="G72" s="476"/>
      <c r="H72" s="476"/>
      <c r="I72" s="477"/>
      <c r="J72" s="477"/>
      <c r="K72" s="477"/>
      <c r="L72" s="476"/>
      <c r="M72" s="476"/>
      <c r="N72" s="476"/>
    </row>
    <row r="73" spans="1:15">
      <c r="A73" s="394"/>
      <c r="B73" s="395"/>
      <c r="C73" s="394"/>
      <c r="D73" s="394"/>
      <c r="E73" s="396"/>
      <c r="F73" s="396"/>
      <c r="G73" s="397"/>
      <c r="H73" s="398"/>
      <c r="I73" s="398"/>
      <c r="J73" s="394"/>
      <c r="K73" s="398"/>
      <c r="L73" s="394"/>
      <c r="M73" s="394"/>
      <c r="N73" s="394"/>
      <c r="O73" s="388"/>
    </row>
    <row r="74" spans="1:15">
      <c r="A74" s="394"/>
      <c r="B74" s="395"/>
      <c r="C74" s="394"/>
      <c r="D74" s="394"/>
      <c r="E74" s="396"/>
      <c r="F74" s="396"/>
      <c r="G74" s="397"/>
      <c r="H74" s="398"/>
      <c r="I74" s="398"/>
      <c r="J74" s="394"/>
      <c r="K74" s="398"/>
      <c r="L74" s="394"/>
      <c r="M74" s="394"/>
      <c r="N74" s="394"/>
      <c r="O74" s="388"/>
    </row>
    <row r="75" spans="1:15">
      <c r="A75" s="394"/>
      <c r="B75" s="395"/>
      <c r="C75" s="394"/>
      <c r="D75" s="394"/>
      <c r="E75" s="396"/>
      <c r="F75" s="396"/>
      <c r="G75" s="397"/>
      <c r="H75" s="398"/>
      <c r="I75" s="398"/>
      <c r="J75" s="394"/>
      <c r="K75" s="398"/>
      <c r="L75" s="394"/>
      <c r="M75" s="394"/>
      <c r="N75" s="394"/>
      <c r="O75" s="388"/>
    </row>
    <row r="76" spans="1:15">
      <c r="A76" s="394"/>
      <c r="B76" s="395"/>
      <c r="C76" s="394"/>
      <c r="D76" s="394"/>
      <c r="E76" s="396"/>
      <c r="F76" s="396"/>
      <c r="G76" s="397"/>
      <c r="H76" s="398"/>
      <c r="I76" s="398"/>
      <c r="J76" s="394"/>
      <c r="K76" s="398"/>
      <c r="L76" s="394"/>
      <c r="M76" s="394"/>
      <c r="N76" s="394"/>
      <c r="O76" s="388"/>
    </row>
    <row r="77" spans="1:15">
      <c r="A77" s="394"/>
      <c r="B77" s="395"/>
      <c r="C77" s="394"/>
      <c r="D77" s="394"/>
      <c r="E77" s="396"/>
      <c r="F77" s="396"/>
      <c r="G77" s="397"/>
      <c r="H77" s="398"/>
      <c r="I77" s="398"/>
      <c r="J77" s="394"/>
      <c r="K77" s="398"/>
      <c r="L77" s="394"/>
      <c r="M77" s="394"/>
      <c r="N77" s="394"/>
      <c r="O77" s="388"/>
    </row>
    <row r="78" spans="1:15">
      <c r="A78" s="394"/>
      <c r="B78" s="395"/>
      <c r="C78" s="394"/>
      <c r="D78" s="394"/>
      <c r="E78" s="396"/>
      <c r="F78" s="396"/>
      <c r="G78" s="397"/>
      <c r="H78" s="398"/>
      <c r="I78" s="398"/>
      <c r="J78" s="394"/>
      <c r="K78" s="398"/>
      <c r="L78" s="394"/>
      <c r="M78" s="394"/>
      <c r="N78" s="394"/>
      <c r="O78" s="388"/>
    </row>
    <row r="79" spans="1:15">
      <c r="A79" s="394"/>
      <c r="B79" s="395"/>
      <c r="C79" s="394"/>
      <c r="D79" s="394"/>
      <c r="E79" s="396"/>
      <c r="F79" s="396"/>
      <c r="G79" s="397"/>
      <c r="H79" s="398"/>
      <c r="I79" s="398"/>
      <c r="J79" s="394"/>
      <c r="K79" s="398"/>
      <c r="L79" s="394"/>
      <c r="M79" s="394"/>
      <c r="N79" s="394"/>
      <c r="O79" s="388"/>
    </row>
    <row r="80" spans="1:15">
      <c r="A80" s="394"/>
      <c r="B80" s="395"/>
      <c r="C80" s="394"/>
      <c r="D80" s="394"/>
      <c r="E80" s="396"/>
      <c r="F80" s="396"/>
      <c r="G80" s="397"/>
      <c r="H80" s="398"/>
      <c r="I80" s="398"/>
      <c r="J80" s="394"/>
      <c r="K80" s="398"/>
      <c r="L80" s="394"/>
      <c r="M80" s="394"/>
      <c r="N80" s="394"/>
      <c r="O80" s="388"/>
    </row>
    <row r="81" spans="1:15">
      <c r="A81" s="394"/>
      <c r="B81" s="395"/>
      <c r="C81" s="394"/>
      <c r="D81" s="394"/>
      <c r="E81" s="396"/>
      <c r="F81" s="396"/>
      <c r="G81" s="397"/>
      <c r="H81" s="398"/>
      <c r="I81" s="398"/>
      <c r="J81" s="394"/>
      <c r="K81" s="398"/>
      <c r="L81" s="394"/>
      <c r="M81" s="394"/>
      <c r="N81" s="394"/>
      <c r="O81" s="388"/>
    </row>
    <row r="82" spans="1:15">
      <c r="A82" s="394"/>
      <c r="B82" s="395"/>
      <c r="C82" s="394"/>
      <c r="D82" s="394"/>
      <c r="E82" s="396"/>
      <c r="F82" s="396"/>
      <c r="G82" s="397"/>
      <c r="H82" s="398"/>
      <c r="I82" s="398"/>
      <c r="J82" s="394"/>
      <c r="K82" s="398"/>
      <c r="L82" s="394"/>
      <c r="M82" s="394"/>
      <c r="N82" s="394"/>
      <c r="O82" s="388"/>
    </row>
    <row r="83" spans="1:15">
      <c r="A83" s="394"/>
      <c r="B83" s="395"/>
      <c r="C83" s="394"/>
      <c r="D83" s="394"/>
      <c r="E83" s="396"/>
      <c r="F83" s="396"/>
      <c r="G83" s="397"/>
      <c r="H83" s="398"/>
      <c r="I83" s="398"/>
      <c r="J83" s="394"/>
      <c r="K83" s="398"/>
      <c r="L83" s="394"/>
      <c r="M83" s="394"/>
      <c r="N83" s="394"/>
      <c r="O83" s="388"/>
    </row>
    <row r="84" spans="1:15">
      <c r="A84" s="394"/>
      <c r="B84" s="395"/>
      <c r="C84" s="394"/>
      <c r="D84" s="394"/>
      <c r="E84" s="396"/>
      <c r="F84" s="396"/>
      <c r="G84" s="397"/>
      <c r="H84" s="398"/>
      <c r="I84" s="398"/>
      <c r="J84" s="394"/>
      <c r="K84" s="398"/>
      <c r="L84" s="394"/>
      <c r="M84" s="394"/>
      <c r="N84" s="394"/>
      <c r="O84" s="388"/>
    </row>
    <row r="85" spans="1:15">
      <c r="A85" s="394"/>
      <c r="B85" s="395"/>
      <c r="C85" s="394"/>
      <c r="D85" s="394"/>
      <c r="E85" s="396"/>
      <c r="F85" s="396"/>
      <c r="G85" s="397"/>
      <c r="H85" s="398"/>
      <c r="I85" s="398"/>
      <c r="J85" s="394"/>
      <c r="K85" s="398"/>
      <c r="L85" s="394"/>
      <c r="M85" s="394"/>
      <c r="N85" s="394"/>
      <c r="O85" s="388"/>
    </row>
    <row r="86" spans="1:15">
      <c r="A86" s="394"/>
      <c r="B86" s="395"/>
      <c r="C86" s="394"/>
      <c r="D86" s="394"/>
      <c r="E86" s="396"/>
      <c r="F86" s="396"/>
      <c r="G86" s="397"/>
      <c r="H86" s="398"/>
      <c r="I86" s="398"/>
      <c r="J86" s="394"/>
      <c r="K86" s="398"/>
      <c r="L86" s="394"/>
      <c r="M86" s="394"/>
      <c r="N86" s="394"/>
      <c r="O86" s="388"/>
    </row>
    <row r="87" spans="1:15">
      <c r="A87" s="394"/>
      <c r="B87" s="395"/>
      <c r="C87" s="394"/>
      <c r="D87" s="394"/>
      <c r="E87" s="396"/>
      <c r="F87" s="396"/>
      <c r="G87" s="397"/>
      <c r="H87" s="398"/>
      <c r="I87" s="398"/>
      <c r="J87" s="394"/>
      <c r="K87" s="398"/>
      <c r="L87" s="394"/>
      <c r="M87" s="394"/>
      <c r="N87" s="394"/>
      <c r="O87" s="388"/>
    </row>
    <row r="88" spans="1:15">
      <c r="A88" s="394"/>
      <c r="B88" s="395"/>
      <c r="C88" s="394"/>
      <c r="D88" s="394"/>
      <c r="E88" s="396"/>
      <c r="F88" s="396"/>
      <c r="G88" s="397"/>
      <c r="H88" s="398"/>
      <c r="I88" s="398"/>
      <c r="J88" s="394"/>
      <c r="K88" s="398"/>
      <c r="L88" s="394"/>
      <c r="M88" s="394"/>
      <c r="N88" s="394"/>
      <c r="O88" s="388"/>
    </row>
    <row r="89" spans="1:15">
      <c r="A89" s="394"/>
      <c r="B89" s="395"/>
      <c r="C89" s="394"/>
      <c r="D89" s="394"/>
      <c r="E89" s="396"/>
      <c r="F89" s="396"/>
      <c r="G89" s="397"/>
      <c r="H89" s="398"/>
      <c r="I89" s="398"/>
      <c r="J89" s="394"/>
      <c r="K89" s="398"/>
      <c r="L89" s="394"/>
      <c r="M89" s="394"/>
      <c r="N89" s="394"/>
      <c r="O89" s="388"/>
    </row>
  </sheetData>
  <mergeCells count="51">
    <mergeCell ref="I71:K71"/>
    <mergeCell ref="L71:N71"/>
    <mergeCell ref="A72:C72"/>
    <mergeCell ref="D72:H72"/>
    <mergeCell ref="I72:K72"/>
    <mergeCell ref="L72:N72"/>
    <mergeCell ref="A68:C68"/>
    <mergeCell ref="A69:C69"/>
    <mergeCell ref="A70:C70"/>
    <mergeCell ref="A71:C71"/>
    <mergeCell ref="D71:H71"/>
    <mergeCell ref="B61:N61"/>
    <mergeCell ref="J66:N66"/>
    <mergeCell ref="A67:B67"/>
    <mergeCell ref="D67:H67"/>
    <mergeCell ref="I67:K67"/>
    <mergeCell ref="L67:N67"/>
    <mergeCell ref="A9:C9"/>
    <mergeCell ref="A10:N10"/>
    <mergeCell ref="A12:A15"/>
    <mergeCell ref="B12:B15"/>
    <mergeCell ref="C12:C15"/>
    <mergeCell ref="D12:D15"/>
    <mergeCell ref="H12:H15"/>
    <mergeCell ref="I12:I15"/>
    <mergeCell ref="J12:J15"/>
    <mergeCell ref="K12:K15"/>
    <mergeCell ref="L12:L15"/>
    <mergeCell ref="M12:M15"/>
    <mergeCell ref="N12:N15"/>
    <mergeCell ref="E13:E15"/>
    <mergeCell ref="F13:F15"/>
    <mergeCell ref="G13:G15"/>
    <mergeCell ref="A7:C7"/>
    <mergeCell ref="E7:I7"/>
    <mergeCell ref="K7:M7"/>
    <mergeCell ref="A8:C8"/>
    <mergeCell ref="E8:I8"/>
    <mergeCell ref="K8:M8"/>
    <mergeCell ref="A5:C5"/>
    <mergeCell ref="E5:I5"/>
    <mergeCell ref="K5:M5"/>
    <mergeCell ref="A6:C6"/>
    <mergeCell ref="E6:I6"/>
    <mergeCell ref="K6:M6"/>
    <mergeCell ref="A4:N4"/>
    <mergeCell ref="A1:E1"/>
    <mergeCell ref="K1:N1"/>
    <mergeCell ref="A2:E2"/>
    <mergeCell ref="Z2:AJ2"/>
    <mergeCell ref="A3:N3"/>
  </mergeCells>
  <pageMargins left="0.5" right="0.3" top="0.5" bottom="0.5" header="0" footer="0"/>
  <pageSetup paperSize="9" orientation="landscape" verticalDpi="0" r:id="rId1"/>
  <headerFooter differentFirst="1"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zoomScaleNormal="100" zoomScaleSheetLayoutView="102" workbookViewId="0">
      <selection activeCell="X21" sqref="X21"/>
    </sheetView>
  </sheetViews>
  <sheetFormatPr defaultColWidth="9.140625" defaultRowHeight="15.75"/>
  <cols>
    <col min="1" max="1" width="4.5703125" style="403" customWidth="1"/>
    <col min="2" max="2" width="20.85546875" style="400" customWidth="1"/>
    <col min="3" max="3" width="14" style="403" customWidth="1"/>
    <col min="4" max="4" width="6.42578125" style="403" customWidth="1"/>
    <col min="5" max="6" width="5.85546875" style="403" customWidth="1"/>
    <col min="7" max="7" width="6.42578125" style="414" customWidth="1"/>
    <col min="8" max="9" width="13.140625" style="414" customWidth="1"/>
    <col min="10" max="10" width="8" style="403" customWidth="1"/>
    <col min="11" max="11" width="10.7109375" style="403" customWidth="1"/>
    <col min="12" max="12" width="9.7109375" style="405" customWidth="1"/>
    <col min="13" max="13" width="9" style="403" customWidth="1"/>
    <col min="14" max="14" width="13" style="406" customWidth="1"/>
    <col min="15" max="19" width="6.7109375" style="400" customWidth="1"/>
    <col min="20" max="16384" width="9.140625" style="400"/>
  </cols>
  <sheetData>
    <row r="1" spans="1:18">
      <c r="A1" s="481" t="s">
        <v>818</v>
      </c>
      <c r="B1" s="481"/>
      <c r="C1" s="481"/>
      <c r="D1" s="481"/>
      <c r="E1" s="481"/>
      <c r="F1" s="57"/>
      <c r="G1" s="58"/>
      <c r="H1" s="145"/>
      <c r="I1" s="145"/>
      <c r="J1" s="270"/>
      <c r="K1" s="482" t="s">
        <v>819</v>
      </c>
      <c r="L1" s="482"/>
      <c r="M1" s="482"/>
      <c r="N1" s="482"/>
      <c r="O1" s="399"/>
      <c r="P1" s="399"/>
      <c r="Q1" s="399"/>
      <c r="R1" s="399"/>
    </row>
    <row r="2" spans="1:18">
      <c r="A2" s="481" t="s">
        <v>820</v>
      </c>
      <c r="B2" s="481"/>
      <c r="C2" s="481"/>
      <c r="D2" s="481"/>
      <c r="E2" s="481"/>
      <c r="F2" s="57"/>
      <c r="G2" s="58"/>
      <c r="H2" s="58"/>
      <c r="I2" s="58"/>
      <c r="J2" s="58"/>
      <c r="K2" s="58"/>
      <c r="L2" s="58"/>
      <c r="M2" s="58"/>
      <c r="N2" s="58"/>
      <c r="O2" s="401"/>
      <c r="P2" s="401"/>
      <c r="Q2" s="60"/>
      <c r="R2" s="60"/>
    </row>
    <row r="3" spans="1:18" ht="45" customHeight="1">
      <c r="A3" s="483" t="s">
        <v>2736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02"/>
      <c r="P3" s="402"/>
      <c r="Q3" s="402"/>
      <c r="R3" s="402"/>
    </row>
    <row r="4" spans="1:18">
      <c r="A4" s="484" t="s">
        <v>968</v>
      </c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  <c r="O4" s="185"/>
      <c r="P4" s="186"/>
      <c r="Q4" s="62"/>
      <c r="R4" s="62"/>
    </row>
    <row r="5" spans="1:18">
      <c r="A5" s="479" t="s">
        <v>821</v>
      </c>
      <c r="B5" s="479"/>
      <c r="C5" s="479"/>
      <c r="D5" s="268"/>
      <c r="E5" s="480" t="s">
        <v>822</v>
      </c>
      <c r="F5" s="480"/>
      <c r="G5" s="480"/>
      <c r="H5" s="480"/>
      <c r="I5" s="480"/>
      <c r="J5" s="269"/>
      <c r="K5" s="479" t="s">
        <v>829</v>
      </c>
      <c r="L5" s="479"/>
      <c r="M5" s="479"/>
      <c r="N5" s="269"/>
      <c r="O5" s="188"/>
      <c r="P5" s="186"/>
      <c r="Q5" s="62"/>
      <c r="R5" s="62"/>
    </row>
    <row r="6" spans="1:18">
      <c r="A6" s="479" t="s">
        <v>949</v>
      </c>
      <c r="B6" s="479"/>
      <c r="C6" s="479"/>
      <c r="D6" s="268"/>
      <c r="E6" s="480" t="s">
        <v>824</v>
      </c>
      <c r="F6" s="480"/>
      <c r="G6" s="480"/>
      <c r="H6" s="480"/>
      <c r="I6" s="480"/>
      <c r="J6" s="269"/>
      <c r="K6" s="479" t="s">
        <v>823</v>
      </c>
      <c r="L6" s="479"/>
      <c r="M6" s="479"/>
      <c r="N6" s="269"/>
      <c r="O6" s="62"/>
      <c r="P6" s="186"/>
      <c r="Q6" s="62"/>
      <c r="R6" s="62"/>
    </row>
    <row r="7" spans="1:18" ht="15" customHeight="1">
      <c r="A7" s="479" t="s">
        <v>950</v>
      </c>
      <c r="B7" s="479"/>
      <c r="C7" s="479"/>
      <c r="D7" s="268"/>
      <c r="E7" s="480" t="s">
        <v>825</v>
      </c>
      <c r="F7" s="480"/>
      <c r="G7" s="480"/>
      <c r="H7" s="480"/>
      <c r="I7" s="480"/>
      <c r="J7" s="269"/>
      <c r="K7" s="479" t="s">
        <v>826</v>
      </c>
      <c r="L7" s="479"/>
      <c r="M7" s="479"/>
      <c r="N7" s="269"/>
      <c r="O7" s="62"/>
      <c r="P7" s="186"/>
      <c r="Q7" s="62"/>
      <c r="R7" s="62"/>
    </row>
    <row r="8" spans="1:18">
      <c r="A8" s="479" t="s">
        <v>2737</v>
      </c>
      <c r="B8" s="479"/>
      <c r="C8" s="479"/>
      <c r="D8" s="268"/>
      <c r="E8" s="480" t="s">
        <v>2738</v>
      </c>
      <c r="F8" s="480"/>
      <c r="G8" s="480"/>
      <c r="H8" s="480"/>
      <c r="I8" s="480"/>
      <c r="J8" s="269"/>
      <c r="K8" s="479" t="s">
        <v>830</v>
      </c>
      <c r="L8" s="479"/>
      <c r="M8" s="479"/>
      <c r="N8" s="269"/>
      <c r="O8" s="62"/>
      <c r="P8" s="63"/>
      <c r="Q8" s="62"/>
      <c r="R8" s="62"/>
    </row>
    <row r="9" spans="1:18" ht="15" customHeight="1">
      <c r="A9" s="479" t="s">
        <v>952</v>
      </c>
      <c r="B9" s="479"/>
      <c r="C9" s="479"/>
      <c r="D9" s="63"/>
      <c r="E9" s="63"/>
      <c r="F9" s="269"/>
      <c r="G9" s="269"/>
      <c r="H9" s="269"/>
      <c r="I9" s="269"/>
      <c r="J9" s="269"/>
      <c r="K9" s="269"/>
      <c r="L9" s="269"/>
      <c r="M9" s="269"/>
      <c r="N9" s="269"/>
      <c r="O9" s="185"/>
      <c r="P9" s="63"/>
      <c r="Q9" s="62"/>
      <c r="R9" s="62"/>
    </row>
    <row r="10" spans="1:18" ht="20.25" customHeight="1">
      <c r="A10" s="479" t="s">
        <v>827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9"/>
      <c r="O10" s="185"/>
      <c r="P10" s="63"/>
      <c r="Q10" s="62"/>
      <c r="R10" s="62"/>
    </row>
    <row r="11" spans="1:18" ht="12.75" customHeight="1">
      <c r="G11" s="404"/>
      <c r="H11" s="404"/>
      <c r="I11" s="404"/>
    </row>
    <row r="12" spans="1:18" ht="38.25">
      <c r="A12" s="532" t="s">
        <v>2190</v>
      </c>
      <c r="B12" s="532" t="s">
        <v>972</v>
      </c>
      <c r="C12" s="532" t="s">
        <v>973</v>
      </c>
      <c r="D12" s="532" t="s">
        <v>974</v>
      </c>
      <c r="E12" s="293" t="s">
        <v>4</v>
      </c>
      <c r="F12" s="407" t="s">
        <v>975</v>
      </c>
      <c r="G12" s="407" t="s">
        <v>6</v>
      </c>
      <c r="H12" s="544" t="s">
        <v>7</v>
      </c>
      <c r="I12" s="544" t="s">
        <v>8</v>
      </c>
      <c r="J12" s="532" t="s">
        <v>9</v>
      </c>
      <c r="K12" s="532" t="s">
        <v>10</v>
      </c>
      <c r="L12" s="532" t="s">
        <v>11</v>
      </c>
      <c r="M12" s="532" t="s">
        <v>12</v>
      </c>
      <c r="N12" s="532" t="s">
        <v>976</v>
      </c>
    </row>
    <row r="13" spans="1:18">
      <c r="A13" s="532"/>
      <c r="B13" s="532"/>
      <c r="C13" s="532"/>
      <c r="D13" s="532"/>
      <c r="E13" s="532" t="s">
        <v>14</v>
      </c>
      <c r="F13" s="532" t="s">
        <v>14</v>
      </c>
      <c r="G13" s="532" t="s">
        <v>14</v>
      </c>
      <c r="H13" s="544"/>
      <c r="I13" s="544"/>
      <c r="J13" s="533"/>
      <c r="K13" s="533"/>
      <c r="L13" s="532"/>
      <c r="M13" s="532"/>
      <c r="N13" s="533"/>
    </row>
    <row r="14" spans="1:18">
      <c r="A14" s="532"/>
      <c r="B14" s="532"/>
      <c r="C14" s="532"/>
      <c r="D14" s="532"/>
      <c r="E14" s="532"/>
      <c r="F14" s="532"/>
      <c r="G14" s="532"/>
      <c r="H14" s="544"/>
      <c r="I14" s="544"/>
      <c r="J14" s="533"/>
      <c r="K14" s="533"/>
      <c r="L14" s="532"/>
      <c r="M14" s="532"/>
      <c r="N14" s="533"/>
    </row>
    <row r="15" spans="1:18">
      <c r="A15" s="532"/>
      <c r="B15" s="532"/>
      <c r="C15" s="532"/>
      <c r="D15" s="532"/>
      <c r="E15" s="532"/>
      <c r="F15" s="532"/>
      <c r="G15" s="532"/>
      <c r="H15" s="544"/>
      <c r="I15" s="544"/>
      <c r="J15" s="533"/>
      <c r="K15" s="533"/>
      <c r="L15" s="532"/>
      <c r="M15" s="532"/>
      <c r="N15" s="533"/>
    </row>
    <row r="16" spans="1:18" s="408" customFormat="1">
      <c r="A16" s="293" t="s">
        <v>15</v>
      </c>
      <c r="B16" s="293" t="s">
        <v>16</v>
      </c>
      <c r="C16" s="293" t="s">
        <v>17</v>
      </c>
      <c r="D16" s="293" t="s">
        <v>18</v>
      </c>
      <c r="E16" s="293">
        <v>1</v>
      </c>
      <c r="F16" s="293">
        <v>2</v>
      </c>
      <c r="G16" s="407">
        <v>3</v>
      </c>
      <c r="H16" s="407">
        <v>4</v>
      </c>
      <c r="I16" s="407">
        <v>5</v>
      </c>
      <c r="J16" s="293">
        <v>6</v>
      </c>
      <c r="K16" s="293">
        <v>7</v>
      </c>
      <c r="L16" s="293">
        <v>8</v>
      </c>
      <c r="M16" s="293">
        <v>9</v>
      </c>
      <c r="N16" s="293">
        <v>10</v>
      </c>
    </row>
    <row r="17" spans="1:14" s="408" customFormat="1" ht="25.5">
      <c r="A17" s="409">
        <v>1</v>
      </c>
      <c r="B17" s="410" t="s">
        <v>2739</v>
      </c>
      <c r="C17" s="411" t="s">
        <v>2740</v>
      </c>
      <c r="D17" s="296">
        <v>2010</v>
      </c>
      <c r="E17" s="296">
        <v>4</v>
      </c>
      <c r="F17" s="296">
        <v>4</v>
      </c>
      <c r="G17" s="412">
        <f>F17-E17</f>
        <v>0</v>
      </c>
      <c r="H17" s="413">
        <f>8400000/4</f>
        <v>2100000</v>
      </c>
      <c r="I17" s="413">
        <v>8400000</v>
      </c>
      <c r="J17" s="296" t="s">
        <v>2741</v>
      </c>
      <c r="K17" s="410"/>
      <c r="L17" s="296" t="s">
        <v>2742</v>
      </c>
      <c r="M17" s="296" t="s">
        <v>54</v>
      </c>
      <c r="N17" s="411"/>
    </row>
    <row r="18" spans="1:14" s="408" customFormat="1" ht="25.5">
      <c r="A18" s="409">
        <v>2</v>
      </c>
      <c r="B18" s="411" t="s">
        <v>2743</v>
      </c>
      <c r="C18" s="411" t="s">
        <v>2744</v>
      </c>
      <c r="D18" s="296">
        <v>2020</v>
      </c>
      <c r="E18" s="296">
        <v>3</v>
      </c>
      <c r="F18" s="296">
        <v>3</v>
      </c>
      <c r="G18" s="412">
        <f>F18-E18</f>
        <v>0</v>
      </c>
      <c r="H18" s="296"/>
      <c r="I18" s="296"/>
      <c r="J18" s="296" t="s">
        <v>2741</v>
      </c>
      <c r="K18" s="410"/>
      <c r="L18" s="296" t="s">
        <v>2742</v>
      </c>
      <c r="M18" s="296"/>
      <c r="N18" s="411"/>
    </row>
    <row r="20" spans="1:14" s="20" customFormat="1" ht="18" customHeight="1">
      <c r="A20" s="47"/>
      <c r="B20" s="48"/>
      <c r="C20" s="47"/>
      <c r="D20" s="47"/>
      <c r="E20" s="47"/>
      <c r="F20" s="47"/>
      <c r="G20" s="47"/>
      <c r="H20" s="49"/>
      <c r="I20" s="49"/>
      <c r="J20" s="474" t="s">
        <v>965</v>
      </c>
      <c r="K20" s="474"/>
      <c r="L20" s="474"/>
      <c r="M20" s="474"/>
      <c r="N20" s="474"/>
    </row>
    <row r="21" spans="1:14" s="20" customFormat="1" ht="24.95" customHeight="1">
      <c r="A21" s="475" t="s">
        <v>953</v>
      </c>
      <c r="B21" s="475"/>
      <c r="C21" s="51"/>
      <c r="D21" s="476" t="s">
        <v>2738</v>
      </c>
      <c r="E21" s="476"/>
      <c r="F21" s="476"/>
      <c r="G21" s="476"/>
      <c r="H21" s="476"/>
      <c r="I21" s="477" t="s">
        <v>955</v>
      </c>
      <c r="J21" s="477"/>
      <c r="K21" s="477"/>
      <c r="L21" s="476" t="s">
        <v>829</v>
      </c>
      <c r="M21" s="476"/>
      <c r="N21" s="476"/>
    </row>
    <row r="22" spans="1:14" s="20" customFormat="1" ht="24.95" customHeight="1">
      <c r="A22" s="478" t="s">
        <v>966</v>
      </c>
      <c r="B22" s="478"/>
      <c r="C22" s="478"/>
      <c r="D22" s="51"/>
      <c r="E22" s="51"/>
      <c r="F22" s="51"/>
      <c r="G22" s="51"/>
      <c r="H22" s="52"/>
      <c r="I22" s="52"/>
      <c r="J22" s="51"/>
      <c r="K22" s="51"/>
      <c r="L22" s="51"/>
      <c r="M22" s="51"/>
      <c r="N22" s="53"/>
    </row>
    <row r="23" spans="1:14" s="20" customFormat="1" ht="24.95" customHeight="1">
      <c r="A23" s="478" t="s">
        <v>961</v>
      </c>
      <c r="B23" s="478"/>
      <c r="C23" s="478"/>
      <c r="D23" s="51"/>
      <c r="E23" s="51"/>
      <c r="F23" s="51"/>
      <c r="G23" s="51"/>
      <c r="H23" s="52"/>
      <c r="I23" s="52"/>
      <c r="J23" s="51"/>
      <c r="K23" s="51"/>
      <c r="L23" s="51"/>
      <c r="M23" s="51"/>
      <c r="N23" s="53"/>
    </row>
    <row r="24" spans="1:14" s="20" customFormat="1" ht="24.95" customHeight="1">
      <c r="A24" s="478" t="s">
        <v>962</v>
      </c>
      <c r="B24" s="478"/>
      <c r="C24" s="478"/>
      <c r="D24" s="51"/>
      <c r="E24" s="51"/>
      <c r="F24" s="51"/>
      <c r="G24" s="51"/>
      <c r="H24" s="52"/>
      <c r="I24" s="52"/>
      <c r="J24" s="51"/>
      <c r="K24" s="51"/>
      <c r="L24" s="51"/>
      <c r="M24" s="51"/>
      <c r="N24" s="53"/>
    </row>
    <row r="25" spans="1:14" s="20" customFormat="1" ht="24.95" customHeight="1">
      <c r="A25" s="478" t="s">
        <v>958</v>
      </c>
      <c r="B25" s="478"/>
      <c r="C25" s="478"/>
      <c r="D25" s="476" t="s">
        <v>2745</v>
      </c>
      <c r="E25" s="476"/>
      <c r="F25" s="476"/>
      <c r="G25" s="476"/>
      <c r="H25" s="476"/>
      <c r="I25" s="477" t="s">
        <v>956</v>
      </c>
      <c r="J25" s="477"/>
      <c r="K25" s="477"/>
      <c r="L25" s="476" t="s">
        <v>954</v>
      </c>
      <c r="M25" s="476"/>
      <c r="N25" s="476"/>
    </row>
    <row r="26" spans="1:14" s="20" customFormat="1" ht="24.95" customHeight="1">
      <c r="A26" s="478" t="s">
        <v>963</v>
      </c>
      <c r="B26" s="478"/>
      <c r="C26" s="478"/>
      <c r="D26" s="476"/>
      <c r="E26" s="476"/>
      <c r="F26" s="476"/>
      <c r="G26" s="476"/>
      <c r="H26" s="476"/>
      <c r="I26" s="477"/>
      <c r="J26" s="477"/>
      <c r="K26" s="477"/>
      <c r="L26" s="476"/>
      <c r="M26" s="476"/>
      <c r="N26" s="476"/>
    </row>
  </sheetData>
  <mergeCells count="49">
    <mergeCell ref="L25:N25"/>
    <mergeCell ref="A26:C26"/>
    <mergeCell ref="D26:H26"/>
    <mergeCell ref="I26:K26"/>
    <mergeCell ref="L26:N26"/>
    <mergeCell ref="I25:K25"/>
    <mergeCell ref="A22:C22"/>
    <mergeCell ref="A23:C23"/>
    <mergeCell ref="A24:C24"/>
    <mergeCell ref="A25:C25"/>
    <mergeCell ref="D25:H25"/>
    <mergeCell ref="J20:N20"/>
    <mergeCell ref="A21:B21"/>
    <mergeCell ref="D21:H21"/>
    <mergeCell ref="I21:K21"/>
    <mergeCell ref="L21:N21"/>
    <mergeCell ref="K8:M8"/>
    <mergeCell ref="A9:C9"/>
    <mergeCell ref="A10:N10"/>
    <mergeCell ref="E13:E15"/>
    <mergeCell ref="F13:F15"/>
    <mergeCell ref="G13:G15"/>
    <mergeCell ref="I12:I15"/>
    <mergeCell ref="J12:J15"/>
    <mergeCell ref="K12:K15"/>
    <mergeCell ref="L12:L15"/>
    <mergeCell ref="M12:M15"/>
    <mergeCell ref="N12:N15"/>
    <mergeCell ref="A12:A15"/>
    <mergeCell ref="B12:B15"/>
    <mergeCell ref="C12:C15"/>
    <mergeCell ref="D12:D15"/>
    <mergeCell ref="H12:H15"/>
    <mergeCell ref="A6:C6"/>
    <mergeCell ref="E6:I6"/>
    <mergeCell ref="A8:C8"/>
    <mergeCell ref="E8:I8"/>
    <mergeCell ref="K6:M6"/>
    <mergeCell ref="A7:C7"/>
    <mergeCell ref="E7:I7"/>
    <mergeCell ref="K7:M7"/>
    <mergeCell ref="A1:E1"/>
    <mergeCell ref="K1:N1"/>
    <mergeCell ref="A2:E2"/>
    <mergeCell ref="A3:N3"/>
    <mergeCell ref="A4:N4"/>
    <mergeCell ref="A5:C5"/>
    <mergeCell ref="E5:I5"/>
    <mergeCell ref="K5:M5"/>
  </mergeCells>
  <pageMargins left="0.5" right="0.3" top="0.5" bottom="0.5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9"/>
  <sheetViews>
    <sheetView tabSelected="1" topLeftCell="A7" zoomScaleNormal="100" zoomScaleSheetLayoutView="102" workbookViewId="0">
      <selection activeCell="A40" sqref="A40:XFD84"/>
    </sheetView>
  </sheetViews>
  <sheetFormatPr defaultRowHeight="12.75"/>
  <cols>
    <col min="1" max="1" width="4.5703125" style="415" customWidth="1"/>
    <col min="2" max="2" width="22.7109375" style="415" customWidth="1"/>
    <col min="3" max="3" width="10.140625" style="415" customWidth="1"/>
    <col min="4" max="4" width="6.42578125" style="415" customWidth="1"/>
    <col min="5" max="6" width="5.85546875" style="415" customWidth="1"/>
    <col min="7" max="7" width="6.42578125" style="416" customWidth="1"/>
    <col min="8" max="9" width="13.140625" style="415" customWidth="1"/>
    <col min="10" max="10" width="8" style="415" customWidth="1"/>
    <col min="11" max="11" width="10.7109375" style="417" customWidth="1"/>
    <col min="12" max="12" width="9.7109375" style="415" customWidth="1"/>
    <col min="13" max="13" width="9" style="415" customWidth="1"/>
    <col min="14" max="14" width="13" style="415" customWidth="1"/>
    <col min="15" max="256" width="9.140625" style="415"/>
    <col min="257" max="257" width="4.5703125" style="415" customWidth="1"/>
    <col min="258" max="258" width="22.7109375" style="415" customWidth="1"/>
    <col min="259" max="259" width="10.140625" style="415" customWidth="1"/>
    <col min="260" max="260" width="6.42578125" style="415" customWidth="1"/>
    <col min="261" max="262" width="5.85546875" style="415" customWidth="1"/>
    <col min="263" max="263" width="6.42578125" style="415" customWidth="1"/>
    <col min="264" max="265" width="13.140625" style="415" customWidth="1"/>
    <col min="266" max="266" width="8" style="415" customWidth="1"/>
    <col min="267" max="267" width="10.7109375" style="415" customWidth="1"/>
    <col min="268" max="268" width="9.7109375" style="415" customWidth="1"/>
    <col min="269" max="269" width="9" style="415" customWidth="1"/>
    <col min="270" max="270" width="13" style="415" customWidth="1"/>
    <col min="271" max="512" width="9.140625" style="415"/>
    <col min="513" max="513" width="4.5703125" style="415" customWidth="1"/>
    <col min="514" max="514" width="22.7109375" style="415" customWidth="1"/>
    <col min="515" max="515" width="10.140625" style="415" customWidth="1"/>
    <col min="516" max="516" width="6.42578125" style="415" customWidth="1"/>
    <col min="517" max="518" width="5.85546875" style="415" customWidth="1"/>
    <col min="519" max="519" width="6.42578125" style="415" customWidth="1"/>
    <col min="520" max="521" width="13.140625" style="415" customWidth="1"/>
    <col min="522" max="522" width="8" style="415" customWidth="1"/>
    <col min="523" max="523" width="10.7109375" style="415" customWidth="1"/>
    <col min="524" max="524" width="9.7109375" style="415" customWidth="1"/>
    <col min="525" max="525" width="9" style="415" customWidth="1"/>
    <col min="526" max="526" width="13" style="415" customWidth="1"/>
    <col min="527" max="768" width="9.140625" style="415"/>
    <col min="769" max="769" width="4.5703125" style="415" customWidth="1"/>
    <col min="770" max="770" width="22.7109375" style="415" customWidth="1"/>
    <col min="771" max="771" width="10.140625" style="415" customWidth="1"/>
    <col min="772" max="772" width="6.42578125" style="415" customWidth="1"/>
    <col min="773" max="774" width="5.85546875" style="415" customWidth="1"/>
    <col min="775" max="775" width="6.42578125" style="415" customWidth="1"/>
    <col min="776" max="777" width="13.140625" style="415" customWidth="1"/>
    <col min="778" max="778" width="8" style="415" customWidth="1"/>
    <col min="779" max="779" width="10.7109375" style="415" customWidth="1"/>
    <col min="780" max="780" width="9.7109375" style="415" customWidth="1"/>
    <col min="781" max="781" width="9" style="415" customWidth="1"/>
    <col min="782" max="782" width="13" style="415" customWidth="1"/>
    <col min="783" max="1024" width="9.140625" style="415"/>
    <col min="1025" max="1025" width="4.5703125" style="415" customWidth="1"/>
    <col min="1026" max="1026" width="22.7109375" style="415" customWidth="1"/>
    <col min="1027" max="1027" width="10.140625" style="415" customWidth="1"/>
    <col min="1028" max="1028" width="6.42578125" style="415" customWidth="1"/>
    <col min="1029" max="1030" width="5.85546875" style="415" customWidth="1"/>
    <col min="1031" max="1031" width="6.42578125" style="415" customWidth="1"/>
    <col min="1032" max="1033" width="13.140625" style="415" customWidth="1"/>
    <col min="1034" max="1034" width="8" style="415" customWidth="1"/>
    <col min="1035" max="1035" width="10.7109375" style="415" customWidth="1"/>
    <col min="1036" max="1036" width="9.7109375" style="415" customWidth="1"/>
    <col min="1037" max="1037" width="9" style="415" customWidth="1"/>
    <col min="1038" max="1038" width="13" style="415" customWidth="1"/>
    <col min="1039" max="1280" width="9.140625" style="415"/>
    <col min="1281" max="1281" width="4.5703125" style="415" customWidth="1"/>
    <col min="1282" max="1282" width="22.7109375" style="415" customWidth="1"/>
    <col min="1283" max="1283" width="10.140625" style="415" customWidth="1"/>
    <col min="1284" max="1284" width="6.42578125" style="415" customWidth="1"/>
    <col min="1285" max="1286" width="5.85546875" style="415" customWidth="1"/>
    <col min="1287" max="1287" width="6.42578125" style="415" customWidth="1"/>
    <col min="1288" max="1289" width="13.140625" style="415" customWidth="1"/>
    <col min="1290" max="1290" width="8" style="415" customWidth="1"/>
    <col min="1291" max="1291" width="10.7109375" style="415" customWidth="1"/>
    <col min="1292" max="1292" width="9.7109375" style="415" customWidth="1"/>
    <col min="1293" max="1293" width="9" style="415" customWidth="1"/>
    <col min="1294" max="1294" width="13" style="415" customWidth="1"/>
    <col min="1295" max="1536" width="9.140625" style="415"/>
    <col min="1537" max="1537" width="4.5703125" style="415" customWidth="1"/>
    <col min="1538" max="1538" width="22.7109375" style="415" customWidth="1"/>
    <col min="1539" max="1539" width="10.140625" style="415" customWidth="1"/>
    <col min="1540" max="1540" width="6.42578125" style="415" customWidth="1"/>
    <col min="1541" max="1542" width="5.85546875" style="415" customWidth="1"/>
    <col min="1543" max="1543" width="6.42578125" style="415" customWidth="1"/>
    <col min="1544" max="1545" width="13.140625" style="415" customWidth="1"/>
    <col min="1546" max="1546" width="8" style="415" customWidth="1"/>
    <col min="1547" max="1547" width="10.7109375" style="415" customWidth="1"/>
    <col min="1548" max="1548" width="9.7109375" style="415" customWidth="1"/>
    <col min="1549" max="1549" width="9" style="415" customWidth="1"/>
    <col min="1550" max="1550" width="13" style="415" customWidth="1"/>
    <col min="1551" max="1792" width="9.140625" style="415"/>
    <col min="1793" max="1793" width="4.5703125" style="415" customWidth="1"/>
    <col min="1794" max="1794" width="22.7109375" style="415" customWidth="1"/>
    <col min="1795" max="1795" width="10.140625" style="415" customWidth="1"/>
    <col min="1796" max="1796" width="6.42578125" style="415" customWidth="1"/>
    <col min="1797" max="1798" width="5.85546875" style="415" customWidth="1"/>
    <col min="1799" max="1799" width="6.42578125" style="415" customWidth="1"/>
    <col min="1800" max="1801" width="13.140625" style="415" customWidth="1"/>
    <col min="1802" max="1802" width="8" style="415" customWidth="1"/>
    <col min="1803" max="1803" width="10.7109375" style="415" customWidth="1"/>
    <col min="1804" max="1804" width="9.7109375" style="415" customWidth="1"/>
    <col min="1805" max="1805" width="9" style="415" customWidth="1"/>
    <col min="1806" max="1806" width="13" style="415" customWidth="1"/>
    <col min="1807" max="2048" width="9.140625" style="415"/>
    <col min="2049" max="2049" width="4.5703125" style="415" customWidth="1"/>
    <col min="2050" max="2050" width="22.7109375" style="415" customWidth="1"/>
    <col min="2051" max="2051" width="10.140625" style="415" customWidth="1"/>
    <col min="2052" max="2052" width="6.42578125" style="415" customWidth="1"/>
    <col min="2053" max="2054" width="5.85546875" style="415" customWidth="1"/>
    <col min="2055" max="2055" width="6.42578125" style="415" customWidth="1"/>
    <col min="2056" max="2057" width="13.140625" style="415" customWidth="1"/>
    <col min="2058" max="2058" width="8" style="415" customWidth="1"/>
    <col min="2059" max="2059" width="10.7109375" style="415" customWidth="1"/>
    <col min="2060" max="2060" width="9.7109375" style="415" customWidth="1"/>
    <col min="2061" max="2061" width="9" style="415" customWidth="1"/>
    <col min="2062" max="2062" width="13" style="415" customWidth="1"/>
    <col min="2063" max="2304" width="9.140625" style="415"/>
    <col min="2305" max="2305" width="4.5703125" style="415" customWidth="1"/>
    <col min="2306" max="2306" width="22.7109375" style="415" customWidth="1"/>
    <col min="2307" max="2307" width="10.140625" style="415" customWidth="1"/>
    <col min="2308" max="2308" width="6.42578125" style="415" customWidth="1"/>
    <col min="2309" max="2310" width="5.85546875" style="415" customWidth="1"/>
    <col min="2311" max="2311" width="6.42578125" style="415" customWidth="1"/>
    <col min="2312" max="2313" width="13.140625" style="415" customWidth="1"/>
    <col min="2314" max="2314" width="8" style="415" customWidth="1"/>
    <col min="2315" max="2315" width="10.7109375" style="415" customWidth="1"/>
    <col min="2316" max="2316" width="9.7109375" style="415" customWidth="1"/>
    <col min="2317" max="2317" width="9" style="415" customWidth="1"/>
    <col min="2318" max="2318" width="13" style="415" customWidth="1"/>
    <col min="2319" max="2560" width="9.140625" style="415"/>
    <col min="2561" max="2561" width="4.5703125" style="415" customWidth="1"/>
    <col min="2562" max="2562" width="22.7109375" style="415" customWidth="1"/>
    <col min="2563" max="2563" width="10.140625" style="415" customWidth="1"/>
    <col min="2564" max="2564" width="6.42578125" style="415" customWidth="1"/>
    <col min="2565" max="2566" width="5.85546875" style="415" customWidth="1"/>
    <col min="2567" max="2567" width="6.42578125" style="415" customWidth="1"/>
    <col min="2568" max="2569" width="13.140625" style="415" customWidth="1"/>
    <col min="2570" max="2570" width="8" style="415" customWidth="1"/>
    <col min="2571" max="2571" width="10.7109375" style="415" customWidth="1"/>
    <col min="2572" max="2572" width="9.7109375" style="415" customWidth="1"/>
    <col min="2573" max="2573" width="9" style="415" customWidth="1"/>
    <col min="2574" max="2574" width="13" style="415" customWidth="1"/>
    <col min="2575" max="2816" width="9.140625" style="415"/>
    <col min="2817" max="2817" width="4.5703125" style="415" customWidth="1"/>
    <col min="2818" max="2818" width="22.7109375" style="415" customWidth="1"/>
    <col min="2819" max="2819" width="10.140625" style="415" customWidth="1"/>
    <col min="2820" max="2820" width="6.42578125" style="415" customWidth="1"/>
    <col min="2821" max="2822" width="5.85546875" style="415" customWidth="1"/>
    <col min="2823" max="2823" width="6.42578125" style="415" customWidth="1"/>
    <col min="2824" max="2825" width="13.140625" style="415" customWidth="1"/>
    <col min="2826" max="2826" width="8" style="415" customWidth="1"/>
    <col min="2827" max="2827" width="10.7109375" style="415" customWidth="1"/>
    <col min="2828" max="2828" width="9.7109375" style="415" customWidth="1"/>
    <col min="2829" max="2829" width="9" style="415" customWidth="1"/>
    <col min="2830" max="2830" width="13" style="415" customWidth="1"/>
    <col min="2831" max="3072" width="9.140625" style="415"/>
    <col min="3073" max="3073" width="4.5703125" style="415" customWidth="1"/>
    <col min="3074" max="3074" width="22.7109375" style="415" customWidth="1"/>
    <col min="3075" max="3075" width="10.140625" style="415" customWidth="1"/>
    <col min="3076" max="3076" width="6.42578125" style="415" customWidth="1"/>
    <col min="3077" max="3078" width="5.85546875" style="415" customWidth="1"/>
    <col min="3079" max="3079" width="6.42578125" style="415" customWidth="1"/>
    <col min="3080" max="3081" width="13.140625" style="415" customWidth="1"/>
    <col min="3082" max="3082" width="8" style="415" customWidth="1"/>
    <col min="3083" max="3083" width="10.7109375" style="415" customWidth="1"/>
    <col min="3084" max="3084" width="9.7109375" style="415" customWidth="1"/>
    <col min="3085" max="3085" width="9" style="415" customWidth="1"/>
    <col min="3086" max="3086" width="13" style="415" customWidth="1"/>
    <col min="3087" max="3328" width="9.140625" style="415"/>
    <col min="3329" max="3329" width="4.5703125" style="415" customWidth="1"/>
    <col min="3330" max="3330" width="22.7109375" style="415" customWidth="1"/>
    <col min="3331" max="3331" width="10.140625" style="415" customWidth="1"/>
    <col min="3332" max="3332" width="6.42578125" style="415" customWidth="1"/>
    <col min="3333" max="3334" width="5.85546875" style="415" customWidth="1"/>
    <col min="3335" max="3335" width="6.42578125" style="415" customWidth="1"/>
    <col min="3336" max="3337" width="13.140625" style="415" customWidth="1"/>
    <col min="3338" max="3338" width="8" style="415" customWidth="1"/>
    <col min="3339" max="3339" width="10.7109375" style="415" customWidth="1"/>
    <col min="3340" max="3340" width="9.7109375" style="415" customWidth="1"/>
    <col min="3341" max="3341" width="9" style="415" customWidth="1"/>
    <col min="3342" max="3342" width="13" style="415" customWidth="1"/>
    <col min="3343" max="3584" width="9.140625" style="415"/>
    <col min="3585" max="3585" width="4.5703125" style="415" customWidth="1"/>
    <col min="3586" max="3586" width="22.7109375" style="415" customWidth="1"/>
    <col min="3587" max="3587" width="10.140625" style="415" customWidth="1"/>
    <col min="3588" max="3588" width="6.42578125" style="415" customWidth="1"/>
    <col min="3589" max="3590" width="5.85546875" style="415" customWidth="1"/>
    <col min="3591" max="3591" width="6.42578125" style="415" customWidth="1"/>
    <col min="3592" max="3593" width="13.140625" style="415" customWidth="1"/>
    <col min="3594" max="3594" width="8" style="415" customWidth="1"/>
    <col min="3595" max="3595" width="10.7109375" style="415" customWidth="1"/>
    <col min="3596" max="3596" width="9.7109375" style="415" customWidth="1"/>
    <col min="3597" max="3597" width="9" style="415" customWidth="1"/>
    <col min="3598" max="3598" width="13" style="415" customWidth="1"/>
    <col min="3599" max="3840" width="9.140625" style="415"/>
    <col min="3841" max="3841" width="4.5703125" style="415" customWidth="1"/>
    <col min="3842" max="3842" width="22.7109375" style="415" customWidth="1"/>
    <col min="3843" max="3843" width="10.140625" style="415" customWidth="1"/>
    <col min="3844" max="3844" width="6.42578125" style="415" customWidth="1"/>
    <col min="3845" max="3846" width="5.85546875" style="415" customWidth="1"/>
    <col min="3847" max="3847" width="6.42578125" style="415" customWidth="1"/>
    <col min="3848" max="3849" width="13.140625" style="415" customWidth="1"/>
    <col min="3850" max="3850" width="8" style="415" customWidth="1"/>
    <col min="3851" max="3851" width="10.7109375" style="415" customWidth="1"/>
    <col min="3852" max="3852" width="9.7109375" style="415" customWidth="1"/>
    <col min="3853" max="3853" width="9" style="415" customWidth="1"/>
    <col min="3854" max="3854" width="13" style="415" customWidth="1"/>
    <col min="3855" max="4096" width="9.140625" style="415"/>
    <col min="4097" max="4097" width="4.5703125" style="415" customWidth="1"/>
    <col min="4098" max="4098" width="22.7109375" style="415" customWidth="1"/>
    <col min="4099" max="4099" width="10.140625" style="415" customWidth="1"/>
    <col min="4100" max="4100" width="6.42578125" style="415" customWidth="1"/>
    <col min="4101" max="4102" width="5.85546875" style="415" customWidth="1"/>
    <col min="4103" max="4103" width="6.42578125" style="415" customWidth="1"/>
    <col min="4104" max="4105" width="13.140625" style="415" customWidth="1"/>
    <col min="4106" max="4106" width="8" style="415" customWidth="1"/>
    <col min="4107" max="4107" width="10.7109375" style="415" customWidth="1"/>
    <col min="4108" max="4108" width="9.7109375" style="415" customWidth="1"/>
    <col min="4109" max="4109" width="9" style="415" customWidth="1"/>
    <col min="4110" max="4110" width="13" style="415" customWidth="1"/>
    <col min="4111" max="4352" width="9.140625" style="415"/>
    <col min="4353" max="4353" width="4.5703125" style="415" customWidth="1"/>
    <col min="4354" max="4354" width="22.7109375" style="415" customWidth="1"/>
    <col min="4355" max="4355" width="10.140625" style="415" customWidth="1"/>
    <col min="4356" max="4356" width="6.42578125" style="415" customWidth="1"/>
    <col min="4357" max="4358" width="5.85546875" style="415" customWidth="1"/>
    <col min="4359" max="4359" width="6.42578125" style="415" customWidth="1"/>
    <col min="4360" max="4361" width="13.140625" style="415" customWidth="1"/>
    <col min="4362" max="4362" width="8" style="415" customWidth="1"/>
    <col min="4363" max="4363" width="10.7109375" style="415" customWidth="1"/>
    <col min="4364" max="4364" width="9.7109375" style="415" customWidth="1"/>
    <col min="4365" max="4365" width="9" style="415" customWidth="1"/>
    <col min="4366" max="4366" width="13" style="415" customWidth="1"/>
    <col min="4367" max="4608" width="9.140625" style="415"/>
    <col min="4609" max="4609" width="4.5703125" style="415" customWidth="1"/>
    <col min="4610" max="4610" width="22.7109375" style="415" customWidth="1"/>
    <col min="4611" max="4611" width="10.140625" style="415" customWidth="1"/>
    <col min="4612" max="4612" width="6.42578125" style="415" customWidth="1"/>
    <col min="4613" max="4614" width="5.85546875" style="415" customWidth="1"/>
    <col min="4615" max="4615" width="6.42578125" style="415" customWidth="1"/>
    <col min="4616" max="4617" width="13.140625" style="415" customWidth="1"/>
    <col min="4618" max="4618" width="8" style="415" customWidth="1"/>
    <col min="4619" max="4619" width="10.7109375" style="415" customWidth="1"/>
    <col min="4620" max="4620" width="9.7109375" style="415" customWidth="1"/>
    <col min="4621" max="4621" width="9" style="415" customWidth="1"/>
    <col min="4622" max="4622" width="13" style="415" customWidth="1"/>
    <col min="4623" max="4864" width="9.140625" style="415"/>
    <col min="4865" max="4865" width="4.5703125" style="415" customWidth="1"/>
    <col min="4866" max="4866" width="22.7109375" style="415" customWidth="1"/>
    <col min="4867" max="4867" width="10.140625" style="415" customWidth="1"/>
    <col min="4868" max="4868" width="6.42578125" style="415" customWidth="1"/>
    <col min="4869" max="4870" width="5.85546875" style="415" customWidth="1"/>
    <col min="4871" max="4871" width="6.42578125" style="415" customWidth="1"/>
    <col min="4872" max="4873" width="13.140625" style="415" customWidth="1"/>
    <col min="4874" max="4874" width="8" style="415" customWidth="1"/>
    <col min="4875" max="4875" width="10.7109375" style="415" customWidth="1"/>
    <col min="4876" max="4876" width="9.7109375" style="415" customWidth="1"/>
    <col min="4877" max="4877" width="9" style="415" customWidth="1"/>
    <col min="4878" max="4878" width="13" style="415" customWidth="1"/>
    <col min="4879" max="5120" width="9.140625" style="415"/>
    <col min="5121" max="5121" width="4.5703125" style="415" customWidth="1"/>
    <col min="5122" max="5122" width="22.7109375" style="415" customWidth="1"/>
    <col min="5123" max="5123" width="10.140625" style="415" customWidth="1"/>
    <col min="5124" max="5124" width="6.42578125" style="415" customWidth="1"/>
    <col min="5125" max="5126" width="5.85546875" style="415" customWidth="1"/>
    <col min="5127" max="5127" width="6.42578125" style="415" customWidth="1"/>
    <col min="5128" max="5129" width="13.140625" style="415" customWidth="1"/>
    <col min="5130" max="5130" width="8" style="415" customWidth="1"/>
    <col min="5131" max="5131" width="10.7109375" style="415" customWidth="1"/>
    <col min="5132" max="5132" width="9.7109375" style="415" customWidth="1"/>
    <col min="5133" max="5133" width="9" style="415" customWidth="1"/>
    <col min="5134" max="5134" width="13" style="415" customWidth="1"/>
    <col min="5135" max="5376" width="9.140625" style="415"/>
    <col min="5377" max="5377" width="4.5703125" style="415" customWidth="1"/>
    <col min="5378" max="5378" width="22.7109375" style="415" customWidth="1"/>
    <col min="5379" max="5379" width="10.140625" style="415" customWidth="1"/>
    <col min="5380" max="5380" width="6.42578125" style="415" customWidth="1"/>
    <col min="5381" max="5382" width="5.85546875" style="415" customWidth="1"/>
    <col min="5383" max="5383" width="6.42578125" style="415" customWidth="1"/>
    <col min="5384" max="5385" width="13.140625" style="415" customWidth="1"/>
    <col min="5386" max="5386" width="8" style="415" customWidth="1"/>
    <col min="5387" max="5387" width="10.7109375" style="415" customWidth="1"/>
    <col min="5388" max="5388" width="9.7109375" style="415" customWidth="1"/>
    <col min="5389" max="5389" width="9" style="415" customWidth="1"/>
    <col min="5390" max="5390" width="13" style="415" customWidth="1"/>
    <col min="5391" max="5632" width="9.140625" style="415"/>
    <col min="5633" max="5633" width="4.5703125" style="415" customWidth="1"/>
    <col min="5634" max="5634" width="22.7109375" style="415" customWidth="1"/>
    <col min="5635" max="5635" width="10.140625" style="415" customWidth="1"/>
    <col min="5636" max="5636" width="6.42578125" style="415" customWidth="1"/>
    <col min="5637" max="5638" width="5.85546875" style="415" customWidth="1"/>
    <col min="5639" max="5639" width="6.42578125" style="415" customWidth="1"/>
    <col min="5640" max="5641" width="13.140625" style="415" customWidth="1"/>
    <col min="5642" max="5642" width="8" style="415" customWidth="1"/>
    <col min="5643" max="5643" width="10.7109375" style="415" customWidth="1"/>
    <col min="5644" max="5644" width="9.7109375" style="415" customWidth="1"/>
    <col min="5645" max="5645" width="9" style="415" customWidth="1"/>
    <col min="5646" max="5646" width="13" style="415" customWidth="1"/>
    <col min="5647" max="5888" width="9.140625" style="415"/>
    <col min="5889" max="5889" width="4.5703125" style="415" customWidth="1"/>
    <col min="5890" max="5890" width="22.7109375" style="415" customWidth="1"/>
    <col min="5891" max="5891" width="10.140625" style="415" customWidth="1"/>
    <col min="5892" max="5892" width="6.42578125" style="415" customWidth="1"/>
    <col min="5893" max="5894" width="5.85546875" style="415" customWidth="1"/>
    <col min="5895" max="5895" width="6.42578125" style="415" customWidth="1"/>
    <col min="5896" max="5897" width="13.140625" style="415" customWidth="1"/>
    <col min="5898" max="5898" width="8" style="415" customWidth="1"/>
    <col min="5899" max="5899" width="10.7109375" style="415" customWidth="1"/>
    <col min="5900" max="5900" width="9.7109375" style="415" customWidth="1"/>
    <col min="5901" max="5901" width="9" style="415" customWidth="1"/>
    <col min="5902" max="5902" width="13" style="415" customWidth="1"/>
    <col min="5903" max="6144" width="9.140625" style="415"/>
    <col min="6145" max="6145" width="4.5703125" style="415" customWidth="1"/>
    <col min="6146" max="6146" width="22.7109375" style="415" customWidth="1"/>
    <col min="6147" max="6147" width="10.140625" style="415" customWidth="1"/>
    <col min="6148" max="6148" width="6.42578125" style="415" customWidth="1"/>
    <col min="6149" max="6150" width="5.85546875" style="415" customWidth="1"/>
    <col min="6151" max="6151" width="6.42578125" style="415" customWidth="1"/>
    <col min="6152" max="6153" width="13.140625" style="415" customWidth="1"/>
    <col min="6154" max="6154" width="8" style="415" customWidth="1"/>
    <col min="6155" max="6155" width="10.7109375" style="415" customWidth="1"/>
    <col min="6156" max="6156" width="9.7109375" style="415" customWidth="1"/>
    <col min="6157" max="6157" width="9" style="415" customWidth="1"/>
    <col min="6158" max="6158" width="13" style="415" customWidth="1"/>
    <col min="6159" max="6400" width="9.140625" style="415"/>
    <col min="6401" max="6401" width="4.5703125" style="415" customWidth="1"/>
    <col min="6402" max="6402" width="22.7109375" style="415" customWidth="1"/>
    <col min="6403" max="6403" width="10.140625" style="415" customWidth="1"/>
    <col min="6404" max="6404" width="6.42578125" style="415" customWidth="1"/>
    <col min="6405" max="6406" width="5.85546875" style="415" customWidth="1"/>
    <col min="6407" max="6407" width="6.42578125" style="415" customWidth="1"/>
    <col min="6408" max="6409" width="13.140625" style="415" customWidth="1"/>
    <col min="6410" max="6410" width="8" style="415" customWidth="1"/>
    <col min="6411" max="6411" width="10.7109375" style="415" customWidth="1"/>
    <col min="6412" max="6412" width="9.7109375" style="415" customWidth="1"/>
    <col min="6413" max="6413" width="9" style="415" customWidth="1"/>
    <col min="6414" max="6414" width="13" style="415" customWidth="1"/>
    <col min="6415" max="6656" width="9.140625" style="415"/>
    <col min="6657" max="6657" width="4.5703125" style="415" customWidth="1"/>
    <col min="6658" max="6658" width="22.7109375" style="415" customWidth="1"/>
    <col min="6659" max="6659" width="10.140625" style="415" customWidth="1"/>
    <col min="6660" max="6660" width="6.42578125" style="415" customWidth="1"/>
    <col min="6661" max="6662" width="5.85546875" style="415" customWidth="1"/>
    <col min="6663" max="6663" width="6.42578125" style="415" customWidth="1"/>
    <col min="6664" max="6665" width="13.140625" style="415" customWidth="1"/>
    <col min="6666" max="6666" width="8" style="415" customWidth="1"/>
    <col min="6667" max="6667" width="10.7109375" style="415" customWidth="1"/>
    <col min="6668" max="6668" width="9.7109375" style="415" customWidth="1"/>
    <col min="6669" max="6669" width="9" style="415" customWidth="1"/>
    <col min="6670" max="6670" width="13" style="415" customWidth="1"/>
    <col min="6671" max="6912" width="9.140625" style="415"/>
    <col min="6913" max="6913" width="4.5703125" style="415" customWidth="1"/>
    <col min="6914" max="6914" width="22.7109375" style="415" customWidth="1"/>
    <col min="6915" max="6915" width="10.140625" style="415" customWidth="1"/>
    <col min="6916" max="6916" width="6.42578125" style="415" customWidth="1"/>
    <col min="6917" max="6918" width="5.85546875" style="415" customWidth="1"/>
    <col min="6919" max="6919" width="6.42578125" style="415" customWidth="1"/>
    <col min="6920" max="6921" width="13.140625" style="415" customWidth="1"/>
    <col min="6922" max="6922" width="8" style="415" customWidth="1"/>
    <col min="6923" max="6923" width="10.7109375" style="415" customWidth="1"/>
    <col min="6924" max="6924" width="9.7109375" style="415" customWidth="1"/>
    <col min="6925" max="6925" width="9" style="415" customWidth="1"/>
    <col min="6926" max="6926" width="13" style="415" customWidth="1"/>
    <col min="6927" max="7168" width="9.140625" style="415"/>
    <col min="7169" max="7169" width="4.5703125" style="415" customWidth="1"/>
    <col min="7170" max="7170" width="22.7109375" style="415" customWidth="1"/>
    <col min="7171" max="7171" width="10.140625" style="415" customWidth="1"/>
    <col min="7172" max="7172" width="6.42578125" style="415" customWidth="1"/>
    <col min="7173" max="7174" width="5.85546875" style="415" customWidth="1"/>
    <col min="7175" max="7175" width="6.42578125" style="415" customWidth="1"/>
    <col min="7176" max="7177" width="13.140625" style="415" customWidth="1"/>
    <col min="7178" max="7178" width="8" style="415" customWidth="1"/>
    <col min="7179" max="7179" width="10.7109375" style="415" customWidth="1"/>
    <col min="7180" max="7180" width="9.7109375" style="415" customWidth="1"/>
    <col min="7181" max="7181" width="9" style="415" customWidth="1"/>
    <col min="7182" max="7182" width="13" style="415" customWidth="1"/>
    <col min="7183" max="7424" width="9.140625" style="415"/>
    <col min="7425" max="7425" width="4.5703125" style="415" customWidth="1"/>
    <col min="7426" max="7426" width="22.7109375" style="415" customWidth="1"/>
    <col min="7427" max="7427" width="10.140625" style="415" customWidth="1"/>
    <col min="7428" max="7428" width="6.42578125" style="415" customWidth="1"/>
    <col min="7429" max="7430" width="5.85546875" style="415" customWidth="1"/>
    <col min="7431" max="7431" width="6.42578125" style="415" customWidth="1"/>
    <col min="7432" max="7433" width="13.140625" style="415" customWidth="1"/>
    <col min="7434" max="7434" width="8" style="415" customWidth="1"/>
    <col min="7435" max="7435" width="10.7109375" style="415" customWidth="1"/>
    <col min="7436" max="7436" width="9.7109375" style="415" customWidth="1"/>
    <col min="7437" max="7437" width="9" style="415" customWidth="1"/>
    <col min="7438" max="7438" width="13" style="415" customWidth="1"/>
    <col min="7439" max="7680" width="9.140625" style="415"/>
    <col min="7681" max="7681" width="4.5703125" style="415" customWidth="1"/>
    <col min="7682" max="7682" width="22.7109375" style="415" customWidth="1"/>
    <col min="7683" max="7683" width="10.140625" style="415" customWidth="1"/>
    <col min="7684" max="7684" width="6.42578125" style="415" customWidth="1"/>
    <col min="7685" max="7686" width="5.85546875" style="415" customWidth="1"/>
    <col min="7687" max="7687" width="6.42578125" style="415" customWidth="1"/>
    <col min="7688" max="7689" width="13.140625" style="415" customWidth="1"/>
    <col min="7690" max="7690" width="8" style="415" customWidth="1"/>
    <col min="7691" max="7691" width="10.7109375" style="415" customWidth="1"/>
    <col min="7692" max="7692" width="9.7109375" style="415" customWidth="1"/>
    <col min="7693" max="7693" width="9" style="415" customWidth="1"/>
    <col min="7694" max="7694" width="13" style="415" customWidth="1"/>
    <col min="7695" max="7936" width="9.140625" style="415"/>
    <col min="7937" max="7937" width="4.5703125" style="415" customWidth="1"/>
    <col min="7938" max="7938" width="22.7109375" style="415" customWidth="1"/>
    <col min="7939" max="7939" width="10.140625" style="415" customWidth="1"/>
    <col min="7940" max="7940" width="6.42578125" style="415" customWidth="1"/>
    <col min="7941" max="7942" width="5.85546875" style="415" customWidth="1"/>
    <col min="7943" max="7943" width="6.42578125" style="415" customWidth="1"/>
    <col min="7944" max="7945" width="13.140625" style="415" customWidth="1"/>
    <col min="7946" max="7946" width="8" style="415" customWidth="1"/>
    <col min="7947" max="7947" width="10.7109375" style="415" customWidth="1"/>
    <col min="7948" max="7948" width="9.7109375" style="415" customWidth="1"/>
    <col min="7949" max="7949" width="9" style="415" customWidth="1"/>
    <col min="7950" max="7950" width="13" style="415" customWidth="1"/>
    <col min="7951" max="8192" width="9.140625" style="415"/>
    <col min="8193" max="8193" width="4.5703125" style="415" customWidth="1"/>
    <col min="8194" max="8194" width="22.7109375" style="415" customWidth="1"/>
    <col min="8195" max="8195" width="10.140625" style="415" customWidth="1"/>
    <col min="8196" max="8196" width="6.42578125" style="415" customWidth="1"/>
    <col min="8197" max="8198" width="5.85546875" style="415" customWidth="1"/>
    <col min="8199" max="8199" width="6.42578125" style="415" customWidth="1"/>
    <col min="8200" max="8201" width="13.140625" style="415" customWidth="1"/>
    <col min="8202" max="8202" width="8" style="415" customWidth="1"/>
    <col min="8203" max="8203" width="10.7109375" style="415" customWidth="1"/>
    <col min="8204" max="8204" width="9.7109375" style="415" customWidth="1"/>
    <col min="8205" max="8205" width="9" style="415" customWidth="1"/>
    <col min="8206" max="8206" width="13" style="415" customWidth="1"/>
    <col min="8207" max="8448" width="9.140625" style="415"/>
    <col min="8449" max="8449" width="4.5703125" style="415" customWidth="1"/>
    <col min="8450" max="8450" width="22.7109375" style="415" customWidth="1"/>
    <col min="8451" max="8451" width="10.140625" style="415" customWidth="1"/>
    <col min="8452" max="8452" width="6.42578125" style="415" customWidth="1"/>
    <col min="8453" max="8454" width="5.85546875" style="415" customWidth="1"/>
    <col min="8455" max="8455" width="6.42578125" style="415" customWidth="1"/>
    <col min="8456" max="8457" width="13.140625" style="415" customWidth="1"/>
    <col min="8458" max="8458" width="8" style="415" customWidth="1"/>
    <col min="8459" max="8459" width="10.7109375" style="415" customWidth="1"/>
    <col min="8460" max="8460" width="9.7109375" style="415" customWidth="1"/>
    <col min="8461" max="8461" width="9" style="415" customWidth="1"/>
    <col min="8462" max="8462" width="13" style="415" customWidth="1"/>
    <col min="8463" max="8704" width="9.140625" style="415"/>
    <col min="8705" max="8705" width="4.5703125" style="415" customWidth="1"/>
    <col min="8706" max="8706" width="22.7109375" style="415" customWidth="1"/>
    <col min="8707" max="8707" width="10.140625" style="415" customWidth="1"/>
    <col min="8708" max="8708" width="6.42578125" style="415" customWidth="1"/>
    <col min="8709" max="8710" width="5.85546875" style="415" customWidth="1"/>
    <col min="8711" max="8711" width="6.42578125" style="415" customWidth="1"/>
    <col min="8712" max="8713" width="13.140625" style="415" customWidth="1"/>
    <col min="8714" max="8714" width="8" style="415" customWidth="1"/>
    <col min="8715" max="8715" width="10.7109375" style="415" customWidth="1"/>
    <col min="8716" max="8716" width="9.7109375" style="415" customWidth="1"/>
    <col min="8717" max="8717" width="9" style="415" customWidth="1"/>
    <col min="8718" max="8718" width="13" style="415" customWidth="1"/>
    <col min="8719" max="8960" width="9.140625" style="415"/>
    <col min="8961" max="8961" width="4.5703125" style="415" customWidth="1"/>
    <col min="8962" max="8962" width="22.7109375" style="415" customWidth="1"/>
    <col min="8963" max="8963" width="10.140625" style="415" customWidth="1"/>
    <col min="8964" max="8964" width="6.42578125" style="415" customWidth="1"/>
    <col min="8965" max="8966" width="5.85546875" style="415" customWidth="1"/>
    <col min="8967" max="8967" width="6.42578125" style="415" customWidth="1"/>
    <col min="8968" max="8969" width="13.140625" style="415" customWidth="1"/>
    <col min="8970" max="8970" width="8" style="415" customWidth="1"/>
    <col min="8971" max="8971" width="10.7109375" style="415" customWidth="1"/>
    <col min="8972" max="8972" width="9.7109375" style="415" customWidth="1"/>
    <col min="8973" max="8973" width="9" style="415" customWidth="1"/>
    <col min="8974" max="8974" width="13" style="415" customWidth="1"/>
    <col min="8975" max="9216" width="9.140625" style="415"/>
    <col min="9217" max="9217" width="4.5703125" style="415" customWidth="1"/>
    <col min="9218" max="9218" width="22.7109375" style="415" customWidth="1"/>
    <col min="9219" max="9219" width="10.140625" style="415" customWidth="1"/>
    <col min="9220" max="9220" width="6.42578125" style="415" customWidth="1"/>
    <col min="9221" max="9222" width="5.85546875" style="415" customWidth="1"/>
    <col min="9223" max="9223" width="6.42578125" style="415" customWidth="1"/>
    <col min="9224" max="9225" width="13.140625" style="415" customWidth="1"/>
    <col min="9226" max="9226" width="8" style="415" customWidth="1"/>
    <col min="9227" max="9227" width="10.7109375" style="415" customWidth="1"/>
    <col min="9228" max="9228" width="9.7109375" style="415" customWidth="1"/>
    <col min="9229" max="9229" width="9" style="415" customWidth="1"/>
    <col min="9230" max="9230" width="13" style="415" customWidth="1"/>
    <col min="9231" max="9472" width="9.140625" style="415"/>
    <col min="9473" max="9473" width="4.5703125" style="415" customWidth="1"/>
    <col min="9474" max="9474" width="22.7109375" style="415" customWidth="1"/>
    <col min="9475" max="9475" width="10.140625" style="415" customWidth="1"/>
    <col min="9476" max="9476" width="6.42578125" style="415" customWidth="1"/>
    <col min="9477" max="9478" width="5.85546875" style="415" customWidth="1"/>
    <col min="9479" max="9479" width="6.42578125" style="415" customWidth="1"/>
    <col min="9480" max="9481" width="13.140625" style="415" customWidth="1"/>
    <col min="9482" max="9482" width="8" style="415" customWidth="1"/>
    <col min="9483" max="9483" width="10.7109375" style="415" customWidth="1"/>
    <col min="9484" max="9484" width="9.7109375" style="415" customWidth="1"/>
    <col min="9485" max="9485" width="9" style="415" customWidth="1"/>
    <col min="9486" max="9486" width="13" style="415" customWidth="1"/>
    <col min="9487" max="9728" width="9.140625" style="415"/>
    <col min="9729" max="9729" width="4.5703125" style="415" customWidth="1"/>
    <col min="9730" max="9730" width="22.7109375" style="415" customWidth="1"/>
    <col min="9731" max="9731" width="10.140625" style="415" customWidth="1"/>
    <col min="9732" max="9732" width="6.42578125" style="415" customWidth="1"/>
    <col min="9733" max="9734" width="5.85546875" style="415" customWidth="1"/>
    <col min="9735" max="9735" width="6.42578125" style="415" customWidth="1"/>
    <col min="9736" max="9737" width="13.140625" style="415" customWidth="1"/>
    <col min="9738" max="9738" width="8" style="415" customWidth="1"/>
    <col min="9739" max="9739" width="10.7109375" style="415" customWidth="1"/>
    <col min="9740" max="9740" width="9.7109375" style="415" customWidth="1"/>
    <col min="9741" max="9741" width="9" style="415" customWidth="1"/>
    <col min="9742" max="9742" width="13" style="415" customWidth="1"/>
    <col min="9743" max="9984" width="9.140625" style="415"/>
    <col min="9985" max="9985" width="4.5703125" style="415" customWidth="1"/>
    <col min="9986" max="9986" width="22.7109375" style="415" customWidth="1"/>
    <col min="9987" max="9987" width="10.140625" style="415" customWidth="1"/>
    <col min="9988" max="9988" width="6.42578125" style="415" customWidth="1"/>
    <col min="9989" max="9990" width="5.85546875" style="415" customWidth="1"/>
    <col min="9991" max="9991" width="6.42578125" style="415" customWidth="1"/>
    <col min="9992" max="9993" width="13.140625" style="415" customWidth="1"/>
    <col min="9994" max="9994" width="8" style="415" customWidth="1"/>
    <col min="9995" max="9995" width="10.7109375" style="415" customWidth="1"/>
    <col min="9996" max="9996" width="9.7109375" style="415" customWidth="1"/>
    <col min="9997" max="9997" width="9" style="415" customWidth="1"/>
    <col min="9998" max="9998" width="13" style="415" customWidth="1"/>
    <col min="9999" max="10240" width="9.140625" style="415"/>
    <col min="10241" max="10241" width="4.5703125" style="415" customWidth="1"/>
    <col min="10242" max="10242" width="22.7109375" style="415" customWidth="1"/>
    <col min="10243" max="10243" width="10.140625" style="415" customWidth="1"/>
    <col min="10244" max="10244" width="6.42578125" style="415" customWidth="1"/>
    <col min="10245" max="10246" width="5.85546875" style="415" customWidth="1"/>
    <col min="10247" max="10247" width="6.42578125" style="415" customWidth="1"/>
    <col min="10248" max="10249" width="13.140625" style="415" customWidth="1"/>
    <col min="10250" max="10250" width="8" style="415" customWidth="1"/>
    <col min="10251" max="10251" width="10.7109375" style="415" customWidth="1"/>
    <col min="10252" max="10252" width="9.7109375" style="415" customWidth="1"/>
    <col min="10253" max="10253" width="9" style="415" customWidth="1"/>
    <col min="10254" max="10254" width="13" style="415" customWidth="1"/>
    <col min="10255" max="10496" width="9.140625" style="415"/>
    <col min="10497" max="10497" width="4.5703125" style="415" customWidth="1"/>
    <col min="10498" max="10498" width="22.7109375" style="415" customWidth="1"/>
    <col min="10499" max="10499" width="10.140625" style="415" customWidth="1"/>
    <col min="10500" max="10500" width="6.42578125" style="415" customWidth="1"/>
    <col min="10501" max="10502" width="5.85546875" style="415" customWidth="1"/>
    <col min="10503" max="10503" width="6.42578125" style="415" customWidth="1"/>
    <col min="10504" max="10505" width="13.140625" style="415" customWidth="1"/>
    <col min="10506" max="10506" width="8" style="415" customWidth="1"/>
    <col min="10507" max="10507" width="10.7109375" style="415" customWidth="1"/>
    <col min="10508" max="10508" width="9.7109375" style="415" customWidth="1"/>
    <col min="10509" max="10509" width="9" style="415" customWidth="1"/>
    <col min="10510" max="10510" width="13" style="415" customWidth="1"/>
    <col min="10511" max="10752" width="9.140625" style="415"/>
    <col min="10753" max="10753" width="4.5703125" style="415" customWidth="1"/>
    <col min="10754" max="10754" width="22.7109375" style="415" customWidth="1"/>
    <col min="10755" max="10755" width="10.140625" style="415" customWidth="1"/>
    <col min="10756" max="10756" width="6.42578125" style="415" customWidth="1"/>
    <col min="10757" max="10758" width="5.85546875" style="415" customWidth="1"/>
    <col min="10759" max="10759" width="6.42578125" style="415" customWidth="1"/>
    <col min="10760" max="10761" width="13.140625" style="415" customWidth="1"/>
    <col min="10762" max="10762" width="8" style="415" customWidth="1"/>
    <col min="10763" max="10763" width="10.7109375" style="415" customWidth="1"/>
    <col min="10764" max="10764" width="9.7109375" style="415" customWidth="1"/>
    <col min="10765" max="10765" width="9" style="415" customWidth="1"/>
    <col min="10766" max="10766" width="13" style="415" customWidth="1"/>
    <col min="10767" max="11008" width="9.140625" style="415"/>
    <col min="11009" max="11009" width="4.5703125" style="415" customWidth="1"/>
    <col min="11010" max="11010" width="22.7109375" style="415" customWidth="1"/>
    <col min="11011" max="11011" width="10.140625" style="415" customWidth="1"/>
    <col min="11012" max="11012" width="6.42578125" style="415" customWidth="1"/>
    <col min="11013" max="11014" width="5.85546875" style="415" customWidth="1"/>
    <col min="11015" max="11015" width="6.42578125" style="415" customWidth="1"/>
    <col min="11016" max="11017" width="13.140625" style="415" customWidth="1"/>
    <col min="11018" max="11018" width="8" style="415" customWidth="1"/>
    <col min="11019" max="11019" width="10.7109375" style="415" customWidth="1"/>
    <col min="11020" max="11020" width="9.7109375" style="415" customWidth="1"/>
    <col min="11021" max="11021" width="9" style="415" customWidth="1"/>
    <col min="11022" max="11022" width="13" style="415" customWidth="1"/>
    <col min="11023" max="11264" width="9.140625" style="415"/>
    <col min="11265" max="11265" width="4.5703125" style="415" customWidth="1"/>
    <col min="11266" max="11266" width="22.7109375" style="415" customWidth="1"/>
    <col min="11267" max="11267" width="10.140625" style="415" customWidth="1"/>
    <col min="11268" max="11268" width="6.42578125" style="415" customWidth="1"/>
    <col min="11269" max="11270" width="5.85546875" style="415" customWidth="1"/>
    <col min="11271" max="11271" width="6.42578125" style="415" customWidth="1"/>
    <col min="11272" max="11273" width="13.140625" style="415" customWidth="1"/>
    <col min="11274" max="11274" width="8" style="415" customWidth="1"/>
    <col min="11275" max="11275" width="10.7109375" style="415" customWidth="1"/>
    <col min="11276" max="11276" width="9.7109375" style="415" customWidth="1"/>
    <col min="11277" max="11277" width="9" style="415" customWidth="1"/>
    <col min="11278" max="11278" width="13" style="415" customWidth="1"/>
    <col min="11279" max="11520" width="9.140625" style="415"/>
    <col min="11521" max="11521" width="4.5703125" style="415" customWidth="1"/>
    <col min="11522" max="11522" width="22.7109375" style="415" customWidth="1"/>
    <col min="11523" max="11523" width="10.140625" style="415" customWidth="1"/>
    <col min="11524" max="11524" width="6.42578125" style="415" customWidth="1"/>
    <col min="11525" max="11526" width="5.85546875" style="415" customWidth="1"/>
    <col min="11527" max="11527" width="6.42578125" style="415" customWidth="1"/>
    <col min="11528" max="11529" width="13.140625" style="415" customWidth="1"/>
    <col min="11530" max="11530" width="8" style="415" customWidth="1"/>
    <col min="11531" max="11531" width="10.7109375" style="415" customWidth="1"/>
    <col min="11532" max="11532" width="9.7109375" style="415" customWidth="1"/>
    <col min="11533" max="11533" width="9" style="415" customWidth="1"/>
    <col min="11534" max="11534" width="13" style="415" customWidth="1"/>
    <col min="11535" max="11776" width="9.140625" style="415"/>
    <col min="11777" max="11777" width="4.5703125" style="415" customWidth="1"/>
    <col min="11778" max="11778" width="22.7109375" style="415" customWidth="1"/>
    <col min="11779" max="11779" width="10.140625" style="415" customWidth="1"/>
    <col min="11780" max="11780" width="6.42578125" style="415" customWidth="1"/>
    <col min="11781" max="11782" width="5.85546875" style="415" customWidth="1"/>
    <col min="11783" max="11783" width="6.42578125" style="415" customWidth="1"/>
    <col min="11784" max="11785" width="13.140625" style="415" customWidth="1"/>
    <col min="11786" max="11786" width="8" style="415" customWidth="1"/>
    <col min="11787" max="11787" width="10.7109375" style="415" customWidth="1"/>
    <col min="11788" max="11788" width="9.7109375" style="415" customWidth="1"/>
    <col min="11789" max="11789" width="9" style="415" customWidth="1"/>
    <col min="11790" max="11790" width="13" style="415" customWidth="1"/>
    <col min="11791" max="12032" width="9.140625" style="415"/>
    <col min="12033" max="12033" width="4.5703125" style="415" customWidth="1"/>
    <col min="12034" max="12034" width="22.7109375" style="415" customWidth="1"/>
    <col min="12035" max="12035" width="10.140625" style="415" customWidth="1"/>
    <col min="12036" max="12036" width="6.42578125" style="415" customWidth="1"/>
    <col min="12037" max="12038" width="5.85546875" style="415" customWidth="1"/>
    <col min="12039" max="12039" width="6.42578125" style="415" customWidth="1"/>
    <col min="12040" max="12041" width="13.140625" style="415" customWidth="1"/>
    <col min="12042" max="12042" width="8" style="415" customWidth="1"/>
    <col min="12043" max="12043" width="10.7109375" style="415" customWidth="1"/>
    <col min="12044" max="12044" width="9.7109375" style="415" customWidth="1"/>
    <col min="12045" max="12045" width="9" style="415" customWidth="1"/>
    <col min="12046" max="12046" width="13" style="415" customWidth="1"/>
    <col min="12047" max="12288" width="9.140625" style="415"/>
    <col min="12289" max="12289" width="4.5703125" style="415" customWidth="1"/>
    <col min="12290" max="12290" width="22.7109375" style="415" customWidth="1"/>
    <col min="12291" max="12291" width="10.140625" style="415" customWidth="1"/>
    <col min="12292" max="12292" width="6.42578125" style="415" customWidth="1"/>
    <col min="12293" max="12294" width="5.85546875" style="415" customWidth="1"/>
    <col min="12295" max="12295" width="6.42578125" style="415" customWidth="1"/>
    <col min="12296" max="12297" width="13.140625" style="415" customWidth="1"/>
    <col min="12298" max="12298" width="8" style="415" customWidth="1"/>
    <col min="12299" max="12299" width="10.7109375" style="415" customWidth="1"/>
    <col min="12300" max="12300" width="9.7109375" style="415" customWidth="1"/>
    <col min="12301" max="12301" width="9" style="415" customWidth="1"/>
    <col min="12302" max="12302" width="13" style="415" customWidth="1"/>
    <col min="12303" max="12544" width="9.140625" style="415"/>
    <col min="12545" max="12545" width="4.5703125" style="415" customWidth="1"/>
    <col min="12546" max="12546" width="22.7109375" style="415" customWidth="1"/>
    <col min="12547" max="12547" width="10.140625" style="415" customWidth="1"/>
    <col min="12548" max="12548" width="6.42578125" style="415" customWidth="1"/>
    <col min="12549" max="12550" width="5.85546875" style="415" customWidth="1"/>
    <col min="12551" max="12551" width="6.42578125" style="415" customWidth="1"/>
    <col min="12552" max="12553" width="13.140625" style="415" customWidth="1"/>
    <col min="12554" max="12554" width="8" style="415" customWidth="1"/>
    <col min="12555" max="12555" width="10.7109375" style="415" customWidth="1"/>
    <col min="12556" max="12556" width="9.7109375" style="415" customWidth="1"/>
    <col min="12557" max="12557" width="9" style="415" customWidth="1"/>
    <col min="12558" max="12558" width="13" style="415" customWidth="1"/>
    <col min="12559" max="12800" width="9.140625" style="415"/>
    <col min="12801" max="12801" width="4.5703125" style="415" customWidth="1"/>
    <col min="12802" max="12802" width="22.7109375" style="415" customWidth="1"/>
    <col min="12803" max="12803" width="10.140625" style="415" customWidth="1"/>
    <col min="12804" max="12804" width="6.42578125" style="415" customWidth="1"/>
    <col min="12805" max="12806" width="5.85546875" style="415" customWidth="1"/>
    <col min="12807" max="12807" width="6.42578125" style="415" customWidth="1"/>
    <col min="12808" max="12809" width="13.140625" style="415" customWidth="1"/>
    <col min="12810" max="12810" width="8" style="415" customWidth="1"/>
    <col min="12811" max="12811" width="10.7109375" style="415" customWidth="1"/>
    <col min="12812" max="12812" width="9.7109375" style="415" customWidth="1"/>
    <col min="12813" max="12813" width="9" style="415" customWidth="1"/>
    <col min="12814" max="12814" width="13" style="415" customWidth="1"/>
    <col min="12815" max="13056" width="9.140625" style="415"/>
    <col min="13057" max="13057" width="4.5703125" style="415" customWidth="1"/>
    <col min="13058" max="13058" width="22.7109375" style="415" customWidth="1"/>
    <col min="13059" max="13059" width="10.140625" style="415" customWidth="1"/>
    <col min="13060" max="13060" width="6.42578125" style="415" customWidth="1"/>
    <col min="13061" max="13062" width="5.85546875" style="415" customWidth="1"/>
    <col min="13063" max="13063" width="6.42578125" style="415" customWidth="1"/>
    <col min="13064" max="13065" width="13.140625" style="415" customWidth="1"/>
    <col min="13066" max="13066" width="8" style="415" customWidth="1"/>
    <col min="13067" max="13067" width="10.7109375" style="415" customWidth="1"/>
    <col min="13068" max="13068" width="9.7109375" style="415" customWidth="1"/>
    <col min="13069" max="13069" width="9" style="415" customWidth="1"/>
    <col min="13070" max="13070" width="13" style="415" customWidth="1"/>
    <col min="13071" max="13312" width="9.140625" style="415"/>
    <col min="13313" max="13313" width="4.5703125" style="415" customWidth="1"/>
    <col min="13314" max="13314" width="22.7109375" style="415" customWidth="1"/>
    <col min="13315" max="13315" width="10.140625" style="415" customWidth="1"/>
    <col min="13316" max="13316" width="6.42578125" style="415" customWidth="1"/>
    <col min="13317" max="13318" width="5.85546875" style="415" customWidth="1"/>
    <col min="13319" max="13319" width="6.42578125" style="415" customWidth="1"/>
    <col min="13320" max="13321" width="13.140625" style="415" customWidth="1"/>
    <col min="13322" max="13322" width="8" style="415" customWidth="1"/>
    <col min="13323" max="13323" width="10.7109375" style="415" customWidth="1"/>
    <col min="13324" max="13324" width="9.7109375" style="415" customWidth="1"/>
    <col min="13325" max="13325" width="9" style="415" customWidth="1"/>
    <col min="13326" max="13326" width="13" style="415" customWidth="1"/>
    <col min="13327" max="13568" width="9.140625" style="415"/>
    <col min="13569" max="13569" width="4.5703125" style="415" customWidth="1"/>
    <col min="13570" max="13570" width="22.7109375" style="415" customWidth="1"/>
    <col min="13571" max="13571" width="10.140625" style="415" customWidth="1"/>
    <col min="13572" max="13572" width="6.42578125" style="415" customWidth="1"/>
    <col min="13573" max="13574" width="5.85546875" style="415" customWidth="1"/>
    <col min="13575" max="13575" width="6.42578125" style="415" customWidth="1"/>
    <col min="13576" max="13577" width="13.140625" style="415" customWidth="1"/>
    <col min="13578" max="13578" width="8" style="415" customWidth="1"/>
    <col min="13579" max="13579" width="10.7109375" style="415" customWidth="1"/>
    <col min="13580" max="13580" width="9.7109375" style="415" customWidth="1"/>
    <col min="13581" max="13581" width="9" style="415" customWidth="1"/>
    <col min="13582" max="13582" width="13" style="415" customWidth="1"/>
    <col min="13583" max="13824" width="9.140625" style="415"/>
    <col min="13825" max="13825" width="4.5703125" style="415" customWidth="1"/>
    <col min="13826" max="13826" width="22.7109375" style="415" customWidth="1"/>
    <col min="13827" max="13827" width="10.140625" style="415" customWidth="1"/>
    <col min="13828" max="13828" width="6.42578125" style="415" customWidth="1"/>
    <col min="13829" max="13830" width="5.85546875" style="415" customWidth="1"/>
    <col min="13831" max="13831" width="6.42578125" style="415" customWidth="1"/>
    <col min="13832" max="13833" width="13.140625" style="415" customWidth="1"/>
    <col min="13834" max="13834" width="8" style="415" customWidth="1"/>
    <col min="13835" max="13835" width="10.7109375" style="415" customWidth="1"/>
    <col min="13836" max="13836" width="9.7109375" style="415" customWidth="1"/>
    <col min="13837" max="13837" width="9" style="415" customWidth="1"/>
    <col min="13838" max="13838" width="13" style="415" customWidth="1"/>
    <col min="13839" max="14080" width="9.140625" style="415"/>
    <col min="14081" max="14081" width="4.5703125" style="415" customWidth="1"/>
    <col min="14082" max="14082" width="22.7109375" style="415" customWidth="1"/>
    <col min="14083" max="14083" width="10.140625" style="415" customWidth="1"/>
    <col min="14084" max="14084" width="6.42578125" style="415" customWidth="1"/>
    <col min="14085" max="14086" width="5.85546875" style="415" customWidth="1"/>
    <col min="14087" max="14087" width="6.42578125" style="415" customWidth="1"/>
    <col min="14088" max="14089" width="13.140625" style="415" customWidth="1"/>
    <col min="14090" max="14090" width="8" style="415" customWidth="1"/>
    <col min="14091" max="14091" width="10.7109375" style="415" customWidth="1"/>
    <col min="14092" max="14092" width="9.7109375" style="415" customWidth="1"/>
    <col min="14093" max="14093" width="9" style="415" customWidth="1"/>
    <col min="14094" max="14094" width="13" style="415" customWidth="1"/>
    <col min="14095" max="14336" width="9.140625" style="415"/>
    <col min="14337" max="14337" width="4.5703125" style="415" customWidth="1"/>
    <col min="14338" max="14338" width="22.7109375" style="415" customWidth="1"/>
    <col min="14339" max="14339" width="10.140625" style="415" customWidth="1"/>
    <col min="14340" max="14340" width="6.42578125" style="415" customWidth="1"/>
    <col min="14341" max="14342" width="5.85546875" style="415" customWidth="1"/>
    <col min="14343" max="14343" width="6.42578125" style="415" customWidth="1"/>
    <col min="14344" max="14345" width="13.140625" style="415" customWidth="1"/>
    <col min="14346" max="14346" width="8" style="415" customWidth="1"/>
    <col min="14347" max="14347" width="10.7109375" style="415" customWidth="1"/>
    <col min="14348" max="14348" width="9.7109375" style="415" customWidth="1"/>
    <col min="14349" max="14349" width="9" style="415" customWidth="1"/>
    <col min="14350" max="14350" width="13" style="415" customWidth="1"/>
    <col min="14351" max="14592" width="9.140625" style="415"/>
    <col min="14593" max="14593" width="4.5703125" style="415" customWidth="1"/>
    <col min="14594" max="14594" width="22.7109375" style="415" customWidth="1"/>
    <col min="14595" max="14595" width="10.140625" style="415" customWidth="1"/>
    <col min="14596" max="14596" width="6.42578125" style="415" customWidth="1"/>
    <col min="14597" max="14598" width="5.85546875" style="415" customWidth="1"/>
    <col min="14599" max="14599" width="6.42578125" style="415" customWidth="1"/>
    <col min="14600" max="14601" width="13.140625" style="415" customWidth="1"/>
    <col min="14602" max="14602" width="8" style="415" customWidth="1"/>
    <col min="14603" max="14603" width="10.7109375" style="415" customWidth="1"/>
    <col min="14604" max="14604" width="9.7109375" style="415" customWidth="1"/>
    <col min="14605" max="14605" width="9" style="415" customWidth="1"/>
    <col min="14606" max="14606" width="13" style="415" customWidth="1"/>
    <col min="14607" max="14848" width="9.140625" style="415"/>
    <col min="14849" max="14849" width="4.5703125" style="415" customWidth="1"/>
    <col min="14850" max="14850" width="22.7109375" style="415" customWidth="1"/>
    <col min="14851" max="14851" width="10.140625" style="415" customWidth="1"/>
    <col min="14852" max="14852" width="6.42578125" style="415" customWidth="1"/>
    <col min="14853" max="14854" width="5.85546875" style="415" customWidth="1"/>
    <col min="14855" max="14855" width="6.42578125" style="415" customWidth="1"/>
    <col min="14856" max="14857" width="13.140625" style="415" customWidth="1"/>
    <col min="14858" max="14858" width="8" style="415" customWidth="1"/>
    <col min="14859" max="14859" width="10.7109375" style="415" customWidth="1"/>
    <col min="14860" max="14860" width="9.7109375" style="415" customWidth="1"/>
    <col min="14861" max="14861" width="9" style="415" customWidth="1"/>
    <col min="14862" max="14862" width="13" style="415" customWidth="1"/>
    <col min="14863" max="15104" width="9.140625" style="415"/>
    <col min="15105" max="15105" width="4.5703125" style="415" customWidth="1"/>
    <col min="15106" max="15106" width="22.7109375" style="415" customWidth="1"/>
    <col min="15107" max="15107" width="10.140625" style="415" customWidth="1"/>
    <col min="15108" max="15108" width="6.42578125" style="415" customWidth="1"/>
    <col min="15109" max="15110" width="5.85546875" style="415" customWidth="1"/>
    <col min="15111" max="15111" width="6.42578125" style="415" customWidth="1"/>
    <col min="15112" max="15113" width="13.140625" style="415" customWidth="1"/>
    <col min="15114" max="15114" width="8" style="415" customWidth="1"/>
    <col min="15115" max="15115" width="10.7109375" style="415" customWidth="1"/>
    <col min="15116" max="15116" width="9.7109375" style="415" customWidth="1"/>
    <col min="15117" max="15117" width="9" style="415" customWidth="1"/>
    <col min="15118" max="15118" width="13" style="415" customWidth="1"/>
    <col min="15119" max="15360" width="9.140625" style="415"/>
    <col min="15361" max="15361" width="4.5703125" style="415" customWidth="1"/>
    <col min="15362" max="15362" width="22.7109375" style="415" customWidth="1"/>
    <col min="15363" max="15363" width="10.140625" style="415" customWidth="1"/>
    <col min="15364" max="15364" width="6.42578125" style="415" customWidth="1"/>
    <col min="15365" max="15366" width="5.85546875" style="415" customWidth="1"/>
    <col min="15367" max="15367" width="6.42578125" style="415" customWidth="1"/>
    <col min="15368" max="15369" width="13.140625" style="415" customWidth="1"/>
    <col min="15370" max="15370" width="8" style="415" customWidth="1"/>
    <col min="15371" max="15371" width="10.7109375" style="415" customWidth="1"/>
    <col min="15372" max="15372" width="9.7109375" style="415" customWidth="1"/>
    <col min="15373" max="15373" width="9" style="415" customWidth="1"/>
    <col min="15374" max="15374" width="13" style="415" customWidth="1"/>
    <col min="15375" max="15616" width="9.140625" style="415"/>
    <col min="15617" max="15617" width="4.5703125" style="415" customWidth="1"/>
    <col min="15618" max="15618" width="22.7109375" style="415" customWidth="1"/>
    <col min="15619" max="15619" width="10.140625" style="415" customWidth="1"/>
    <col min="15620" max="15620" width="6.42578125" style="415" customWidth="1"/>
    <col min="15621" max="15622" width="5.85546875" style="415" customWidth="1"/>
    <col min="15623" max="15623" width="6.42578125" style="415" customWidth="1"/>
    <col min="15624" max="15625" width="13.140625" style="415" customWidth="1"/>
    <col min="15626" max="15626" width="8" style="415" customWidth="1"/>
    <col min="15627" max="15627" width="10.7109375" style="415" customWidth="1"/>
    <col min="15628" max="15628" width="9.7109375" style="415" customWidth="1"/>
    <col min="15629" max="15629" width="9" style="415" customWidth="1"/>
    <col min="15630" max="15630" width="13" style="415" customWidth="1"/>
    <col min="15631" max="15872" width="9.140625" style="415"/>
    <col min="15873" max="15873" width="4.5703125" style="415" customWidth="1"/>
    <col min="15874" max="15874" width="22.7109375" style="415" customWidth="1"/>
    <col min="15875" max="15875" width="10.140625" style="415" customWidth="1"/>
    <col min="15876" max="15876" width="6.42578125" style="415" customWidth="1"/>
    <col min="15877" max="15878" width="5.85546875" style="415" customWidth="1"/>
    <col min="15879" max="15879" width="6.42578125" style="415" customWidth="1"/>
    <col min="15880" max="15881" width="13.140625" style="415" customWidth="1"/>
    <col min="15882" max="15882" width="8" style="415" customWidth="1"/>
    <col min="15883" max="15883" width="10.7109375" style="415" customWidth="1"/>
    <col min="15884" max="15884" width="9.7109375" style="415" customWidth="1"/>
    <col min="15885" max="15885" width="9" style="415" customWidth="1"/>
    <col min="15886" max="15886" width="13" style="415" customWidth="1"/>
    <col min="15887" max="16128" width="9.140625" style="415"/>
    <col min="16129" max="16129" width="4.5703125" style="415" customWidth="1"/>
    <col min="16130" max="16130" width="22.7109375" style="415" customWidth="1"/>
    <col min="16131" max="16131" width="10.140625" style="415" customWidth="1"/>
    <col min="16132" max="16132" width="6.42578125" style="415" customWidth="1"/>
    <col min="16133" max="16134" width="5.85546875" style="415" customWidth="1"/>
    <col min="16135" max="16135" width="6.42578125" style="415" customWidth="1"/>
    <col min="16136" max="16137" width="13.140625" style="415" customWidth="1"/>
    <col min="16138" max="16138" width="8" style="415" customWidth="1"/>
    <col min="16139" max="16139" width="10.7109375" style="415" customWidth="1"/>
    <col min="16140" max="16140" width="9.7109375" style="415" customWidth="1"/>
    <col min="16141" max="16141" width="9" style="415" customWidth="1"/>
    <col min="16142" max="16142" width="13" style="415" customWidth="1"/>
    <col min="16143" max="16384" width="9.140625" style="415"/>
  </cols>
  <sheetData>
    <row r="1" spans="1:35" s="310" customFormat="1" ht="15">
      <c r="A1" s="481" t="s">
        <v>818</v>
      </c>
      <c r="B1" s="481"/>
      <c r="C1" s="481"/>
      <c r="D1" s="481"/>
      <c r="E1" s="481"/>
      <c r="F1" s="57"/>
      <c r="G1" s="58"/>
      <c r="H1" s="145"/>
      <c r="I1" s="145"/>
      <c r="J1" s="270"/>
      <c r="K1" s="482" t="s">
        <v>819</v>
      </c>
      <c r="L1" s="482"/>
      <c r="M1" s="482"/>
      <c r="N1" s="482"/>
      <c r="O1" s="270"/>
      <c r="P1" s="270"/>
      <c r="Q1" s="270"/>
      <c r="R1" s="270"/>
      <c r="S1" s="270"/>
      <c r="T1" s="270"/>
      <c r="U1" s="270"/>
      <c r="V1" s="270"/>
      <c r="W1" s="178"/>
      <c r="X1" s="58"/>
      <c r="Y1" s="399"/>
      <c r="Z1" s="399"/>
      <c r="AA1" s="399"/>
      <c r="AB1" s="399"/>
      <c r="AC1" s="399"/>
      <c r="AD1" s="399"/>
      <c r="AE1" s="399"/>
      <c r="AF1" s="399"/>
      <c r="AG1" s="399"/>
      <c r="AH1" s="399"/>
      <c r="AI1" s="399"/>
    </row>
    <row r="2" spans="1:35" s="310" customFormat="1" ht="15">
      <c r="A2" s="481" t="s">
        <v>820</v>
      </c>
      <c r="B2" s="481"/>
      <c r="C2" s="481"/>
      <c r="D2" s="481"/>
      <c r="E2" s="481"/>
      <c r="F2" s="57"/>
      <c r="G2" s="58"/>
      <c r="H2" s="58"/>
      <c r="I2" s="58"/>
      <c r="J2" s="58"/>
      <c r="K2" s="58"/>
      <c r="L2" s="58"/>
      <c r="M2" s="58"/>
      <c r="N2" s="58"/>
      <c r="O2" s="179"/>
      <c r="P2" s="179"/>
      <c r="Q2" s="179"/>
      <c r="R2" s="179"/>
      <c r="S2" s="179"/>
      <c r="T2" s="179"/>
      <c r="U2" s="179"/>
      <c r="V2" s="179"/>
      <c r="W2" s="178"/>
      <c r="X2" s="58"/>
      <c r="Y2" s="509"/>
      <c r="Z2" s="509"/>
      <c r="AA2" s="509"/>
      <c r="AB2" s="509"/>
      <c r="AC2" s="509"/>
      <c r="AD2" s="509"/>
      <c r="AE2" s="509"/>
      <c r="AF2" s="509"/>
      <c r="AG2" s="509"/>
      <c r="AH2" s="509"/>
      <c r="AI2" s="509"/>
    </row>
    <row r="3" spans="1:35" s="310" customFormat="1" ht="45.75" customHeight="1">
      <c r="A3" s="483" t="s">
        <v>2746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</row>
    <row r="4" spans="1:35" s="310" customFormat="1" ht="15.75">
      <c r="A4" s="484" t="s">
        <v>968</v>
      </c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2"/>
      <c r="AA4" s="183"/>
      <c r="AB4" s="183"/>
      <c r="AC4" s="183"/>
      <c r="AD4" s="183"/>
      <c r="AE4" s="184"/>
      <c r="AF4" s="62"/>
      <c r="AG4" s="62"/>
      <c r="AH4" s="185"/>
      <c r="AI4" s="186"/>
    </row>
    <row r="5" spans="1:35" s="310" customFormat="1" ht="15.75">
      <c r="A5" s="479" t="s">
        <v>821</v>
      </c>
      <c r="B5" s="479"/>
      <c r="C5" s="479"/>
      <c r="D5" s="268"/>
      <c r="E5" s="480" t="s">
        <v>822</v>
      </c>
      <c r="F5" s="480"/>
      <c r="G5" s="480"/>
      <c r="H5" s="480"/>
      <c r="I5" s="480"/>
      <c r="J5" s="269"/>
      <c r="K5" s="479" t="s">
        <v>829</v>
      </c>
      <c r="L5" s="479"/>
      <c r="M5" s="479"/>
      <c r="N5" s="269"/>
      <c r="O5" s="269"/>
      <c r="P5" s="269"/>
      <c r="Q5" s="269"/>
      <c r="R5" s="268"/>
      <c r="S5" s="187"/>
      <c r="T5" s="269"/>
      <c r="U5" s="269"/>
      <c r="V5" s="182"/>
      <c r="W5" s="181"/>
      <c r="X5" s="269"/>
      <c r="Y5" s="181"/>
      <c r="Z5" s="181"/>
      <c r="AA5" s="188"/>
      <c r="AB5" s="62"/>
      <c r="AC5" s="62"/>
      <c r="AD5" s="62"/>
      <c r="AE5" s="189"/>
      <c r="AF5" s="188"/>
      <c r="AG5" s="62"/>
      <c r="AH5" s="185"/>
      <c r="AI5" s="186"/>
    </row>
    <row r="6" spans="1:35" s="310" customFormat="1" ht="15.75">
      <c r="A6" s="479" t="s">
        <v>949</v>
      </c>
      <c r="B6" s="479"/>
      <c r="C6" s="479"/>
      <c r="D6" s="268"/>
      <c r="E6" s="480" t="s">
        <v>824</v>
      </c>
      <c r="F6" s="480"/>
      <c r="G6" s="480"/>
      <c r="H6" s="480"/>
      <c r="I6" s="480"/>
      <c r="J6" s="269"/>
      <c r="K6" s="479" t="s">
        <v>823</v>
      </c>
      <c r="L6" s="479"/>
      <c r="M6" s="479"/>
      <c r="N6" s="269"/>
      <c r="O6" s="269"/>
      <c r="P6" s="269"/>
      <c r="Q6" s="269"/>
      <c r="R6" s="268"/>
      <c r="S6" s="187"/>
      <c r="T6" s="269"/>
      <c r="U6" s="269"/>
      <c r="V6" s="182"/>
      <c r="W6" s="181"/>
      <c r="X6" s="269"/>
      <c r="Y6" s="181"/>
      <c r="Z6" s="181"/>
      <c r="AA6" s="188"/>
      <c r="AB6" s="62"/>
      <c r="AC6" s="62"/>
      <c r="AD6" s="62"/>
      <c r="AE6" s="189"/>
      <c r="AF6" s="62"/>
      <c r="AG6" s="62"/>
      <c r="AH6" s="185"/>
      <c r="AI6" s="186"/>
    </row>
    <row r="7" spans="1:35" s="310" customFormat="1" ht="15.75">
      <c r="A7" s="479" t="s">
        <v>950</v>
      </c>
      <c r="B7" s="479"/>
      <c r="C7" s="479"/>
      <c r="D7" s="268"/>
      <c r="E7" s="480" t="s">
        <v>825</v>
      </c>
      <c r="F7" s="480"/>
      <c r="G7" s="480"/>
      <c r="H7" s="480"/>
      <c r="I7" s="480"/>
      <c r="J7" s="269"/>
      <c r="K7" s="479" t="s">
        <v>826</v>
      </c>
      <c r="L7" s="479"/>
      <c r="M7" s="479"/>
      <c r="N7" s="269"/>
      <c r="O7" s="269"/>
      <c r="P7" s="269"/>
      <c r="Q7" s="269"/>
      <c r="R7" s="268"/>
      <c r="S7" s="187"/>
      <c r="T7" s="269"/>
      <c r="U7" s="269"/>
      <c r="V7" s="182"/>
      <c r="W7" s="181"/>
      <c r="X7" s="269"/>
      <c r="Y7" s="181"/>
      <c r="Z7" s="181"/>
      <c r="AA7" s="188"/>
      <c r="AB7" s="62"/>
      <c r="AC7" s="62"/>
      <c r="AD7" s="62"/>
      <c r="AE7" s="189"/>
      <c r="AF7" s="62"/>
      <c r="AG7" s="62"/>
      <c r="AH7" s="185"/>
      <c r="AI7" s="186"/>
    </row>
    <row r="8" spans="1:35" s="310" customFormat="1" ht="15.75">
      <c r="A8" s="479" t="s">
        <v>2747</v>
      </c>
      <c r="B8" s="479"/>
      <c r="C8" s="479"/>
      <c r="D8" s="268"/>
      <c r="E8" s="480" t="s">
        <v>2748</v>
      </c>
      <c r="F8" s="480"/>
      <c r="G8" s="480"/>
      <c r="H8" s="480"/>
      <c r="I8" s="480"/>
      <c r="J8" s="269"/>
      <c r="K8" s="479" t="s">
        <v>830</v>
      </c>
      <c r="L8" s="479"/>
      <c r="M8" s="47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  <c r="AA8" s="62"/>
      <c r="AB8" s="62"/>
      <c r="AC8" s="62"/>
      <c r="AD8" s="62"/>
      <c r="AE8" s="189"/>
      <c r="AF8" s="62"/>
      <c r="AG8" s="62"/>
      <c r="AH8" s="185"/>
      <c r="AI8" s="63"/>
    </row>
    <row r="9" spans="1:35" s="310" customFormat="1" ht="15.75">
      <c r="A9" s="479" t="s">
        <v>952</v>
      </c>
      <c r="B9" s="479"/>
      <c r="C9" s="479"/>
      <c r="D9" s="63"/>
      <c r="E9" s="63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62"/>
      <c r="AB9" s="62"/>
      <c r="AC9" s="62"/>
      <c r="AD9" s="62"/>
      <c r="AE9" s="189"/>
      <c r="AF9" s="62"/>
      <c r="AG9" s="62"/>
      <c r="AH9" s="185"/>
      <c r="AI9" s="63"/>
    </row>
    <row r="10" spans="1:35" s="310" customFormat="1" ht="15.75">
      <c r="A10" s="479" t="s">
        <v>827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9"/>
      <c r="O10" s="269"/>
      <c r="P10" s="269"/>
      <c r="Q10" s="269"/>
      <c r="R10" s="269"/>
      <c r="S10" s="269"/>
      <c r="T10" s="269"/>
      <c r="U10" s="269"/>
      <c r="V10" s="269"/>
      <c r="W10" s="63"/>
      <c r="X10" s="269"/>
      <c r="Y10" s="269"/>
      <c r="Z10" s="190"/>
      <c r="AA10" s="62"/>
      <c r="AB10" s="62"/>
      <c r="AC10" s="62"/>
      <c r="AD10" s="62"/>
      <c r="AE10" s="189"/>
      <c r="AF10" s="62"/>
      <c r="AG10" s="62"/>
      <c r="AH10" s="185"/>
      <c r="AI10" s="186"/>
    </row>
    <row r="12" spans="1:35" ht="38.25">
      <c r="A12" s="532" t="s">
        <v>2190</v>
      </c>
      <c r="B12" s="532" t="s">
        <v>972</v>
      </c>
      <c r="C12" s="525" t="s">
        <v>973</v>
      </c>
      <c r="D12" s="525" t="s">
        <v>974</v>
      </c>
      <c r="E12" s="293" t="s">
        <v>4</v>
      </c>
      <c r="F12" s="407" t="s">
        <v>975</v>
      </c>
      <c r="G12" s="407" t="s">
        <v>6</v>
      </c>
      <c r="H12" s="525" t="s">
        <v>7</v>
      </c>
      <c r="I12" s="525" t="s">
        <v>8</v>
      </c>
      <c r="J12" s="532" t="s">
        <v>9</v>
      </c>
      <c r="K12" s="532" t="s">
        <v>10</v>
      </c>
      <c r="L12" s="532" t="s">
        <v>11</v>
      </c>
      <c r="M12" s="525" t="s">
        <v>12</v>
      </c>
      <c r="N12" s="532" t="s">
        <v>976</v>
      </c>
    </row>
    <row r="13" spans="1:35">
      <c r="A13" s="532"/>
      <c r="B13" s="532"/>
      <c r="C13" s="526"/>
      <c r="D13" s="526"/>
      <c r="E13" s="525" t="s">
        <v>14</v>
      </c>
      <c r="F13" s="525" t="s">
        <v>14</v>
      </c>
      <c r="G13" s="525" t="s">
        <v>14</v>
      </c>
      <c r="H13" s="526"/>
      <c r="I13" s="526"/>
      <c r="J13" s="545"/>
      <c r="K13" s="545"/>
      <c r="L13" s="532"/>
      <c r="M13" s="526"/>
      <c r="N13" s="545"/>
    </row>
    <row r="14" spans="1:35">
      <c r="A14" s="532"/>
      <c r="B14" s="532"/>
      <c r="C14" s="526"/>
      <c r="D14" s="526"/>
      <c r="E14" s="526"/>
      <c r="F14" s="526"/>
      <c r="G14" s="526"/>
      <c r="H14" s="526"/>
      <c r="I14" s="526"/>
      <c r="J14" s="545"/>
      <c r="K14" s="545"/>
      <c r="L14" s="532"/>
      <c r="M14" s="526"/>
      <c r="N14" s="545"/>
    </row>
    <row r="15" spans="1:35">
      <c r="A15" s="532"/>
      <c r="B15" s="532"/>
      <c r="C15" s="527"/>
      <c r="D15" s="527"/>
      <c r="E15" s="527"/>
      <c r="F15" s="527"/>
      <c r="G15" s="527"/>
      <c r="H15" s="527"/>
      <c r="I15" s="527"/>
      <c r="J15" s="545"/>
      <c r="K15" s="545"/>
      <c r="L15" s="532"/>
      <c r="M15" s="527"/>
      <c r="N15" s="545"/>
    </row>
    <row r="16" spans="1:35">
      <c r="A16" s="293" t="s">
        <v>15</v>
      </c>
      <c r="B16" s="293" t="s">
        <v>16</v>
      </c>
      <c r="C16" s="293" t="s">
        <v>17</v>
      </c>
      <c r="D16" s="293" t="s">
        <v>18</v>
      </c>
      <c r="E16" s="293">
        <v>1</v>
      </c>
      <c r="F16" s="293">
        <v>2</v>
      </c>
      <c r="G16" s="407">
        <v>3</v>
      </c>
      <c r="H16" s="293">
        <v>4</v>
      </c>
      <c r="I16" s="293">
        <v>5</v>
      </c>
      <c r="J16" s="293">
        <v>6</v>
      </c>
      <c r="K16" s="293">
        <v>7</v>
      </c>
      <c r="L16" s="293">
        <v>8</v>
      </c>
      <c r="M16" s="293">
        <v>9</v>
      </c>
      <c r="N16" s="302">
        <v>10</v>
      </c>
    </row>
    <row r="17" spans="1:14" s="420" customFormat="1" ht="30" customHeight="1">
      <c r="A17" s="91">
        <v>1</v>
      </c>
      <c r="B17" s="418" t="s">
        <v>2749</v>
      </c>
      <c r="C17" s="235" t="s">
        <v>2750</v>
      </c>
      <c r="D17" s="235">
        <v>2012</v>
      </c>
      <c r="E17" s="235">
        <v>1</v>
      </c>
      <c r="F17" s="235">
        <v>1</v>
      </c>
      <c r="G17" s="236">
        <f>F17-E17</f>
        <v>0</v>
      </c>
      <c r="H17" s="419">
        <v>28720000</v>
      </c>
      <c r="I17" s="419">
        <v>28720000</v>
      </c>
      <c r="J17" s="235" t="s">
        <v>2751</v>
      </c>
      <c r="K17" s="235" t="s">
        <v>2751</v>
      </c>
      <c r="L17" s="235" t="s">
        <v>641</v>
      </c>
      <c r="M17" s="235" t="s">
        <v>876</v>
      </c>
      <c r="N17" s="235"/>
    </row>
    <row r="18" spans="1:14" s="420" customFormat="1" ht="30" customHeight="1">
      <c r="A18" s="91">
        <v>2</v>
      </c>
      <c r="B18" s="421" t="s">
        <v>696</v>
      </c>
      <c r="C18" s="422" t="s">
        <v>2752</v>
      </c>
      <c r="D18" s="422">
        <v>2013</v>
      </c>
      <c r="E18" s="235">
        <v>1</v>
      </c>
      <c r="F18" s="235">
        <v>1</v>
      </c>
      <c r="G18" s="236">
        <f>F18-E18</f>
        <v>0</v>
      </c>
      <c r="H18" s="419">
        <v>16207598</v>
      </c>
      <c r="I18" s="419">
        <v>16207598</v>
      </c>
      <c r="J18" s="235" t="s">
        <v>2751</v>
      </c>
      <c r="K18" s="235" t="s">
        <v>2751</v>
      </c>
      <c r="L18" s="235" t="s">
        <v>641</v>
      </c>
      <c r="M18" s="235" t="s">
        <v>876</v>
      </c>
      <c r="N18" s="235"/>
    </row>
    <row r="19" spans="1:14" s="420" customFormat="1" ht="30" customHeight="1">
      <c r="A19" s="91">
        <v>3</v>
      </c>
      <c r="B19" s="421" t="s">
        <v>2753</v>
      </c>
      <c r="C19" s="422" t="s">
        <v>2754</v>
      </c>
      <c r="D19" s="422">
        <v>2020</v>
      </c>
      <c r="E19" s="235">
        <v>1</v>
      </c>
      <c r="F19" s="235">
        <v>1</v>
      </c>
      <c r="G19" s="236">
        <f>F19-E19</f>
        <v>0</v>
      </c>
      <c r="H19" s="419">
        <v>17000000</v>
      </c>
      <c r="I19" s="419">
        <f>H19</f>
        <v>17000000</v>
      </c>
      <c r="J19" s="235" t="s">
        <v>2751</v>
      </c>
      <c r="K19" s="235" t="s">
        <v>2751</v>
      </c>
      <c r="L19" s="235" t="s">
        <v>641</v>
      </c>
      <c r="M19" s="235" t="s">
        <v>876</v>
      </c>
      <c r="N19" s="235"/>
    </row>
    <row r="20" spans="1:14" ht="30" customHeight="1">
      <c r="A20" s="235"/>
      <c r="B20" s="546" t="s">
        <v>775</v>
      </c>
      <c r="C20" s="547"/>
      <c r="D20" s="547"/>
      <c r="E20" s="547"/>
      <c r="F20" s="547"/>
      <c r="G20" s="547"/>
      <c r="H20" s="547"/>
      <c r="I20" s="547"/>
      <c r="J20" s="547"/>
      <c r="K20" s="547"/>
      <c r="L20" s="547"/>
      <c r="M20" s="547"/>
      <c r="N20" s="548"/>
    </row>
    <row r="21" spans="1:14" s="420" customFormat="1" ht="51">
      <c r="A21" s="236">
        <v>1</v>
      </c>
      <c r="B21" s="423" t="s">
        <v>2755</v>
      </c>
      <c r="C21" s="236" t="s">
        <v>2756</v>
      </c>
      <c r="D21" s="235">
        <v>2024</v>
      </c>
      <c r="E21" s="235">
        <v>1</v>
      </c>
      <c r="F21" s="235">
        <v>1</v>
      </c>
      <c r="G21" s="237">
        <f>F21-E21</f>
        <v>0</v>
      </c>
      <c r="H21" s="424">
        <v>4994000</v>
      </c>
      <c r="I21" s="424">
        <v>4994000</v>
      </c>
      <c r="J21" s="235" t="s">
        <v>2751</v>
      </c>
      <c r="K21" s="235" t="s">
        <v>2751</v>
      </c>
      <c r="L21" s="235" t="s">
        <v>641</v>
      </c>
      <c r="M21" s="235" t="s">
        <v>2751</v>
      </c>
      <c r="N21" s="235"/>
    </row>
    <row r="22" spans="1:14" s="420" customFormat="1" ht="51">
      <c r="A22" s="236">
        <v>2</v>
      </c>
      <c r="B22" s="423" t="s">
        <v>2755</v>
      </c>
      <c r="C22" s="236" t="s">
        <v>2757</v>
      </c>
      <c r="D22" s="235">
        <v>2024</v>
      </c>
      <c r="E22" s="235">
        <v>1</v>
      </c>
      <c r="F22" s="235">
        <v>1</v>
      </c>
      <c r="G22" s="237">
        <f>F22-E22</f>
        <v>0</v>
      </c>
      <c r="H22" s="424">
        <v>4994000</v>
      </c>
      <c r="I22" s="424">
        <v>4994000</v>
      </c>
      <c r="J22" s="235" t="s">
        <v>2751</v>
      </c>
      <c r="K22" s="235" t="s">
        <v>2751</v>
      </c>
      <c r="L22" s="235" t="s">
        <v>641</v>
      </c>
      <c r="M22" s="235" t="s">
        <v>2751</v>
      </c>
      <c r="N22" s="235"/>
    </row>
    <row r="23" spans="1:14" s="426" customFormat="1" ht="38.25">
      <c r="A23" s="236">
        <v>3</v>
      </c>
      <c r="B23" s="418" t="s">
        <v>2758</v>
      </c>
      <c r="C23" s="236" t="s">
        <v>2759</v>
      </c>
      <c r="D23" s="235">
        <v>2024</v>
      </c>
      <c r="E23" s="91">
        <v>1</v>
      </c>
      <c r="F23" s="91">
        <v>1</v>
      </c>
      <c r="G23" s="237">
        <f>F23-E23</f>
        <v>0</v>
      </c>
      <c r="H23" s="425">
        <v>7997000</v>
      </c>
      <c r="I23" s="425">
        <v>7997000</v>
      </c>
      <c r="J23" s="235" t="s">
        <v>2751</v>
      </c>
      <c r="K23" s="235" t="s">
        <v>2751</v>
      </c>
      <c r="L23" s="91" t="s">
        <v>641</v>
      </c>
      <c r="M23" s="235" t="s">
        <v>2751</v>
      </c>
      <c r="N23" s="235"/>
    </row>
    <row r="24" spans="1:14" s="420" customFormat="1" ht="30" customHeight="1">
      <c r="A24" s="236">
        <v>4</v>
      </c>
      <c r="B24" s="427" t="s">
        <v>2667</v>
      </c>
      <c r="C24" s="428" t="s">
        <v>2760</v>
      </c>
      <c r="D24" s="235"/>
      <c r="E24" s="235">
        <v>1</v>
      </c>
      <c r="F24" s="235">
        <v>1</v>
      </c>
      <c r="G24" s="237">
        <f>F24-E24</f>
        <v>0</v>
      </c>
      <c r="H24" s="419">
        <v>7446734</v>
      </c>
      <c r="I24" s="419">
        <v>7446734</v>
      </c>
      <c r="J24" s="235" t="s">
        <v>2751</v>
      </c>
      <c r="K24" s="235" t="s">
        <v>2751</v>
      </c>
      <c r="L24" s="235" t="s">
        <v>641</v>
      </c>
      <c r="M24" s="235" t="s">
        <v>876</v>
      </c>
      <c r="N24" s="235"/>
    </row>
    <row r="25" spans="1:14" s="303" customFormat="1" ht="15.75">
      <c r="A25" s="334"/>
      <c r="E25" s="334"/>
      <c r="F25" s="334"/>
      <c r="G25" s="335"/>
    </row>
    <row r="26" spans="1:14" s="20" customFormat="1" ht="18" customHeight="1">
      <c r="A26" s="47"/>
      <c r="B26" s="48"/>
      <c r="C26" s="47"/>
      <c r="D26" s="47"/>
      <c r="E26" s="47"/>
      <c r="F26" s="47"/>
      <c r="G26" s="47"/>
      <c r="H26" s="49"/>
      <c r="I26" s="49"/>
      <c r="J26" s="474" t="s">
        <v>965</v>
      </c>
      <c r="K26" s="474"/>
      <c r="L26" s="474"/>
      <c r="M26" s="474"/>
      <c r="N26" s="474"/>
    </row>
    <row r="27" spans="1:14" s="20" customFormat="1" ht="24.95" customHeight="1">
      <c r="A27" s="475" t="s">
        <v>953</v>
      </c>
      <c r="B27" s="475"/>
      <c r="C27" s="51"/>
      <c r="D27" s="476" t="s">
        <v>2761</v>
      </c>
      <c r="E27" s="476"/>
      <c r="F27" s="476"/>
      <c r="G27" s="476"/>
      <c r="H27" s="476"/>
      <c r="I27" s="477" t="s">
        <v>955</v>
      </c>
      <c r="J27" s="477"/>
      <c r="K27" s="477"/>
      <c r="L27" s="476" t="s">
        <v>829</v>
      </c>
      <c r="M27" s="476"/>
      <c r="N27" s="476"/>
    </row>
    <row r="28" spans="1:14" s="20" customFormat="1" ht="24.95" customHeight="1">
      <c r="A28" s="478" t="s">
        <v>966</v>
      </c>
      <c r="B28" s="478"/>
      <c r="C28" s="478"/>
      <c r="D28" s="51"/>
      <c r="E28" s="51"/>
      <c r="F28" s="51"/>
      <c r="G28" s="51"/>
      <c r="H28" s="52"/>
      <c r="I28" s="52"/>
      <c r="J28" s="51"/>
      <c r="K28" s="51"/>
      <c r="L28" s="51"/>
      <c r="M28" s="51"/>
      <c r="N28" s="53"/>
    </row>
    <row r="29" spans="1:14" s="20" customFormat="1" ht="24.95" customHeight="1">
      <c r="A29" s="478" t="s">
        <v>961</v>
      </c>
      <c r="B29" s="478"/>
      <c r="C29" s="478"/>
      <c r="D29" s="51"/>
      <c r="E29" s="51"/>
      <c r="F29" s="51"/>
      <c r="G29" s="51"/>
      <c r="H29" s="52"/>
      <c r="I29" s="52"/>
      <c r="J29" s="51"/>
      <c r="K29" s="51"/>
      <c r="L29" s="51"/>
      <c r="M29" s="51"/>
      <c r="N29" s="53"/>
    </row>
    <row r="30" spans="1:14" s="20" customFormat="1" ht="24.95" customHeight="1">
      <c r="A30" s="478" t="s">
        <v>962</v>
      </c>
      <c r="B30" s="478"/>
      <c r="C30" s="478"/>
      <c r="D30" s="51"/>
      <c r="E30" s="51"/>
      <c r="F30" s="51"/>
      <c r="G30" s="51"/>
      <c r="H30" s="52"/>
      <c r="I30" s="52"/>
      <c r="J30" s="51"/>
      <c r="K30" s="51"/>
      <c r="L30" s="51"/>
      <c r="M30" s="51"/>
      <c r="N30" s="53"/>
    </row>
    <row r="31" spans="1:14" s="20" customFormat="1" ht="24.95" customHeight="1">
      <c r="A31" s="478" t="s">
        <v>958</v>
      </c>
      <c r="B31" s="478"/>
      <c r="C31" s="478"/>
      <c r="D31" s="476" t="s">
        <v>2762</v>
      </c>
      <c r="E31" s="476"/>
      <c r="F31" s="476"/>
      <c r="G31" s="476"/>
      <c r="H31" s="476"/>
      <c r="I31" s="477" t="s">
        <v>956</v>
      </c>
      <c r="J31" s="477"/>
      <c r="K31" s="477"/>
      <c r="L31" s="476" t="s">
        <v>954</v>
      </c>
      <c r="M31" s="476"/>
      <c r="N31" s="476"/>
    </row>
    <row r="32" spans="1:14" s="20" customFormat="1" ht="24.95" customHeight="1">
      <c r="A32" s="478" t="s">
        <v>963</v>
      </c>
      <c r="B32" s="478"/>
      <c r="C32" s="478"/>
      <c r="D32" s="476"/>
      <c r="E32" s="476"/>
      <c r="F32" s="476"/>
      <c r="G32" s="476"/>
      <c r="H32" s="476"/>
      <c r="I32" s="477"/>
      <c r="J32" s="477"/>
      <c r="K32" s="477"/>
      <c r="L32" s="476"/>
      <c r="M32" s="476"/>
      <c r="N32" s="476"/>
    </row>
    <row r="33" spans="1:14" s="20" customFormat="1" ht="24.95" customHeight="1">
      <c r="A33" s="262"/>
      <c r="B33" s="262"/>
      <c r="C33" s="262"/>
      <c r="D33" s="261"/>
      <c r="E33" s="261"/>
      <c r="F33" s="261"/>
      <c r="G33" s="261"/>
      <c r="H33" s="261"/>
      <c r="I33" s="263"/>
      <c r="J33" s="263"/>
      <c r="K33" s="263"/>
      <c r="L33" s="261"/>
      <c r="M33" s="261"/>
      <c r="N33" s="261"/>
    </row>
    <row r="34" spans="1:14" s="20" customFormat="1" ht="24.95" customHeight="1">
      <c r="A34" s="262"/>
      <c r="B34" s="262"/>
      <c r="C34" s="262"/>
      <c r="D34" s="261"/>
      <c r="E34" s="261"/>
      <c r="F34" s="261"/>
      <c r="G34" s="261"/>
      <c r="H34" s="261"/>
      <c r="I34" s="263"/>
      <c r="J34" s="263"/>
      <c r="K34" s="263"/>
      <c r="L34" s="261"/>
      <c r="M34" s="261"/>
      <c r="N34" s="261"/>
    </row>
    <row r="35" spans="1:14" s="20" customFormat="1" ht="24.95" customHeight="1">
      <c r="A35" s="262"/>
      <c r="B35" s="262"/>
      <c r="C35" s="262"/>
      <c r="D35" s="261"/>
      <c r="E35" s="261"/>
      <c r="F35" s="261"/>
      <c r="G35" s="261"/>
      <c r="H35" s="261"/>
      <c r="I35" s="263"/>
      <c r="J35" s="263"/>
      <c r="K35" s="263"/>
      <c r="L35" s="261"/>
      <c r="M35" s="261"/>
      <c r="N35" s="261"/>
    </row>
    <row r="36" spans="1:14" s="20" customFormat="1" ht="24.95" customHeight="1">
      <c r="A36" s="262"/>
      <c r="B36" s="262"/>
      <c r="C36" s="262"/>
      <c r="D36" s="261"/>
      <c r="E36" s="261"/>
      <c r="F36" s="261"/>
      <c r="G36" s="261"/>
      <c r="H36" s="261"/>
      <c r="I36" s="263"/>
      <c r="J36" s="263"/>
      <c r="K36" s="263"/>
      <c r="L36" s="261"/>
      <c r="M36" s="261"/>
      <c r="N36" s="261"/>
    </row>
    <row r="37" spans="1:14" s="20" customFormat="1" ht="24.95" customHeight="1">
      <c r="A37" s="262"/>
      <c r="B37" s="262"/>
      <c r="C37" s="262"/>
      <c r="D37" s="261"/>
      <c r="E37" s="261"/>
      <c r="F37" s="261"/>
      <c r="G37" s="261"/>
      <c r="H37" s="261"/>
      <c r="I37" s="263"/>
      <c r="J37" s="263"/>
      <c r="K37" s="263"/>
      <c r="L37" s="261"/>
      <c r="M37" s="261"/>
      <c r="N37" s="261"/>
    </row>
    <row r="38" spans="1:14" s="20" customFormat="1" ht="24.95" customHeight="1">
      <c r="A38" s="262"/>
      <c r="B38" s="262"/>
      <c r="C38" s="262"/>
      <c r="D38" s="261"/>
      <c r="E38" s="261"/>
      <c r="F38" s="261"/>
      <c r="G38" s="261"/>
      <c r="H38" s="261"/>
      <c r="I38" s="263"/>
      <c r="J38" s="263"/>
      <c r="K38" s="263"/>
      <c r="L38" s="261"/>
      <c r="M38" s="261"/>
      <c r="N38" s="261"/>
    </row>
    <row r="39" spans="1:14" s="420" customFormat="1" ht="30" customHeight="1">
      <c r="A39" s="429"/>
      <c r="B39" s="430"/>
      <c r="C39" s="431"/>
      <c r="D39" s="432"/>
      <c r="E39" s="432"/>
      <c r="F39" s="432"/>
      <c r="G39" s="433"/>
      <c r="H39" s="434"/>
      <c r="I39" s="434"/>
      <c r="J39" s="432"/>
      <c r="K39" s="432"/>
      <c r="L39" s="432"/>
      <c r="M39" s="432"/>
      <c r="N39" s="432"/>
    </row>
  </sheetData>
  <mergeCells count="51">
    <mergeCell ref="I31:K31"/>
    <mergeCell ref="L31:N31"/>
    <mergeCell ref="A32:C32"/>
    <mergeCell ref="D32:H32"/>
    <mergeCell ref="I32:K32"/>
    <mergeCell ref="L32:N32"/>
    <mergeCell ref="A28:C28"/>
    <mergeCell ref="A29:C29"/>
    <mergeCell ref="A30:C30"/>
    <mergeCell ref="A31:C31"/>
    <mergeCell ref="D31:H31"/>
    <mergeCell ref="B20:N20"/>
    <mergeCell ref="J26:N26"/>
    <mergeCell ref="A27:B27"/>
    <mergeCell ref="D27:H27"/>
    <mergeCell ref="I27:K27"/>
    <mergeCell ref="L27:N27"/>
    <mergeCell ref="A9:C9"/>
    <mergeCell ref="A10:N10"/>
    <mergeCell ref="A12:A15"/>
    <mergeCell ref="B12:B15"/>
    <mergeCell ref="C12:C15"/>
    <mergeCell ref="D12:D15"/>
    <mergeCell ref="H12:H15"/>
    <mergeCell ref="I12:I15"/>
    <mergeCell ref="J12:J15"/>
    <mergeCell ref="K12:K15"/>
    <mergeCell ref="L12:L15"/>
    <mergeCell ref="M12:M15"/>
    <mergeCell ref="N12:N15"/>
    <mergeCell ref="E13:E15"/>
    <mergeCell ref="F13:F15"/>
    <mergeCell ref="G13:G15"/>
    <mergeCell ref="A7:C7"/>
    <mergeCell ref="E7:I7"/>
    <mergeCell ref="K7:M7"/>
    <mergeCell ref="A8:C8"/>
    <mergeCell ref="E8:I8"/>
    <mergeCell ref="K8:M8"/>
    <mergeCell ref="A5:C5"/>
    <mergeCell ref="E5:I5"/>
    <mergeCell ref="K5:M5"/>
    <mergeCell ref="A6:C6"/>
    <mergeCell ref="E6:I6"/>
    <mergeCell ref="K6:M6"/>
    <mergeCell ref="A4:N4"/>
    <mergeCell ref="A1:E1"/>
    <mergeCell ref="K1:N1"/>
    <mergeCell ref="A2:E2"/>
    <mergeCell ref="Y2:AI2"/>
    <mergeCell ref="A3:N3"/>
  </mergeCells>
  <pageMargins left="0.5" right="0.3" top="0.5" bottom="0.5" header="0" footer="0"/>
  <pageSetup paperSize="9" orientation="landscape" r:id="rId1"/>
  <headerFooter differentFirst="1"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opLeftCell="A10" zoomScaleNormal="100" zoomScaleSheetLayoutView="102" workbookViewId="0">
      <selection activeCell="K39" sqref="K39"/>
    </sheetView>
  </sheetViews>
  <sheetFormatPr defaultRowHeight="12.75"/>
  <cols>
    <col min="1" max="1" width="4.5703125" style="415" customWidth="1"/>
    <col min="2" max="2" width="22.7109375" style="415" customWidth="1"/>
    <col min="3" max="3" width="9.42578125" style="415" customWidth="1"/>
    <col min="4" max="4" width="6.42578125" style="415" customWidth="1"/>
    <col min="5" max="6" width="5.85546875" style="415" customWidth="1"/>
    <col min="7" max="7" width="6.42578125" style="416" customWidth="1"/>
    <col min="8" max="9" width="13.140625" style="415" customWidth="1"/>
    <col min="10" max="10" width="8" style="415" customWidth="1"/>
    <col min="11" max="11" width="10.7109375" style="417" customWidth="1"/>
    <col min="12" max="12" width="9.7109375" style="415" customWidth="1"/>
    <col min="13" max="13" width="10" style="415" customWidth="1"/>
    <col min="14" max="14" width="13" style="415" customWidth="1"/>
    <col min="15" max="15" width="10.85546875" style="415" bestFit="1" customWidth="1"/>
    <col min="16" max="256" width="9.140625" style="415"/>
    <col min="257" max="257" width="4.5703125" style="415" customWidth="1"/>
    <col min="258" max="258" width="22.7109375" style="415" customWidth="1"/>
    <col min="259" max="259" width="9.42578125" style="415" customWidth="1"/>
    <col min="260" max="260" width="6.42578125" style="415" customWidth="1"/>
    <col min="261" max="262" width="5.85546875" style="415" customWidth="1"/>
    <col min="263" max="263" width="6.42578125" style="415" customWidth="1"/>
    <col min="264" max="265" width="13.140625" style="415" customWidth="1"/>
    <col min="266" max="266" width="8" style="415" customWidth="1"/>
    <col min="267" max="267" width="10.7109375" style="415" customWidth="1"/>
    <col min="268" max="268" width="9.7109375" style="415" customWidth="1"/>
    <col min="269" max="269" width="10" style="415" customWidth="1"/>
    <col min="270" max="270" width="13" style="415" customWidth="1"/>
    <col min="271" max="271" width="10.85546875" style="415" bestFit="1" customWidth="1"/>
    <col min="272" max="512" width="9.140625" style="415"/>
    <col min="513" max="513" width="4.5703125" style="415" customWidth="1"/>
    <col min="514" max="514" width="22.7109375" style="415" customWidth="1"/>
    <col min="515" max="515" width="9.42578125" style="415" customWidth="1"/>
    <col min="516" max="516" width="6.42578125" style="415" customWidth="1"/>
    <col min="517" max="518" width="5.85546875" style="415" customWidth="1"/>
    <col min="519" max="519" width="6.42578125" style="415" customWidth="1"/>
    <col min="520" max="521" width="13.140625" style="415" customWidth="1"/>
    <col min="522" max="522" width="8" style="415" customWidth="1"/>
    <col min="523" max="523" width="10.7109375" style="415" customWidth="1"/>
    <col min="524" max="524" width="9.7109375" style="415" customWidth="1"/>
    <col min="525" max="525" width="10" style="415" customWidth="1"/>
    <col min="526" max="526" width="13" style="415" customWidth="1"/>
    <col min="527" max="527" width="10.85546875" style="415" bestFit="1" customWidth="1"/>
    <col min="528" max="768" width="9.140625" style="415"/>
    <col min="769" max="769" width="4.5703125" style="415" customWidth="1"/>
    <col min="770" max="770" width="22.7109375" style="415" customWidth="1"/>
    <col min="771" max="771" width="9.42578125" style="415" customWidth="1"/>
    <col min="772" max="772" width="6.42578125" style="415" customWidth="1"/>
    <col min="773" max="774" width="5.85546875" style="415" customWidth="1"/>
    <col min="775" max="775" width="6.42578125" style="415" customWidth="1"/>
    <col min="776" max="777" width="13.140625" style="415" customWidth="1"/>
    <col min="778" max="778" width="8" style="415" customWidth="1"/>
    <col min="779" max="779" width="10.7109375" style="415" customWidth="1"/>
    <col min="780" max="780" width="9.7109375" style="415" customWidth="1"/>
    <col min="781" max="781" width="10" style="415" customWidth="1"/>
    <col min="782" max="782" width="13" style="415" customWidth="1"/>
    <col min="783" max="783" width="10.85546875" style="415" bestFit="1" customWidth="1"/>
    <col min="784" max="1024" width="9.140625" style="415"/>
    <col min="1025" max="1025" width="4.5703125" style="415" customWidth="1"/>
    <col min="1026" max="1026" width="22.7109375" style="415" customWidth="1"/>
    <col min="1027" max="1027" width="9.42578125" style="415" customWidth="1"/>
    <col min="1028" max="1028" width="6.42578125" style="415" customWidth="1"/>
    <col min="1029" max="1030" width="5.85546875" style="415" customWidth="1"/>
    <col min="1031" max="1031" width="6.42578125" style="415" customWidth="1"/>
    <col min="1032" max="1033" width="13.140625" style="415" customWidth="1"/>
    <col min="1034" max="1034" width="8" style="415" customWidth="1"/>
    <col min="1035" max="1035" width="10.7109375" style="415" customWidth="1"/>
    <col min="1036" max="1036" width="9.7109375" style="415" customWidth="1"/>
    <col min="1037" max="1037" width="10" style="415" customWidth="1"/>
    <col min="1038" max="1038" width="13" style="415" customWidth="1"/>
    <col min="1039" max="1039" width="10.85546875" style="415" bestFit="1" customWidth="1"/>
    <col min="1040" max="1280" width="9.140625" style="415"/>
    <col min="1281" max="1281" width="4.5703125" style="415" customWidth="1"/>
    <col min="1282" max="1282" width="22.7109375" style="415" customWidth="1"/>
    <col min="1283" max="1283" width="9.42578125" style="415" customWidth="1"/>
    <col min="1284" max="1284" width="6.42578125" style="415" customWidth="1"/>
    <col min="1285" max="1286" width="5.85546875" style="415" customWidth="1"/>
    <col min="1287" max="1287" width="6.42578125" style="415" customWidth="1"/>
    <col min="1288" max="1289" width="13.140625" style="415" customWidth="1"/>
    <col min="1290" max="1290" width="8" style="415" customWidth="1"/>
    <col min="1291" max="1291" width="10.7109375" style="415" customWidth="1"/>
    <col min="1292" max="1292" width="9.7109375" style="415" customWidth="1"/>
    <col min="1293" max="1293" width="10" style="415" customWidth="1"/>
    <col min="1294" max="1294" width="13" style="415" customWidth="1"/>
    <col min="1295" max="1295" width="10.85546875" style="415" bestFit="1" customWidth="1"/>
    <col min="1296" max="1536" width="9.140625" style="415"/>
    <col min="1537" max="1537" width="4.5703125" style="415" customWidth="1"/>
    <col min="1538" max="1538" width="22.7109375" style="415" customWidth="1"/>
    <col min="1539" max="1539" width="9.42578125" style="415" customWidth="1"/>
    <col min="1540" max="1540" width="6.42578125" style="415" customWidth="1"/>
    <col min="1541" max="1542" width="5.85546875" style="415" customWidth="1"/>
    <col min="1543" max="1543" width="6.42578125" style="415" customWidth="1"/>
    <col min="1544" max="1545" width="13.140625" style="415" customWidth="1"/>
    <col min="1546" max="1546" width="8" style="415" customWidth="1"/>
    <col min="1547" max="1547" width="10.7109375" style="415" customWidth="1"/>
    <col min="1548" max="1548" width="9.7109375" style="415" customWidth="1"/>
    <col min="1549" max="1549" width="10" style="415" customWidth="1"/>
    <col min="1550" max="1550" width="13" style="415" customWidth="1"/>
    <col min="1551" max="1551" width="10.85546875" style="415" bestFit="1" customWidth="1"/>
    <col min="1552" max="1792" width="9.140625" style="415"/>
    <col min="1793" max="1793" width="4.5703125" style="415" customWidth="1"/>
    <col min="1794" max="1794" width="22.7109375" style="415" customWidth="1"/>
    <col min="1795" max="1795" width="9.42578125" style="415" customWidth="1"/>
    <col min="1796" max="1796" width="6.42578125" style="415" customWidth="1"/>
    <col min="1797" max="1798" width="5.85546875" style="415" customWidth="1"/>
    <col min="1799" max="1799" width="6.42578125" style="415" customWidth="1"/>
    <col min="1800" max="1801" width="13.140625" style="415" customWidth="1"/>
    <col min="1802" max="1802" width="8" style="415" customWidth="1"/>
    <col min="1803" max="1803" width="10.7109375" style="415" customWidth="1"/>
    <col min="1804" max="1804" width="9.7109375" style="415" customWidth="1"/>
    <col min="1805" max="1805" width="10" style="415" customWidth="1"/>
    <col min="1806" max="1806" width="13" style="415" customWidth="1"/>
    <col min="1807" max="1807" width="10.85546875" style="415" bestFit="1" customWidth="1"/>
    <col min="1808" max="2048" width="9.140625" style="415"/>
    <col min="2049" max="2049" width="4.5703125" style="415" customWidth="1"/>
    <col min="2050" max="2050" width="22.7109375" style="415" customWidth="1"/>
    <col min="2051" max="2051" width="9.42578125" style="415" customWidth="1"/>
    <col min="2052" max="2052" width="6.42578125" style="415" customWidth="1"/>
    <col min="2053" max="2054" width="5.85546875" style="415" customWidth="1"/>
    <col min="2055" max="2055" width="6.42578125" style="415" customWidth="1"/>
    <col min="2056" max="2057" width="13.140625" style="415" customWidth="1"/>
    <col min="2058" max="2058" width="8" style="415" customWidth="1"/>
    <col min="2059" max="2059" width="10.7109375" style="415" customWidth="1"/>
    <col min="2060" max="2060" width="9.7109375" style="415" customWidth="1"/>
    <col min="2061" max="2061" width="10" style="415" customWidth="1"/>
    <col min="2062" max="2062" width="13" style="415" customWidth="1"/>
    <col min="2063" max="2063" width="10.85546875" style="415" bestFit="1" customWidth="1"/>
    <col min="2064" max="2304" width="9.140625" style="415"/>
    <col min="2305" max="2305" width="4.5703125" style="415" customWidth="1"/>
    <col min="2306" max="2306" width="22.7109375" style="415" customWidth="1"/>
    <col min="2307" max="2307" width="9.42578125" style="415" customWidth="1"/>
    <col min="2308" max="2308" width="6.42578125" style="415" customWidth="1"/>
    <col min="2309" max="2310" width="5.85546875" style="415" customWidth="1"/>
    <col min="2311" max="2311" width="6.42578125" style="415" customWidth="1"/>
    <col min="2312" max="2313" width="13.140625" style="415" customWidth="1"/>
    <col min="2314" max="2314" width="8" style="415" customWidth="1"/>
    <col min="2315" max="2315" width="10.7109375" style="415" customWidth="1"/>
    <col min="2316" max="2316" width="9.7109375" style="415" customWidth="1"/>
    <col min="2317" max="2317" width="10" style="415" customWidth="1"/>
    <col min="2318" max="2318" width="13" style="415" customWidth="1"/>
    <col min="2319" max="2319" width="10.85546875" style="415" bestFit="1" customWidth="1"/>
    <col min="2320" max="2560" width="9.140625" style="415"/>
    <col min="2561" max="2561" width="4.5703125" style="415" customWidth="1"/>
    <col min="2562" max="2562" width="22.7109375" style="415" customWidth="1"/>
    <col min="2563" max="2563" width="9.42578125" style="415" customWidth="1"/>
    <col min="2564" max="2564" width="6.42578125" style="415" customWidth="1"/>
    <col min="2565" max="2566" width="5.85546875" style="415" customWidth="1"/>
    <col min="2567" max="2567" width="6.42578125" style="415" customWidth="1"/>
    <col min="2568" max="2569" width="13.140625" style="415" customWidth="1"/>
    <col min="2570" max="2570" width="8" style="415" customWidth="1"/>
    <col min="2571" max="2571" width="10.7109375" style="415" customWidth="1"/>
    <col min="2572" max="2572" width="9.7109375" style="415" customWidth="1"/>
    <col min="2573" max="2573" width="10" style="415" customWidth="1"/>
    <col min="2574" max="2574" width="13" style="415" customWidth="1"/>
    <col min="2575" max="2575" width="10.85546875" style="415" bestFit="1" customWidth="1"/>
    <col min="2576" max="2816" width="9.140625" style="415"/>
    <col min="2817" max="2817" width="4.5703125" style="415" customWidth="1"/>
    <col min="2818" max="2818" width="22.7109375" style="415" customWidth="1"/>
    <col min="2819" max="2819" width="9.42578125" style="415" customWidth="1"/>
    <col min="2820" max="2820" width="6.42578125" style="415" customWidth="1"/>
    <col min="2821" max="2822" width="5.85546875" style="415" customWidth="1"/>
    <col min="2823" max="2823" width="6.42578125" style="415" customWidth="1"/>
    <col min="2824" max="2825" width="13.140625" style="415" customWidth="1"/>
    <col min="2826" max="2826" width="8" style="415" customWidth="1"/>
    <col min="2827" max="2827" width="10.7109375" style="415" customWidth="1"/>
    <col min="2828" max="2828" width="9.7109375" style="415" customWidth="1"/>
    <col min="2829" max="2829" width="10" style="415" customWidth="1"/>
    <col min="2830" max="2830" width="13" style="415" customWidth="1"/>
    <col min="2831" max="2831" width="10.85546875" style="415" bestFit="1" customWidth="1"/>
    <col min="2832" max="3072" width="9.140625" style="415"/>
    <col min="3073" max="3073" width="4.5703125" style="415" customWidth="1"/>
    <col min="3074" max="3074" width="22.7109375" style="415" customWidth="1"/>
    <col min="3075" max="3075" width="9.42578125" style="415" customWidth="1"/>
    <col min="3076" max="3076" width="6.42578125" style="415" customWidth="1"/>
    <col min="3077" max="3078" width="5.85546875" style="415" customWidth="1"/>
    <col min="3079" max="3079" width="6.42578125" style="415" customWidth="1"/>
    <col min="3080" max="3081" width="13.140625" style="415" customWidth="1"/>
    <col min="3082" max="3082" width="8" style="415" customWidth="1"/>
    <col min="3083" max="3083" width="10.7109375" style="415" customWidth="1"/>
    <col min="3084" max="3084" width="9.7109375" style="415" customWidth="1"/>
    <col min="3085" max="3085" width="10" style="415" customWidth="1"/>
    <col min="3086" max="3086" width="13" style="415" customWidth="1"/>
    <col min="3087" max="3087" width="10.85546875" style="415" bestFit="1" customWidth="1"/>
    <col min="3088" max="3328" width="9.140625" style="415"/>
    <col min="3329" max="3329" width="4.5703125" style="415" customWidth="1"/>
    <col min="3330" max="3330" width="22.7109375" style="415" customWidth="1"/>
    <col min="3331" max="3331" width="9.42578125" style="415" customWidth="1"/>
    <col min="3332" max="3332" width="6.42578125" style="415" customWidth="1"/>
    <col min="3333" max="3334" width="5.85546875" style="415" customWidth="1"/>
    <col min="3335" max="3335" width="6.42578125" style="415" customWidth="1"/>
    <col min="3336" max="3337" width="13.140625" style="415" customWidth="1"/>
    <col min="3338" max="3338" width="8" style="415" customWidth="1"/>
    <col min="3339" max="3339" width="10.7109375" style="415" customWidth="1"/>
    <col min="3340" max="3340" width="9.7109375" style="415" customWidth="1"/>
    <col min="3341" max="3341" width="10" style="415" customWidth="1"/>
    <col min="3342" max="3342" width="13" style="415" customWidth="1"/>
    <col min="3343" max="3343" width="10.85546875" style="415" bestFit="1" customWidth="1"/>
    <col min="3344" max="3584" width="9.140625" style="415"/>
    <col min="3585" max="3585" width="4.5703125" style="415" customWidth="1"/>
    <col min="3586" max="3586" width="22.7109375" style="415" customWidth="1"/>
    <col min="3587" max="3587" width="9.42578125" style="415" customWidth="1"/>
    <col min="3588" max="3588" width="6.42578125" style="415" customWidth="1"/>
    <col min="3589" max="3590" width="5.85546875" style="415" customWidth="1"/>
    <col min="3591" max="3591" width="6.42578125" style="415" customWidth="1"/>
    <col min="3592" max="3593" width="13.140625" style="415" customWidth="1"/>
    <col min="3594" max="3594" width="8" style="415" customWidth="1"/>
    <col min="3595" max="3595" width="10.7109375" style="415" customWidth="1"/>
    <col min="3596" max="3596" width="9.7109375" style="415" customWidth="1"/>
    <col min="3597" max="3597" width="10" style="415" customWidth="1"/>
    <col min="3598" max="3598" width="13" style="415" customWidth="1"/>
    <col min="3599" max="3599" width="10.85546875" style="415" bestFit="1" customWidth="1"/>
    <col min="3600" max="3840" width="9.140625" style="415"/>
    <col min="3841" max="3841" width="4.5703125" style="415" customWidth="1"/>
    <col min="3842" max="3842" width="22.7109375" style="415" customWidth="1"/>
    <col min="3843" max="3843" width="9.42578125" style="415" customWidth="1"/>
    <col min="3844" max="3844" width="6.42578125" style="415" customWidth="1"/>
    <col min="3845" max="3846" width="5.85546875" style="415" customWidth="1"/>
    <col min="3847" max="3847" width="6.42578125" style="415" customWidth="1"/>
    <col min="3848" max="3849" width="13.140625" style="415" customWidth="1"/>
    <col min="3850" max="3850" width="8" style="415" customWidth="1"/>
    <col min="3851" max="3851" width="10.7109375" style="415" customWidth="1"/>
    <col min="3852" max="3852" width="9.7109375" style="415" customWidth="1"/>
    <col min="3853" max="3853" width="10" style="415" customWidth="1"/>
    <col min="3854" max="3854" width="13" style="415" customWidth="1"/>
    <col min="3855" max="3855" width="10.85546875" style="415" bestFit="1" customWidth="1"/>
    <col min="3856" max="4096" width="9.140625" style="415"/>
    <col min="4097" max="4097" width="4.5703125" style="415" customWidth="1"/>
    <col min="4098" max="4098" width="22.7109375" style="415" customWidth="1"/>
    <col min="4099" max="4099" width="9.42578125" style="415" customWidth="1"/>
    <col min="4100" max="4100" width="6.42578125" style="415" customWidth="1"/>
    <col min="4101" max="4102" width="5.85546875" style="415" customWidth="1"/>
    <col min="4103" max="4103" width="6.42578125" style="415" customWidth="1"/>
    <col min="4104" max="4105" width="13.140625" style="415" customWidth="1"/>
    <col min="4106" max="4106" width="8" style="415" customWidth="1"/>
    <col min="4107" max="4107" width="10.7109375" style="415" customWidth="1"/>
    <col min="4108" max="4108" width="9.7109375" style="415" customWidth="1"/>
    <col min="4109" max="4109" width="10" style="415" customWidth="1"/>
    <col min="4110" max="4110" width="13" style="415" customWidth="1"/>
    <col min="4111" max="4111" width="10.85546875" style="415" bestFit="1" customWidth="1"/>
    <col min="4112" max="4352" width="9.140625" style="415"/>
    <col min="4353" max="4353" width="4.5703125" style="415" customWidth="1"/>
    <col min="4354" max="4354" width="22.7109375" style="415" customWidth="1"/>
    <col min="4355" max="4355" width="9.42578125" style="415" customWidth="1"/>
    <col min="4356" max="4356" width="6.42578125" style="415" customWidth="1"/>
    <col min="4357" max="4358" width="5.85546875" style="415" customWidth="1"/>
    <col min="4359" max="4359" width="6.42578125" style="415" customWidth="1"/>
    <col min="4360" max="4361" width="13.140625" style="415" customWidth="1"/>
    <col min="4362" max="4362" width="8" style="415" customWidth="1"/>
    <col min="4363" max="4363" width="10.7109375" style="415" customWidth="1"/>
    <col min="4364" max="4364" width="9.7109375" style="415" customWidth="1"/>
    <col min="4365" max="4365" width="10" style="415" customWidth="1"/>
    <col min="4366" max="4366" width="13" style="415" customWidth="1"/>
    <col min="4367" max="4367" width="10.85546875" style="415" bestFit="1" customWidth="1"/>
    <col min="4368" max="4608" width="9.140625" style="415"/>
    <col min="4609" max="4609" width="4.5703125" style="415" customWidth="1"/>
    <col min="4610" max="4610" width="22.7109375" style="415" customWidth="1"/>
    <col min="4611" max="4611" width="9.42578125" style="415" customWidth="1"/>
    <col min="4612" max="4612" width="6.42578125" style="415" customWidth="1"/>
    <col min="4613" max="4614" width="5.85546875" style="415" customWidth="1"/>
    <col min="4615" max="4615" width="6.42578125" style="415" customWidth="1"/>
    <col min="4616" max="4617" width="13.140625" style="415" customWidth="1"/>
    <col min="4618" max="4618" width="8" style="415" customWidth="1"/>
    <col min="4619" max="4619" width="10.7109375" style="415" customWidth="1"/>
    <col min="4620" max="4620" width="9.7109375" style="415" customWidth="1"/>
    <col min="4621" max="4621" width="10" style="415" customWidth="1"/>
    <col min="4622" max="4622" width="13" style="415" customWidth="1"/>
    <col min="4623" max="4623" width="10.85546875" style="415" bestFit="1" customWidth="1"/>
    <col min="4624" max="4864" width="9.140625" style="415"/>
    <col min="4865" max="4865" width="4.5703125" style="415" customWidth="1"/>
    <col min="4866" max="4866" width="22.7109375" style="415" customWidth="1"/>
    <col min="4867" max="4867" width="9.42578125" style="415" customWidth="1"/>
    <col min="4868" max="4868" width="6.42578125" style="415" customWidth="1"/>
    <col min="4869" max="4870" width="5.85546875" style="415" customWidth="1"/>
    <col min="4871" max="4871" width="6.42578125" style="415" customWidth="1"/>
    <col min="4872" max="4873" width="13.140625" style="415" customWidth="1"/>
    <col min="4874" max="4874" width="8" style="415" customWidth="1"/>
    <col min="4875" max="4875" width="10.7109375" style="415" customWidth="1"/>
    <col min="4876" max="4876" width="9.7109375" style="415" customWidth="1"/>
    <col min="4877" max="4877" width="10" style="415" customWidth="1"/>
    <col min="4878" max="4878" width="13" style="415" customWidth="1"/>
    <col min="4879" max="4879" width="10.85546875" style="415" bestFit="1" customWidth="1"/>
    <col min="4880" max="5120" width="9.140625" style="415"/>
    <col min="5121" max="5121" width="4.5703125" style="415" customWidth="1"/>
    <col min="5122" max="5122" width="22.7109375" style="415" customWidth="1"/>
    <col min="5123" max="5123" width="9.42578125" style="415" customWidth="1"/>
    <col min="5124" max="5124" width="6.42578125" style="415" customWidth="1"/>
    <col min="5125" max="5126" width="5.85546875" style="415" customWidth="1"/>
    <col min="5127" max="5127" width="6.42578125" style="415" customWidth="1"/>
    <col min="5128" max="5129" width="13.140625" style="415" customWidth="1"/>
    <col min="5130" max="5130" width="8" style="415" customWidth="1"/>
    <col min="5131" max="5131" width="10.7109375" style="415" customWidth="1"/>
    <col min="5132" max="5132" width="9.7109375" style="415" customWidth="1"/>
    <col min="5133" max="5133" width="10" style="415" customWidth="1"/>
    <col min="5134" max="5134" width="13" style="415" customWidth="1"/>
    <col min="5135" max="5135" width="10.85546875" style="415" bestFit="1" customWidth="1"/>
    <col min="5136" max="5376" width="9.140625" style="415"/>
    <col min="5377" max="5377" width="4.5703125" style="415" customWidth="1"/>
    <col min="5378" max="5378" width="22.7109375" style="415" customWidth="1"/>
    <col min="5379" max="5379" width="9.42578125" style="415" customWidth="1"/>
    <col min="5380" max="5380" width="6.42578125" style="415" customWidth="1"/>
    <col min="5381" max="5382" width="5.85546875" style="415" customWidth="1"/>
    <col min="5383" max="5383" width="6.42578125" style="415" customWidth="1"/>
    <col min="5384" max="5385" width="13.140625" style="415" customWidth="1"/>
    <col min="5386" max="5386" width="8" style="415" customWidth="1"/>
    <col min="5387" max="5387" width="10.7109375" style="415" customWidth="1"/>
    <col min="5388" max="5388" width="9.7109375" style="415" customWidth="1"/>
    <col min="5389" max="5389" width="10" style="415" customWidth="1"/>
    <col min="5390" max="5390" width="13" style="415" customWidth="1"/>
    <col min="5391" max="5391" width="10.85546875" style="415" bestFit="1" customWidth="1"/>
    <col min="5392" max="5632" width="9.140625" style="415"/>
    <col min="5633" max="5633" width="4.5703125" style="415" customWidth="1"/>
    <col min="5634" max="5634" width="22.7109375" style="415" customWidth="1"/>
    <col min="5635" max="5635" width="9.42578125" style="415" customWidth="1"/>
    <col min="5636" max="5636" width="6.42578125" style="415" customWidth="1"/>
    <col min="5637" max="5638" width="5.85546875" style="415" customWidth="1"/>
    <col min="5639" max="5639" width="6.42578125" style="415" customWidth="1"/>
    <col min="5640" max="5641" width="13.140625" style="415" customWidth="1"/>
    <col min="5642" max="5642" width="8" style="415" customWidth="1"/>
    <col min="5643" max="5643" width="10.7109375" style="415" customWidth="1"/>
    <col min="5644" max="5644" width="9.7109375" style="415" customWidth="1"/>
    <col min="5645" max="5645" width="10" style="415" customWidth="1"/>
    <col min="5646" max="5646" width="13" style="415" customWidth="1"/>
    <col min="5647" max="5647" width="10.85546875" style="415" bestFit="1" customWidth="1"/>
    <col min="5648" max="5888" width="9.140625" style="415"/>
    <col min="5889" max="5889" width="4.5703125" style="415" customWidth="1"/>
    <col min="5890" max="5890" width="22.7109375" style="415" customWidth="1"/>
    <col min="5891" max="5891" width="9.42578125" style="415" customWidth="1"/>
    <col min="5892" max="5892" width="6.42578125" style="415" customWidth="1"/>
    <col min="5893" max="5894" width="5.85546875" style="415" customWidth="1"/>
    <col min="5895" max="5895" width="6.42578125" style="415" customWidth="1"/>
    <col min="5896" max="5897" width="13.140625" style="415" customWidth="1"/>
    <col min="5898" max="5898" width="8" style="415" customWidth="1"/>
    <col min="5899" max="5899" width="10.7109375" style="415" customWidth="1"/>
    <col min="5900" max="5900" width="9.7109375" style="415" customWidth="1"/>
    <col min="5901" max="5901" width="10" style="415" customWidth="1"/>
    <col min="5902" max="5902" width="13" style="415" customWidth="1"/>
    <col min="5903" max="5903" width="10.85546875" style="415" bestFit="1" customWidth="1"/>
    <col min="5904" max="6144" width="9.140625" style="415"/>
    <col min="6145" max="6145" width="4.5703125" style="415" customWidth="1"/>
    <col min="6146" max="6146" width="22.7109375" style="415" customWidth="1"/>
    <col min="6147" max="6147" width="9.42578125" style="415" customWidth="1"/>
    <col min="6148" max="6148" width="6.42578125" style="415" customWidth="1"/>
    <col min="6149" max="6150" width="5.85546875" style="415" customWidth="1"/>
    <col min="6151" max="6151" width="6.42578125" style="415" customWidth="1"/>
    <col min="6152" max="6153" width="13.140625" style="415" customWidth="1"/>
    <col min="6154" max="6154" width="8" style="415" customWidth="1"/>
    <col min="6155" max="6155" width="10.7109375" style="415" customWidth="1"/>
    <col min="6156" max="6156" width="9.7109375" style="415" customWidth="1"/>
    <col min="6157" max="6157" width="10" style="415" customWidth="1"/>
    <col min="6158" max="6158" width="13" style="415" customWidth="1"/>
    <col min="6159" max="6159" width="10.85546875" style="415" bestFit="1" customWidth="1"/>
    <col min="6160" max="6400" width="9.140625" style="415"/>
    <col min="6401" max="6401" width="4.5703125" style="415" customWidth="1"/>
    <col min="6402" max="6402" width="22.7109375" style="415" customWidth="1"/>
    <col min="6403" max="6403" width="9.42578125" style="415" customWidth="1"/>
    <col min="6404" max="6404" width="6.42578125" style="415" customWidth="1"/>
    <col min="6405" max="6406" width="5.85546875" style="415" customWidth="1"/>
    <col min="6407" max="6407" width="6.42578125" style="415" customWidth="1"/>
    <col min="6408" max="6409" width="13.140625" style="415" customWidth="1"/>
    <col min="6410" max="6410" width="8" style="415" customWidth="1"/>
    <col min="6411" max="6411" width="10.7109375" style="415" customWidth="1"/>
    <col min="6412" max="6412" width="9.7109375" style="415" customWidth="1"/>
    <col min="6413" max="6413" width="10" style="415" customWidth="1"/>
    <col min="6414" max="6414" width="13" style="415" customWidth="1"/>
    <col min="6415" max="6415" width="10.85546875" style="415" bestFit="1" customWidth="1"/>
    <col min="6416" max="6656" width="9.140625" style="415"/>
    <col min="6657" max="6657" width="4.5703125" style="415" customWidth="1"/>
    <col min="6658" max="6658" width="22.7109375" style="415" customWidth="1"/>
    <col min="6659" max="6659" width="9.42578125" style="415" customWidth="1"/>
    <col min="6660" max="6660" width="6.42578125" style="415" customWidth="1"/>
    <col min="6661" max="6662" width="5.85546875" style="415" customWidth="1"/>
    <col min="6663" max="6663" width="6.42578125" style="415" customWidth="1"/>
    <col min="6664" max="6665" width="13.140625" style="415" customWidth="1"/>
    <col min="6666" max="6666" width="8" style="415" customWidth="1"/>
    <col min="6667" max="6667" width="10.7109375" style="415" customWidth="1"/>
    <col min="6668" max="6668" width="9.7109375" style="415" customWidth="1"/>
    <col min="6669" max="6669" width="10" style="415" customWidth="1"/>
    <col min="6670" max="6670" width="13" style="415" customWidth="1"/>
    <col min="6671" max="6671" width="10.85546875" style="415" bestFit="1" customWidth="1"/>
    <col min="6672" max="6912" width="9.140625" style="415"/>
    <col min="6913" max="6913" width="4.5703125" style="415" customWidth="1"/>
    <col min="6914" max="6914" width="22.7109375" style="415" customWidth="1"/>
    <col min="6915" max="6915" width="9.42578125" style="415" customWidth="1"/>
    <col min="6916" max="6916" width="6.42578125" style="415" customWidth="1"/>
    <col min="6917" max="6918" width="5.85546875" style="415" customWidth="1"/>
    <col min="6919" max="6919" width="6.42578125" style="415" customWidth="1"/>
    <col min="6920" max="6921" width="13.140625" style="415" customWidth="1"/>
    <col min="6922" max="6922" width="8" style="415" customWidth="1"/>
    <col min="6923" max="6923" width="10.7109375" style="415" customWidth="1"/>
    <col min="6924" max="6924" width="9.7109375" style="415" customWidth="1"/>
    <col min="6925" max="6925" width="10" style="415" customWidth="1"/>
    <col min="6926" max="6926" width="13" style="415" customWidth="1"/>
    <col min="6927" max="6927" width="10.85546875" style="415" bestFit="1" customWidth="1"/>
    <col min="6928" max="7168" width="9.140625" style="415"/>
    <col min="7169" max="7169" width="4.5703125" style="415" customWidth="1"/>
    <col min="7170" max="7170" width="22.7109375" style="415" customWidth="1"/>
    <col min="7171" max="7171" width="9.42578125" style="415" customWidth="1"/>
    <col min="7172" max="7172" width="6.42578125" style="415" customWidth="1"/>
    <col min="7173" max="7174" width="5.85546875" style="415" customWidth="1"/>
    <col min="7175" max="7175" width="6.42578125" style="415" customWidth="1"/>
    <col min="7176" max="7177" width="13.140625" style="415" customWidth="1"/>
    <col min="7178" max="7178" width="8" style="415" customWidth="1"/>
    <col min="7179" max="7179" width="10.7109375" style="415" customWidth="1"/>
    <col min="7180" max="7180" width="9.7109375" style="415" customWidth="1"/>
    <col min="7181" max="7181" width="10" style="415" customWidth="1"/>
    <col min="7182" max="7182" width="13" style="415" customWidth="1"/>
    <col min="7183" max="7183" width="10.85546875" style="415" bestFit="1" customWidth="1"/>
    <col min="7184" max="7424" width="9.140625" style="415"/>
    <col min="7425" max="7425" width="4.5703125" style="415" customWidth="1"/>
    <col min="7426" max="7426" width="22.7109375" style="415" customWidth="1"/>
    <col min="7427" max="7427" width="9.42578125" style="415" customWidth="1"/>
    <col min="7428" max="7428" width="6.42578125" style="415" customWidth="1"/>
    <col min="7429" max="7430" width="5.85546875" style="415" customWidth="1"/>
    <col min="7431" max="7431" width="6.42578125" style="415" customWidth="1"/>
    <col min="7432" max="7433" width="13.140625" style="415" customWidth="1"/>
    <col min="7434" max="7434" width="8" style="415" customWidth="1"/>
    <col min="7435" max="7435" width="10.7109375" style="415" customWidth="1"/>
    <col min="7436" max="7436" width="9.7109375" style="415" customWidth="1"/>
    <col min="7437" max="7437" width="10" style="415" customWidth="1"/>
    <col min="7438" max="7438" width="13" style="415" customWidth="1"/>
    <col min="7439" max="7439" width="10.85546875" style="415" bestFit="1" customWidth="1"/>
    <col min="7440" max="7680" width="9.140625" style="415"/>
    <col min="7681" max="7681" width="4.5703125" style="415" customWidth="1"/>
    <col min="7682" max="7682" width="22.7109375" style="415" customWidth="1"/>
    <col min="7683" max="7683" width="9.42578125" style="415" customWidth="1"/>
    <col min="7684" max="7684" width="6.42578125" style="415" customWidth="1"/>
    <col min="7685" max="7686" width="5.85546875" style="415" customWidth="1"/>
    <col min="7687" max="7687" width="6.42578125" style="415" customWidth="1"/>
    <col min="7688" max="7689" width="13.140625" style="415" customWidth="1"/>
    <col min="7690" max="7690" width="8" style="415" customWidth="1"/>
    <col min="7691" max="7691" width="10.7109375" style="415" customWidth="1"/>
    <col min="7692" max="7692" width="9.7109375" style="415" customWidth="1"/>
    <col min="7693" max="7693" width="10" style="415" customWidth="1"/>
    <col min="7694" max="7694" width="13" style="415" customWidth="1"/>
    <col min="7695" max="7695" width="10.85546875" style="415" bestFit="1" customWidth="1"/>
    <col min="7696" max="7936" width="9.140625" style="415"/>
    <col min="7937" max="7937" width="4.5703125" style="415" customWidth="1"/>
    <col min="7938" max="7938" width="22.7109375" style="415" customWidth="1"/>
    <col min="7939" max="7939" width="9.42578125" style="415" customWidth="1"/>
    <col min="7940" max="7940" width="6.42578125" style="415" customWidth="1"/>
    <col min="7941" max="7942" width="5.85546875" style="415" customWidth="1"/>
    <col min="7943" max="7943" width="6.42578125" style="415" customWidth="1"/>
    <col min="7944" max="7945" width="13.140625" style="415" customWidth="1"/>
    <col min="7946" max="7946" width="8" style="415" customWidth="1"/>
    <col min="7947" max="7947" width="10.7109375" style="415" customWidth="1"/>
    <col min="7948" max="7948" width="9.7109375" style="415" customWidth="1"/>
    <col min="7949" max="7949" width="10" style="415" customWidth="1"/>
    <col min="7950" max="7950" width="13" style="415" customWidth="1"/>
    <col min="7951" max="7951" width="10.85546875" style="415" bestFit="1" customWidth="1"/>
    <col min="7952" max="8192" width="9.140625" style="415"/>
    <col min="8193" max="8193" width="4.5703125" style="415" customWidth="1"/>
    <col min="8194" max="8194" width="22.7109375" style="415" customWidth="1"/>
    <col min="8195" max="8195" width="9.42578125" style="415" customWidth="1"/>
    <col min="8196" max="8196" width="6.42578125" style="415" customWidth="1"/>
    <col min="8197" max="8198" width="5.85546875" style="415" customWidth="1"/>
    <col min="8199" max="8199" width="6.42578125" style="415" customWidth="1"/>
    <col min="8200" max="8201" width="13.140625" style="415" customWidth="1"/>
    <col min="8202" max="8202" width="8" style="415" customWidth="1"/>
    <col min="8203" max="8203" width="10.7109375" style="415" customWidth="1"/>
    <col min="8204" max="8204" width="9.7109375" style="415" customWidth="1"/>
    <col min="8205" max="8205" width="10" style="415" customWidth="1"/>
    <col min="8206" max="8206" width="13" style="415" customWidth="1"/>
    <col min="8207" max="8207" width="10.85546875" style="415" bestFit="1" customWidth="1"/>
    <col min="8208" max="8448" width="9.140625" style="415"/>
    <col min="8449" max="8449" width="4.5703125" style="415" customWidth="1"/>
    <col min="8450" max="8450" width="22.7109375" style="415" customWidth="1"/>
    <col min="8451" max="8451" width="9.42578125" style="415" customWidth="1"/>
    <col min="8452" max="8452" width="6.42578125" style="415" customWidth="1"/>
    <col min="8453" max="8454" width="5.85546875" style="415" customWidth="1"/>
    <col min="8455" max="8455" width="6.42578125" style="415" customWidth="1"/>
    <col min="8456" max="8457" width="13.140625" style="415" customWidth="1"/>
    <col min="8458" max="8458" width="8" style="415" customWidth="1"/>
    <col min="8459" max="8459" width="10.7109375" style="415" customWidth="1"/>
    <col min="8460" max="8460" width="9.7109375" style="415" customWidth="1"/>
    <col min="8461" max="8461" width="10" style="415" customWidth="1"/>
    <col min="8462" max="8462" width="13" style="415" customWidth="1"/>
    <col min="8463" max="8463" width="10.85546875" style="415" bestFit="1" customWidth="1"/>
    <col min="8464" max="8704" width="9.140625" style="415"/>
    <col min="8705" max="8705" width="4.5703125" style="415" customWidth="1"/>
    <col min="8706" max="8706" width="22.7109375" style="415" customWidth="1"/>
    <col min="8707" max="8707" width="9.42578125" style="415" customWidth="1"/>
    <col min="8708" max="8708" width="6.42578125" style="415" customWidth="1"/>
    <col min="8709" max="8710" width="5.85546875" style="415" customWidth="1"/>
    <col min="8711" max="8711" width="6.42578125" style="415" customWidth="1"/>
    <col min="8712" max="8713" width="13.140625" style="415" customWidth="1"/>
    <col min="8714" max="8714" width="8" style="415" customWidth="1"/>
    <col min="8715" max="8715" width="10.7109375" style="415" customWidth="1"/>
    <col min="8716" max="8716" width="9.7109375" style="415" customWidth="1"/>
    <col min="8717" max="8717" width="10" style="415" customWidth="1"/>
    <col min="8718" max="8718" width="13" style="415" customWidth="1"/>
    <col min="8719" max="8719" width="10.85546875" style="415" bestFit="1" customWidth="1"/>
    <col min="8720" max="8960" width="9.140625" style="415"/>
    <col min="8961" max="8961" width="4.5703125" style="415" customWidth="1"/>
    <col min="8962" max="8962" width="22.7109375" style="415" customWidth="1"/>
    <col min="8963" max="8963" width="9.42578125" style="415" customWidth="1"/>
    <col min="8964" max="8964" width="6.42578125" style="415" customWidth="1"/>
    <col min="8965" max="8966" width="5.85546875" style="415" customWidth="1"/>
    <col min="8967" max="8967" width="6.42578125" style="415" customWidth="1"/>
    <col min="8968" max="8969" width="13.140625" style="415" customWidth="1"/>
    <col min="8970" max="8970" width="8" style="415" customWidth="1"/>
    <col min="8971" max="8971" width="10.7109375" style="415" customWidth="1"/>
    <col min="8972" max="8972" width="9.7109375" style="415" customWidth="1"/>
    <col min="8973" max="8973" width="10" style="415" customWidth="1"/>
    <col min="8974" max="8974" width="13" style="415" customWidth="1"/>
    <col min="8975" max="8975" width="10.85546875" style="415" bestFit="1" customWidth="1"/>
    <col min="8976" max="9216" width="9.140625" style="415"/>
    <col min="9217" max="9217" width="4.5703125" style="415" customWidth="1"/>
    <col min="9218" max="9218" width="22.7109375" style="415" customWidth="1"/>
    <col min="9219" max="9219" width="9.42578125" style="415" customWidth="1"/>
    <col min="9220" max="9220" width="6.42578125" style="415" customWidth="1"/>
    <col min="9221" max="9222" width="5.85546875" style="415" customWidth="1"/>
    <col min="9223" max="9223" width="6.42578125" style="415" customWidth="1"/>
    <col min="9224" max="9225" width="13.140625" style="415" customWidth="1"/>
    <col min="9226" max="9226" width="8" style="415" customWidth="1"/>
    <col min="9227" max="9227" width="10.7109375" style="415" customWidth="1"/>
    <col min="9228" max="9228" width="9.7109375" style="415" customWidth="1"/>
    <col min="9229" max="9229" width="10" style="415" customWidth="1"/>
    <col min="9230" max="9230" width="13" style="415" customWidth="1"/>
    <col min="9231" max="9231" width="10.85546875" style="415" bestFit="1" customWidth="1"/>
    <col min="9232" max="9472" width="9.140625" style="415"/>
    <col min="9473" max="9473" width="4.5703125" style="415" customWidth="1"/>
    <col min="9474" max="9474" width="22.7109375" style="415" customWidth="1"/>
    <col min="9475" max="9475" width="9.42578125" style="415" customWidth="1"/>
    <col min="9476" max="9476" width="6.42578125" style="415" customWidth="1"/>
    <col min="9477" max="9478" width="5.85546875" style="415" customWidth="1"/>
    <col min="9479" max="9479" width="6.42578125" style="415" customWidth="1"/>
    <col min="9480" max="9481" width="13.140625" style="415" customWidth="1"/>
    <col min="9482" max="9482" width="8" style="415" customWidth="1"/>
    <col min="9483" max="9483" width="10.7109375" style="415" customWidth="1"/>
    <col min="9484" max="9484" width="9.7109375" style="415" customWidth="1"/>
    <col min="9485" max="9485" width="10" style="415" customWidth="1"/>
    <col min="9486" max="9486" width="13" style="415" customWidth="1"/>
    <col min="9487" max="9487" width="10.85546875" style="415" bestFit="1" customWidth="1"/>
    <col min="9488" max="9728" width="9.140625" style="415"/>
    <col min="9729" max="9729" width="4.5703125" style="415" customWidth="1"/>
    <col min="9730" max="9730" width="22.7109375" style="415" customWidth="1"/>
    <col min="9731" max="9731" width="9.42578125" style="415" customWidth="1"/>
    <col min="9732" max="9732" width="6.42578125" style="415" customWidth="1"/>
    <col min="9733" max="9734" width="5.85546875" style="415" customWidth="1"/>
    <col min="9735" max="9735" width="6.42578125" style="415" customWidth="1"/>
    <col min="9736" max="9737" width="13.140625" style="415" customWidth="1"/>
    <col min="9738" max="9738" width="8" style="415" customWidth="1"/>
    <col min="9739" max="9739" width="10.7109375" style="415" customWidth="1"/>
    <col min="9740" max="9740" width="9.7109375" style="415" customWidth="1"/>
    <col min="9741" max="9741" width="10" style="415" customWidth="1"/>
    <col min="9742" max="9742" width="13" style="415" customWidth="1"/>
    <col min="9743" max="9743" width="10.85546875" style="415" bestFit="1" customWidth="1"/>
    <col min="9744" max="9984" width="9.140625" style="415"/>
    <col min="9985" max="9985" width="4.5703125" style="415" customWidth="1"/>
    <col min="9986" max="9986" width="22.7109375" style="415" customWidth="1"/>
    <col min="9987" max="9987" width="9.42578125" style="415" customWidth="1"/>
    <col min="9988" max="9988" width="6.42578125" style="415" customWidth="1"/>
    <col min="9989" max="9990" width="5.85546875" style="415" customWidth="1"/>
    <col min="9991" max="9991" width="6.42578125" style="415" customWidth="1"/>
    <col min="9992" max="9993" width="13.140625" style="415" customWidth="1"/>
    <col min="9994" max="9994" width="8" style="415" customWidth="1"/>
    <col min="9995" max="9995" width="10.7109375" style="415" customWidth="1"/>
    <col min="9996" max="9996" width="9.7109375" style="415" customWidth="1"/>
    <col min="9997" max="9997" width="10" style="415" customWidth="1"/>
    <col min="9998" max="9998" width="13" style="415" customWidth="1"/>
    <col min="9999" max="9999" width="10.85546875" style="415" bestFit="1" customWidth="1"/>
    <col min="10000" max="10240" width="9.140625" style="415"/>
    <col min="10241" max="10241" width="4.5703125" style="415" customWidth="1"/>
    <col min="10242" max="10242" width="22.7109375" style="415" customWidth="1"/>
    <col min="10243" max="10243" width="9.42578125" style="415" customWidth="1"/>
    <col min="10244" max="10244" width="6.42578125" style="415" customWidth="1"/>
    <col min="10245" max="10246" width="5.85546875" style="415" customWidth="1"/>
    <col min="10247" max="10247" width="6.42578125" style="415" customWidth="1"/>
    <col min="10248" max="10249" width="13.140625" style="415" customWidth="1"/>
    <col min="10250" max="10250" width="8" style="415" customWidth="1"/>
    <col min="10251" max="10251" width="10.7109375" style="415" customWidth="1"/>
    <col min="10252" max="10252" width="9.7109375" style="415" customWidth="1"/>
    <col min="10253" max="10253" width="10" style="415" customWidth="1"/>
    <col min="10254" max="10254" width="13" style="415" customWidth="1"/>
    <col min="10255" max="10255" width="10.85546875" style="415" bestFit="1" customWidth="1"/>
    <col min="10256" max="10496" width="9.140625" style="415"/>
    <col min="10497" max="10497" width="4.5703125" style="415" customWidth="1"/>
    <col min="10498" max="10498" width="22.7109375" style="415" customWidth="1"/>
    <col min="10499" max="10499" width="9.42578125" style="415" customWidth="1"/>
    <col min="10500" max="10500" width="6.42578125" style="415" customWidth="1"/>
    <col min="10501" max="10502" width="5.85546875" style="415" customWidth="1"/>
    <col min="10503" max="10503" width="6.42578125" style="415" customWidth="1"/>
    <col min="10504" max="10505" width="13.140625" style="415" customWidth="1"/>
    <col min="10506" max="10506" width="8" style="415" customWidth="1"/>
    <col min="10507" max="10507" width="10.7109375" style="415" customWidth="1"/>
    <col min="10508" max="10508" width="9.7109375" style="415" customWidth="1"/>
    <col min="10509" max="10509" width="10" style="415" customWidth="1"/>
    <col min="10510" max="10510" width="13" style="415" customWidth="1"/>
    <col min="10511" max="10511" width="10.85546875" style="415" bestFit="1" customWidth="1"/>
    <col min="10512" max="10752" width="9.140625" style="415"/>
    <col min="10753" max="10753" width="4.5703125" style="415" customWidth="1"/>
    <col min="10754" max="10754" width="22.7109375" style="415" customWidth="1"/>
    <col min="10755" max="10755" width="9.42578125" style="415" customWidth="1"/>
    <col min="10756" max="10756" width="6.42578125" style="415" customWidth="1"/>
    <col min="10757" max="10758" width="5.85546875" style="415" customWidth="1"/>
    <col min="10759" max="10759" width="6.42578125" style="415" customWidth="1"/>
    <col min="10760" max="10761" width="13.140625" style="415" customWidth="1"/>
    <col min="10762" max="10762" width="8" style="415" customWidth="1"/>
    <col min="10763" max="10763" width="10.7109375" style="415" customWidth="1"/>
    <col min="10764" max="10764" width="9.7109375" style="415" customWidth="1"/>
    <col min="10765" max="10765" width="10" style="415" customWidth="1"/>
    <col min="10766" max="10766" width="13" style="415" customWidth="1"/>
    <col min="10767" max="10767" width="10.85546875" style="415" bestFit="1" customWidth="1"/>
    <col min="10768" max="11008" width="9.140625" style="415"/>
    <col min="11009" max="11009" width="4.5703125" style="415" customWidth="1"/>
    <col min="11010" max="11010" width="22.7109375" style="415" customWidth="1"/>
    <col min="11011" max="11011" width="9.42578125" style="415" customWidth="1"/>
    <col min="11012" max="11012" width="6.42578125" style="415" customWidth="1"/>
    <col min="11013" max="11014" width="5.85546875" style="415" customWidth="1"/>
    <col min="11015" max="11015" width="6.42578125" style="415" customWidth="1"/>
    <col min="11016" max="11017" width="13.140625" style="415" customWidth="1"/>
    <col min="11018" max="11018" width="8" style="415" customWidth="1"/>
    <col min="11019" max="11019" width="10.7109375" style="415" customWidth="1"/>
    <col min="11020" max="11020" width="9.7109375" style="415" customWidth="1"/>
    <col min="11021" max="11021" width="10" style="415" customWidth="1"/>
    <col min="11022" max="11022" width="13" style="415" customWidth="1"/>
    <col min="11023" max="11023" width="10.85546875" style="415" bestFit="1" customWidth="1"/>
    <col min="11024" max="11264" width="9.140625" style="415"/>
    <col min="11265" max="11265" width="4.5703125" style="415" customWidth="1"/>
    <col min="11266" max="11266" width="22.7109375" style="415" customWidth="1"/>
    <col min="11267" max="11267" width="9.42578125" style="415" customWidth="1"/>
    <col min="11268" max="11268" width="6.42578125" style="415" customWidth="1"/>
    <col min="11269" max="11270" width="5.85546875" style="415" customWidth="1"/>
    <col min="11271" max="11271" width="6.42578125" style="415" customWidth="1"/>
    <col min="11272" max="11273" width="13.140625" style="415" customWidth="1"/>
    <col min="11274" max="11274" width="8" style="415" customWidth="1"/>
    <col min="11275" max="11275" width="10.7109375" style="415" customWidth="1"/>
    <col min="11276" max="11276" width="9.7109375" style="415" customWidth="1"/>
    <col min="11277" max="11277" width="10" style="415" customWidth="1"/>
    <col min="11278" max="11278" width="13" style="415" customWidth="1"/>
    <col min="11279" max="11279" width="10.85546875" style="415" bestFit="1" customWidth="1"/>
    <col min="11280" max="11520" width="9.140625" style="415"/>
    <col min="11521" max="11521" width="4.5703125" style="415" customWidth="1"/>
    <col min="11522" max="11522" width="22.7109375" style="415" customWidth="1"/>
    <col min="11523" max="11523" width="9.42578125" style="415" customWidth="1"/>
    <col min="11524" max="11524" width="6.42578125" style="415" customWidth="1"/>
    <col min="11525" max="11526" width="5.85546875" style="415" customWidth="1"/>
    <col min="11527" max="11527" width="6.42578125" style="415" customWidth="1"/>
    <col min="11528" max="11529" width="13.140625" style="415" customWidth="1"/>
    <col min="11530" max="11530" width="8" style="415" customWidth="1"/>
    <col min="11531" max="11531" width="10.7109375" style="415" customWidth="1"/>
    <col min="11532" max="11532" width="9.7109375" style="415" customWidth="1"/>
    <col min="11533" max="11533" width="10" style="415" customWidth="1"/>
    <col min="11534" max="11534" width="13" style="415" customWidth="1"/>
    <col min="11535" max="11535" width="10.85546875" style="415" bestFit="1" customWidth="1"/>
    <col min="11536" max="11776" width="9.140625" style="415"/>
    <col min="11777" max="11777" width="4.5703125" style="415" customWidth="1"/>
    <col min="11778" max="11778" width="22.7109375" style="415" customWidth="1"/>
    <col min="11779" max="11779" width="9.42578125" style="415" customWidth="1"/>
    <col min="11780" max="11780" width="6.42578125" style="415" customWidth="1"/>
    <col min="11781" max="11782" width="5.85546875" style="415" customWidth="1"/>
    <col min="11783" max="11783" width="6.42578125" style="415" customWidth="1"/>
    <col min="11784" max="11785" width="13.140625" style="415" customWidth="1"/>
    <col min="11786" max="11786" width="8" style="415" customWidth="1"/>
    <col min="11787" max="11787" width="10.7109375" style="415" customWidth="1"/>
    <col min="11788" max="11788" width="9.7109375" style="415" customWidth="1"/>
    <col min="11789" max="11789" width="10" style="415" customWidth="1"/>
    <col min="11790" max="11790" width="13" style="415" customWidth="1"/>
    <col min="11791" max="11791" width="10.85546875" style="415" bestFit="1" customWidth="1"/>
    <col min="11792" max="12032" width="9.140625" style="415"/>
    <col min="12033" max="12033" width="4.5703125" style="415" customWidth="1"/>
    <col min="12034" max="12034" width="22.7109375" style="415" customWidth="1"/>
    <col min="12035" max="12035" width="9.42578125" style="415" customWidth="1"/>
    <col min="12036" max="12036" width="6.42578125" style="415" customWidth="1"/>
    <col min="12037" max="12038" width="5.85546875" style="415" customWidth="1"/>
    <col min="12039" max="12039" width="6.42578125" style="415" customWidth="1"/>
    <col min="12040" max="12041" width="13.140625" style="415" customWidth="1"/>
    <col min="12042" max="12042" width="8" style="415" customWidth="1"/>
    <col min="12043" max="12043" width="10.7109375" style="415" customWidth="1"/>
    <col min="12044" max="12044" width="9.7109375" style="415" customWidth="1"/>
    <col min="12045" max="12045" width="10" style="415" customWidth="1"/>
    <col min="12046" max="12046" width="13" style="415" customWidth="1"/>
    <col min="12047" max="12047" width="10.85546875" style="415" bestFit="1" customWidth="1"/>
    <col min="12048" max="12288" width="9.140625" style="415"/>
    <col min="12289" max="12289" width="4.5703125" style="415" customWidth="1"/>
    <col min="12290" max="12290" width="22.7109375" style="415" customWidth="1"/>
    <col min="12291" max="12291" width="9.42578125" style="415" customWidth="1"/>
    <col min="12292" max="12292" width="6.42578125" style="415" customWidth="1"/>
    <col min="12293" max="12294" width="5.85546875" style="415" customWidth="1"/>
    <col min="12295" max="12295" width="6.42578125" style="415" customWidth="1"/>
    <col min="12296" max="12297" width="13.140625" style="415" customWidth="1"/>
    <col min="12298" max="12298" width="8" style="415" customWidth="1"/>
    <col min="12299" max="12299" width="10.7109375" style="415" customWidth="1"/>
    <col min="12300" max="12300" width="9.7109375" style="415" customWidth="1"/>
    <col min="12301" max="12301" width="10" style="415" customWidth="1"/>
    <col min="12302" max="12302" width="13" style="415" customWidth="1"/>
    <col min="12303" max="12303" width="10.85546875" style="415" bestFit="1" customWidth="1"/>
    <col min="12304" max="12544" width="9.140625" style="415"/>
    <col min="12545" max="12545" width="4.5703125" style="415" customWidth="1"/>
    <col min="12546" max="12546" width="22.7109375" style="415" customWidth="1"/>
    <col min="12547" max="12547" width="9.42578125" style="415" customWidth="1"/>
    <col min="12548" max="12548" width="6.42578125" style="415" customWidth="1"/>
    <col min="12549" max="12550" width="5.85546875" style="415" customWidth="1"/>
    <col min="12551" max="12551" width="6.42578125" style="415" customWidth="1"/>
    <col min="12552" max="12553" width="13.140625" style="415" customWidth="1"/>
    <col min="12554" max="12554" width="8" style="415" customWidth="1"/>
    <col min="12555" max="12555" width="10.7109375" style="415" customWidth="1"/>
    <col min="12556" max="12556" width="9.7109375" style="415" customWidth="1"/>
    <col min="12557" max="12557" width="10" style="415" customWidth="1"/>
    <col min="12558" max="12558" width="13" style="415" customWidth="1"/>
    <col min="12559" max="12559" width="10.85546875" style="415" bestFit="1" customWidth="1"/>
    <col min="12560" max="12800" width="9.140625" style="415"/>
    <col min="12801" max="12801" width="4.5703125" style="415" customWidth="1"/>
    <col min="12802" max="12802" width="22.7109375" style="415" customWidth="1"/>
    <col min="12803" max="12803" width="9.42578125" style="415" customWidth="1"/>
    <col min="12804" max="12804" width="6.42578125" style="415" customWidth="1"/>
    <col min="12805" max="12806" width="5.85546875" style="415" customWidth="1"/>
    <col min="12807" max="12807" width="6.42578125" style="415" customWidth="1"/>
    <col min="12808" max="12809" width="13.140625" style="415" customWidth="1"/>
    <col min="12810" max="12810" width="8" style="415" customWidth="1"/>
    <col min="12811" max="12811" width="10.7109375" style="415" customWidth="1"/>
    <col min="12812" max="12812" width="9.7109375" style="415" customWidth="1"/>
    <col min="12813" max="12813" width="10" style="415" customWidth="1"/>
    <col min="12814" max="12814" width="13" style="415" customWidth="1"/>
    <col min="12815" max="12815" width="10.85546875" style="415" bestFit="1" customWidth="1"/>
    <col min="12816" max="13056" width="9.140625" style="415"/>
    <col min="13057" max="13057" width="4.5703125" style="415" customWidth="1"/>
    <col min="13058" max="13058" width="22.7109375" style="415" customWidth="1"/>
    <col min="13059" max="13059" width="9.42578125" style="415" customWidth="1"/>
    <col min="13060" max="13060" width="6.42578125" style="415" customWidth="1"/>
    <col min="13061" max="13062" width="5.85546875" style="415" customWidth="1"/>
    <col min="13063" max="13063" width="6.42578125" style="415" customWidth="1"/>
    <col min="13064" max="13065" width="13.140625" style="415" customWidth="1"/>
    <col min="13066" max="13066" width="8" style="415" customWidth="1"/>
    <col min="13067" max="13067" width="10.7109375" style="415" customWidth="1"/>
    <col min="13068" max="13068" width="9.7109375" style="415" customWidth="1"/>
    <col min="13069" max="13069" width="10" style="415" customWidth="1"/>
    <col min="13070" max="13070" width="13" style="415" customWidth="1"/>
    <col min="13071" max="13071" width="10.85546875" style="415" bestFit="1" customWidth="1"/>
    <col min="13072" max="13312" width="9.140625" style="415"/>
    <col min="13313" max="13313" width="4.5703125" style="415" customWidth="1"/>
    <col min="13314" max="13314" width="22.7109375" style="415" customWidth="1"/>
    <col min="13315" max="13315" width="9.42578125" style="415" customWidth="1"/>
    <col min="13316" max="13316" width="6.42578125" style="415" customWidth="1"/>
    <col min="13317" max="13318" width="5.85546875" style="415" customWidth="1"/>
    <col min="13319" max="13319" width="6.42578125" style="415" customWidth="1"/>
    <col min="13320" max="13321" width="13.140625" style="415" customWidth="1"/>
    <col min="13322" max="13322" width="8" style="415" customWidth="1"/>
    <col min="13323" max="13323" width="10.7109375" style="415" customWidth="1"/>
    <col min="13324" max="13324" width="9.7109375" style="415" customWidth="1"/>
    <col min="13325" max="13325" width="10" style="415" customWidth="1"/>
    <col min="13326" max="13326" width="13" style="415" customWidth="1"/>
    <col min="13327" max="13327" width="10.85546875" style="415" bestFit="1" customWidth="1"/>
    <col min="13328" max="13568" width="9.140625" style="415"/>
    <col min="13569" max="13569" width="4.5703125" style="415" customWidth="1"/>
    <col min="13570" max="13570" width="22.7109375" style="415" customWidth="1"/>
    <col min="13571" max="13571" width="9.42578125" style="415" customWidth="1"/>
    <col min="13572" max="13572" width="6.42578125" style="415" customWidth="1"/>
    <col min="13573" max="13574" width="5.85546875" style="415" customWidth="1"/>
    <col min="13575" max="13575" width="6.42578125" style="415" customWidth="1"/>
    <col min="13576" max="13577" width="13.140625" style="415" customWidth="1"/>
    <col min="13578" max="13578" width="8" style="415" customWidth="1"/>
    <col min="13579" max="13579" width="10.7109375" style="415" customWidth="1"/>
    <col min="13580" max="13580" width="9.7109375" style="415" customWidth="1"/>
    <col min="13581" max="13581" width="10" style="415" customWidth="1"/>
    <col min="13582" max="13582" width="13" style="415" customWidth="1"/>
    <col min="13583" max="13583" width="10.85546875" style="415" bestFit="1" customWidth="1"/>
    <col min="13584" max="13824" width="9.140625" style="415"/>
    <col min="13825" max="13825" width="4.5703125" style="415" customWidth="1"/>
    <col min="13826" max="13826" width="22.7109375" style="415" customWidth="1"/>
    <col min="13827" max="13827" width="9.42578125" style="415" customWidth="1"/>
    <col min="13828" max="13828" width="6.42578125" style="415" customWidth="1"/>
    <col min="13829" max="13830" width="5.85546875" style="415" customWidth="1"/>
    <col min="13831" max="13831" width="6.42578125" style="415" customWidth="1"/>
    <col min="13832" max="13833" width="13.140625" style="415" customWidth="1"/>
    <col min="13834" max="13834" width="8" style="415" customWidth="1"/>
    <col min="13835" max="13835" width="10.7109375" style="415" customWidth="1"/>
    <col min="13836" max="13836" width="9.7109375" style="415" customWidth="1"/>
    <col min="13837" max="13837" width="10" style="415" customWidth="1"/>
    <col min="13838" max="13838" width="13" style="415" customWidth="1"/>
    <col min="13839" max="13839" width="10.85546875" style="415" bestFit="1" customWidth="1"/>
    <col min="13840" max="14080" width="9.140625" style="415"/>
    <col min="14081" max="14081" width="4.5703125" style="415" customWidth="1"/>
    <col min="14082" max="14082" width="22.7109375" style="415" customWidth="1"/>
    <col min="14083" max="14083" width="9.42578125" style="415" customWidth="1"/>
    <col min="14084" max="14084" width="6.42578125" style="415" customWidth="1"/>
    <col min="14085" max="14086" width="5.85546875" style="415" customWidth="1"/>
    <col min="14087" max="14087" width="6.42578125" style="415" customWidth="1"/>
    <col min="14088" max="14089" width="13.140625" style="415" customWidth="1"/>
    <col min="14090" max="14090" width="8" style="415" customWidth="1"/>
    <col min="14091" max="14091" width="10.7109375" style="415" customWidth="1"/>
    <col min="14092" max="14092" width="9.7109375" style="415" customWidth="1"/>
    <col min="14093" max="14093" width="10" style="415" customWidth="1"/>
    <col min="14094" max="14094" width="13" style="415" customWidth="1"/>
    <col min="14095" max="14095" width="10.85546875" style="415" bestFit="1" customWidth="1"/>
    <col min="14096" max="14336" width="9.140625" style="415"/>
    <col min="14337" max="14337" width="4.5703125" style="415" customWidth="1"/>
    <col min="14338" max="14338" width="22.7109375" style="415" customWidth="1"/>
    <col min="14339" max="14339" width="9.42578125" style="415" customWidth="1"/>
    <col min="14340" max="14340" width="6.42578125" style="415" customWidth="1"/>
    <col min="14341" max="14342" width="5.85546875" style="415" customWidth="1"/>
    <col min="14343" max="14343" width="6.42578125" style="415" customWidth="1"/>
    <col min="14344" max="14345" width="13.140625" style="415" customWidth="1"/>
    <col min="14346" max="14346" width="8" style="415" customWidth="1"/>
    <col min="14347" max="14347" width="10.7109375" style="415" customWidth="1"/>
    <col min="14348" max="14348" width="9.7109375" style="415" customWidth="1"/>
    <col min="14349" max="14349" width="10" style="415" customWidth="1"/>
    <col min="14350" max="14350" width="13" style="415" customWidth="1"/>
    <col min="14351" max="14351" width="10.85546875" style="415" bestFit="1" customWidth="1"/>
    <col min="14352" max="14592" width="9.140625" style="415"/>
    <col min="14593" max="14593" width="4.5703125" style="415" customWidth="1"/>
    <col min="14594" max="14594" width="22.7109375" style="415" customWidth="1"/>
    <col min="14595" max="14595" width="9.42578125" style="415" customWidth="1"/>
    <col min="14596" max="14596" width="6.42578125" style="415" customWidth="1"/>
    <col min="14597" max="14598" width="5.85546875" style="415" customWidth="1"/>
    <col min="14599" max="14599" width="6.42578125" style="415" customWidth="1"/>
    <col min="14600" max="14601" width="13.140625" style="415" customWidth="1"/>
    <col min="14602" max="14602" width="8" style="415" customWidth="1"/>
    <col min="14603" max="14603" width="10.7109375" style="415" customWidth="1"/>
    <col min="14604" max="14604" width="9.7109375" style="415" customWidth="1"/>
    <col min="14605" max="14605" width="10" style="415" customWidth="1"/>
    <col min="14606" max="14606" width="13" style="415" customWidth="1"/>
    <col min="14607" max="14607" width="10.85546875" style="415" bestFit="1" customWidth="1"/>
    <col min="14608" max="14848" width="9.140625" style="415"/>
    <col min="14849" max="14849" width="4.5703125" style="415" customWidth="1"/>
    <col min="14850" max="14850" width="22.7109375" style="415" customWidth="1"/>
    <col min="14851" max="14851" width="9.42578125" style="415" customWidth="1"/>
    <col min="14852" max="14852" width="6.42578125" style="415" customWidth="1"/>
    <col min="14853" max="14854" width="5.85546875" style="415" customWidth="1"/>
    <col min="14855" max="14855" width="6.42578125" style="415" customWidth="1"/>
    <col min="14856" max="14857" width="13.140625" style="415" customWidth="1"/>
    <col min="14858" max="14858" width="8" style="415" customWidth="1"/>
    <col min="14859" max="14859" width="10.7109375" style="415" customWidth="1"/>
    <col min="14860" max="14860" width="9.7109375" style="415" customWidth="1"/>
    <col min="14861" max="14861" width="10" style="415" customWidth="1"/>
    <col min="14862" max="14862" width="13" style="415" customWidth="1"/>
    <col min="14863" max="14863" width="10.85546875" style="415" bestFit="1" customWidth="1"/>
    <col min="14864" max="15104" width="9.140625" style="415"/>
    <col min="15105" max="15105" width="4.5703125" style="415" customWidth="1"/>
    <col min="15106" max="15106" width="22.7109375" style="415" customWidth="1"/>
    <col min="15107" max="15107" width="9.42578125" style="415" customWidth="1"/>
    <col min="15108" max="15108" width="6.42578125" style="415" customWidth="1"/>
    <col min="15109" max="15110" width="5.85546875" style="415" customWidth="1"/>
    <col min="15111" max="15111" width="6.42578125" style="415" customWidth="1"/>
    <col min="15112" max="15113" width="13.140625" style="415" customWidth="1"/>
    <col min="15114" max="15114" width="8" style="415" customWidth="1"/>
    <col min="15115" max="15115" width="10.7109375" style="415" customWidth="1"/>
    <col min="15116" max="15116" width="9.7109375" style="415" customWidth="1"/>
    <col min="15117" max="15117" width="10" style="415" customWidth="1"/>
    <col min="15118" max="15118" width="13" style="415" customWidth="1"/>
    <col min="15119" max="15119" width="10.85546875" style="415" bestFit="1" customWidth="1"/>
    <col min="15120" max="15360" width="9.140625" style="415"/>
    <col min="15361" max="15361" width="4.5703125" style="415" customWidth="1"/>
    <col min="15362" max="15362" width="22.7109375" style="415" customWidth="1"/>
    <col min="15363" max="15363" width="9.42578125" style="415" customWidth="1"/>
    <col min="15364" max="15364" width="6.42578125" style="415" customWidth="1"/>
    <col min="15365" max="15366" width="5.85546875" style="415" customWidth="1"/>
    <col min="15367" max="15367" width="6.42578125" style="415" customWidth="1"/>
    <col min="15368" max="15369" width="13.140625" style="415" customWidth="1"/>
    <col min="15370" max="15370" width="8" style="415" customWidth="1"/>
    <col min="15371" max="15371" width="10.7109375" style="415" customWidth="1"/>
    <col min="15372" max="15372" width="9.7109375" style="415" customWidth="1"/>
    <col min="15373" max="15373" width="10" style="415" customWidth="1"/>
    <col min="15374" max="15374" width="13" style="415" customWidth="1"/>
    <col min="15375" max="15375" width="10.85546875" style="415" bestFit="1" customWidth="1"/>
    <col min="15376" max="15616" width="9.140625" style="415"/>
    <col min="15617" max="15617" width="4.5703125" style="415" customWidth="1"/>
    <col min="15618" max="15618" width="22.7109375" style="415" customWidth="1"/>
    <col min="15619" max="15619" width="9.42578125" style="415" customWidth="1"/>
    <col min="15620" max="15620" width="6.42578125" style="415" customWidth="1"/>
    <col min="15621" max="15622" width="5.85546875" style="415" customWidth="1"/>
    <col min="15623" max="15623" width="6.42578125" style="415" customWidth="1"/>
    <col min="15624" max="15625" width="13.140625" style="415" customWidth="1"/>
    <col min="15626" max="15626" width="8" style="415" customWidth="1"/>
    <col min="15627" max="15627" width="10.7109375" style="415" customWidth="1"/>
    <col min="15628" max="15628" width="9.7109375" style="415" customWidth="1"/>
    <col min="15629" max="15629" width="10" style="415" customWidth="1"/>
    <col min="15630" max="15630" width="13" style="415" customWidth="1"/>
    <col min="15631" max="15631" width="10.85546875" style="415" bestFit="1" customWidth="1"/>
    <col min="15632" max="15872" width="9.140625" style="415"/>
    <col min="15873" max="15873" width="4.5703125" style="415" customWidth="1"/>
    <col min="15874" max="15874" width="22.7109375" style="415" customWidth="1"/>
    <col min="15875" max="15875" width="9.42578125" style="415" customWidth="1"/>
    <col min="15876" max="15876" width="6.42578125" style="415" customWidth="1"/>
    <col min="15877" max="15878" width="5.85546875" style="415" customWidth="1"/>
    <col min="15879" max="15879" width="6.42578125" style="415" customWidth="1"/>
    <col min="15880" max="15881" width="13.140625" style="415" customWidth="1"/>
    <col min="15882" max="15882" width="8" style="415" customWidth="1"/>
    <col min="15883" max="15883" width="10.7109375" style="415" customWidth="1"/>
    <col min="15884" max="15884" width="9.7109375" style="415" customWidth="1"/>
    <col min="15885" max="15885" width="10" style="415" customWidth="1"/>
    <col min="15886" max="15886" width="13" style="415" customWidth="1"/>
    <col min="15887" max="15887" width="10.85546875" style="415" bestFit="1" customWidth="1"/>
    <col min="15888" max="16128" width="9.140625" style="415"/>
    <col min="16129" max="16129" width="4.5703125" style="415" customWidth="1"/>
    <col min="16130" max="16130" width="22.7109375" style="415" customWidth="1"/>
    <col min="16131" max="16131" width="9.42578125" style="415" customWidth="1"/>
    <col min="16132" max="16132" width="6.42578125" style="415" customWidth="1"/>
    <col min="16133" max="16134" width="5.85546875" style="415" customWidth="1"/>
    <col min="16135" max="16135" width="6.42578125" style="415" customWidth="1"/>
    <col min="16136" max="16137" width="13.140625" style="415" customWidth="1"/>
    <col min="16138" max="16138" width="8" style="415" customWidth="1"/>
    <col min="16139" max="16139" width="10.7109375" style="415" customWidth="1"/>
    <col min="16140" max="16140" width="9.7109375" style="415" customWidth="1"/>
    <col min="16141" max="16141" width="10" style="415" customWidth="1"/>
    <col min="16142" max="16142" width="13" style="415" customWidth="1"/>
    <col min="16143" max="16143" width="10.85546875" style="415" bestFit="1" customWidth="1"/>
    <col min="16144" max="16384" width="9.140625" style="415"/>
  </cols>
  <sheetData>
    <row r="1" spans="1:14" ht="15">
      <c r="A1" s="481" t="s">
        <v>818</v>
      </c>
      <c r="B1" s="481"/>
      <c r="C1" s="481"/>
      <c r="D1" s="481"/>
      <c r="E1" s="481"/>
      <c r="F1" s="57"/>
      <c r="G1" s="58"/>
      <c r="H1" s="145"/>
      <c r="I1" s="145"/>
      <c r="J1" s="270"/>
      <c r="K1" s="482" t="s">
        <v>819</v>
      </c>
      <c r="L1" s="482"/>
      <c r="M1" s="482"/>
      <c r="N1" s="482"/>
    </row>
    <row r="2" spans="1:14" ht="15">
      <c r="A2" s="481" t="s">
        <v>820</v>
      </c>
      <c r="B2" s="481"/>
      <c r="C2" s="481"/>
      <c r="D2" s="481"/>
      <c r="E2" s="481"/>
      <c r="F2" s="57"/>
      <c r="G2" s="58"/>
      <c r="H2" s="58"/>
      <c r="I2" s="58"/>
      <c r="J2" s="58"/>
      <c r="K2" s="58"/>
      <c r="L2" s="58"/>
      <c r="M2" s="58"/>
      <c r="N2" s="58"/>
    </row>
    <row r="3" spans="1:14" ht="45" customHeight="1">
      <c r="A3" s="483" t="s">
        <v>2763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</row>
    <row r="4" spans="1:14" ht="15.75">
      <c r="A4" s="484" t="s">
        <v>968</v>
      </c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</row>
    <row r="5" spans="1:14" ht="15.75">
      <c r="A5" s="479" t="s">
        <v>821</v>
      </c>
      <c r="B5" s="479"/>
      <c r="C5" s="479"/>
      <c r="D5" s="268"/>
      <c r="E5" s="480" t="s">
        <v>822</v>
      </c>
      <c r="F5" s="480"/>
      <c r="G5" s="480"/>
      <c r="H5" s="480"/>
      <c r="I5" s="480"/>
      <c r="J5" s="269"/>
      <c r="K5" s="479" t="s">
        <v>829</v>
      </c>
      <c r="L5" s="479"/>
      <c r="M5" s="479"/>
      <c r="N5" s="269"/>
    </row>
    <row r="6" spans="1:14" ht="15.75">
      <c r="A6" s="479" t="s">
        <v>949</v>
      </c>
      <c r="B6" s="479"/>
      <c r="C6" s="479"/>
      <c r="D6" s="268"/>
      <c r="E6" s="480" t="s">
        <v>824</v>
      </c>
      <c r="F6" s="480"/>
      <c r="G6" s="480"/>
      <c r="H6" s="480"/>
      <c r="I6" s="480"/>
      <c r="J6" s="269"/>
      <c r="K6" s="479" t="s">
        <v>823</v>
      </c>
      <c r="L6" s="479"/>
      <c r="M6" s="479"/>
      <c r="N6" s="269"/>
    </row>
    <row r="7" spans="1:14" ht="15.75">
      <c r="A7" s="479" t="s">
        <v>950</v>
      </c>
      <c r="B7" s="479"/>
      <c r="C7" s="479"/>
      <c r="D7" s="268"/>
      <c r="E7" s="480" t="s">
        <v>825</v>
      </c>
      <c r="F7" s="480"/>
      <c r="G7" s="480"/>
      <c r="H7" s="480"/>
      <c r="I7" s="480"/>
      <c r="J7" s="269"/>
      <c r="K7" s="479" t="s">
        <v>826</v>
      </c>
      <c r="L7" s="479"/>
      <c r="M7" s="479"/>
      <c r="N7" s="269"/>
    </row>
    <row r="8" spans="1:14" ht="15.75">
      <c r="A8" s="479" t="s">
        <v>2764</v>
      </c>
      <c r="B8" s="479"/>
      <c r="C8" s="479"/>
      <c r="D8" s="268"/>
      <c r="E8" s="480" t="s">
        <v>2765</v>
      </c>
      <c r="F8" s="480"/>
      <c r="G8" s="480"/>
      <c r="H8" s="480"/>
      <c r="I8" s="480"/>
      <c r="J8" s="269"/>
      <c r="K8" s="479" t="s">
        <v>830</v>
      </c>
      <c r="L8" s="479"/>
      <c r="M8" s="479"/>
      <c r="N8" s="269"/>
    </row>
    <row r="9" spans="1:14" ht="15.75">
      <c r="A9" s="479" t="s">
        <v>952</v>
      </c>
      <c r="B9" s="479"/>
      <c r="C9" s="479"/>
      <c r="D9" s="63"/>
      <c r="E9" s="63"/>
      <c r="F9" s="269"/>
      <c r="G9" s="269"/>
      <c r="H9" s="269"/>
      <c r="I9" s="269"/>
      <c r="J9" s="269"/>
      <c r="K9" s="269"/>
      <c r="L9" s="269"/>
      <c r="M9" s="269"/>
      <c r="N9" s="269"/>
    </row>
    <row r="10" spans="1:14" ht="15.75">
      <c r="A10" s="479" t="s">
        <v>827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9"/>
    </row>
    <row r="12" spans="1:14" ht="38.25">
      <c r="A12" s="532" t="s">
        <v>2190</v>
      </c>
      <c r="B12" s="532" t="s">
        <v>972</v>
      </c>
      <c r="C12" s="525" t="s">
        <v>973</v>
      </c>
      <c r="D12" s="525" t="s">
        <v>974</v>
      </c>
      <c r="E12" s="293" t="s">
        <v>4</v>
      </c>
      <c r="F12" s="407" t="s">
        <v>975</v>
      </c>
      <c r="G12" s="407" t="s">
        <v>6</v>
      </c>
      <c r="H12" s="525" t="s">
        <v>7</v>
      </c>
      <c r="I12" s="525" t="s">
        <v>8</v>
      </c>
      <c r="J12" s="532" t="s">
        <v>9</v>
      </c>
      <c r="K12" s="532" t="s">
        <v>10</v>
      </c>
      <c r="L12" s="532" t="s">
        <v>11</v>
      </c>
      <c r="M12" s="525" t="s">
        <v>12</v>
      </c>
      <c r="N12" s="532" t="s">
        <v>976</v>
      </c>
    </row>
    <row r="13" spans="1:14">
      <c r="A13" s="532"/>
      <c r="B13" s="532"/>
      <c r="C13" s="526"/>
      <c r="D13" s="526"/>
      <c r="E13" s="525" t="s">
        <v>14</v>
      </c>
      <c r="F13" s="525" t="s">
        <v>14</v>
      </c>
      <c r="G13" s="525" t="s">
        <v>14</v>
      </c>
      <c r="H13" s="526"/>
      <c r="I13" s="526"/>
      <c r="J13" s="549"/>
      <c r="K13" s="549"/>
      <c r="L13" s="532"/>
      <c r="M13" s="526"/>
      <c r="N13" s="549"/>
    </row>
    <row r="14" spans="1:14">
      <c r="A14" s="532"/>
      <c r="B14" s="532"/>
      <c r="C14" s="526"/>
      <c r="D14" s="526"/>
      <c r="E14" s="526"/>
      <c r="F14" s="526"/>
      <c r="G14" s="526"/>
      <c r="H14" s="526"/>
      <c r="I14" s="526"/>
      <c r="J14" s="549"/>
      <c r="K14" s="549"/>
      <c r="L14" s="532"/>
      <c r="M14" s="526"/>
      <c r="N14" s="549"/>
    </row>
    <row r="15" spans="1:14">
      <c r="A15" s="532"/>
      <c r="B15" s="532"/>
      <c r="C15" s="527"/>
      <c r="D15" s="527"/>
      <c r="E15" s="527"/>
      <c r="F15" s="527"/>
      <c r="G15" s="527"/>
      <c r="H15" s="527"/>
      <c r="I15" s="527"/>
      <c r="J15" s="549"/>
      <c r="K15" s="549"/>
      <c r="L15" s="532"/>
      <c r="M15" s="527"/>
      <c r="N15" s="549"/>
    </row>
    <row r="16" spans="1:14">
      <c r="A16" s="293" t="s">
        <v>15</v>
      </c>
      <c r="B16" s="293" t="s">
        <v>16</v>
      </c>
      <c r="C16" s="293" t="s">
        <v>17</v>
      </c>
      <c r="D16" s="293" t="s">
        <v>18</v>
      </c>
      <c r="E16" s="293">
        <v>1</v>
      </c>
      <c r="F16" s="293">
        <v>2</v>
      </c>
      <c r="G16" s="407">
        <v>3</v>
      </c>
      <c r="H16" s="293">
        <v>4</v>
      </c>
      <c r="I16" s="293">
        <v>5</v>
      </c>
      <c r="J16" s="293">
        <v>6</v>
      </c>
      <c r="K16" s="293">
        <v>7</v>
      </c>
      <c r="L16" s="293">
        <v>8</v>
      </c>
      <c r="M16" s="293">
        <v>9</v>
      </c>
      <c r="N16" s="296">
        <v>10</v>
      </c>
    </row>
    <row r="17" spans="1:14" ht="20.100000000000001" customHeight="1">
      <c r="A17" s="435"/>
      <c r="B17" s="435" t="s">
        <v>2578</v>
      </c>
      <c r="C17" s="436"/>
      <c r="D17" s="436"/>
      <c r="E17" s="436"/>
      <c r="F17" s="436"/>
      <c r="G17" s="436"/>
      <c r="H17" s="436"/>
      <c r="I17" s="436"/>
      <c r="J17" s="436"/>
      <c r="K17" s="436"/>
      <c r="L17" s="436"/>
      <c r="M17" s="436"/>
      <c r="N17" s="437"/>
    </row>
    <row r="18" spans="1:14" ht="25.5">
      <c r="A18" s="236">
        <v>1</v>
      </c>
      <c r="B18" s="327" t="s">
        <v>2766</v>
      </c>
      <c r="C18" s="296" t="s">
        <v>2767</v>
      </c>
      <c r="D18" s="296"/>
      <c r="E18" s="296">
        <v>5</v>
      </c>
      <c r="F18" s="296">
        <v>5</v>
      </c>
      <c r="G18" s="300">
        <f>F18-E18</f>
        <v>0</v>
      </c>
      <c r="H18" s="293"/>
      <c r="I18" s="293"/>
      <c r="J18" s="296" t="s">
        <v>2768</v>
      </c>
      <c r="K18" s="299" t="s">
        <v>2769</v>
      </c>
      <c r="L18" s="299" t="s">
        <v>641</v>
      </c>
      <c r="M18" s="296" t="s">
        <v>2770</v>
      </c>
      <c r="N18" s="296"/>
    </row>
    <row r="19" spans="1:14" ht="25.5">
      <c r="A19" s="236">
        <v>2</v>
      </c>
      <c r="B19" s="327" t="s">
        <v>2771</v>
      </c>
      <c r="C19" s="296" t="s">
        <v>2772</v>
      </c>
      <c r="D19" s="296">
        <v>2021</v>
      </c>
      <c r="E19" s="296">
        <v>1</v>
      </c>
      <c r="F19" s="296">
        <v>1</v>
      </c>
      <c r="G19" s="300">
        <f t="shared" ref="G19:G26" si="0">F19-E19</f>
        <v>0</v>
      </c>
      <c r="H19" s="293"/>
      <c r="I19" s="293"/>
      <c r="J19" s="296" t="s">
        <v>2768</v>
      </c>
      <c r="K19" s="299" t="s">
        <v>2769</v>
      </c>
      <c r="L19" s="299" t="s">
        <v>641</v>
      </c>
      <c r="M19" s="296" t="s">
        <v>2770</v>
      </c>
      <c r="N19" s="296"/>
    </row>
    <row r="20" spans="1:14" s="438" customFormat="1" ht="25.5">
      <c r="A20" s="91">
        <v>3</v>
      </c>
      <c r="B20" s="93" t="s">
        <v>2773</v>
      </c>
      <c r="C20" s="376"/>
      <c r="D20" s="376">
        <v>2025</v>
      </c>
      <c r="E20" s="376">
        <v>1</v>
      </c>
      <c r="F20" s="376">
        <v>1</v>
      </c>
      <c r="G20" s="300">
        <f t="shared" si="0"/>
        <v>0</v>
      </c>
      <c r="H20" s="378"/>
      <c r="I20" s="378"/>
      <c r="J20" s="376" t="s">
        <v>2768</v>
      </c>
      <c r="K20" s="298" t="s">
        <v>2769</v>
      </c>
      <c r="L20" s="298" t="s">
        <v>641</v>
      </c>
      <c r="M20" s="376" t="s">
        <v>2774</v>
      </c>
      <c r="N20" s="296"/>
    </row>
    <row r="21" spans="1:14" ht="25.5">
      <c r="A21" s="236">
        <v>4</v>
      </c>
      <c r="B21" s="327" t="s">
        <v>2775</v>
      </c>
      <c r="C21" s="296" t="s">
        <v>2776</v>
      </c>
      <c r="D21" s="439"/>
      <c r="E21" s="296">
        <v>2</v>
      </c>
      <c r="F21" s="296">
        <v>2</v>
      </c>
      <c r="G21" s="300">
        <f t="shared" si="0"/>
        <v>0</v>
      </c>
      <c r="H21" s="293"/>
      <c r="I21" s="293"/>
      <c r="J21" s="296" t="s">
        <v>2768</v>
      </c>
      <c r="K21" s="299" t="s">
        <v>2769</v>
      </c>
      <c r="L21" s="299" t="s">
        <v>641</v>
      </c>
      <c r="M21" s="296" t="s">
        <v>2770</v>
      </c>
      <c r="N21" s="296"/>
    </row>
    <row r="22" spans="1:14" ht="25.5">
      <c r="A22" s="236">
        <v>5</v>
      </c>
      <c r="B22" s="327" t="s">
        <v>2777</v>
      </c>
      <c r="C22" s="296" t="s">
        <v>2778</v>
      </c>
      <c r="D22" s="439"/>
      <c r="E22" s="296">
        <v>1</v>
      </c>
      <c r="F22" s="296">
        <v>1</v>
      </c>
      <c r="G22" s="300">
        <f t="shared" si="0"/>
        <v>0</v>
      </c>
      <c r="H22" s="293"/>
      <c r="I22" s="293"/>
      <c r="J22" s="296" t="s">
        <v>2768</v>
      </c>
      <c r="K22" s="299" t="s">
        <v>2769</v>
      </c>
      <c r="L22" s="299" t="s">
        <v>641</v>
      </c>
      <c r="M22" s="296" t="s">
        <v>2770</v>
      </c>
      <c r="N22" s="296"/>
    </row>
    <row r="23" spans="1:14" ht="25.5">
      <c r="A23" s="236">
        <v>6</v>
      </c>
      <c r="B23" s="327" t="s">
        <v>2779</v>
      </c>
      <c r="C23" s="296" t="s">
        <v>2780</v>
      </c>
      <c r="D23" s="296"/>
      <c r="E23" s="296">
        <v>2</v>
      </c>
      <c r="F23" s="296">
        <v>2</v>
      </c>
      <c r="G23" s="300">
        <f t="shared" si="0"/>
        <v>0</v>
      </c>
      <c r="H23" s="293"/>
      <c r="I23" s="293"/>
      <c r="J23" s="296" t="s">
        <v>2768</v>
      </c>
      <c r="K23" s="299" t="s">
        <v>2769</v>
      </c>
      <c r="L23" s="299" t="s">
        <v>641</v>
      </c>
      <c r="M23" s="296" t="s">
        <v>2770</v>
      </c>
      <c r="N23" s="296"/>
    </row>
    <row r="24" spans="1:14" ht="25.5">
      <c r="A24" s="236">
        <v>7</v>
      </c>
      <c r="B24" s="327" t="s">
        <v>2781</v>
      </c>
      <c r="C24" s="296" t="s">
        <v>2782</v>
      </c>
      <c r="D24" s="296"/>
      <c r="E24" s="296">
        <v>2</v>
      </c>
      <c r="F24" s="296">
        <v>2</v>
      </c>
      <c r="G24" s="300">
        <f t="shared" si="0"/>
        <v>0</v>
      </c>
      <c r="H24" s="293"/>
      <c r="I24" s="293"/>
      <c r="J24" s="296" t="s">
        <v>2768</v>
      </c>
      <c r="K24" s="299" t="s">
        <v>2769</v>
      </c>
      <c r="L24" s="299" t="s">
        <v>641</v>
      </c>
      <c r="M24" s="296" t="s">
        <v>2770</v>
      </c>
      <c r="N24" s="296"/>
    </row>
    <row r="25" spans="1:14" ht="25.5">
      <c r="A25" s="236">
        <v>8</v>
      </c>
      <c r="B25" s="327" t="s">
        <v>2783</v>
      </c>
      <c r="C25" s="296" t="s">
        <v>2784</v>
      </c>
      <c r="D25" s="296"/>
      <c r="E25" s="296">
        <v>2</v>
      </c>
      <c r="F25" s="296">
        <v>2</v>
      </c>
      <c r="G25" s="300">
        <f t="shared" si="0"/>
        <v>0</v>
      </c>
      <c r="H25" s="293"/>
      <c r="I25" s="293"/>
      <c r="J25" s="296" t="s">
        <v>2768</v>
      </c>
      <c r="K25" s="299" t="s">
        <v>2769</v>
      </c>
      <c r="L25" s="299" t="s">
        <v>641</v>
      </c>
      <c r="M25" s="296" t="s">
        <v>2770</v>
      </c>
      <c r="N25" s="296"/>
    </row>
    <row r="26" spans="1:14" ht="25.5">
      <c r="A26" s="236">
        <v>9</v>
      </c>
      <c r="B26" s="327" t="s">
        <v>2785</v>
      </c>
      <c r="C26" s="296" t="s">
        <v>2786</v>
      </c>
      <c r="D26" s="440"/>
      <c r="E26" s="296">
        <v>1</v>
      </c>
      <c r="F26" s="296">
        <v>1</v>
      </c>
      <c r="G26" s="300">
        <f t="shared" si="0"/>
        <v>0</v>
      </c>
      <c r="H26" s="293"/>
      <c r="I26" s="293"/>
      <c r="J26" s="296" t="s">
        <v>2768</v>
      </c>
      <c r="K26" s="299" t="s">
        <v>2769</v>
      </c>
      <c r="L26" s="299" t="s">
        <v>641</v>
      </c>
      <c r="M26" s="296" t="s">
        <v>2770</v>
      </c>
      <c r="N26" s="296"/>
    </row>
    <row r="27" spans="1:14" ht="20.100000000000001" customHeight="1">
      <c r="A27" s="441"/>
      <c r="B27" s="550" t="s">
        <v>832</v>
      </c>
      <c r="C27" s="551"/>
      <c r="D27" s="551"/>
      <c r="E27" s="551"/>
      <c r="F27" s="551"/>
      <c r="G27" s="551"/>
      <c r="H27" s="551"/>
      <c r="I27" s="551"/>
      <c r="J27" s="551"/>
      <c r="K27" s="551"/>
      <c r="L27" s="551"/>
      <c r="M27" s="551"/>
      <c r="N27" s="552"/>
    </row>
    <row r="28" spans="1:14" ht="38.25">
      <c r="A28" s="236">
        <v>1</v>
      </c>
      <c r="B28" s="442" t="s">
        <v>2787</v>
      </c>
      <c r="C28" s="443" t="s">
        <v>2788</v>
      </c>
      <c r="D28" s="296">
        <v>2019</v>
      </c>
      <c r="E28" s="296">
        <v>1</v>
      </c>
      <c r="F28" s="296">
        <v>1</v>
      </c>
      <c r="G28" s="300">
        <f>F28-E28</f>
        <v>0</v>
      </c>
      <c r="H28" s="444">
        <v>770000</v>
      </c>
      <c r="I28" s="444">
        <v>770000</v>
      </c>
      <c r="J28" s="296" t="s">
        <v>2769</v>
      </c>
      <c r="K28" s="299" t="s">
        <v>2769</v>
      </c>
      <c r="L28" s="299" t="s">
        <v>641</v>
      </c>
      <c r="M28" s="296"/>
      <c r="N28" s="296"/>
    </row>
    <row r="29" spans="1:14" s="303" customFormat="1" ht="15.75">
      <c r="A29" s="334"/>
      <c r="E29" s="334"/>
      <c r="F29" s="334"/>
      <c r="G29" s="335"/>
    </row>
    <row r="30" spans="1:14" s="20" customFormat="1" ht="18" customHeight="1">
      <c r="A30" s="47"/>
      <c r="B30" s="48"/>
      <c r="C30" s="47"/>
      <c r="D30" s="47"/>
      <c r="E30" s="47"/>
      <c r="F30" s="47"/>
      <c r="G30" s="47"/>
      <c r="H30" s="49"/>
      <c r="I30" s="49"/>
      <c r="J30" s="474" t="s">
        <v>965</v>
      </c>
      <c r="K30" s="474"/>
      <c r="L30" s="474"/>
      <c r="M30" s="474"/>
      <c r="N30" s="474"/>
    </row>
    <row r="31" spans="1:14" s="20" customFormat="1" ht="24.95" customHeight="1">
      <c r="A31" s="475" t="s">
        <v>953</v>
      </c>
      <c r="B31" s="475"/>
      <c r="C31" s="51"/>
      <c r="D31" s="476" t="s">
        <v>2765</v>
      </c>
      <c r="E31" s="476"/>
      <c r="F31" s="476"/>
      <c r="G31" s="476"/>
      <c r="H31" s="476"/>
      <c r="I31" s="477" t="s">
        <v>955</v>
      </c>
      <c r="J31" s="477"/>
      <c r="K31" s="477"/>
      <c r="L31" s="476" t="s">
        <v>829</v>
      </c>
      <c r="M31" s="476"/>
      <c r="N31" s="476"/>
    </row>
    <row r="32" spans="1:14" s="20" customFormat="1" ht="24.95" customHeight="1">
      <c r="A32" s="478" t="s">
        <v>966</v>
      </c>
      <c r="B32" s="478"/>
      <c r="C32" s="478"/>
      <c r="D32" s="51"/>
      <c r="E32" s="51"/>
      <c r="F32" s="51"/>
      <c r="G32" s="51"/>
      <c r="H32" s="52"/>
      <c r="I32" s="52"/>
      <c r="J32" s="51"/>
      <c r="K32" s="51"/>
      <c r="L32" s="51"/>
      <c r="M32" s="51"/>
      <c r="N32" s="53"/>
    </row>
    <row r="33" spans="1:14" s="20" customFormat="1" ht="24.95" customHeight="1">
      <c r="A33" s="478" t="s">
        <v>961</v>
      </c>
      <c r="B33" s="478"/>
      <c r="C33" s="478"/>
      <c r="D33" s="51"/>
      <c r="E33" s="51"/>
      <c r="F33" s="51"/>
      <c r="G33" s="51"/>
      <c r="H33" s="52"/>
      <c r="I33" s="52"/>
      <c r="J33" s="51"/>
      <c r="K33" s="51"/>
      <c r="L33" s="51"/>
      <c r="M33" s="51"/>
      <c r="N33" s="53"/>
    </row>
    <row r="34" spans="1:14" s="20" customFormat="1" ht="24.95" customHeight="1">
      <c r="A34" s="478" t="s">
        <v>962</v>
      </c>
      <c r="B34" s="478"/>
      <c r="C34" s="478"/>
      <c r="D34" s="51"/>
      <c r="E34" s="51"/>
      <c r="F34" s="51"/>
      <c r="G34" s="51"/>
      <c r="H34" s="52"/>
      <c r="I34" s="52"/>
      <c r="J34" s="51"/>
      <c r="K34" s="51"/>
      <c r="L34" s="51"/>
      <c r="M34" s="51"/>
      <c r="N34" s="53"/>
    </row>
    <row r="35" spans="1:14" s="20" customFormat="1" ht="24.95" customHeight="1">
      <c r="A35" s="478" t="s">
        <v>958</v>
      </c>
      <c r="B35" s="478"/>
      <c r="C35" s="478"/>
      <c r="D35" s="476" t="s">
        <v>2789</v>
      </c>
      <c r="E35" s="476"/>
      <c r="F35" s="476"/>
      <c r="G35" s="476"/>
      <c r="H35" s="476"/>
      <c r="I35" s="477" t="s">
        <v>956</v>
      </c>
      <c r="J35" s="477"/>
      <c r="K35" s="477"/>
      <c r="L35" s="476" t="s">
        <v>954</v>
      </c>
      <c r="M35" s="476"/>
      <c r="N35" s="476"/>
    </row>
    <row r="36" spans="1:14" s="20" customFormat="1" ht="24.95" customHeight="1">
      <c r="A36" s="478" t="s">
        <v>963</v>
      </c>
      <c r="B36" s="478"/>
      <c r="C36" s="478"/>
      <c r="D36" s="476"/>
      <c r="E36" s="476"/>
      <c r="F36" s="476"/>
      <c r="G36" s="476"/>
      <c r="H36" s="476"/>
      <c r="I36" s="477"/>
      <c r="J36" s="477"/>
      <c r="K36" s="477"/>
      <c r="L36" s="476"/>
      <c r="M36" s="476"/>
      <c r="N36" s="476"/>
    </row>
  </sheetData>
  <mergeCells count="50">
    <mergeCell ref="A36:C36"/>
    <mergeCell ref="D36:H36"/>
    <mergeCell ref="I36:K36"/>
    <mergeCell ref="L36:N36"/>
    <mergeCell ref="I35:K35"/>
    <mergeCell ref="A33:C33"/>
    <mergeCell ref="A34:C34"/>
    <mergeCell ref="A35:C35"/>
    <mergeCell ref="D35:H35"/>
    <mergeCell ref="L35:N35"/>
    <mergeCell ref="F13:F15"/>
    <mergeCell ref="G13:G15"/>
    <mergeCell ref="B27:N27"/>
    <mergeCell ref="J30:N30"/>
    <mergeCell ref="A32:C32"/>
    <mergeCell ref="A31:B31"/>
    <mergeCell ref="D31:H31"/>
    <mergeCell ref="I31:K31"/>
    <mergeCell ref="L31:N31"/>
    <mergeCell ref="I12:I15"/>
    <mergeCell ref="J12:J15"/>
    <mergeCell ref="K12:K15"/>
    <mergeCell ref="L12:L15"/>
    <mergeCell ref="M12:M15"/>
    <mergeCell ref="N12:N15"/>
    <mergeCell ref="A12:A15"/>
    <mergeCell ref="B12:B15"/>
    <mergeCell ref="C12:C15"/>
    <mergeCell ref="D12:D15"/>
    <mergeCell ref="H12:H15"/>
    <mergeCell ref="E13:E15"/>
    <mergeCell ref="A8:C8"/>
    <mergeCell ref="E8:I8"/>
    <mergeCell ref="K8:M8"/>
    <mergeCell ref="A9:C9"/>
    <mergeCell ref="A10:N10"/>
    <mergeCell ref="A6:C6"/>
    <mergeCell ref="E6:I6"/>
    <mergeCell ref="K6:M6"/>
    <mergeCell ref="A7:C7"/>
    <mergeCell ref="E7:I7"/>
    <mergeCell ref="K7:M7"/>
    <mergeCell ref="A5:C5"/>
    <mergeCell ref="E5:I5"/>
    <mergeCell ref="K5:M5"/>
    <mergeCell ref="A1:E1"/>
    <mergeCell ref="K1:N1"/>
    <mergeCell ref="A2:E2"/>
    <mergeCell ref="A3:N3"/>
    <mergeCell ref="A4:N4"/>
  </mergeCells>
  <pageMargins left="0.5" right="0.3" top="0.5" bottom="0.5" header="0" footer="0"/>
  <pageSetup paperSize="9" orientation="landscape" r:id="rId1"/>
  <headerFooter differentFirst="1"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10" zoomScaleNormal="100" zoomScaleSheetLayoutView="102" workbookViewId="0">
      <selection activeCell="M30" sqref="M30"/>
    </sheetView>
  </sheetViews>
  <sheetFormatPr defaultColWidth="9.140625" defaultRowHeight="15" customHeight="1"/>
  <cols>
    <col min="1" max="1" width="4.5703125" style="334" customWidth="1"/>
    <col min="2" max="2" width="22.7109375" style="303" customWidth="1"/>
    <col min="3" max="3" width="9.42578125" style="303" customWidth="1"/>
    <col min="4" max="4" width="6.42578125" style="303" customWidth="1"/>
    <col min="5" max="6" width="5.85546875" style="334" customWidth="1"/>
    <col min="7" max="7" width="6.42578125" style="335" customWidth="1"/>
    <col min="8" max="9" width="13.140625" style="303" customWidth="1"/>
    <col min="10" max="10" width="8" style="303" customWidth="1"/>
    <col min="11" max="11" width="10.7109375" style="303" customWidth="1"/>
    <col min="12" max="12" width="9.7109375" style="303" customWidth="1"/>
    <col min="13" max="13" width="9" style="303" customWidth="1"/>
    <col min="14" max="14" width="13" style="303" customWidth="1"/>
    <col min="15" max="15" width="12.85546875" style="303" customWidth="1"/>
    <col min="16" max="16" width="10.85546875" style="303" bestFit="1" customWidth="1"/>
    <col min="17" max="16384" width="9.140625" style="303"/>
  </cols>
  <sheetData>
    <row r="1" spans="1:14" ht="15" customHeight="1">
      <c r="A1" s="481" t="s">
        <v>818</v>
      </c>
      <c r="B1" s="481"/>
      <c r="C1" s="481"/>
      <c r="D1" s="481"/>
      <c r="E1" s="481"/>
      <c r="F1" s="57"/>
      <c r="G1" s="58"/>
      <c r="H1" s="145"/>
      <c r="I1" s="145"/>
      <c r="J1" s="270"/>
      <c r="K1" s="482" t="s">
        <v>819</v>
      </c>
      <c r="L1" s="482"/>
      <c r="M1" s="482"/>
      <c r="N1" s="482"/>
    </row>
    <row r="2" spans="1:14" ht="15" customHeight="1">
      <c r="A2" s="481" t="s">
        <v>820</v>
      </c>
      <c r="B2" s="481"/>
      <c r="C2" s="481"/>
      <c r="D2" s="481"/>
      <c r="E2" s="481"/>
      <c r="F2" s="57"/>
      <c r="G2" s="58"/>
      <c r="H2" s="58"/>
      <c r="I2" s="58"/>
      <c r="J2" s="58"/>
      <c r="K2" s="58"/>
      <c r="L2" s="58"/>
      <c r="M2" s="58"/>
      <c r="N2" s="58"/>
    </row>
    <row r="3" spans="1:14" ht="42" customHeight="1">
      <c r="A3" s="483" t="s">
        <v>2790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</row>
    <row r="4" spans="1:14" s="445" customFormat="1" ht="15" customHeight="1">
      <c r="A4" s="484" t="s">
        <v>968</v>
      </c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</row>
    <row r="5" spans="1:14" ht="15" customHeight="1">
      <c r="A5" s="479" t="s">
        <v>821</v>
      </c>
      <c r="B5" s="479"/>
      <c r="C5" s="479"/>
      <c r="D5" s="268"/>
      <c r="E5" s="480" t="s">
        <v>822</v>
      </c>
      <c r="F5" s="480"/>
      <c r="G5" s="480"/>
      <c r="H5" s="480"/>
      <c r="I5" s="480"/>
      <c r="J5" s="269"/>
      <c r="K5" s="479" t="s">
        <v>829</v>
      </c>
      <c r="L5" s="479"/>
      <c r="M5" s="479"/>
      <c r="N5" s="269"/>
    </row>
    <row r="6" spans="1:14" ht="15" customHeight="1">
      <c r="A6" s="479" t="s">
        <v>949</v>
      </c>
      <c r="B6" s="479"/>
      <c r="C6" s="479"/>
      <c r="D6" s="268"/>
      <c r="E6" s="480" t="s">
        <v>824</v>
      </c>
      <c r="F6" s="480"/>
      <c r="G6" s="480"/>
      <c r="H6" s="480"/>
      <c r="I6" s="480"/>
      <c r="J6" s="269"/>
      <c r="K6" s="479" t="s">
        <v>823</v>
      </c>
      <c r="L6" s="479"/>
      <c r="M6" s="479"/>
      <c r="N6" s="269"/>
    </row>
    <row r="7" spans="1:14" ht="15" customHeight="1">
      <c r="A7" s="479" t="s">
        <v>950</v>
      </c>
      <c r="B7" s="479"/>
      <c r="C7" s="479"/>
      <c r="D7" s="268"/>
      <c r="E7" s="480" t="s">
        <v>825</v>
      </c>
      <c r="F7" s="480"/>
      <c r="G7" s="480"/>
      <c r="H7" s="480"/>
      <c r="I7" s="480"/>
      <c r="J7" s="269"/>
      <c r="K7" s="479" t="s">
        <v>826</v>
      </c>
      <c r="L7" s="479"/>
      <c r="M7" s="479"/>
      <c r="N7" s="269"/>
    </row>
    <row r="8" spans="1:14" ht="15" customHeight="1">
      <c r="A8" s="479" t="s">
        <v>2791</v>
      </c>
      <c r="B8" s="479"/>
      <c r="C8" s="479"/>
      <c r="D8" s="268"/>
      <c r="E8" s="480" t="s">
        <v>2792</v>
      </c>
      <c r="F8" s="480"/>
      <c r="G8" s="480"/>
      <c r="H8" s="480"/>
      <c r="I8" s="480"/>
      <c r="J8" s="269"/>
      <c r="K8" s="479" t="s">
        <v>2793</v>
      </c>
      <c r="L8" s="479"/>
      <c r="M8" s="479"/>
      <c r="N8" s="269"/>
    </row>
    <row r="9" spans="1:14" ht="15" customHeight="1">
      <c r="A9" s="479" t="s">
        <v>952</v>
      </c>
      <c r="B9" s="479"/>
      <c r="C9" s="479"/>
      <c r="D9" s="63"/>
      <c r="E9" s="63"/>
      <c r="F9" s="269"/>
      <c r="G9" s="269"/>
      <c r="H9" s="269"/>
      <c r="I9" s="269"/>
      <c r="J9" s="269"/>
      <c r="K9" s="269"/>
      <c r="L9" s="269"/>
      <c r="M9" s="269"/>
      <c r="N9" s="269"/>
    </row>
    <row r="10" spans="1:14" ht="15" customHeight="1">
      <c r="A10" s="479" t="s">
        <v>827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9"/>
    </row>
    <row r="11" spans="1:14" ht="15" customHeight="1">
      <c r="A11" s="446"/>
      <c r="B11" s="447"/>
      <c r="C11" s="447"/>
      <c r="D11" s="447"/>
      <c r="E11" s="448"/>
      <c r="F11" s="448"/>
      <c r="G11" s="449"/>
      <c r="H11" s="447"/>
      <c r="I11" s="447"/>
      <c r="J11" s="447"/>
      <c r="K11" s="447"/>
      <c r="L11" s="447"/>
      <c r="M11" s="447"/>
      <c r="N11" s="450"/>
    </row>
    <row r="12" spans="1:14" ht="38.25">
      <c r="A12" s="503" t="s">
        <v>2190</v>
      </c>
      <c r="B12" s="534" t="s">
        <v>972</v>
      </c>
      <c r="C12" s="553" t="s">
        <v>973</v>
      </c>
      <c r="D12" s="553" t="s">
        <v>974</v>
      </c>
      <c r="E12" s="276" t="s">
        <v>4</v>
      </c>
      <c r="F12" s="151" t="s">
        <v>975</v>
      </c>
      <c r="G12" s="151" t="s">
        <v>6</v>
      </c>
      <c r="H12" s="503" t="s">
        <v>7</v>
      </c>
      <c r="I12" s="503" t="s">
        <v>8</v>
      </c>
      <c r="J12" s="503" t="s">
        <v>9</v>
      </c>
      <c r="K12" s="503" t="s">
        <v>10</v>
      </c>
      <c r="L12" s="503" t="s">
        <v>11</v>
      </c>
      <c r="M12" s="558" t="s">
        <v>12</v>
      </c>
      <c r="N12" s="503" t="s">
        <v>976</v>
      </c>
    </row>
    <row r="13" spans="1:14" ht="15.75">
      <c r="A13" s="534"/>
      <c r="B13" s="534"/>
      <c r="C13" s="554"/>
      <c r="D13" s="556"/>
      <c r="E13" s="553" t="s">
        <v>14</v>
      </c>
      <c r="F13" s="553" t="s">
        <v>14</v>
      </c>
      <c r="G13" s="553" t="s">
        <v>14</v>
      </c>
      <c r="H13" s="503"/>
      <c r="I13" s="503"/>
      <c r="J13" s="535"/>
      <c r="K13" s="535"/>
      <c r="L13" s="534"/>
      <c r="M13" s="559"/>
      <c r="N13" s="535"/>
    </row>
    <row r="14" spans="1:14" ht="15.75">
      <c r="A14" s="534"/>
      <c r="B14" s="534"/>
      <c r="C14" s="554"/>
      <c r="D14" s="556"/>
      <c r="E14" s="556"/>
      <c r="F14" s="556"/>
      <c r="G14" s="556"/>
      <c r="H14" s="503"/>
      <c r="I14" s="503"/>
      <c r="J14" s="535"/>
      <c r="K14" s="535"/>
      <c r="L14" s="534"/>
      <c r="M14" s="559"/>
      <c r="N14" s="535"/>
    </row>
    <row r="15" spans="1:14" ht="15.75">
      <c r="A15" s="534"/>
      <c r="B15" s="534"/>
      <c r="C15" s="555"/>
      <c r="D15" s="557"/>
      <c r="E15" s="557"/>
      <c r="F15" s="557"/>
      <c r="G15" s="557"/>
      <c r="H15" s="503"/>
      <c r="I15" s="503"/>
      <c r="J15" s="535"/>
      <c r="K15" s="535"/>
      <c r="L15" s="534"/>
      <c r="M15" s="560"/>
      <c r="N15" s="535"/>
    </row>
    <row r="16" spans="1:14" ht="15.75">
      <c r="A16" s="320" t="s">
        <v>15</v>
      </c>
      <c r="B16" s="320" t="s">
        <v>16</v>
      </c>
      <c r="C16" s="320" t="s">
        <v>17</v>
      </c>
      <c r="D16" s="320" t="s">
        <v>18</v>
      </c>
      <c r="E16" s="320">
        <v>1</v>
      </c>
      <c r="F16" s="320">
        <v>2</v>
      </c>
      <c r="G16" s="321">
        <v>3</v>
      </c>
      <c r="H16" s="320">
        <v>4</v>
      </c>
      <c r="I16" s="320">
        <v>5</v>
      </c>
      <c r="J16" s="320">
        <v>6</v>
      </c>
      <c r="K16" s="320">
        <v>7</v>
      </c>
      <c r="L16" s="320">
        <v>8</v>
      </c>
      <c r="M16" s="451">
        <v>9</v>
      </c>
      <c r="N16" s="320">
        <v>10</v>
      </c>
    </row>
    <row r="17" spans="1:14" ht="51">
      <c r="A17" s="323">
        <v>1</v>
      </c>
      <c r="B17" s="452" t="s">
        <v>76</v>
      </c>
      <c r="C17" s="323" t="s">
        <v>2794</v>
      </c>
      <c r="D17" s="236">
        <v>2022</v>
      </c>
      <c r="E17" s="323">
        <v>3</v>
      </c>
      <c r="F17" s="323">
        <v>3</v>
      </c>
      <c r="G17" s="325">
        <f>F17-E17</f>
        <v>0</v>
      </c>
      <c r="H17" s="320"/>
      <c r="I17" s="320"/>
      <c r="J17" s="236" t="s">
        <v>2795</v>
      </c>
      <c r="K17" s="236" t="s">
        <v>2795</v>
      </c>
      <c r="L17" s="236" t="s">
        <v>641</v>
      </c>
      <c r="M17" s="453"/>
      <c r="N17" s="236" t="s">
        <v>2796</v>
      </c>
    </row>
    <row r="18" spans="1:14" ht="76.5">
      <c r="A18" s="167">
        <v>2</v>
      </c>
      <c r="B18" s="168" t="s">
        <v>233</v>
      </c>
      <c r="C18" s="167" t="s">
        <v>234</v>
      </c>
      <c r="D18" s="454">
        <v>2022</v>
      </c>
      <c r="E18" s="455">
        <v>0</v>
      </c>
      <c r="F18" s="455">
        <v>1</v>
      </c>
      <c r="G18" s="455">
        <f t="shared" ref="G18:G24" si="0">F18-E18</f>
        <v>1</v>
      </c>
      <c r="H18" s="455"/>
      <c r="I18" s="455"/>
      <c r="J18" s="91" t="s">
        <v>2795</v>
      </c>
      <c r="K18" s="91" t="s">
        <v>2795</v>
      </c>
      <c r="L18" s="91" t="s">
        <v>641</v>
      </c>
      <c r="M18" s="167" t="s">
        <v>2797</v>
      </c>
      <c r="N18" s="167" t="s">
        <v>2798</v>
      </c>
    </row>
    <row r="19" spans="1:14" ht="63.75">
      <c r="A19" s="323">
        <v>3</v>
      </c>
      <c r="B19" s="452" t="s">
        <v>2799</v>
      </c>
      <c r="C19" s="323" t="s">
        <v>2800</v>
      </c>
      <c r="D19" s="236">
        <v>2021</v>
      </c>
      <c r="E19" s="323">
        <v>2</v>
      </c>
      <c r="F19" s="323">
        <v>2</v>
      </c>
      <c r="G19" s="325">
        <f t="shared" si="0"/>
        <v>0</v>
      </c>
      <c r="H19" s="320"/>
      <c r="I19" s="320"/>
      <c r="J19" s="236" t="s">
        <v>2795</v>
      </c>
      <c r="K19" s="236" t="s">
        <v>2795</v>
      </c>
      <c r="L19" s="236" t="s">
        <v>641</v>
      </c>
      <c r="M19" s="453" t="s">
        <v>2801</v>
      </c>
      <c r="N19" s="236" t="s">
        <v>2802</v>
      </c>
    </row>
    <row r="20" spans="1:14" ht="51">
      <c r="A20" s="323">
        <v>4</v>
      </c>
      <c r="B20" s="297" t="s">
        <v>2803</v>
      </c>
      <c r="C20" s="456" t="s">
        <v>2804</v>
      </c>
      <c r="D20" s="456">
        <v>2020</v>
      </c>
      <c r="E20" s="456">
        <v>0</v>
      </c>
      <c r="F20" s="456">
        <v>1</v>
      </c>
      <c r="G20" s="325">
        <f t="shared" si="0"/>
        <v>1</v>
      </c>
      <c r="H20" s="457" t="s">
        <v>2805</v>
      </c>
      <c r="I20" s="457" t="s">
        <v>2805</v>
      </c>
      <c r="J20" s="236" t="s">
        <v>2795</v>
      </c>
      <c r="K20" s="236" t="s">
        <v>2795</v>
      </c>
      <c r="L20" s="236" t="s">
        <v>641</v>
      </c>
      <c r="M20" s="299" t="s">
        <v>2806</v>
      </c>
      <c r="N20" s="456" t="s">
        <v>876</v>
      </c>
    </row>
    <row r="21" spans="1:14" ht="38.25">
      <c r="A21" s="323">
        <v>5</v>
      </c>
      <c r="B21" s="458" t="s">
        <v>2807</v>
      </c>
      <c r="C21" s="458"/>
      <c r="D21" s="299">
        <v>2016</v>
      </c>
      <c r="E21" s="299">
        <v>1</v>
      </c>
      <c r="F21" s="299">
        <v>1</v>
      </c>
      <c r="G21" s="325">
        <f t="shared" si="0"/>
        <v>0</v>
      </c>
      <c r="H21" s="459">
        <v>1600000</v>
      </c>
      <c r="I21" s="459">
        <v>1600000</v>
      </c>
      <c r="J21" s="236" t="s">
        <v>2795</v>
      </c>
      <c r="K21" s="236" t="s">
        <v>2795</v>
      </c>
      <c r="L21" s="236" t="s">
        <v>641</v>
      </c>
      <c r="M21" s="456" t="s">
        <v>876</v>
      </c>
      <c r="N21" s="456" t="s">
        <v>876</v>
      </c>
    </row>
    <row r="22" spans="1:14" ht="38.25">
      <c r="A22" s="323">
        <v>6</v>
      </c>
      <c r="B22" s="458" t="s">
        <v>2807</v>
      </c>
      <c r="C22" s="458"/>
      <c r="D22" s="299">
        <v>2016</v>
      </c>
      <c r="E22" s="299">
        <v>1</v>
      </c>
      <c r="F22" s="299">
        <v>1</v>
      </c>
      <c r="G22" s="325">
        <f t="shared" si="0"/>
        <v>0</v>
      </c>
      <c r="H22" s="459">
        <v>1600000</v>
      </c>
      <c r="I22" s="459">
        <v>1600000</v>
      </c>
      <c r="J22" s="236" t="s">
        <v>2795</v>
      </c>
      <c r="K22" s="236" t="s">
        <v>2795</v>
      </c>
      <c r="L22" s="236" t="s">
        <v>641</v>
      </c>
      <c r="M22" s="456" t="s">
        <v>876</v>
      </c>
      <c r="N22" s="456" t="s">
        <v>876</v>
      </c>
    </row>
    <row r="23" spans="1:14" ht="25.5">
      <c r="A23" s="323">
        <v>7</v>
      </c>
      <c r="B23" s="458" t="s">
        <v>2808</v>
      </c>
      <c r="C23" s="458"/>
      <c r="D23" s="458"/>
      <c r="E23" s="299">
        <v>1</v>
      </c>
      <c r="F23" s="299">
        <v>1</v>
      </c>
      <c r="G23" s="325">
        <f t="shared" si="0"/>
        <v>0</v>
      </c>
      <c r="H23" s="459">
        <v>1500000</v>
      </c>
      <c r="I23" s="459">
        <v>1500000</v>
      </c>
      <c r="J23" s="236" t="s">
        <v>2795</v>
      </c>
      <c r="K23" s="236" t="s">
        <v>2795</v>
      </c>
      <c r="L23" s="236" t="s">
        <v>641</v>
      </c>
      <c r="M23" s="456" t="s">
        <v>876</v>
      </c>
      <c r="N23" s="456" t="s">
        <v>876</v>
      </c>
    </row>
    <row r="24" spans="1:14" ht="25.5">
      <c r="A24" s="323">
        <v>8</v>
      </c>
      <c r="B24" s="458" t="s">
        <v>2808</v>
      </c>
      <c r="C24" s="458"/>
      <c r="D24" s="458"/>
      <c r="E24" s="299">
        <v>1</v>
      </c>
      <c r="F24" s="299">
        <v>1</v>
      </c>
      <c r="G24" s="325">
        <f t="shared" si="0"/>
        <v>0</v>
      </c>
      <c r="H24" s="459">
        <v>1500000</v>
      </c>
      <c r="I24" s="459">
        <v>1500000</v>
      </c>
      <c r="J24" s="236" t="s">
        <v>2795</v>
      </c>
      <c r="K24" s="236" t="s">
        <v>2795</v>
      </c>
      <c r="L24" s="236" t="s">
        <v>641</v>
      </c>
      <c r="M24" s="456" t="s">
        <v>876</v>
      </c>
      <c r="N24" s="456" t="s">
        <v>876</v>
      </c>
    </row>
    <row r="25" spans="1:14" ht="15.75"/>
    <row r="26" spans="1:14" s="20" customFormat="1" ht="18" customHeight="1">
      <c r="A26" s="47"/>
      <c r="B26" s="48"/>
      <c r="C26" s="47"/>
      <c r="D26" s="47"/>
      <c r="E26" s="47"/>
      <c r="F26" s="47"/>
      <c r="G26" s="47"/>
      <c r="H26" s="49"/>
      <c r="I26" s="49"/>
      <c r="J26" s="474" t="s">
        <v>965</v>
      </c>
      <c r="K26" s="474"/>
      <c r="L26" s="474"/>
      <c r="M26" s="474"/>
      <c r="N26" s="474"/>
    </row>
    <row r="27" spans="1:14" s="20" customFormat="1" ht="24.95" customHeight="1">
      <c r="A27" s="475" t="s">
        <v>953</v>
      </c>
      <c r="B27" s="475"/>
      <c r="C27" s="51"/>
      <c r="D27" s="476" t="s">
        <v>2809</v>
      </c>
      <c r="E27" s="476"/>
      <c r="F27" s="476"/>
      <c r="G27" s="476"/>
      <c r="H27" s="476"/>
      <c r="I27" s="477" t="s">
        <v>955</v>
      </c>
      <c r="J27" s="477"/>
      <c r="K27" s="477"/>
      <c r="L27" s="476" t="s">
        <v>829</v>
      </c>
      <c r="M27" s="476"/>
      <c r="N27" s="476"/>
    </row>
    <row r="28" spans="1:14" s="20" customFormat="1" ht="24.95" customHeight="1">
      <c r="A28" s="478" t="s">
        <v>966</v>
      </c>
      <c r="B28" s="478"/>
      <c r="C28" s="478"/>
      <c r="D28" s="51"/>
      <c r="E28" s="51"/>
      <c r="F28" s="51"/>
      <c r="G28" s="51"/>
      <c r="H28" s="52"/>
      <c r="I28" s="52"/>
      <c r="J28" s="51"/>
      <c r="K28" s="51"/>
      <c r="L28" s="51"/>
      <c r="M28" s="51"/>
      <c r="N28" s="53"/>
    </row>
    <row r="29" spans="1:14" s="20" customFormat="1" ht="24.95" customHeight="1">
      <c r="A29" s="478" t="s">
        <v>961</v>
      </c>
      <c r="B29" s="478"/>
      <c r="C29" s="478"/>
      <c r="D29" s="51"/>
      <c r="E29" s="51"/>
      <c r="F29" s="51"/>
      <c r="G29" s="51"/>
      <c r="H29" s="52"/>
      <c r="I29" s="52"/>
      <c r="J29" s="51"/>
      <c r="K29" s="51"/>
      <c r="L29" s="51"/>
      <c r="M29" s="51"/>
      <c r="N29" s="53"/>
    </row>
    <row r="30" spans="1:14" s="20" customFormat="1" ht="24.95" customHeight="1">
      <c r="A30" s="478" t="s">
        <v>962</v>
      </c>
      <c r="B30" s="478"/>
      <c r="C30" s="478"/>
      <c r="D30" s="51"/>
      <c r="E30" s="51"/>
      <c r="F30" s="51"/>
      <c r="G30" s="51"/>
      <c r="H30" s="52"/>
      <c r="I30" s="52"/>
      <c r="J30" s="51"/>
      <c r="K30" s="51"/>
      <c r="L30" s="51"/>
      <c r="M30" s="51"/>
      <c r="N30" s="53"/>
    </row>
    <row r="31" spans="1:14" s="20" customFormat="1" ht="24.95" customHeight="1">
      <c r="A31" s="478" t="s">
        <v>958</v>
      </c>
      <c r="B31" s="478"/>
      <c r="C31" s="478"/>
      <c r="D31" s="476" t="s">
        <v>2810</v>
      </c>
      <c r="E31" s="476"/>
      <c r="F31" s="476"/>
      <c r="G31" s="476"/>
      <c r="H31" s="476"/>
      <c r="I31" s="477" t="s">
        <v>956</v>
      </c>
      <c r="J31" s="477"/>
      <c r="K31" s="477"/>
      <c r="L31" s="476" t="s">
        <v>954</v>
      </c>
      <c r="M31" s="476"/>
      <c r="N31" s="476"/>
    </row>
    <row r="32" spans="1:14" s="20" customFormat="1" ht="24.95" customHeight="1">
      <c r="A32" s="478" t="s">
        <v>963</v>
      </c>
      <c r="B32" s="478"/>
      <c r="C32" s="478"/>
      <c r="D32" s="476"/>
      <c r="E32" s="476"/>
      <c r="F32" s="476"/>
      <c r="G32" s="476"/>
      <c r="H32" s="476"/>
      <c r="I32" s="477"/>
      <c r="J32" s="477"/>
      <c r="K32" s="477"/>
      <c r="L32" s="476"/>
      <c r="M32" s="476"/>
      <c r="N32" s="476"/>
    </row>
  </sheetData>
  <mergeCells count="49">
    <mergeCell ref="L31:N31"/>
    <mergeCell ref="A32:C32"/>
    <mergeCell ref="D32:H32"/>
    <mergeCell ref="I32:K32"/>
    <mergeCell ref="L32:N32"/>
    <mergeCell ref="I31:K31"/>
    <mergeCell ref="A28:C28"/>
    <mergeCell ref="A29:C29"/>
    <mergeCell ref="A30:C30"/>
    <mergeCell ref="A31:C31"/>
    <mergeCell ref="D31:H31"/>
    <mergeCell ref="J26:N26"/>
    <mergeCell ref="A27:B27"/>
    <mergeCell ref="D27:H27"/>
    <mergeCell ref="I27:K27"/>
    <mergeCell ref="L27:N27"/>
    <mergeCell ref="K8:M8"/>
    <mergeCell ref="A9:C9"/>
    <mergeCell ref="A10:N10"/>
    <mergeCell ref="E13:E15"/>
    <mergeCell ref="F13:F15"/>
    <mergeCell ref="G13:G15"/>
    <mergeCell ref="I12:I15"/>
    <mergeCell ref="J12:J15"/>
    <mergeCell ref="K12:K15"/>
    <mergeCell ref="L12:L15"/>
    <mergeCell ref="M12:M15"/>
    <mergeCell ref="N12:N15"/>
    <mergeCell ref="A12:A15"/>
    <mergeCell ref="B12:B15"/>
    <mergeCell ref="C12:C15"/>
    <mergeCell ref="D12:D15"/>
    <mergeCell ref="H12:H15"/>
    <mergeCell ref="A6:C6"/>
    <mergeCell ref="E6:I6"/>
    <mergeCell ref="A8:C8"/>
    <mergeCell ref="E8:I8"/>
    <mergeCell ref="K6:M6"/>
    <mergeCell ref="A7:C7"/>
    <mergeCell ref="E7:I7"/>
    <mergeCell ref="K7:M7"/>
    <mergeCell ref="A1:E1"/>
    <mergeCell ref="K1:N1"/>
    <mergeCell ref="A2:E2"/>
    <mergeCell ref="A3:N3"/>
    <mergeCell ref="A4:N4"/>
    <mergeCell ref="A5:C5"/>
    <mergeCell ref="E5:I5"/>
    <mergeCell ref="K5:M5"/>
  </mergeCells>
  <pageMargins left="0.5" right="0.3" top="0.5" bottom="0.5" header="0" footer="0"/>
  <pageSetup paperSize="9" orientation="landscape" r:id="rId1"/>
  <headerFooter differentFirst="1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PKĐK</vt:lpstr>
      <vt:lpstr>XN</vt:lpstr>
      <vt:lpstr>KDYTQT</vt:lpstr>
      <vt:lpstr>DVTYT</vt:lpstr>
      <vt:lpstr>HIV</vt:lpstr>
      <vt:lpstr>PCBTN</vt:lpstr>
      <vt:lpstr>SKSS</vt:lpstr>
      <vt:lpstr>KSTCT</vt:lpstr>
      <vt:lpstr>BNN</vt:lpstr>
      <vt:lpstr>BKLN</vt:lpstr>
      <vt:lpstr>SKMTYTTH</vt:lpstr>
      <vt:lpstr>DINHDUONG</vt:lpstr>
      <vt:lpstr>TCHC</vt:lpstr>
      <vt:lpstr>BKLN!Print_Titles</vt:lpstr>
      <vt:lpstr>DINHDUONG!Print_Titles</vt:lpstr>
      <vt:lpstr>DVTYT!Print_Titles</vt:lpstr>
      <vt:lpstr>HIV!Print_Titles</vt:lpstr>
      <vt:lpstr>KDYTQT!Print_Titles</vt:lpstr>
      <vt:lpstr>KSTCT!Print_Titles</vt:lpstr>
      <vt:lpstr>PCBTN!Print_Titles</vt:lpstr>
      <vt:lpstr>PKĐK!Print_Titles</vt:lpstr>
      <vt:lpstr>SKMTYTTH!Print_Titles</vt:lpstr>
      <vt:lpstr>SKSS!Print_Titles</vt:lpstr>
      <vt:lpstr>TCHC!Print_Titles</vt:lpstr>
      <vt:lpstr>XN!Print_Titles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2026-04-28T07:51:53Z</dcterms:modified>
</cp:coreProperties>
</file>