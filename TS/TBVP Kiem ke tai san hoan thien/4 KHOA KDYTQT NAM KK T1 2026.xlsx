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D:\CDC\Tai san\kiem ke cuoi nam\2026\đã dò\TBVP\"/>
    </mc:Choice>
  </mc:AlternateContent>
  <xr:revisionPtr revIDLastSave="0" documentId="13_ncr:1_{9962CE03-ABA5-4DE9-B5A9-3243425235F0}" xr6:coauthVersionLast="36" xr6:coauthVersionMax="47" xr10:uidLastSave="{00000000-0000-0000-0000-000000000000}"/>
  <bookViews>
    <workbookView xWindow="-120" yWindow="-120" windowWidth="19800" windowHeight="11760" firstSheet="3" activeTab="4" xr2:uid="{00000000-000D-0000-FFFF-FFFF00000000}"/>
  </bookViews>
  <sheets>
    <sheet name="Kangatang" sheetId="29" state="veryHidden" r:id="rId1"/>
    <sheet name="KDYTQT 2023" sheetId="26" state="hidden" r:id="rId2"/>
    <sheet name="KDYTQT 2022" sheetId="30" state="hidden" r:id="rId3"/>
    <sheet name="1.TBVP 2025 " sheetId="31" r:id="rId4"/>
    <sheet name="2. TB DIEN 2025" sheetId="34" r:id="rId5"/>
  </sheets>
  <definedNames>
    <definedName name="_Fill" localSheetId="4" hidden="1">#REF!</definedName>
    <definedName name="_Fill" hidden="1">#REF!</definedName>
    <definedName name="_xlnm._FilterDatabase" localSheetId="4" hidden="1">'2. TB DIEN 2025'!$A$14:$AQ$46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G27" i="34" l="1"/>
  <c r="AG28" i="34"/>
  <c r="AG29" i="34"/>
  <c r="AG30" i="34"/>
  <c r="AG31" i="34"/>
  <c r="AG32" i="34"/>
  <c r="AG33" i="34"/>
  <c r="AG34" i="34"/>
  <c r="AG35" i="34"/>
  <c r="AG36" i="34"/>
  <c r="AG37" i="34"/>
  <c r="AG38" i="34"/>
  <c r="AG26" i="34"/>
  <c r="AG39" i="34" l="1"/>
  <c r="A31" i="34"/>
  <c r="A32" i="34" s="1"/>
  <c r="A33" i="34" s="1"/>
  <c r="A34" i="34" s="1"/>
  <c r="A35" i="34" s="1"/>
  <c r="A36" i="34" s="1"/>
  <c r="A37" i="34" s="1"/>
  <c r="A38" i="34" s="1"/>
  <c r="A21" i="34"/>
  <c r="A22" i="34" s="1"/>
  <c r="A23" i="34" s="1"/>
  <c r="A24" i="34" s="1"/>
  <c r="A25" i="34" s="1"/>
  <c r="A26" i="34" s="1"/>
  <c r="A27" i="34" s="1"/>
  <c r="A28" i="34" s="1"/>
  <c r="AG62" i="31" l="1"/>
  <c r="AH95" i="31" l="1"/>
  <c r="AG28" i="31" l="1"/>
  <c r="AG43" i="31" l="1"/>
  <c r="AG34" i="31" l="1"/>
  <c r="AG35" i="31" l="1"/>
  <c r="AG32" i="31" l="1"/>
  <c r="AG51" i="31" l="1"/>
  <c r="AG95" i="31" s="1"/>
</calcChain>
</file>

<file path=xl/sharedStrings.xml><?xml version="1.0" encoding="utf-8"?>
<sst xmlns="http://schemas.openxmlformats.org/spreadsheetml/2006/main" count="2084" uniqueCount="447">
  <si>
    <t>Mẫu số C53-HD</t>
  </si>
  <si>
    <t>(Ban hành theo QĐ số 19/2006/QĐ-BTC ngày 30/03/2006 của</t>
  </si>
  <si>
    <t>DANH SÁCH KIỂM KÊ TÀI SẢN CỐ ĐỊNH NĂM 2017</t>
  </si>
  <si>
    <t xml:space="preserve">           của Bộ trưởng Bộ Tài Chính)</t>
  </si>
  <si>
    <t>Chủ tịch HĐ kiểm kê</t>
  </si>
  <si>
    <t>Phó chủ tịch HĐ</t>
  </si>
  <si>
    <t>Cùng tiến hành kiểm kê tài sản, kết quả như sau:</t>
  </si>
  <si>
    <t>S
T
T</t>
  </si>
  <si>
    <t>TÀI SẢN</t>
  </si>
  <si>
    <t>Năm
đưa vào sử dụng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</si>
  <si>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</si>
  <si>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</si>
  <si>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</si>
  <si>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</si>
  <si>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</si>
  <si>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</si>
  <si>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</si>
  <si>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</si>
  <si>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</si>
  <si>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</si>
  <si>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</si>
  <si>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</si>
  <si>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</si>
  <si>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</si>
  <si>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</si>
  <si>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</si>
  <si>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</si>
  <si>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</si>
  <si>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</si>
  <si>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</si>
  <si>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</si>
  <si>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</si>
  <si>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</si>
  <si>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</si>
  <si>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</si>
  <si>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</si>
  <si>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</si>
  <si>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</si>
  <si>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</si>
  <si>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</si>
  <si>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</si>
  <si>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</si>
  <si>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 xml:space="preserve">     CÁC THÀNH VIÊN</t>
  </si>
  <si>
    <t>PHÓ CHỦ TỊCH HĐ</t>
  </si>
  <si>
    <t>Đơn vị: Trung tâm Kiểm soát bệnh tật TP Đà Nẵng</t>
  </si>
  <si>
    <t>Mã ĐV SDNS: 1127644</t>
  </si>
  <si>
    <t>Theo sổ sách</t>
  </si>
  <si>
    <t>Thực tế KK</t>
  </si>
  <si>
    <t>Chênh lệch</t>
  </si>
  <si>
    <t>Số lượng</t>
  </si>
  <si>
    <t>Nơi tài sản mới chuyển đến</t>
  </si>
  <si>
    <t xml:space="preserve">Ghi chú
</t>
  </si>
  <si>
    <t>Trần Liên</t>
  </si>
  <si>
    <t>Ghế nệm xoay</t>
  </si>
  <si>
    <t>đang sd</t>
  </si>
  <si>
    <t>Hội trường</t>
  </si>
  <si>
    <t>Đang sử dụng</t>
  </si>
  <si>
    <t>Hỏng</t>
  </si>
  <si>
    <t>Quạt đứng Jiplai</t>
  </si>
  <si>
    <t>Ghế tựa gỗ</t>
  </si>
  <si>
    <t>Bàn làm việc giám đốc</t>
  </si>
  <si>
    <t>Tủ sắt đựng hồ sơ</t>
  </si>
  <si>
    <t>Quạt đứng</t>
  </si>
  <si>
    <t>Bàn vi tính</t>
  </si>
  <si>
    <t>Quạt treo tường</t>
  </si>
  <si>
    <t>Bàn làm việc</t>
  </si>
  <si>
    <t>Kệ gỗ</t>
  </si>
  <si>
    <t>Bảng meca</t>
  </si>
  <si>
    <t>Cái</t>
  </si>
  <si>
    <t>Két bạc</t>
  </si>
  <si>
    <t>Bàn làm việc có hộc</t>
  </si>
  <si>
    <t>Ghế xếp</t>
  </si>
  <si>
    <t>Đèn pin</t>
  </si>
  <si>
    <t>K.KDYTQT</t>
  </si>
  <si>
    <t>văn phòng cảng biển</t>
  </si>
  <si>
    <t>Cặp đựng tài liệu</t>
  </si>
  <si>
    <t>SÂN BAY QUỐC TẾ ĐÀ NẴNG</t>
  </si>
  <si>
    <t>Quầy giao dịch</t>
  </si>
  <si>
    <t>Bục nhập</t>
  </si>
  <si>
    <t xml:space="preserve"> Nhập 1, xuất 1</t>
  </si>
  <si>
    <t>Bàn họp lớn</t>
  </si>
  <si>
    <t>Văn phòng</t>
  </si>
  <si>
    <t>Tủ đựng tài liệu 2 ngăn</t>
  </si>
  <si>
    <t>Tủ lạnh Electrolux</t>
  </si>
  <si>
    <t>TB38/SB</t>
  </si>
  <si>
    <t>Ghế nệm xếp inox</t>
  </si>
  <si>
    <t>Cây treo đồ inox</t>
  </si>
  <si>
    <t>Văn phòng 1, phòng cách ly 1</t>
  </si>
  <si>
    <t>Gương soi áp tường</t>
  </si>
  <si>
    <t>Kệ inox 3 tầng (để mũ)</t>
  </si>
  <si>
    <t>văn phòng</t>
  </si>
  <si>
    <t>Kệ chữ U</t>
  </si>
  <si>
    <t>Phòng cách ly</t>
  </si>
  <si>
    <t>Tủ gỗ mặt kính</t>
  </si>
  <si>
    <t>TB40/SB</t>
  </si>
  <si>
    <t>Bàn làm việc inox + khăn</t>
  </si>
  <si>
    <t>Ghế inox tròn</t>
  </si>
  <si>
    <t>Bảng tên phòng cách ly</t>
  </si>
  <si>
    <t>Tấm</t>
  </si>
  <si>
    <t>Phòng cách ly 1, văn phòng 1</t>
  </si>
  <si>
    <t>Giường xếp</t>
  </si>
  <si>
    <t>Phòng cách ly 1, Văn phòng 2</t>
  </si>
  <si>
    <t>Paravan</t>
  </si>
  <si>
    <t>GA HÀNG HÓA</t>
  </si>
  <si>
    <t>Ga hàng hóa</t>
  </si>
  <si>
    <t>Đèn pin sạc nhỏ</t>
  </si>
  <si>
    <t>Máy điều hòa Panasonic 18000BTU</t>
  </si>
  <si>
    <t>VP Khoa</t>
  </si>
  <si>
    <t>Bàn máy tính</t>
  </si>
  <si>
    <t>Tủ sắt đựng tài liệu, hồ sơ</t>
  </si>
  <si>
    <t>Kệ gỗ đựng biểu mẫu, tài liệu</t>
  </si>
  <si>
    <t>Điện thoại cố định</t>
  </si>
  <si>
    <t>Đồng hồ</t>
  </si>
  <si>
    <t>Kệ đựng tài liệu lưu trữ</t>
  </si>
  <si>
    <t>Phòng Tổ chức - Hành chính (cũ)</t>
  </si>
  <si>
    <t>Máy điều hòa nhiệt độ Panasonic</t>
  </si>
  <si>
    <t>Công cụ dụng cụ</t>
  </si>
  <si>
    <t>Quạt treo tường lifan</t>
  </si>
  <si>
    <t>Điện thoại bàn Panasonic</t>
  </si>
  <si>
    <t>Kệ gỗ để hồ sơ</t>
  </si>
  <si>
    <t>Thang nhôm</t>
  </si>
  <si>
    <t>Máy khoan</t>
  </si>
  <si>
    <t>Bơm hút đứng Đài Loan</t>
  </si>
  <si>
    <t>Đồng hồ treo tường</t>
  </si>
  <si>
    <t>Bình PCCC</t>
  </si>
  <si>
    <t>Hòm thư góp ý</t>
  </si>
  <si>
    <t>PHÒNG GIÁM ĐỐC (cũ)</t>
  </si>
  <si>
    <t>Điều hòa nhiệt độ Daikin</t>
  </si>
  <si>
    <t>BS Lâm</t>
  </si>
  <si>
    <t>CCDC Phòng GĐ</t>
  </si>
  <si>
    <t>Quạt điện Mitshu</t>
  </si>
  <si>
    <t>TB41/GĐ</t>
  </si>
  <si>
    <t>Tủ lạnh Deawoo</t>
  </si>
  <si>
    <t>TB37/GĐ</t>
  </si>
  <si>
    <t>Ghế giám đốc</t>
  </si>
  <si>
    <t>PHÒNG PHÓ GIÁM ĐỐC (cũ)</t>
  </si>
  <si>
    <t>BS Tùng</t>
  </si>
  <si>
    <t>CÔNG CỤ DỤNG CỤ P. PHÓ GĐ</t>
  </si>
  <si>
    <t>Bàn làm việc phó giám đốc</t>
  </si>
  <si>
    <t>Ghế tựa da</t>
  </si>
  <si>
    <t>TB36/PGĐ</t>
  </si>
  <si>
    <t>HỘI TRƯỜNG</t>
  </si>
  <si>
    <t>Bàn họp</t>
  </si>
  <si>
    <t>CÔNG CỤ DỤNG CỤ HỘI TRƯỜNG</t>
  </si>
  <si>
    <t>Kệ để tượng Bác Hồ</t>
  </si>
  <si>
    <t>Bục phát biểu</t>
  </si>
  <si>
    <t>Kệ sách gỗ</t>
  </si>
  <si>
    <t>Kệ báo gỗ</t>
  </si>
  <si>
    <t>P. KHTC (cũ)</t>
  </si>
  <si>
    <t>Bục để ảnh bác</t>
  </si>
  <si>
    <t>Máy nóng lạnh Kangaroo</t>
  </si>
  <si>
    <t>Thành viên tổ kiểm kê</t>
  </si>
  <si>
    <t>Trưởng phòng TC - KT</t>
  </si>
  <si>
    <t>Chủ tịch hội đồng</t>
  </si>
  <si>
    <t>-</t>
  </si>
  <si>
    <t>Lưu Thị Mận</t>
  </si>
  <si>
    <t>……………</t>
  </si>
  <si>
    <t>Trần Quốc Việt</t>
  </si>
  <si>
    <t>Đặng Thị Tuyến</t>
  </si>
  <si>
    <t>Nguyễn Thanh Huỳnh</t>
  </si>
  <si>
    <t>Tôn Thất Thạnh</t>
  </si>
  <si>
    <t>1. Ông. Tôn Thất Thạnh</t>
  </si>
  <si>
    <t>Giám đốc</t>
  </si>
  <si>
    <t>2. Ông. Nguyễn Thanh Huỳnh</t>
  </si>
  <si>
    <t>Ủy viên</t>
  </si>
  <si>
    <t>3. Ông. Trần Liên</t>
  </si>
  <si>
    <t>Trưởng phòng TC - HC</t>
  </si>
  <si>
    <t>Tổ trưởng</t>
  </si>
  <si>
    <t>Đại diện khoa</t>
  </si>
  <si>
    <t>5. Thành viên tổ kiểm kê</t>
  </si>
  <si>
    <t>Trưởng khoa KDYTQT</t>
  </si>
  <si>
    <t>Nguyễn Ngọc Tùng</t>
  </si>
  <si>
    <t>Khoa KDYTQT + TCHC quản lý</t>
  </si>
  <si>
    <t>Phòng TCHC</t>
  </si>
  <si>
    <t>Nguyễn Thị Lý</t>
  </si>
  <si>
    <t xml:space="preserve"> Kho tầng 3</t>
  </si>
  <si>
    <t>Quạt đứng Senko</t>
  </si>
  <si>
    <t>VP khoa</t>
  </si>
  <si>
    <t>Túi đựng tài liệu (cặp tài liệu)</t>
  </si>
  <si>
    <t>PHÒNG KẾ HOẠCH - TÀI CHÍNH (cũ)</t>
  </si>
  <si>
    <t>TCHC</t>
  </si>
  <si>
    <t>Phòng 2 - TCHC-A.Linh</t>
  </si>
  <si>
    <t>Hàng ủng hộ PC covid-19</t>
  </si>
  <si>
    <t>Sân bay</t>
  </si>
  <si>
    <t>Hàng ủng hộ PC dịch covid-19</t>
  </si>
  <si>
    <t>Hàng ủng hộ PC dịch covid-19 (CN Lý 1, Bảo vệ 1)</t>
  </si>
  <si>
    <t>4. Ông. Nguyễn Ngọc Tùng</t>
  </si>
  <si>
    <t>Quạt đứng Natifan</t>
  </si>
  <si>
    <t xml:space="preserve">Hỏng </t>
  </si>
  <si>
    <t xml:space="preserve">Đề nghị thanh lý </t>
  </si>
  <si>
    <t>CẢNG BIỂN</t>
  </si>
  <si>
    <t>Đã thanh lý 1 cái năm 2020 (SYT), còn lại 6 cái</t>
  </si>
  <si>
    <t>Đã thanh lý 1 cái năm 2020 (SYT), còn lại 4 cái</t>
  </si>
  <si>
    <t xml:space="preserve">              Đà Nẵng, ngày       tháng       năm 2021</t>
  </si>
  <si>
    <t>TÀI SẢN THANH LÝ THEO QUYẾT ĐỊNH 325/QĐ-TTKSBT NGÀY 14/6/2021</t>
  </si>
  <si>
    <t>3 cái, thanh lý 1 cái năm 2020, còn lại 2 cái</t>
  </si>
  <si>
    <t>Đã đề nghị thanh lý lần 1</t>
  </si>
  <si>
    <t xml:space="preserve">Đang sử dụng </t>
  </si>
  <si>
    <t>Quạt đứng ASIA vina</t>
  </si>
  <si>
    <t>Mới mua 9/2021</t>
  </si>
  <si>
    <t>Chuyển phòng anh Nhi - hoá lý</t>
  </si>
  <si>
    <t>TÀI SẢN CHUYỂN BỘ PHẬN XÉT NGHIỆM HOÁ LÝ - KHOA XÉT NGHIỆM</t>
  </si>
  <si>
    <t>Điều hoà, máy bơm nước</t>
  </si>
  <si>
    <t>BIÊN BẢN KIỂM KÊ TÀI SẢN CỐ ĐỊNH NĂM 2023</t>
  </si>
  <si>
    <t>Thanh lý 1 cái</t>
  </si>
  <si>
    <t>Thanh lý, hiện ở kho 118 LĐL</t>
  </si>
  <si>
    <t>Thanh lý bục nhập, hiện ở kho 118 LĐL</t>
  </si>
  <si>
    <t>Thanh lý 1 cây phòng cách ly</t>
  </si>
  <si>
    <t>ĐN Thanh lý</t>
  </si>
  <si>
    <t>Mang vào sân bay</t>
  </si>
  <si>
    <t>Phòng Kế toán 1, phòng TCHC 1</t>
  </si>
  <si>
    <t>Phòng đội xe (A Tân)</t>
  </si>
  <si>
    <t>Hội trường tầng 7</t>
  </si>
  <si>
    <t>Kho TCHC</t>
  </si>
  <si>
    <t>Phòng anh Liên</t>
  </si>
  <si>
    <t>Tầng 1, phòng thu tiền (Chị Trâm)</t>
  </si>
  <si>
    <t>ĐN Thanh lý, còn ở 120 NCT</t>
  </si>
  <si>
    <t>ĐN Thanh lý, kho 118 LĐL</t>
  </si>
  <si>
    <t>ĐN Thanh lý, phòng TCHC</t>
  </si>
  <si>
    <t>Đơn vị tính</t>
  </si>
  <si>
    <t>Không sử dụng</t>
  </si>
  <si>
    <t>Không sử dụng bục nhập</t>
  </si>
  <si>
    <t>Không sử dụng cây treo đồ phòng cách ly</t>
  </si>
  <si>
    <t>Kho 118 Lê Đình Lý</t>
  </si>
  <si>
    <t>Đang sử dụng 7 cái, 3 cái bị hư</t>
  </si>
  <si>
    <t>Đang sử dụng, Không sử dụng bảng phòng cách ly</t>
  </si>
  <si>
    <t>3 cái hư ở Kho 118 Lê Đình Lý</t>
  </si>
  <si>
    <t>Không sử dụng giường phòng cách ly</t>
  </si>
  <si>
    <t>1 giường ở kho 118 LDL</t>
  </si>
  <si>
    <t>Kho 118 LDL</t>
  </si>
  <si>
    <t>1 bảng ở Kho 118 LDL</t>
  </si>
  <si>
    <t>2 cái ở sân bay, 1 cái hư ở kho 118LDL</t>
  </si>
  <si>
    <t>+1</t>
  </si>
  <si>
    <t>120 NCT chuyển vào sân bay 1 tủ</t>
  </si>
  <si>
    <t>CƠ QUAN (120 Nguyễn Chí Thanh)</t>
  </si>
  <si>
    <t>120 NCT</t>
  </si>
  <si>
    <t>Phòng TCHC 1, phòng bảo vệ 1</t>
  </si>
  <si>
    <t>Phòng giao ban KDYT T5</t>
  </si>
  <si>
    <t>Văn phòng khoa T5</t>
  </si>
  <si>
    <t>PHòng TCHC</t>
  </si>
  <si>
    <t>Phòng A.Liên 1</t>
  </si>
  <si>
    <t>1 tủ không sử dụng</t>
  </si>
  <si>
    <t>- Hôm nay, ngày      tháng     năm 2023, tại Trung tâm Kiểm soát bệnh tât TP Đà Nẵng chúng tôi gồm:</t>
  </si>
  <si>
    <t>6 cái không lỗ, 2 cái có lỗ, 1 ghế thường. Đn thanh lý 1 ghế thường, 2 ghế lỗ</t>
  </si>
  <si>
    <t xml:space="preserve"> Xuất 1, Kho 118 LDL 1</t>
  </si>
  <si>
    <t>ĐN Thanh lý 1 bục nhập ở kho</t>
  </si>
  <si>
    <t>Văn phòng 1, Kho 118 LDL 1</t>
  </si>
  <si>
    <t>ĐN Thanh lý 1 cây ở kho 118 LDL</t>
  </si>
  <si>
    <t>6 cái không lỗ, 2 cái có lỗ, 1 ghế thường. Đn thanh lý 1 ghế thường, 2 ghế lỗ ở kho 118 LDL</t>
  </si>
  <si>
    <t>1 văn phòng, 1 bảng ở Kho 118 LDL</t>
  </si>
  <si>
    <t>ĐN Thanh lý 1</t>
  </si>
  <si>
    <t>1 giường ở kho 118 LDL, 2 giưởng ở văn phòng</t>
  </si>
  <si>
    <t>Hàng ủng hộ Covid</t>
  </si>
  <si>
    <t>+3</t>
  </si>
  <si>
    <t>2 cái ở sân bay, 1 cái hư ở kho 118LDL. ĐN thanh lý 1</t>
  </si>
  <si>
    <t>(Ban hành theo QĐ số 19/2006/QĐ-BTC ngày 30/03/2006 của Bộ trưởng Bộ Tài Chính)</t>
  </si>
  <si>
    <t>BLV1809/11</t>
  </si>
  <si>
    <t>BHT 3010/4</t>
  </si>
  <si>
    <t>Phòng giao ban</t>
  </si>
  <si>
    <t xml:space="preserve">Ghế tựa da </t>
  </si>
  <si>
    <t>+2</t>
  </si>
  <si>
    <t>ĐN Thanh lý. 5 cái có tay, 1 không tay.</t>
  </si>
  <si>
    <t xml:space="preserve">ĐN Thanh lý </t>
  </si>
  <si>
    <t>Đèn led panel 45 w vuông 0,6x0,6 m</t>
  </si>
  <si>
    <t>bộ</t>
  </si>
  <si>
    <t>Công tắc 3</t>
  </si>
  <si>
    <t>Ổ cắm đôi 3 chấu</t>
  </si>
  <si>
    <t>Tủ điện âm tường bao gồm thiết bị</t>
  </si>
  <si>
    <t>Đầu báo khói địa chỉ (kể cả đế)</t>
  </si>
  <si>
    <t>cái</t>
  </si>
  <si>
    <t xml:space="preserve">Đầu phun sprinkler 68 độ C (loại quay xuống) + đế </t>
  </si>
  <si>
    <t>Điều hòa treo tường 24.000 Btu/h + remote</t>
  </si>
  <si>
    <t>Quạt trần + hộp số</t>
  </si>
  <si>
    <t>Miệng gió 250x250 + OBD</t>
  </si>
  <si>
    <t>Đầu phun sprinkler 68 độ C (loại quay xuống) + đế</t>
  </si>
  <si>
    <t>Điều hòa treo tường 18.000 Btu/h + remote</t>
  </si>
  <si>
    <t>TBVP KHOA KIỂM DỊCH Y TẾ QUỐC TẾ</t>
  </si>
  <si>
    <t>I</t>
  </si>
  <si>
    <t>PHÒNG LÀM VIỆC KHOA TẦNG 5</t>
  </si>
  <si>
    <t>Bàn làm việc - BLV15-1
-Kích thước: (1.500x750x760)mm.
- Gỗ công nghiệp phủ melamine có hộc liền.</t>
  </si>
  <si>
    <t>Bàn làm việc - BLV1809-1
-Kích thước: (1.800x900x760)mm.
-Gỗ công nghiệp phun PU</t>
  </si>
  <si>
    <t>Ghế làm việc
-Kích thước: (550x530x865/990)mm.
- Khung nhựa, đệm tựa bọc vải tay nhựa.</t>
  </si>
  <si>
    <t>Tủ đựng dụng cụ
-Kích thước: (1.000x450x1.830)mm.
- Khung sắt sơn tĩnh điện khoang trên có 03 khoang, có 02 đợt di động. Khung cánh kính mở</t>
  </si>
  <si>
    <t>KDYTQT</t>
  </si>
  <si>
    <t>P. Làm việc</t>
  </si>
  <si>
    <t>Đang sd</t>
  </si>
  <si>
    <t>TDC 55-59</t>
  </si>
  <si>
    <t>VP 120 NCT</t>
  </si>
  <si>
    <t>Bs Tùng 120 NCT</t>
  </si>
  <si>
    <t>TB36/PGD</t>
  </si>
  <si>
    <t>II</t>
  </si>
  <si>
    <t>PHÒNG GIAO BAN KHOA TẦNG 5</t>
  </si>
  <si>
    <t>Bàn họp - BHT3010
- Kích thước: 3,000X1,200X750)mm
- Gỗ công nghiệp phủ melamin</t>
  </si>
  <si>
    <t>Ghế họp giao ban - GQ712
- Kích thước: (580x620x950)mm
- Khung thép sơn tĩnh điện, đệm tựa bọc vải, lưng trung</t>
  </si>
  <si>
    <t>GQ712/68-86</t>
  </si>
  <si>
    <t>HT 120 NCT</t>
  </si>
  <si>
    <t>Không sd</t>
  </si>
  <si>
    <t>III</t>
  </si>
  <si>
    <t>IV</t>
  </si>
  <si>
    <t>Máy nóng lạnh Kangroo</t>
  </si>
  <si>
    <t>02 văn phòng,
 01 Kho 118 LDL</t>
  </si>
  <si>
    <t>Sân bay chuyển sang</t>
  </si>
  <si>
    <t>V</t>
  </si>
  <si>
    <t>VI</t>
  </si>
  <si>
    <t>VII</t>
  </si>
  <si>
    <t xml:space="preserve">Tầng hầm 118 </t>
  </si>
  <si>
    <t>Ga hàng hoá</t>
  </si>
  <si>
    <t>Tủ tài liệu 2 ngăn</t>
  </si>
  <si>
    <t>Mã số</t>
  </si>
  <si>
    <t>KHTC 120 NCT</t>
  </si>
  <si>
    <t>Máy điều hoà Panasonic 18000BTU</t>
  </si>
  <si>
    <t xml:space="preserve">Máy điều hoà Panasonic </t>
  </si>
  <si>
    <t>Điều hoà nhiệt độ Dankin</t>
  </si>
  <si>
    <t>THIẾT BỊ ĐIỆN KHOA KIỂM DỊCH Y TẾ QUỐC TẾ</t>
  </si>
  <si>
    <t>ĐN Thanh lý 1 cái</t>
  </si>
  <si>
    <t>Kho TCHC tầng 4</t>
  </si>
  <si>
    <t>Bình nước nóng lạnh</t>
  </si>
  <si>
    <t>Đèn pin hỏng, ĐN Thanh lý</t>
  </si>
  <si>
    <t>Đã chuyển bục về 118 LDL. ĐN Thanh lý</t>
  </si>
  <si>
    <t>Đã chuyển 2 bục ở sân bay về 118 LDL. ĐN Thanh lý</t>
  </si>
  <si>
    <t>Sân bay chuyển về 118 LDL 1 cái. ĐN Thanh lý 1 cái</t>
  </si>
  <si>
    <t>Phòng cách ly chuyển về 118. ĐN thanh lý 1</t>
  </si>
  <si>
    <t>Phòng cách ly chuyển về 118. ĐN thanh lý</t>
  </si>
  <si>
    <t>Có</t>
  </si>
  <si>
    <t>TÀI SẢN CÒN Ở CƠ SỞ 120 NGUYỄN CHÍ THANH</t>
  </si>
  <si>
    <t>điện thoại có fax đang ở kho TCHC</t>
  </si>
  <si>
    <t xml:space="preserve">03 Sân bay
02 P. Làm việc </t>
  </si>
  <si>
    <t>04 Đang sd
01 cái trong sân bay Hỏng</t>
  </si>
  <si>
    <t>01 văn phòng, 1 cái hầm 118LDL</t>
  </si>
  <si>
    <t>đang sd, cái hỏng 1 cái</t>
  </si>
  <si>
    <t>Phong giao ban Khoa KDYTQT</t>
  </si>
  <si>
    <t>Hỏng 3 cái phòng cách ly</t>
  </si>
  <si>
    <t xml:space="preserve">1 cái phòng cách ly bị hỏng </t>
  </si>
  <si>
    <t>Chuyển 2 cái về phòng LV; Hỏng 1 cái trong sân bay</t>
  </si>
  <si>
    <t>Trần Quốc Việt……………….………….</t>
  </si>
  <si>
    <t>Trần Liên……………………….………..</t>
  </si>
  <si>
    <t>TÀI SẢN THANH LÝ THEO QUYẾT ĐỊNH 443/QĐ-TTKSBT NGÀY 13/12/2023</t>
  </si>
  <si>
    <t xml:space="preserve">
01 cái phòng cách ly</t>
  </si>
  <si>
    <t>hỏng 1 cái</t>
  </si>
  <si>
    <t xml:space="preserve">
03 phòng cách ly</t>
  </si>
  <si>
    <t>3 cái phòng cách ly bị hư</t>
  </si>
  <si>
    <t>TẦNG HẦM 118 LĐL</t>
  </si>
  <si>
    <t>1. Ông. Nguyễn Đại Vĩnh</t>
  </si>
  <si>
    <t>Nguyễn Đại Vĩnh</t>
  </si>
  <si>
    <t>Đvt</t>
  </si>
  <si>
    <t>1. Ông.Nguyễn Đại Vĩnh</t>
  </si>
  <si>
    <t>Ghế nệm xoay (Sổ tài sản 4 cái)</t>
  </si>
  <si>
    <t>BIÊN BẢN KIỂM KÊ TÀI SẢN CỐ ĐỊNH NĂM 2025</t>
  </si>
  <si>
    <t>Lê Thị Bích Trâm……………….…………</t>
  </si>
  <si>
    <t>Đề nghị thanh lý</t>
  </si>
  <si>
    <t>BLV 86, 87, 93, 94, 95</t>
  </si>
  <si>
    <t>-4</t>
  </si>
  <si>
    <t>Tủ hồ sơ sắt 09k5 (T12/14)</t>
  </si>
  <si>
    <t>Cơ sở 2 chuyển ra</t>
  </si>
  <si>
    <t>Giường gỗ</t>
  </si>
  <si>
    <t>Đơn giá</t>
  </si>
  <si>
    <t>Thành tiền</t>
  </si>
  <si>
    <t>0</t>
  </si>
  <si>
    <t>BLV 88, 89,91 Chuyển  P. Tổ chức - Hành chính
BLV 96 Chuyển P. làm việc Khoa SKSS</t>
  </si>
  <si>
    <t>GLV 137-142</t>
  </si>
  <si>
    <t xml:space="preserve">GLV 132-133, 135-136 chuyển THCH
</t>
  </si>
  <si>
    <t>CƠ SỞ 1</t>
  </si>
  <si>
    <t>CƠ SỞ 2</t>
  </si>
  <si>
    <t>Tủ tài liệu 2016: TU09K3G</t>
  </si>
  <si>
    <t>205-HIV/17</t>
  </si>
  <si>
    <t>Bàn gỗ + ghế vi tính (ghế xếp nệm xanh)</t>
  </si>
  <si>
    <t>207-HIV/17</t>
  </si>
  <si>
    <t>208-HIV/17</t>
  </si>
  <si>
    <t>209-HIV/17</t>
  </si>
  <si>
    <t>Tủ tài liệu 2016: TU09K3</t>
  </si>
  <si>
    <t>210-HIV/17</t>
  </si>
  <si>
    <t>Bàn ghế uống nước 2016</t>
  </si>
  <si>
    <t>212-HIV/17</t>
  </si>
  <si>
    <t>Bàn làm việc 2016: HP1200SHL</t>
  </si>
  <si>
    <t>213-HIV/17</t>
  </si>
  <si>
    <t>Tủ đựng file 2016: MSP : GS3.Việt Nam</t>
  </si>
  <si>
    <t>214-HIV/17</t>
  </si>
  <si>
    <t>Ghế gỗ tựa</t>
  </si>
  <si>
    <t>215-HIV/17</t>
  </si>
  <si>
    <t>1/YTDP</t>
  </si>
  <si>
    <t>2/YTDP</t>
  </si>
  <si>
    <t>Ghế xoay Hòa Phát</t>
  </si>
  <si>
    <t>3/YTDP</t>
  </si>
  <si>
    <t>Bộ bàn salon gỗ gõ</t>
  </si>
  <si>
    <t>04-SR/16</t>
  </si>
  <si>
    <t>Bàn vi tính gỗ ép màu trắng</t>
  </si>
  <si>
    <t>05-SR/17</t>
  </si>
  <si>
    <t>Ghế xoay HP SG550</t>
  </si>
  <si>
    <t>6YTDP</t>
  </si>
  <si>
    <t xml:space="preserve">Ấm nước điện </t>
  </si>
  <si>
    <t>20/KDQT/2022</t>
  </si>
  <si>
    <t>21/KDQT/2022</t>
  </si>
  <si>
    <t xml:space="preserve">Tủ hồ sơ TU17B1C2 </t>
  </si>
  <si>
    <t>22/KDQT/2022</t>
  </si>
  <si>
    <t>Máy sưởi dầu Sunhouse SHD 7080</t>
  </si>
  <si>
    <t>23/KDQT/2022</t>
  </si>
  <si>
    <t>Tủ hồ sơ TU09K3CK (1000x450x1830) mm</t>
  </si>
  <si>
    <t>36/KDYT/2023</t>
  </si>
  <si>
    <t>Giường Inox (nhận từ BM)</t>
  </si>
  <si>
    <t>4-SKSS</t>
  </si>
  <si>
    <t>Giường Inox</t>
  </si>
  <si>
    <t>5-SKSS</t>
  </si>
  <si>
    <t>Tủ Inox đầu giường</t>
  </si>
  <si>
    <t>7-SKSS</t>
  </si>
  <si>
    <t>Tủ thuốc</t>
  </si>
  <si>
    <t>10-SKSS</t>
  </si>
  <si>
    <t>….</t>
  </si>
  <si>
    <t>CS 2</t>
  </si>
  <si>
    <t>15 Trần Hưng Đạo</t>
  </si>
  <si>
    <t>15 Trần Hưng Đạo - chuyển Khoa SKMT</t>
  </si>
  <si>
    <t>15 Trần Hưng Đạo - chuyển Khoa SKMT (hỏng)</t>
  </si>
  <si>
    <t>-1</t>
  </si>
  <si>
    <t>Cửa khẩu Nam Giang</t>
  </si>
  <si>
    <t>Sản xuất và lắp đặt bốt kiểm dịch tại cửa khẩu Nam GIang</t>
  </si>
  <si>
    <t xml:space="preserve">Máy điều hòa </t>
  </si>
  <si>
    <t>Xe máy Yamaha JUPITER (92B1 -1406)</t>
  </si>
  <si>
    <t xml:space="preserve">Xe máy Yamaha EXCITER (92B1-1404) </t>
  </si>
  <si>
    <t>08CDC2023</t>
  </si>
  <si>
    <t>SR 02/16</t>
  </si>
  <si>
    <t>SR 04/09</t>
  </si>
  <si>
    <t>2009</t>
  </si>
  <si>
    <t>SR 01/09</t>
  </si>
  <si>
    <t>Nguyễn Văn Trỗi</t>
  </si>
  <si>
    <t>- Hôm nay, ngày      tháng     năm 2026, tại Trung tâm Kiểm soát bệnh tât TP Đà Nẵng chúng tôi gồm:</t>
  </si>
  <si>
    <t>2. Ông. Hồ Phú Quảng</t>
  </si>
  <si>
    <t xml:space="preserve">4. Ông. </t>
  </si>
  <si>
    <t xml:space="preserve">    Đà Nẵng, ngày       tháng       năm 2026</t>
  </si>
  <si>
    <t>Hồ Phú Quảng</t>
  </si>
  <si>
    <t>Nguyễn Thị Hà Vy……………….…………</t>
  </si>
  <si>
    <t>Bàn giao cho TT Quản lý và Khai thác nhà</t>
  </si>
  <si>
    <t>TỔNG CỘNG</t>
  </si>
  <si>
    <t>THEO DÕI CCDC</t>
  </si>
  <si>
    <t>Điều hoà Dankin</t>
  </si>
  <si>
    <t>Bàn giao Trung tâm Quản lý và Khai thác nhà</t>
  </si>
  <si>
    <r>
      <t xml:space="preserve">15 Trần Hưng Đạo </t>
    </r>
    <r>
      <rPr>
        <sz val="11"/>
        <rFont val="Times New Roman"/>
        <family val="1"/>
      </rPr>
      <t>(hỏng)</t>
    </r>
  </si>
  <si>
    <t>BIÊN BẢN KIỂM KÊ TÀI SẢN CỐ ĐỊNH NĂM 2026</t>
  </si>
  <si>
    <t>- Hôm nay, ngày  09     tháng  01    năm 2026, tại Trung tâm Kiểm soát bệnh tât TP Đà Nẵng chúng tôi gồm:</t>
  </si>
  <si>
    <t>4. Ông. Phan Văn Bửu</t>
  </si>
  <si>
    <t xml:space="preserve">PHÒNG LÀM VIỆC KHOA TẦNG 5 (T5.18)  CHUYỂN TỪ PHÒNG KHO KHOA DƯỢC </t>
  </si>
  <si>
    <t xml:space="preserve">PHÒNG GIAO BAN KHOA TẦNG 5 (T5.17)
CHUYỂN TỪ PHÒNG KHO KHOA DƯỢC </t>
  </si>
  <si>
    <t>Đèn led downlight 16w</t>
  </si>
  <si>
    <t>Ổ cắm đôi 3 chấu âm sàn</t>
  </si>
  <si>
    <t>Miệng gió 800x150 + OBD</t>
  </si>
  <si>
    <t xml:space="preserve">              Đà Nẵng, ngày  09   tháng  01  năm 2026</t>
  </si>
  <si>
    <t>Phan Văn Bửu</t>
  </si>
  <si>
    <t>Nguyễn Thị Vũ Cẩm……………….…………</t>
  </si>
  <si>
    <t xml:space="preserve">Đơn giá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</si>
</sst>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_);_(* \(#,##0\);_(* &quot;-&quot;_);_(@_)"/>
    <numFmt numFmtId="165" formatCode="_(* #,##0.00_);_(* \(#,##0.00\);_(* &quot;-&quot;??_);_(@_)"/>
    <numFmt numFmtId="166" formatCode="_(* #,##0.000_);_(* \(#,##0.000\);_(* &quot;-&quot;??_);_(@_)"/>
    <numFmt numFmtId="167" formatCode="#_);\(#\)"/>
    <numFmt numFmtId="168" formatCode="0.0%"/>
    <numFmt numFmtId="169" formatCode="\$#,##0\ ;\(\$#,##0\)"/>
    <numFmt numFmtId="170" formatCode="&quot;VND&quot;#,##0_);[Red]\(&quot;VND&quot;#,##0\)"/>
    <numFmt numFmtId="171" formatCode="&quot;\&quot;#,##0;[Red]&quot;\&quot;&quot;\&quot;\-#,##0"/>
    <numFmt numFmtId="172" formatCode="&quot;\&quot;#,##0.00;[Red]&quot;\&quot;&quot;\&quot;&quot;\&quot;&quot;\&quot;&quot;\&quot;&quot;\&quot;\-#,##0.00"/>
    <numFmt numFmtId="173" formatCode="&quot;\&quot;#,##0.00;[Red]&quot;\&quot;\-#,##0.00"/>
    <numFmt numFmtId="174" formatCode="&quot;\&quot;#,##0;[Red]&quot;\&quot;\-#,##0"/>
    <numFmt numFmtId="175" formatCode="0.000"/>
    <numFmt numFmtId="176" formatCode="_(* #,##0_);_(* \(#,##0\);_(* &quot;-&quot;??_);_(@_)"/>
    <numFmt numFmtId="177" formatCode="_-* #,##0&quot; &quot;_ _-;\-* #,##0&quot; &quot;_ _-;_-* &quot;-&quot;??&quot; &quot;_ _-;_-@_-"/>
  </numFmts>
  <fonts count="52">
    <font>
      <sz val="10"/>
      <name val="VNtimes new roman"/>
    </font>
    <font>
      <sz val="11"/>
      <color theme="1"/>
      <name val="Calibri"/>
      <family val="2"/>
      <charset val="163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.VnTime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  <charset val="163"/>
    </font>
    <font>
      <b/>
      <sz val="8"/>
      <color theme="1"/>
      <name val="Times New Roman"/>
      <family val="1"/>
    </font>
    <font>
      <sz val="10"/>
      <color theme="1"/>
      <name val="Times New Roman"/>
      <family val="1"/>
      <charset val="163"/>
    </font>
    <font>
      <sz val="10"/>
      <color rgb="FFFF0000"/>
      <name val="Times New Roman"/>
      <family val="1"/>
    </font>
    <font>
      <sz val="10"/>
      <color rgb="FF00B0F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  <charset val="163"/>
    </font>
    <font>
      <sz val="8"/>
      <color theme="1"/>
      <name val="Times New Roman"/>
      <family val="1"/>
    </font>
    <font>
      <sz val="10"/>
      <color theme="1"/>
      <name val="VNtimes new roman"/>
      <family val="2"/>
    </font>
    <font>
      <b/>
      <sz val="14"/>
      <color theme="1"/>
      <name val="Times New Roman"/>
      <family val="1"/>
    </font>
    <font>
      <sz val="10"/>
      <name val="VNtimes new roman"/>
      <charset val="163"/>
    </font>
    <font>
      <b/>
      <u/>
      <sz val="12"/>
      <name val="Times New Roman"/>
      <family val="1"/>
      <charset val="163"/>
    </font>
    <font>
      <sz val="11"/>
      <name val="Times New Roman"/>
      <family val="1"/>
      <charset val="163"/>
    </font>
    <font>
      <b/>
      <sz val="14"/>
      <name val="Times New Roman"/>
      <family val="1"/>
      <charset val="163"/>
    </font>
    <font>
      <sz val="12"/>
      <name val="VNtimes new roman"/>
      <family val="2"/>
      <charset val="163"/>
    </font>
    <font>
      <b/>
      <sz val="12"/>
      <name val="VNtimes new roman"/>
      <family val="2"/>
      <charset val="163"/>
    </font>
    <font>
      <b/>
      <sz val="11"/>
      <name val="VNtimes new roman"/>
      <family val="2"/>
      <charset val="163"/>
    </font>
    <font>
      <sz val="10"/>
      <name val="VNtimes new roman"/>
    </font>
    <font>
      <sz val="8"/>
      <name val="VNtimes new roman"/>
    </font>
    <font>
      <sz val="8"/>
      <color indexed="8"/>
      <name val="Arial"/>
      <family val="2"/>
    </font>
    <font>
      <sz val="11"/>
      <name val="Times New Roman"/>
      <family val="1"/>
    </font>
    <font>
      <sz val="11"/>
      <name val="VNtimes new roman"/>
      <family val="2"/>
      <charset val="163"/>
    </font>
    <font>
      <sz val="11"/>
      <color rgb="FFFF0000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sz val="12"/>
      <color rgb="FFFF0000"/>
      <name val="VNtimes new roman"/>
      <family val="2"/>
      <charset val="163"/>
    </font>
    <font>
      <b/>
      <sz val="10"/>
      <name val="Times New Roman"/>
      <family val="1"/>
      <charset val="163"/>
    </font>
    <font>
      <b/>
      <sz val="12"/>
      <name val="Times New Roman"/>
      <family val="1"/>
    </font>
    <font>
      <sz val="12"/>
      <color indexed="8"/>
      <name val="VNI-Time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70" fontId="2" fillId="0" borderId="0"/>
    <xf numFmtId="0" fontId="16" fillId="0" borderId="0"/>
    <xf numFmtId="0" fontId="10" fillId="0" borderId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0" fontId="9" fillId="0" borderId="0"/>
    <xf numFmtId="164" fontId="41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</xf>
    <xf numFmtId="0" fontId="43" fillId="0" borderId="0" applyNumberFormat="0" applyFill="0" applyBorder="0" applyAlignment="0" applyProtection="0">
      <alignment vertical="top"/>
    </xf>
    <xf numFmtId="0" fontId="44" fillId="0" borderId="0" applyAlignment="0">
      <alignment vertical="top" wrapText="1"/>
      <protection locked="0"/>
    </xf>
    <xf numFmtId="165" fontId="2" fillId="0" borderId="0" applyFont="0" applyFill="0" applyBorder="0" applyAlignment="0" applyProtection="0"/>
    <xf numFmtId="0" fontId="1" fillId="0" borderId="0"/>
    <xf numFmtId="0" fontId="51" fillId="0" borderId="0"/>
  </cellStyleXfs>
  <cellXfs count="361">
    <xf numFmtId="0" fontId="0" fillId="0" borderId="0" xfId="0"/>
    <xf numFmtId="0" fontId="17" fillId="2" borderId="0" xfId="0" applyFont="1" applyFill="1"/>
    <xf numFmtId="3" fontId="17" fillId="2" borderId="0" xfId="0" applyNumberFormat="1" applyFont="1" applyFill="1" applyAlignment="1">
      <alignment horizontal="right"/>
    </xf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 applyAlignment="1">
      <alignment vertical="center"/>
    </xf>
    <xf numFmtId="0" fontId="20" fillId="2" borderId="0" xfId="0" applyFont="1" applyFill="1"/>
    <xf numFmtId="166" fontId="17" fillId="2" borderId="0" xfId="7" applyNumberFormat="1" applyFont="1" applyFill="1"/>
    <xf numFmtId="0" fontId="20" fillId="2" borderId="0" xfId="0" applyFont="1" applyFill="1" applyAlignment="1">
      <alignment wrapText="1"/>
    </xf>
    <xf numFmtId="3" fontId="19" fillId="2" borderId="0" xfId="0" applyNumberFormat="1" applyFont="1" applyFill="1" applyAlignment="1">
      <alignment horizontal="right"/>
    </xf>
    <xf numFmtId="0" fontId="20" fillId="2" borderId="0" xfId="0" applyFont="1" applyFill="1" applyAlignment="1">
      <alignment horizontal="center" wrapText="1"/>
    </xf>
    <xf numFmtId="166" fontId="19" fillId="2" borderId="0" xfId="7" applyNumberFormat="1" applyFont="1" applyFill="1" applyBorder="1"/>
    <xf numFmtId="0" fontId="21" fillId="2" borderId="0" xfId="0" applyFont="1" applyFill="1"/>
    <xf numFmtId="0" fontId="21" fillId="2" borderId="0" xfId="0" applyFont="1" applyFill="1" applyAlignment="1">
      <alignment horizontal="center"/>
    </xf>
    <xf numFmtId="0" fontId="22" fillId="2" borderId="0" xfId="0" applyFont="1" applyFill="1"/>
    <xf numFmtId="0" fontId="23" fillId="2" borderId="0" xfId="0" applyFont="1" applyFill="1"/>
    <xf numFmtId="0" fontId="20" fillId="2" borderId="0" xfId="0" applyFont="1" applyFill="1" applyAlignment="1">
      <alignment horizontal="center"/>
    </xf>
    <xf numFmtId="3" fontId="20" fillId="2" borderId="0" xfId="0" applyNumberFormat="1" applyFont="1" applyFill="1" applyAlignment="1">
      <alignment horizontal="right"/>
    </xf>
    <xf numFmtId="166" fontId="19" fillId="2" borderId="0" xfId="7" applyNumberFormat="1" applyFont="1" applyFill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3" fontId="12" fillId="0" borderId="1" xfId="7" quotePrefix="1" applyNumberFormat="1" applyFont="1" applyFill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right" vertical="center"/>
    </xf>
    <xf numFmtId="3" fontId="12" fillId="0" borderId="1" xfId="0" applyNumberFormat="1" applyFont="1" applyBorder="1" applyAlignment="1">
      <alignment vertical="center"/>
    </xf>
    <xf numFmtId="3" fontId="12" fillId="0" borderId="1" xfId="7" applyNumberFormat="1" applyFont="1" applyFill="1" applyBorder="1" applyAlignment="1">
      <alignment vertical="center"/>
    </xf>
    <xf numFmtId="9" fontId="12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168" fontId="12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166" fontId="11" fillId="0" borderId="1" xfId="7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2" borderId="0" xfId="0" applyFont="1" applyFill="1" applyAlignment="1">
      <alignment vertical="center"/>
    </xf>
    <xf numFmtId="0" fontId="25" fillId="0" borderId="0" xfId="16" applyFont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6" fillId="2" borderId="0" xfId="0" applyFont="1" applyFill="1"/>
    <xf numFmtId="0" fontId="12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24" fillId="2" borderId="0" xfId="0" applyFont="1" applyFill="1"/>
    <xf numFmtId="0" fontId="27" fillId="2" borderId="0" xfId="0" applyFont="1" applyFill="1"/>
    <xf numFmtId="0" fontId="20" fillId="0" borderId="0" xfId="0" applyFont="1" applyAlignment="1">
      <alignment wrapText="1"/>
    </xf>
    <xf numFmtId="0" fontId="19" fillId="0" borderId="0" xfId="0" applyFont="1"/>
    <xf numFmtId="0" fontId="18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4" fillId="0" borderId="0" xfId="16" applyFont="1" applyAlignment="1">
      <alignment vertical="center"/>
    </xf>
    <xf numFmtId="0" fontId="20" fillId="0" borderId="0" xfId="0" applyFont="1" applyAlignment="1">
      <alignment vertical="center" wrapText="1"/>
    </xf>
    <xf numFmtId="0" fontId="19" fillId="0" borderId="0" xfId="0" applyFont="1" applyAlignment="1">
      <alignment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167" fontId="20" fillId="0" borderId="1" xfId="0" applyNumberFormat="1" applyFont="1" applyBorder="1" applyAlignment="1">
      <alignment horizontal="center" vertical="center" wrapText="1"/>
    </xf>
    <xf numFmtId="3" fontId="19" fillId="0" borderId="1" xfId="0" applyNumberFormat="1" applyFont="1" applyBorder="1" applyAlignment="1">
      <alignment horizontal="center" vertical="center" wrapText="1"/>
    </xf>
    <xf numFmtId="167" fontId="19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center" vertical="center"/>
    </xf>
    <xf numFmtId="167" fontId="20" fillId="0" borderId="3" xfId="0" applyNumberFormat="1" applyFont="1" applyBorder="1" applyAlignment="1">
      <alignment horizontal="center" vertical="center"/>
    </xf>
    <xf numFmtId="3" fontId="19" fillId="0" borderId="3" xfId="0" applyNumberFormat="1" applyFont="1" applyBorder="1" applyAlignment="1">
      <alignment horizontal="center" vertical="center"/>
    </xf>
    <xf numFmtId="167" fontId="19" fillId="0" borderId="3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9" fontId="20" fillId="0" borderId="1" xfId="17" quotePrefix="1" applyFont="1" applyFill="1" applyBorder="1" applyAlignment="1">
      <alignment horizontal="center" vertical="center" wrapText="1"/>
    </xf>
    <xf numFmtId="168" fontId="20" fillId="0" borderId="1" xfId="17" quotePrefix="1" applyNumberFormat="1" applyFont="1" applyFill="1" applyBorder="1" applyAlignment="1">
      <alignment horizontal="center" vertical="center" wrapText="1"/>
    </xf>
    <xf numFmtId="3" fontId="20" fillId="0" borderId="1" xfId="7" quotePrefix="1" applyNumberFormat="1" applyFont="1" applyFill="1" applyBorder="1" applyAlignment="1">
      <alignment horizontal="center" vertical="center" wrapText="1"/>
    </xf>
    <xf numFmtId="3" fontId="20" fillId="0" borderId="1" xfId="7" applyNumberFormat="1" applyFont="1" applyFill="1" applyBorder="1" applyAlignment="1">
      <alignment horizontal="center" vertical="center" wrapText="1"/>
    </xf>
    <xf numFmtId="168" fontId="20" fillId="0" borderId="1" xfId="0" applyNumberFormat="1" applyFont="1" applyBorder="1" applyAlignment="1">
      <alignment horizontal="center" vertical="center" wrapText="1"/>
    </xf>
    <xf numFmtId="3" fontId="20" fillId="0" borderId="1" xfId="0" quotePrefix="1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175" fontId="28" fillId="0" borderId="0" xfId="0" applyNumberFormat="1" applyFont="1" applyAlignment="1">
      <alignment horizontal="left" vertical="center" wrapText="1"/>
    </xf>
    <xf numFmtId="0" fontId="28" fillId="0" borderId="0" xfId="15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0" xfId="16" applyFont="1" applyAlignment="1">
      <alignment horizontal="center" vertical="center" wrapText="1"/>
    </xf>
    <xf numFmtId="3" fontId="28" fillId="0" borderId="0" xfId="16" applyNumberFormat="1" applyFont="1" applyAlignment="1">
      <alignment horizontal="center" vertical="center" wrapText="1"/>
    </xf>
    <xf numFmtId="3" fontId="28" fillId="0" borderId="1" xfId="16" applyNumberFormat="1" applyFont="1" applyBorder="1" applyAlignment="1">
      <alignment horizontal="center" vertical="center" wrapText="1"/>
    </xf>
    <xf numFmtId="0" fontId="20" fillId="0" borderId="0" xfId="16" applyFont="1" applyAlignment="1">
      <alignment horizontal="center" vertical="center" wrapText="1"/>
    </xf>
    <xf numFmtId="0" fontId="20" fillId="0" borderId="0" xfId="16" applyFont="1" applyAlignment="1">
      <alignment vertical="center" wrapText="1"/>
    </xf>
    <xf numFmtId="0" fontId="19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 wrapText="1"/>
    </xf>
    <xf numFmtId="167" fontId="20" fillId="0" borderId="3" xfId="0" applyNumberFormat="1" applyFont="1" applyBorder="1" applyAlignment="1">
      <alignment horizontal="center" vertical="center" wrapText="1"/>
    </xf>
    <xf numFmtId="3" fontId="19" fillId="0" borderId="3" xfId="0" applyNumberFormat="1" applyFont="1" applyBorder="1" applyAlignment="1">
      <alignment horizontal="center" vertical="center" wrapText="1"/>
    </xf>
    <xf numFmtId="167" fontId="19" fillId="0" borderId="3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9" fontId="20" fillId="0" borderId="1" xfId="0" applyNumberFormat="1" applyFont="1" applyBorder="1" applyAlignment="1">
      <alignment horizontal="center" vertical="center" wrapText="1"/>
    </xf>
    <xf numFmtId="168" fontId="20" fillId="0" borderId="1" xfId="17" applyNumberFormat="1" applyFont="1" applyFill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right" vertical="center" wrapText="1"/>
    </xf>
    <xf numFmtId="3" fontId="20" fillId="0" borderId="1" xfId="0" applyNumberFormat="1" applyFont="1" applyBorder="1" applyAlignment="1">
      <alignment vertical="center" wrapText="1"/>
    </xf>
    <xf numFmtId="3" fontId="20" fillId="0" borderId="1" xfId="7" applyNumberFormat="1" applyFont="1" applyFill="1" applyBorder="1" applyAlignment="1">
      <alignment vertical="center" wrapText="1"/>
    </xf>
    <xf numFmtId="9" fontId="20" fillId="0" borderId="1" xfId="0" applyNumberFormat="1" applyFont="1" applyBorder="1" applyAlignment="1">
      <alignment horizontal="right" vertical="center" wrapText="1"/>
    </xf>
    <xf numFmtId="0" fontId="19" fillId="0" borderId="1" xfId="0" applyFont="1" applyBorder="1" applyAlignment="1">
      <alignment vertical="center" wrapText="1"/>
    </xf>
    <xf numFmtId="168" fontId="20" fillId="0" borderId="1" xfId="0" applyNumberFormat="1" applyFont="1" applyBorder="1" applyAlignment="1">
      <alignment horizontal="right" vertical="center" wrapText="1"/>
    </xf>
    <xf numFmtId="0" fontId="19" fillId="0" borderId="3" xfId="0" applyFont="1" applyBorder="1" applyAlignment="1">
      <alignment vertical="center" wrapText="1"/>
    </xf>
    <xf numFmtId="3" fontId="19" fillId="0" borderId="1" xfId="0" applyNumberFormat="1" applyFont="1" applyBorder="1" applyAlignment="1">
      <alignment horizontal="right" vertical="center" wrapText="1"/>
    </xf>
    <xf numFmtId="166" fontId="19" fillId="0" borderId="1" xfId="7" applyNumberFormat="1" applyFont="1" applyFill="1" applyBorder="1" applyAlignment="1">
      <alignment vertical="center" wrapText="1"/>
    </xf>
    <xf numFmtId="175" fontId="28" fillId="0" borderId="1" xfId="0" applyNumberFormat="1" applyFont="1" applyBorder="1" applyAlignment="1">
      <alignment horizontal="left" vertical="center" wrapText="1"/>
    </xf>
    <xf numFmtId="0" fontId="28" fillId="0" borderId="1" xfId="15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16" applyFont="1" applyBorder="1" applyAlignment="1">
      <alignment horizontal="center" vertical="center" wrapText="1"/>
    </xf>
    <xf numFmtId="3" fontId="28" fillId="0" borderId="1" xfId="16" applyNumberFormat="1" applyFont="1" applyBorder="1" applyAlignment="1">
      <alignment vertical="center" wrapText="1"/>
    </xf>
    <xf numFmtId="3" fontId="28" fillId="0" borderId="1" xfId="16" applyNumberFormat="1" applyFont="1" applyBorder="1" applyAlignment="1">
      <alignment horizontal="left" vertical="center" wrapText="1"/>
    </xf>
    <xf numFmtId="0" fontId="28" fillId="0" borderId="1" xfId="16" applyFont="1" applyBorder="1" applyAlignment="1">
      <alignment horizontal="left" vertical="center" wrapText="1"/>
    </xf>
    <xf numFmtId="0" fontId="20" fillId="0" borderId="1" xfId="16" applyFont="1" applyBorder="1" applyAlignment="1">
      <alignment vertical="center" wrapText="1"/>
    </xf>
    <xf numFmtId="0" fontId="18" fillId="0" borderId="0" xfId="0" quotePrefix="1" applyFont="1" applyAlignment="1">
      <alignment horizontal="left"/>
    </xf>
    <xf numFmtId="0" fontId="17" fillId="0" borderId="0" xfId="0" quotePrefix="1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center"/>
    </xf>
    <xf numFmtId="3" fontId="17" fillId="0" borderId="0" xfId="0" applyNumberFormat="1" applyFont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quotePrefix="1" applyFont="1"/>
    <xf numFmtId="0" fontId="29" fillId="0" borderId="0" xfId="0" applyFont="1" applyAlignment="1">
      <alignment horizontal="center"/>
    </xf>
    <xf numFmtId="0" fontId="30" fillId="0" borderId="0" xfId="0" quotePrefix="1" applyFont="1" applyAlignment="1">
      <alignment horizontal="left"/>
    </xf>
    <xf numFmtId="166" fontId="18" fillId="0" borderId="0" xfId="7" applyNumberFormat="1" applyFont="1" applyFill="1" applyAlignment="1">
      <alignment horizontal="center"/>
    </xf>
    <xf numFmtId="0" fontId="31" fillId="0" borderId="0" xfId="0" applyFont="1"/>
    <xf numFmtId="0" fontId="30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30" fillId="0" borderId="0" xfId="0" applyFont="1"/>
    <xf numFmtId="0" fontId="30" fillId="0" borderId="0" xfId="0" applyFont="1" applyAlignment="1">
      <alignment horizontal="center"/>
    </xf>
    <xf numFmtId="166" fontId="17" fillId="0" borderId="0" xfId="7" applyNumberFormat="1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wrapText="1"/>
    </xf>
    <xf numFmtId="3" fontId="19" fillId="0" borderId="3" xfId="0" quotePrefix="1" applyNumberFormat="1" applyFont="1" applyBorder="1" applyAlignment="1">
      <alignment horizontal="center" vertical="center" wrapText="1"/>
    </xf>
    <xf numFmtId="0" fontId="15" fillId="2" borderId="0" xfId="0" applyFont="1" applyFill="1"/>
    <xf numFmtId="3" fontId="15" fillId="2" borderId="0" xfId="0" applyNumberFormat="1" applyFont="1" applyFill="1" applyAlignment="1">
      <alignment horizontal="right"/>
    </xf>
    <xf numFmtId="166" fontId="15" fillId="2" borderId="0" xfId="7" applyNumberFormat="1" applyFont="1" applyFill="1" applyBorder="1"/>
    <xf numFmtId="0" fontId="13" fillId="2" borderId="0" xfId="0" applyFont="1" applyFill="1"/>
    <xf numFmtId="0" fontId="13" fillId="2" borderId="0" xfId="0" quotePrefix="1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5" fillId="2" borderId="0" xfId="0" quotePrefix="1" applyFont="1" applyFill="1" applyAlignment="1">
      <alignment horizontal="left"/>
    </xf>
    <xf numFmtId="3" fontId="13" fillId="2" borderId="0" xfId="0" applyNumberFormat="1" applyFont="1" applyFill="1" applyAlignment="1">
      <alignment horizontal="right"/>
    </xf>
    <xf numFmtId="0" fontId="34" fillId="2" borderId="0" xfId="0" applyFont="1" applyFill="1"/>
    <xf numFmtId="0" fontId="15" fillId="2" borderId="0" xfId="0" quotePrefix="1" applyFont="1" applyFill="1"/>
    <xf numFmtId="0" fontId="35" fillId="2" borderId="0" xfId="0" applyFont="1" applyFill="1" applyAlignment="1">
      <alignment horizontal="center"/>
    </xf>
    <xf numFmtId="166" fontId="15" fillId="2" borderId="0" xfId="7" applyNumberFormat="1" applyFont="1" applyFill="1" applyAlignment="1">
      <alignment horizontal="center"/>
    </xf>
    <xf numFmtId="0" fontId="38" fillId="2" borderId="0" xfId="0" applyFont="1" applyFill="1"/>
    <xf numFmtId="0" fontId="13" fillId="2" borderId="0" xfId="0" applyFont="1" applyFill="1" applyAlignment="1">
      <alignment horizontal="right"/>
    </xf>
    <xf numFmtId="0" fontId="15" fillId="2" borderId="0" xfId="0" applyFont="1" applyFill="1" applyAlignment="1">
      <alignment horizontal="right"/>
    </xf>
    <xf numFmtId="166" fontId="13" fillId="2" borderId="0" xfId="7" applyNumberFormat="1" applyFont="1" applyFill="1" applyBorder="1" applyAlignment="1">
      <alignment horizontal="center"/>
    </xf>
    <xf numFmtId="0" fontId="15" fillId="2" borderId="0" xfId="0" applyFont="1" applyFill="1" applyAlignment="1">
      <alignment wrapText="1"/>
    </xf>
    <xf numFmtId="0" fontId="39" fillId="2" borderId="0" xfId="0" applyFont="1" applyFill="1"/>
    <xf numFmtId="167" fontId="14" fillId="2" borderId="1" xfId="0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vertical="center" wrapText="1"/>
    </xf>
    <xf numFmtId="0" fontId="36" fillId="2" borderId="1" xfId="0" applyFont="1" applyFill="1" applyBorder="1" applyAlignment="1">
      <alignment vertical="center" wrapText="1"/>
    </xf>
    <xf numFmtId="3" fontId="36" fillId="2" borderId="1" xfId="0" applyNumberFormat="1" applyFont="1" applyFill="1" applyBorder="1" applyAlignment="1">
      <alignment horizontal="center" vertical="center" wrapText="1"/>
    </xf>
    <xf numFmtId="168" fontId="36" fillId="2" borderId="1" xfId="17" applyNumberFormat="1" applyFont="1" applyFill="1" applyBorder="1" applyAlignment="1">
      <alignment horizontal="center" vertical="center" wrapText="1"/>
    </xf>
    <xf numFmtId="9" fontId="36" fillId="2" borderId="1" xfId="0" applyNumberFormat="1" applyFont="1" applyFill="1" applyBorder="1" applyAlignment="1">
      <alignment horizontal="center" vertical="center" wrapText="1"/>
    </xf>
    <xf numFmtId="3" fontId="36" fillId="2" borderId="1" xfId="0" applyNumberFormat="1" applyFont="1" applyFill="1" applyBorder="1" applyAlignment="1">
      <alignment vertical="center" wrapText="1"/>
    </xf>
    <xf numFmtId="168" fontId="36" fillId="2" borderId="1" xfId="0" applyNumberFormat="1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vertical="center" wrapText="1"/>
    </xf>
    <xf numFmtId="166" fontId="14" fillId="2" borderId="1" xfId="7" applyNumberFormat="1" applyFont="1" applyFill="1" applyBorder="1" applyAlignment="1">
      <alignment vertical="center" wrapText="1"/>
    </xf>
    <xf numFmtId="168" fontId="36" fillId="2" borderId="1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1" xfId="15" applyFont="1" applyFill="1" applyBorder="1" applyAlignment="1">
      <alignment horizontal="left" vertical="center" wrapText="1"/>
    </xf>
    <xf numFmtId="49" fontId="13" fillId="2" borderId="0" xfId="0" applyNumberFormat="1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49" fontId="37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49" fontId="15" fillId="2" borderId="0" xfId="7" applyNumberFormat="1" applyFont="1" applyFill="1" applyAlignment="1">
      <alignment horizontal="center"/>
    </xf>
    <xf numFmtId="0" fontId="36" fillId="2" borderId="0" xfId="0" applyFont="1" applyFill="1"/>
    <xf numFmtId="49" fontId="15" fillId="2" borderId="0" xfId="0" applyNumberFormat="1" applyFont="1" applyFill="1" applyAlignment="1">
      <alignment horizontal="center"/>
    </xf>
    <xf numFmtId="49" fontId="13" fillId="2" borderId="0" xfId="0" applyNumberFormat="1" applyFont="1" applyFill="1"/>
    <xf numFmtId="49" fontId="13" fillId="2" borderId="0" xfId="7" applyNumberFormat="1" applyFont="1" applyFill="1" applyBorder="1" applyAlignment="1">
      <alignment horizontal="center"/>
    </xf>
    <xf numFmtId="49" fontId="14" fillId="2" borderId="1" xfId="0" applyNumberFormat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 wrapText="1"/>
    </xf>
    <xf numFmtId="167" fontId="14" fillId="2" borderId="3" xfId="0" applyNumberFormat="1" applyFont="1" applyFill="1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9" fontId="36" fillId="2" borderId="1" xfId="0" quotePrefix="1" applyNumberFormat="1" applyFont="1" applyFill="1" applyBorder="1" applyAlignment="1">
      <alignment horizontal="center" vertical="center" wrapText="1"/>
    </xf>
    <xf numFmtId="3" fontId="36" fillId="2" borderId="1" xfId="0" applyNumberFormat="1" applyFont="1" applyFill="1" applyBorder="1" applyAlignment="1">
      <alignment horizontal="center" vertical="center"/>
    </xf>
    <xf numFmtId="3" fontId="36" fillId="2" borderId="1" xfId="0" applyNumberFormat="1" applyFont="1" applyFill="1" applyBorder="1" applyAlignment="1">
      <alignment horizontal="left" vertical="center"/>
    </xf>
    <xf numFmtId="3" fontId="36" fillId="2" borderId="1" xfId="0" applyNumberFormat="1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36" fillId="2" borderId="1" xfId="15" applyFont="1" applyFill="1" applyBorder="1" applyAlignment="1">
      <alignment horizontal="center" vertical="center" wrapText="1"/>
    </xf>
    <xf numFmtId="3" fontId="36" fillId="4" borderId="1" xfId="32" applyNumberFormat="1" applyFont="1" applyFill="1" applyBorder="1" applyAlignment="1" applyProtection="1">
      <alignment horizontal="right" vertical="center" wrapText="1" shrinkToFit="1"/>
      <protection locked="0"/>
    </xf>
    <xf numFmtId="0" fontId="36" fillId="2" borderId="7" xfId="0" applyFont="1" applyFill="1" applyBorder="1" applyAlignment="1">
      <alignment horizontal="center" vertical="center" wrapText="1"/>
    </xf>
    <xf numFmtId="0" fontId="15" fillId="4" borderId="1" xfId="32" applyFont="1" applyFill="1" applyBorder="1" applyAlignment="1" applyProtection="1">
      <alignment horizontal="center" vertical="center" wrapText="1" shrinkToFit="1"/>
      <protection locked="0"/>
    </xf>
    <xf numFmtId="0" fontId="13" fillId="4" borderId="1" xfId="32" applyFont="1" applyFill="1" applyBorder="1" applyAlignment="1" applyProtection="1">
      <alignment horizontal="center" vertical="center" wrapText="1" shrinkToFit="1"/>
      <protection locked="0"/>
    </xf>
    <xf numFmtId="49" fontId="36" fillId="2" borderId="1" xfId="0" applyNumberFormat="1" applyFont="1" applyFill="1" applyBorder="1" applyAlignment="1">
      <alignment horizontal="center" vertical="center"/>
    </xf>
    <xf numFmtId="49" fontId="36" fillId="2" borderId="1" xfId="7" quotePrefix="1" applyNumberFormat="1" applyFont="1" applyFill="1" applyBorder="1" applyAlignment="1">
      <alignment horizontal="center" vertical="center" wrapText="1"/>
    </xf>
    <xf numFmtId="49" fontId="36" fillId="2" borderId="1" xfId="7" applyNumberFormat="1" applyFont="1" applyFill="1" applyBorder="1" applyAlignment="1">
      <alignment horizontal="center" vertical="center" wrapText="1"/>
    </xf>
    <xf numFmtId="176" fontId="36" fillId="2" borderId="1" xfId="7" applyNumberFormat="1" applyFont="1" applyFill="1" applyBorder="1" applyAlignment="1">
      <alignment horizontal="right" vertical="center" wrapText="1"/>
    </xf>
    <xf numFmtId="3" fontId="36" fillId="2" borderId="1" xfId="0" applyNumberFormat="1" applyFont="1" applyFill="1" applyBorder="1" applyAlignment="1">
      <alignment horizontal="right" vertical="center" wrapText="1"/>
    </xf>
    <xf numFmtId="3" fontId="14" fillId="2" borderId="1" xfId="0" applyNumberFormat="1" applyFont="1" applyFill="1" applyBorder="1" applyAlignment="1">
      <alignment horizontal="right" vertical="center" wrapText="1"/>
    </xf>
    <xf numFmtId="49" fontId="36" fillId="2" borderId="1" xfId="0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168" fontId="36" fillId="2" borderId="1" xfId="17" quotePrefix="1" applyNumberFormat="1" applyFont="1" applyFill="1" applyBorder="1" applyAlignment="1">
      <alignment horizontal="center" vertical="center" wrapText="1"/>
    </xf>
    <xf numFmtId="9" fontId="36" fillId="2" borderId="1" xfId="17" quotePrefix="1" applyFont="1" applyFill="1" applyBorder="1" applyAlignment="1">
      <alignment horizontal="center" vertical="center" wrapText="1"/>
    </xf>
    <xf numFmtId="3" fontId="36" fillId="2" borderId="1" xfId="0" quotePrefix="1" applyNumberFormat="1" applyFont="1" applyFill="1" applyBorder="1" applyAlignment="1">
      <alignment horizontal="center" vertical="center" wrapText="1"/>
    </xf>
    <xf numFmtId="0" fontId="36" fillId="2" borderId="1" xfId="15" applyFont="1" applyFill="1" applyBorder="1" applyAlignment="1">
      <alignment vertical="center" wrapText="1"/>
    </xf>
    <xf numFmtId="0" fontId="36" fillId="2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vertical="center"/>
    </xf>
    <xf numFmtId="3" fontId="13" fillId="2" borderId="0" xfId="0" applyNumberFormat="1" applyFont="1" applyFill="1" applyAlignment="1">
      <alignment horizontal="center" vertical="center" wrapText="1"/>
    </xf>
    <xf numFmtId="49" fontId="13" fillId="2" borderId="0" xfId="0" quotePrefix="1" applyNumberFormat="1" applyFont="1" applyFill="1" applyAlignment="1">
      <alignment horizontal="center" vertical="center" wrapText="1"/>
    </xf>
    <xf numFmtId="168" fontId="13" fillId="2" borderId="0" xfId="0" applyNumberFormat="1" applyFont="1" applyFill="1" applyAlignment="1">
      <alignment horizontal="center" vertical="center" wrapText="1"/>
    </xf>
    <xf numFmtId="0" fontId="36" fillId="2" borderId="0" xfId="0" applyFont="1" applyFill="1" applyAlignment="1">
      <alignment horizontal="center" vertical="center" wrapText="1"/>
    </xf>
    <xf numFmtId="0" fontId="14" fillId="2" borderId="0" xfId="0" applyFont="1" applyFill="1"/>
    <xf numFmtId="0" fontId="15" fillId="2" borderId="0" xfId="0" applyFont="1" applyFill="1" applyAlignment="1"/>
    <xf numFmtId="49" fontId="34" fillId="2" borderId="0" xfId="0" applyNumberFormat="1" applyFont="1" applyFill="1"/>
    <xf numFmtId="0" fontId="45" fillId="2" borderId="0" xfId="0" applyFont="1" applyFill="1"/>
    <xf numFmtId="0" fontId="36" fillId="2" borderId="2" xfId="0" applyFont="1" applyFill="1" applyBorder="1" applyAlignment="1">
      <alignment horizontal="center" vertical="center" wrapText="1"/>
    </xf>
    <xf numFmtId="0" fontId="36" fillId="2" borderId="2" xfId="0" applyFont="1" applyFill="1" applyBorder="1" applyAlignment="1">
      <alignment vertical="center"/>
    </xf>
    <xf numFmtId="0" fontId="36" fillId="2" borderId="0" xfId="0" applyFont="1" applyFill="1" applyAlignment="1">
      <alignment vertical="center" wrapText="1"/>
    </xf>
    <xf numFmtId="0" fontId="37" fillId="2" borderId="0" xfId="0" applyFont="1" applyFill="1" applyAlignment="1">
      <alignment horizontal="right"/>
    </xf>
    <xf numFmtId="0" fontId="14" fillId="2" borderId="1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/>
    </xf>
    <xf numFmtId="3" fontId="14" fillId="4" borderId="1" xfId="32" applyNumberFormat="1" applyFont="1" applyFill="1" applyBorder="1" applyAlignment="1" applyProtection="1">
      <alignment horizontal="right" vertical="center" wrapText="1" shrinkToFit="1"/>
      <protection locked="0"/>
    </xf>
    <xf numFmtId="176" fontId="13" fillId="2" borderId="1" xfId="33" applyNumberFormat="1" applyFont="1" applyFill="1" applyBorder="1" applyAlignment="1" applyProtection="1">
      <alignment horizontal="right" vertical="center" wrapText="1"/>
    </xf>
    <xf numFmtId="176" fontId="36" fillId="2" borderId="1" xfId="0" applyNumberFormat="1" applyFont="1" applyFill="1" applyBorder="1" applyAlignment="1">
      <alignment horizontal="right" vertical="center" wrapText="1"/>
    </xf>
    <xf numFmtId="0" fontId="36" fillId="2" borderId="1" xfId="0" applyFont="1" applyFill="1" applyBorder="1" applyAlignment="1">
      <alignment horizontal="right" vertical="center" wrapText="1"/>
    </xf>
    <xf numFmtId="49" fontId="36" fillId="2" borderId="1" xfId="0" applyNumberFormat="1" applyFont="1" applyFill="1" applyBorder="1" applyAlignment="1">
      <alignment horizontal="right" vertical="center" wrapText="1"/>
    </xf>
    <xf numFmtId="0" fontId="13" fillId="2" borderId="0" xfId="0" applyFont="1" applyFill="1" applyAlignment="1">
      <alignment horizontal="right" vertical="center" wrapText="1"/>
    </xf>
    <xf numFmtId="0" fontId="34" fillId="2" borderId="0" xfId="0" applyFont="1" applyFill="1" applyAlignment="1">
      <alignment horizontal="right"/>
    </xf>
    <xf numFmtId="0" fontId="46" fillId="2" borderId="1" xfId="0" applyFont="1" applyFill="1" applyBorder="1" applyAlignment="1">
      <alignment horizontal="center" vertical="center" wrapText="1"/>
    </xf>
    <xf numFmtId="3" fontId="46" fillId="2" borderId="1" xfId="0" applyNumberFormat="1" applyFont="1" applyFill="1" applyBorder="1" applyAlignment="1">
      <alignment horizontal="center" vertical="center" wrapText="1"/>
    </xf>
    <xf numFmtId="168" fontId="46" fillId="2" borderId="1" xfId="0" applyNumberFormat="1" applyFont="1" applyFill="1" applyBorder="1" applyAlignment="1">
      <alignment horizontal="center" vertical="center" wrapText="1"/>
    </xf>
    <xf numFmtId="0" fontId="47" fillId="2" borderId="0" xfId="0" applyFont="1" applyFill="1" applyAlignment="1">
      <alignment vertical="center" wrapText="1"/>
    </xf>
    <xf numFmtId="0" fontId="48" fillId="2" borderId="0" xfId="0" applyFont="1" applyFill="1"/>
    <xf numFmtId="0" fontId="14" fillId="2" borderId="10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4" fillId="2" borderId="11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4" fillId="2" borderId="4" xfId="0" applyFont="1" applyFill="1" applyBorder="1" applyAlignment="1">
      <alignment vertical="center" wrapText="1"/>
    </xf>
    <xf numFmtId="3" fontId="36" fillId="2" borderId="1" xfId="0" applyNumberFormat="1" applyFont="1" applyFill="1" applyBorder="1" applyAlignment="1">
      <alignment horizontal="right" vertical="center"/>
    </xf>
    <xf numFmtId="0" fontId="36" fillId="2" borderId="7" xfId="0" applyFont="1" applyFill="1" applyBorder="1" applyAlignment="1">
      <alignment vertical="center" wrapText="1"/>
    </xf>
    <xf numFmtId="3" fontId="36" fillId="2" borderId="7" xfId="0" applyNumberFormat="1" applyFont="1" applyFill="1" applyBorder="1" applyAlignment="1">
      <alignment horizontal="center" vertical="center" wrapText="1"/>
    </xf>
    <xf numFmtId="49" fontId="36" fillId="2" borderId="7" xfId="7" quotePrefix="1" applyNumberFormat="1" applyFont="1" applyFill="1" applyBorder="1" applyAlignment="1">
      <alignment horizontal="center" vertical="center" wrapText="1"/>
    </xf>
    <xf numFmtId="3" fontId="36" fillId="2" borderId="7" xfId="0" quotePrefix="1" applyNumberFormat="1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/>
    </xf>
    <xf numFmtId="0" fontId="49" fillId="4" borderId="1" xfId="32" applyFont="1" applyFill="1" applyBorder="1" applyAlignment="1" applyProtection="1">
      <alignment horizontal="center" vertical="center" wrapText="1" shrinkToFit="1"/>
      <protection locked="0"/>
    </xf>
    <xf numFmtId="0" fontId="49" fillId="2" borderId="1" xfId="0" applyFont="1" applyFill="1" applyBorder="1" applyAlignment="1">
      <alignment horizontal="left" vertical="center"/>
    </xf>
    <xf numFmtId="3" fontId="49" fillId="2" borderId="1" xfId="0" applyNumberFormat="1" applyFont="1" applyFill="1" applyBorder="1" applyAlignment="1">
      <alignment horizontal="right" vertical="center"/>
    </xf>
    <xf numFmtId="3" fontId="49" fillId="2" borderId="1" xfId="0" applyNumberFormat="1" applyFont="1" applyFill="1" applyBorder="1" applyAlignment="1">
      <alignment vertical="center"/>
    </xf>
    <xf numFmtId="3" fontId="49" fillId="2" borderId="1" xfId="0" applyNumberFormat="1" applyFont="1" applyFill="1" applyBorder="1" applyAlignment="1">
      <alignment horizontal="center" vertical="center"/>
    </xf>
    <xf numFmtId="49" fontId="49" fillId="2" borderId="1" xfId="34" applyNumberFormat="1" applyFont="1" applyFill="1" applyBorder="1" applyAlignment="1">
      <alignment vertical="center"/>
    </xf>
    <xf numFmtId="9" fontId="49" fillId="2" borderId="1" xfId="0" applyNumberFormat="1" applyFont="1" applyFill="1" applyBorder="1" applyAlignment="1">
      <alignment horizontal="right" vertical="center"/>
    </xf>
    <xf numFmtId="0" fontId="49" fillId="2" borderId="1" xfId="0" applyFont="1" applyFill="1" applyBorder="1" applyAlignment="1">
      <alignment vertical="center"/>
    </xf>
    <xf numFmtId="3" fontId="14" fillId="2" borderId="1" xfId="0" applyNumberFormat="1" applyFont="1" applyFill="1" applyBorder="1" applyAlignment="1">
      <alignment horizontal="center" vertical="center"/>
    </xf>
    <xf numFmtId="177" fontId="49" fillId="2" borderId="1" xfId="0" applyNumberFormat="1" applyFont="1" applyFill="1" applyBorder="1" applyAlignment="1">
      <alignment horizontal="center" vertical="center"/>
    </xf>
    <xf numFmtId="0" fontId="49" fillId="2" borderId="1" xfId="0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/>
    </xf>
    <xf numFmtId="0" fontId="49" fillId="2" borderId="1" xfId="35" applyFont="1" applyFill="1" applyBorder="1" applyAlignment="1">
      <alignment vertical="center" wrapText="1"/>
    </xf>
    <xf numFmtId="0" fontId="49" fillId="2" borderId="0" xfId="35" applyFont="1" applyFill="1" applyAlignment="1">
      <alignment horizontal="center" vertical="center" wrapText="1"/>
    </xf>
    <xf numFmtId="0" fontId="49" fillId="2" borderId="0" xfId="35" applyFont="1" applyFill="1" applyAlignment="1">
      <alignment vertical="center" wrapText="1"/>
    </xf>
    <xf numFmtId="0" fontId="49" fillId="2" borderId="0" xfId="0" applyFont="1" applyFill="1"/>
    <xf numFmtId="0" fontId="46" fillId="2" borderId="1" xfId="15" applyFont="1" applyFill="1" applyBorder="1" applyAlignment="1">
      <alignment horizontal="center" vertical="center" wrapText="1"/>
    </xf>
    <xf numFmtId="49" fontId="46" fillId="2" borderId="1" xfId="0" quotePrefix="1" applyNumberFormat="1" applyFont="1" applyFill="1" applyBorder="1" applyAlignment="1">
      <alignment horizontal="center" vertical="center" wrapText="1"/>
    </xf>
    <xf numFmtId="0" fontId="46" fillId="4" borderId="1" xfId="31" applyFont="1" applyFill="1" applyBorder="1" applyAlignment="1" applyProtection="1">
      <alignment vertical="center" wrapText="1" shrinkToFit="1"/>
      <protection locked="0"/>
    </xf>
    <xf numFmtId="0" fontId="46" fillId="4" borderId="1" xfId="32" applyFont="1" applyFill="1" applyBorder="1" applyAlignment="1" applyProtection="1">
      <alignment horizontal="center" vertical="center" wrapText="1" shrinkToFit="1"/>
      <protection locked="0"/>
    </xf>
    <xf numFmtId="0" fontId="46" fillId="4" borderId="1" xfId="32" applyFont="1" applyFill="1" applyBorder="1" applyAlignment="1" applyProtection="1">
      <alignment horizontal="right" vertical="center" wrapText="1" shrinkToFit="1"/>
      <protection locked="0"/>
    </xf>
    <xf numFmtId="176" fontId="46" fillId="4" borderId="1" xfId="7" applyNumberFormat="1" applyFont="1" applyFill="1" applyBorder="1" applyAlignment="1" applyProtection="1">
      <alignment horizontal="right" vertical="center" wrapText="1" shrinkToFit="1"/>
      <protection locked="0"/>
    </xf>
    <xf numFmtId="0" fontId="46" fillId="2" borderId="7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37" fillId="2" borderId="0" xfId="0" applyFont="1" applyFill="1" applyAlignment="1">
      <alignment horizontal="center"/>
    </xf>
    <xf numFmtId="0" fontId="36" fillId="2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" xfId="15" applyFont="1" applyFill="1" applyBorder="1" applyAlignment="1">
      <alignment vertical="center" wrapText="1"/>
    </xf>
    <xf numFmtId="3" fontId="36" fillId="2" borderId="7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3" fontId="36" fillId="2" borderId="7" xfId="0" applyNumberFormat="1" applyFont="1" applyFill="1" applyBorder="1" applyAlignment="1">
      <alignment horizontal="right" vertical="center"/>
    </xf>
    <xf numFmtId="0" fontId="13" fillId="2" borderId="0" xfId="0" applyFont="1" applyFill="1" applyBorder="1"/>
    <xf numFmtId="0" fontId="36" fillId="4" borderId="1" xfId="32" applyFont="1" applyFill="1" applyBorder="1" applyAlignment="1" applyProtection="1">
      <alignment horizontal="left" vertical="center" wrapText="1" shrinkToFit="1"/>
      <protection locked="0"/>
    </xf>
    <xf numFmtId="0" fontId="36" fillId="4" borderId="1" xfId="32" applyFont="1" applyFill="1" applyBorder="1" applyAlignment="1" applyProtection="1">
      <alignment horizontal="center" vertical="center" wrapText="1" shrinkToFit="1"/>
      <protection locked="0"/>
    </xf>
    <xf numFmtId="0" fontId="36" fillId="4" borderId="1" xfId="31" applyFont="1" applyFill="1" applyBorder="1" applyAlignment="1" applyProtection="1">
      <alignment vertical="center" wrapText="1" shrinkToFit="1"/>
      <protection locked="0"/>
    </xf>
    <xf numFmtId="0" fontId="36" fillId="4" borderId="1" xfId="31" applyFont="1" applyFill="1" applyBorder="1" applyAlignment="1" applyProtection="1">
      <alignment horizontal="center" vertical="center" wrapText="1" shrinkToFit="1"/>
      <protection locked="0"/>
    </xf>
    <xf numFmtId="176" fontId="36" fillId="2" borderId="1" xfId="7" applyNumberFormat="1" applyFont="1" applyFill="1" applyBorder="1" applyAlignment="1" applyProtection="1">
      <alignment horizontal="right" vertical="center"/>
      <protection locked="0"/>
    </xf>
    <xf numFmtId="176" fontId="36" fillId="2" borderId="1" xfId="7" applyNumberFormat="1" applyFont="1" applyFill="1" applyBorder="1" applyAlignment="1">
      <alignment horizontal="right" vertical="center"/>
    </xf>
    <xf numFmtId="176" fontId="36" fillId="2" borderId="1" xfId="7" applyNumberFormat="1" applyFont="1" applyFill="1" applyBorder="1" applyAlignment="1">
      <alignment horizontal="right" wrapText="1"/>
    </xf>
    <xf numFmtId="164" fontId="36" fillId="2" borderId="1" xfId="3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37" fillId="2" borderId="0" xfId="0" applyFont="1" applyFill="1" applyAlignment="1">
      <alignment horizontal="center"/>
    </xf>
    <xf numFmtId="0" fontId="36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37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36" fillId="2" borderId="1" xfId="36" applyFont="1" applyFill="1" applyBorder="1" applyAlignment="1">
      <alignment horizontal="left" vertical="center" wrapText="1"/>
    </xf>
    <xf numFmtId="0" fontId="50" fillId="2" borderId="0" xfId="0" applyFont="1" applyFill="1"/>
    <xf numFmtId="176" fontId="44" fillId="0" borderId="1" xfId="7" applyNumberFormat="1" applyFont="1" applyFill="1" applyBorder="1" applyAlignment="1">
      <alignment vertical="center"/>
    </xf>
    <xf numFmtId="0" fontId="34" fillId="2" borderId="1" xfId="0" applyFont="1" applyFill="1" applyBorder="1"/>
    <xf numFmtId="0" fontId="50" fillId="2" borderId="1" xfId="0" applyFont="1" applyFill="1" applyBorder="1" applyAlignment="1">
      <alignment horizontal="center"/>
    </xf>
    <xf numFmtId="176" fontId="44" fillId="2" borderId="1" xfId="0" applyNumberFormat="1" applyFont="1" applyFill="1" applyBorder="1" applyAlignment="1">
      <alignment horizontal="center" vertical="center" wrapText="1"/>
    </xf>
    <xf numFmtId="176" fontId="50" fillId="2" borderId="1" xfId="7" applyNumberFormat="1" applyFont="1" applyFill="1" applyBorder="1"/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3" fontId="20" fillId="0" borderId="7" xfId="0" applyNumberFormat="1" applyFont="1" applyBorder="1" applyAlignment="1">
      <alignment horizontal="center" vertical="center" wrapText="1"/>
    </xf>
    <xf numFmtId="3" fontId="20" fillId="0" borderId="8" xfId="0" applyNumberFormat="1" applyFont="1" applyBorder="1" applyAlignment="1">
      <alignment horizontal="center" vertical="center" wrapText="1"/>
    </xf>
    <xf numFmtId="3" fontId="20" fillId="0" borderId="9" xfId="0" applyNumberFormat="1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32" fillId="0" borderId="1" xfId="0" applyFont="1" applyBorder="1" applyAlignment="1">
      <alignment wrapText="1"/>
    </xf>
    <xf numFmtId="3" fontId="20" fillId="0" borderId="1" xfId="0" applyNumberFormat="1" applyFont="1" applyBorder="1" applyAlignment="1">
      <alignment horizontal="center" vertical="center" wrapText="1"/>
    </xf>
    <xf numFmtId="3" fontId="19" fillId="0" borderId="1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5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6" fillId="2" borderId="6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3" fontId="14" fillId="2" borderId="7" xfId="0" applyNumberFormat="1" applyFont="1" applyFill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37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8" xfId="0" applyNumberFormat="1" applyFont="1" applyFill="1" applyBorder="1" applyAlignment="1">
      <alignment horizontal="center" vertical="center" wrapText="1"/>
    </xf>
    <xf numFmtId="49" fontId="14" fillId="2" borderId="9" xfId="0" applyNumberFormat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36" fillId="2" borderId="1" xfId="0" applyFont="1" applyFill="1" applyBorder="1" applyAlignment="1">
      <alignment horizontal="center" vertical="center" wrapText="1"/>
    </xf>
  </cellXfs>
  <cellStyles count="37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 [0]" xfId="30" builtinId="6"/>
    <cellStyle name="Comma 2" xfId="8" xr:uid="{00000000-0005-0000-0000-000007000000}"/>
    <cellStyle name="Comma 2 10" xfId="9" xr:uid="{00000000-0005-0000-0000-000008000000}"/>
    <cellStyle name="Comma 2 2" xfId="34" xr:uid="{EBB46BFC-12AC-4C58-BCD3-9DDAF4E4AF90}"/>
    <cellStyle name="Comma0" xfId="10" xr:uid="{00000000-0005-0000-0000-000009000000}"/>
    <cellStyle name="Currency0" xfId="11" xr:uid="{00000000-0005-0000-0000-00000A000000}"/>
    <cellStyle name="Date" xfId="12" xr:uid="{00000000-0005-0000-0000-00000B000000}"/>
    <cellStyle name="Fixed" xfId="13" xr:uid="{00000000-0005-0000-0000-00000C000000}"/>
    <cellStyle name="Normal" xfId="0" builtinId="0"/>
    <cellStyle name="Normal - Style1" xfId="14" xr:uid="{00000000-0005-0000-0000-00000E000000}"/>
    <cellStyle name="Normal 2" xfId="15" xr:uid="{00000000-0005-0000-0000-00000F000000}"/>
    <cellStyle name="Normal 2 2" xfId="36" xr:uid="{8A6D9E67-0844-470E-8C38-8A41D3DF9948}"/>
    <cellStyle name="Normal 3 2" xfId="35" xr:uid="{F365F189-5D56-40C6-853F-5487504F459B}"/>
    <cellStyle name="Normal 5" xfId="31" xr:uid="{F791DDE3-71F2-4DE2-8BC9-39BF9870A252}"/>
    <cellStyle name="Normal 5 2" xfId="32" xr:uid="{CDC3EE6A-081F-421F-BF2E-A187370C5416}"/>
    <cellStyle name="Normal 8 3" xfId="33" xr:uid="{4F67B2F1-B706-47B0-B4C5-AF972619C118}"/>
    <cellStyle name="Normal_Tai san Du an LGap" xfId="16" xr:uid="{00000000-0005-0000-0000-000010000000}"/>
    <cellStyle name="Percent" xfId="17" builtinId="5"/>
    <cellStyle name="Percent 2" xfId="18" xr:uid="{00000000-0005-0000-0000-000012000000}"/>
    <cellStyle name="똿뗦먛귟 [0.00]_PRODUCT DETAIL Q1" xfId="19" xr:uid="{00000000-0005-0000-0000-000013000000}"/>
    <cellStyle name="똿뗦먛귟_PRODUCT DETAIL Q1" xfId="20" xr:uid="{00000000-0005-0000-0000-000014000000}"/>
    <cellStyle name="믅됞 [0.00]_PRODUCT DETAIL Q1" xfId="21" xr:uid="{00000000-0005-0000-0000-000015000000}"/>
    <cellStyle name="믅됞_PRODUCT DETAIL Q1" xfId="22" xr:uid="{00000000-0005-0000-0000-000016000000}"/>
    <cellStyle name="백분율_HOBONG" xfId="23" xr:uid="{00000000-0005-0000-0000-000017000000}"/>
    <cellStyle name="뷭?_BOOKSHIP" xfId="24" xr:uid="{00000000-0005-0000-0000-000018000000}"/>
    <cellStyle name="콤마 [0]_1202" xfId="25" xr:uid="{00000000-0005-0000-0000-000019000000}"/>
    <cellStyle name="콤마_1202" xfId="26" xr:uid="{00000000-0005-0000-0000-00001A000000}"/>
    <cellStyle name="통화 [0]_1202" xfId="27" xr:uid="{00000000-0005-0000-0000-00001B000000}"/>
    <cellStyle name="통화_1202" xfId="28" xr:uid="{00000000-0005-0000-0000-00001C000000}"/>
    <cellStyle name="표준_(정보부문)월별인원계획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defaultGridColor="0" view="pageBreakPreview" topLeftCell="A43" colorId="0" workbookViewId="0">
      <pane activePane="bottomRight" state="frozenSplit"/>
      <selection activeCell="G29" sqref="G29"/>
    </sheetView>
  </sheetViews>
  <sheetFormatPr defaultColWidth="9" defaultRowHeight="12.75"/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43"/>
  <sheetViews>
    <sheetView topLeftCell="A13" zoomScaleNormal="160" workbookViewId="0">
      <selection activeCell="AJ20" sqref="AJ20"/>
    </sheetView>
  </sheetViews>
  <sheetFormatPr defaultColWidth="11.42578125" defaultRowHeight="15.75"/>
  <cols>
    <col min="1" max="1" width="3.85546875" style="50" customWidth="1"/>
    <col min="2" max="2" width="32.85546875" style="1" customWidth="1"/>
    <col min="3" max="3" width="9.85546875" style="1" customWidth="1"/>
    <col min="4" max="4" width="7.42578125" style="1" customWidth="1"/>
    <col min="5" max="5" width="6.85546875" style="50" customWidth="1"/>
    <col min="6" max="6" width="11.5703125" style="2" hidden="1" customWidth="1"/>
    <col min="7" max="7" width="12.140625" style="1" hidden="1" customWidth="1"/>
    <col min="8" max="8" width="11.140625" style="1" hidden="1" customWidth="1"/>
    <col min="9" max="9" width="12.42578125" style="1" hidden="1" customWidth="1"/>
    <col min="10" max="10" width="10.140625" style="1" hidden="1" customWidth="1"/>
    <col min="11" max="11" width="12.5703125" style="50" hidden="1" customWidth="1"/>
    <col min="12" max="12" width="10.85546875" style="1" hidden="1" customWidth="1"/>
    <col min="13" max="14" width="9.140625" style="1" hidden="1" customWidth="1"/>
    <col min="15" max="15" width="10" style="1" hidden="1" customWidth="1"/>
    <col min="16" max="16" width="9.5703125" style="1" hidden="1" customWidth="1"/>
    <col min="17" max="17" width="9.42578125" style="1" hidden="1" customWidth="1"/>
    <col min="18" max="18" width="9" style="1" hidden="1" customWidth="1"/>
    <col min="19" max="19" width="11.140625" style="1" hidden="1" customWidth="1"/>
    <col min="20" max="20" width="11.5703125" style="1" hidden="1" customWidth="1"/>
    <col min="21" max="22" width="10.5703125" style="1" hidden="1" customWidth="1"/>
    <col min="23" max="23" width="0.140625" style="1" hidden="1" customWidth="1"/>
    <col min="24" max="24" width="5.85546875" style="50" customWidth="1"/>
    <col min="25" max="25" width="12" style="1" hidden="1" customWidth="1"/>
    <col min="26" max="26" width="5.5703125" style="1" hidden="1" customWidth="1"/>
    <col min="27" max="27" width="6.5703125" style="7" customWidth="1"/>
    <col min="28" max="28" width="6.140625" style="1" hidden="1" customWidth="1"/>
    <col min="29" max="29" width="5.5703125" style="1" hidden="1" customWidth="1"/>
    <col min="30" max="30" width="7.140625" style="1" hidden="1" customWidth="1"/>
    <col min="31" max="31" width="5.42578125" style="1" hidden="1" customWidth="1"/>
    <col min="32" max="32" width="13.5703125" style="1" customWidth="1"/>
    <col min="33" max="33" width="16.85546875" style="1" customWidth="1"/>
    <col min="34" max="34" width="14.5703125" style="1" customWidth="1"/>
    <col min="35" max="35" width="17.140625" style="1" customWidth="1"/>
    <col min="36" max="36" width="19.85546875" style="1" customWidth="1"/>
    <col min="37" max="16384" width="11.42578125" style="1"/>
  </cols>
  <sheetData>
    <row r="1" spans="1:41" ht="15.75" customHeight="1">
      <c r="A1" s="113" t="s">
        <v>44</v>
      </c>
      <c r="B1" s="114"/>
      <c r="C1" s="114"/>
      <c r="D1" s="115"/>
      <c r="E1" s="116"/>
      <c r="F1" s="117"/>
      <c r="G1" s="115"/>
      <c r="H1" s="118"/>
      <c r="I1" s="118"/>
      <c r="J1" s="119" t="s">
        <v>0</v>
      </c>
      <c r="K1" s="118"/>
      <c r="L1" s="118"/>
      <c r="M1" s="118"/>
      <c r="N1" s="118"/>
      <c r="O1" s="115"/>
      <c r="P1" s="119"/>
      <c r="Q1" s="119"/>
      <c r="R1" s="119"/>
      <c r="S1" s="119"/>
      <c r="T1" s="119"/>
      <c r="U1" s="119"/>
      <c r="V1" s="119"/>
      <c r="W1" s="119"/>
      <c r="X1" s="116"/>
      <c r="Y1" s="115"/>
      <c r="Z1" s="310" t="s">
        <v>0</v>
      </c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115"/>
      <c r="AL1" s="115"/>
      <c r="AM1" s="115"/>
      <c r="AN1" s="115"/>
      <c r="AO1" s="115"/>
    </row>
    <row r="2" spans="1:41" ht="15" customHeight="1">
      <c r="A2" s="120" t="s">
        <v>45</v>
      </c>
      <c r="B2" s="115"/>
      <c r="C2" s="115"/>
      <c r="D2" s="115"/>
      <c r="E2" s="116"/>
      <c r="F2" s="117"/>
      <c r="G2" s="115"/>
      <c r="H2" s="115"/>
      <c r="I2" s="115"/>
      <c r="J2" s="115"/>
      <c r="K2" s="115"/>
      <c r="L2" s="115"/>
      <c r="M2" s="115"/>
      <c r="N2" s="115"/>
      <c r="O2" s="121"/>
      <c r="P2" s="121"/>
      <c r="Q2" s="121"/>
      <c r="R2" s="121"/>
      <c r="S2" s="121"/>
      <c r="T2" s="121"/>
      <c r="U2" s="121"/>
      <c r="V2" s="121"/>
      <c r="W2" s="121"/>
      <c r="X2" s="116"/>
      <c r="Y2" s="115"/>
      <c r="Z2" s="311" t="s">
        <v>1</v>
      </c>
      <c r="AA2" s="311"/>
      <c r="AB2" s="311"/>
      <c r="AC2" s="311"/>
      <c r="AD2" s="311"/>
      <c r="AE2" s="311"/>
      <c r="AF2" s="311"/>
      <c r="AG2" s="311"/>
      <c r="AH2" s="311"/>
      <c r="AI2" s="311"/>
      <c r="AJ2" s="311"/>
      <c r="AK2" s="115"/>
      <c r="AL2" s="115"/>
      <c r="AM2" s="115"/>
      <c r="AN2" s="115"/>
      <c r="AO2" s="115"/>
    </row>
    <row r="3" spans="1:41" ht="22.5" hidden="1" customHeight="1">
      <c r="A3" s="310" t="s">
        <v>2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310"/>
      <c r="AB3" s="310"/>
      <c r="AC3" s="310"/>
      <c r="AD3" s="310"/>
      <c r="AE3" s="310"/>
      <c r="AF3" s="310"/>
      <c r="AG3" s="310"/>
      <c r="AH3" s="310"/>
      <c r="AI3" s="310"/>
      <c r="AJ3" s="310"/>
      <c r="AK3" s="115"/>
      <c r="AL3" s="115"/>
      <c r="AM3" s="115"/>
      <c r="AN3" s="115"/>
      <c r="AO3" s="115"/>
    </row>
    <row r="4" spans="1:41" ht="15" customHeight="1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311" t="s">
        <v>3</v>
      </c>
      <c r="AA4" s="311"/>
      <c r="AB4" s="311"/>
      <c r="AC4" s="311"/>
      <c r="AD4" s="311"/>
      <c r="AE4" s="311"/>
      <c r="AF4" s="311"/>
      <c r="AG4" s="311"/>
      <c r="AH4" s="311"/>
      <c r="AI4" s="311"/>
      <c r="AJ4" s="311"/>
      <c r="AK4" s="115"/>
      <c r="AL4" s="115"/>
      <c r="AM4" s="115"/>
      <c r="AN4" s="115"/>
      <c r="AO4" s="115"/>
    </row>
    <row r="5" spans="1:41" ht="20.25" customHeight="1">
      <c r="A5" s="312" t="s">
        <v>203</v>
      </c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115"/>
      <c r="AL5" s="115"/>
      <c r="AM5" s="115"/>
      <c r="AN5" s="115"/>
      <c r="AO5" s="115"/>
    </row>
    <row r="6" spans="1:41" ht="18" customHeight="1">
      <c r="A6" s="122" t="s">
        <v>242</v>
      </c>
      <c r="B6" s="116"/>
      <c r="C6" s="116"/>
      <c r="D6" s="116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23"/>
      <c r="AB6" s="119"/>
      <c r="AC6" s="119"/>
      <c r="AD6" s="119"/>
      <c r="AE6" s="119"/>
      <c r="AF6" s="119"/>
      <c r="AG6" s="115"/>
      <c r="AH6" s="115"/>
      <c r="AI6" s="115"/>
      <c r="AJ6" s="124"/>
      <c r="AK6" s="115"/>
      <c r="AL6" s="115"/>
      <c r="AM6" s="115"/>
      <c r="AN6" s="115"/>
      <c r="AO6" s="115"/>
    </row>
    <row r="7" spans="1:41" ht="15" customHeight="1">
      <c r="A7" s="125" t="s">
        <v>161</v>
      </c>
      <c r="B7" s="116"/>
      <c r="C7" s="115"/>
      <c r="D7" s="115" t="s">
        <v>162</v>
      </c>
      <c r="E7" s="119"/>
      <c r="F7" s="115"/>
      <c r="G7" s="115"/>
      <c r="H7" s="126"/>
      <c r="I7" s="119"/>
      <c r="J7" s="115"/>
      <c r="K7" s="126" t="s">
        <v>4</v>
      </c>
      <c r="L7" s="119"/>
      <c r="M7" s="127"/>
      <c r="N7" s="115"/>
      <c r="O7" s="115"/>
      <c r="P7" s="115"/>
      <c r="Q7" s="115"/>
      <c r="R7" s="115"/>
      <c r="S7" s="126"/>
      <c r="T7" s="128"/>
      <c r="U7" s="115"/>
      <c r="V7" s="115"/>
      <c r="W7" s="123"/>
      <c r="X7" s="119"/>
      <c r="Y7" s="115"/>
      <c r="Z7" s="119"/>
      <c r="AA7" s="119"/>
      <c r="AB7" s="126"/>
      <c r="AC7" s="115"/>
      <c r="AD7" s="115"/>
      <c r="AE7" s="115"/>
      <c r="AF7" s="115"/>
      <c r="AG7" s="125" t="s">
        <v>153</v>
      </c>
      <c r="AH7" s="115"/>
      <c r="AI7" s="115"/>
      <c r="AJ7" s="124"/>
      <c r="AK7" s="115"/>
      <c r="AL7" s="115"/>
      <c r="AM7" s="115"/>
      <c r="AN7" s="115"/>
      <c r="AO7" s="115"/>
    </row>
    <row r="8" spans="1:41" ht="15" customHeight="1">
      <c r="A8" s="125" t="s">
        <v>163</v>
      </c>
      <c r="B8" s="116"/>
      <c r="C8" s="115"/>
      <c r="D8" s="129" t="s">
        <v>152</v>
      </c>
      <c r="E8" s="130"/>
      <c r="F8" s="115"/>
      <c r="G8" s="115"/>
      <c r="H8" s="126"/>
      <c r="I8" s="119"/>
      <c r="J8" s="115"/>
      <c r="K8" s="126"/>
      <c r="L8" s="119"/>
      <c r="M8" s="127"/>
      <c r="N8" s="115"/>
      <c r="O8" s="115"/>
      <c r="P8" s="115"/>
      <c r="Q8" s="115"/>
      <c r="R8" s="115"/>
      <c r="S8" s="126"/>
      <c r="T8" s="128"/>
      <c r="U8" s="115"/>
      <c r="V8" s="115"/>
      <c r="W8" s="123"/>
      <c r="X8" s="119"/>
      <c r="Y8" s="115"/>
      <c r="Z8" s="119"/>
      <c r="AA8" s="119"/>
      <c r="AB8" s="126"/>
      <c r="AC8" s="115"/>
      <c r="AD8" s="115"/>
      <c r="AE8" s="115"/>
      <c r="AF8" s="115"/>
      <c r="AG8" s="115" t="s">
        <v>164</v>
      </c>
      <c r="AH8" s="115"/>
      <c r="AI8" s="115"/>
      <c r="AJ8" s="124"/>
      <c r="AK8" s="115"/>
      <c r="AL8" s="115"/>
      <c r="AM8" s="115"/>
      <c r="AN8" s="115"/>
      <c r="AO8" s="115"/>
    </row>
    <row r="9" spans="1:41" ht="15" customHeight="1">
      <c r="A9" s="125" t="s">
        <v>165</v>
      </c>
      <c r="B9" s="116"/>
      <c r="C9" s="115"/>
      <c r="D9" s="129" t="s">
        <v>166</v>
      </c>
      <c r="E9" s="119"/>
      <c r="F9" s="115"/>
      <c r="G9" s="115"/>
      <c r="H9" s="126"/>
      <c r="I9" s="119"/>
      <c r="J9" s="115"/>
      <c r="K9" s="126" t="s">
        <v>5</v>
      </c>
      <c r="L9" s="119"/>
      <c r="M9" s="127"/>
      <c r="N9" s="115"/>
      <c r="O9" s="115"/>
      <c r="P9" s="115"/>
      <c r="Q9" s="115"/>
      <c r="R9" s="115"/>
      <c r="S9" s="126"/>
      <c r="T9" s="128"/>
      <c r="U9" s="115"/>
      <c r="V9" s="115"/>
      <c r="W9" s="123"/>
      <c r="X9" s="119"/>
      <c r="Y9" s="115"/>
      <c r="Z9" s="119"/>
      <c r="AA9" s="119"/>
      <c r="AB9" s="126"/>
      <c r="AC9" s="115"/>
      <c r="AD9" s="115"/>
      <c r="AE9" s="115"/>
      <c r="AF9" s="115"/>
      <c r="AG9" s="115" t="s">
        <v>167</v>
      </c>
      <c r="AH9" s="115"/>
      <c r="AI9" s="115"/>
      <c r="AJ9" s="124"/>
      <c r="AK9" s="115"/>
      <c r="AL9" s="115"/>
      <c r="AM9" s="115"/>
      <c r="AN9" s="115"/>
      <c r="AO9" s="115"/>
    </row>
    <row r="10" spans="1:41" ht="15" customHeight="1">
      <c r="A10" s="125" t="s">
        <v>186</v>
      </c>
      <c r="B10" s="130"/>
      <c r="C10" s="115"/>
      <c r="D10" s="115" t="s">
        <v>170</v>
      </c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29" t="s">
        <v>168</v>
      </c>
      <c r="AH10" s="115"/>
      <c r="AI10" s="115"/>
      <c r="AJ10" s="115"/>
      <c r="AK10" s="115"/>
      <c r="AL10" s="115"/>
      <c r="AM10" s="115"/>
      <c r="AN10" s="115"/>
      <c r="AO10" s="115"/>
    </row>
    <row r="11" spans="1:41" ht="15" customHeight="1">
      <c r="A11" s="125" t="s">
        <v>169</v>
      </c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</row>
    <row r="12" spans="1:41" ht="15.75" customHeight="1">
      <c r="A12" s="125" t="s">
        <v>6</v>
      </c>
      <c r="B12" s="115"/>
      <c r="C12" s="115"/>
      <c r="D12" s="115"/>
      <c r="E12" s="116"/>
      <c r="F12" s="117"/>
      <c r="G12" s="115"/>
      <c r="H12" s="115"/>
      <c r="I12" s="115"/>
      <c r="J12" s="115"/>
      <c r="K12" s="116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6"/>
      <c r="Y12" s="115"/>
      <c r="Z12" s="115"/>
      <c r="AA12" s="131"/>
      <c r="AB12" s="115"/>
      <c r="AC12" s="115"/>
      <c r="AD12" s="115"/>
      <c r="AE12" s="115"/>
      <c r="AF12" s="115"/>
      <c r="AG12" s="115"/>
      <c r="AH12" s="115"/>
      <c r="AI12" s="115"/>
      <c r="AJ12" s="124"/>
      <c r="AK12" s="115"/>
      <c r="AL12" s="115"/>
      <c r="AM12" s="115"/>
      <c r="AN12" s="115"/>
      <c r="AO12" s="115"/>
    </row>
    <row r="13" spans="1:41" s="6" customFormat="1" ht="45" customHeight="1">
      <c r="A13" s="318" t="s">
        <v>7</v>
      </c>
      <c r="B13" s="313" t="s">
        <v>8</v>
      </c>
      <c r="C13" s="326" t="s">
        <v>219</v>
      </c>
      <c r="D13" s="322" t="s">
        <v>9</v>
      </c>
      <c r="E13" s="325" t="s">
        <v>46</v>
      </c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132"/>
      <c r="R13" s="132"/>
      <c r="S13" s="132"/>
      <c r="T13" s="132"/>
      <c r="U13" s="132"/>
      <c r="V13" s="132"/>
      <c r="W13" s="133"/>
      <c r="X13" s="317" t="s">
        <v>47</v>
      </c>
      <c r="Y13" s="317"/>
      <c r="Z13" s="317"/>
      <c r="AA13" s="317" t="s">
        <v>48</v>
      </c>
      <c r="AB13" s="317"/>
      <c r="AC13" s="317"/>
      <c r="AD13" s="318" t="s">
        <v>10</v>
      </c>
      <c r="AE13" s="318" t="s">
        <v>11</v>
      </c>
      <c r="AF13" s="318" t="s">
        <v>12</v>
      </c>
      <c r="AG13" s="318" t="s">
        <v>13</v>
      </c>
      <c r="AH13" s="318" t="s">
        <v>14</v>
      </c>
      <c r="AI13" s="322" t="s">
        <v>50</v>
      </c>
      <c r="AJ13" s="318" t="s">
        <v>51</v>
      </c>
      <c r="AK13" s="47"/>
      <c r="AL13" s="47"/>
      <c r="AM13" s="47"/>
      <c r="AN13" s="47"/>
      <c r="AO13" s="47"/>
    </row>
    <row r="14" spans="1:41" s="6" customFormat="1" ht="14.25" customHeight="1">
      <c r="A14" s="318"/>
      <c r="B14" s="313"/>
      <c r="C14" s="327"/>
      <c r="D14" s="323"/>
      <c r="E14" s="322" t="s">
        <v>49</v>
      </c>
      <c r="F14" s="319" t="s">
        <v>15</v>
      </c>
      <c r="G14" s="333" t="s">
        <v>16</v>
      </c>
      <c r="H14" s="333"/>
      <c r="I14" s="333"/>
      <c r="J14" s="60" t="s">
        <v>17</v>
      </c>
      <c r="K14" s="57" t="s">
        <v>18</v>
      </c>
      <c r="L14" s="58"/>
      <c r="M14" s="58" t="s">
        <v>17</v>
      </c>
      <c r="N14" s="58" t="s">
        <v>17</v>
      </c>
      <c r="O14" s="58" t="s">
        <v>17</v>
      </c>
      <c r="P14" s="58" t="s">
        <v>19</v>
      </c>
      <c r="Q14" s="58" t="s">
        <v>19</v>
      </c>
      <c r="R14" s="58" t="s">
        <v>19</v>
      </c>
      <c r="S14" s="58" t="s">
        <v>19</v>
      </c>
      <c r="T14" s="58" t="s">
        <v>19</v>
      </c>
      <c r="U14" s="58" t="s">
        <v>19</v>
      </c>
      <c r="V14" s="58" t="s">
        <v>20</v>
      </c>
      <c r="W14" s="58"/>
      <c r="X14" s="322" t="s">
        <v>49</v>
      </c>
      <c r="Y14" s="319" t="s">
        <v>21</v>
      </c>
      <c r="Z14" s="319" t="s">
        <v>22</v>
      </c>
      <c r="AA14" s="322" t="s">
        <v>49</v>
      </c>
      <c r="AB14" s="319" t="s">
        <v>21</v>
      </c>
      <c r="AC14" s="319" t="s">
        <v>23</v>
      </c>
      <c r="AD14" s="318"/>
      <c r="AE14" s="318"/>
      <c r="AF14" s="331"/>
      <c r="AG14" s="331"/>
      <c r="AH14" s="318"/>
      <c r="AI14" s="323"/>
      <c r="AJ14" s="331"/>
      <c r="AK14" s="47"/>
      <c r="AL14" s="47"/>
      <c r="AM14" s="47"/>
      <c r="AN14" s="47"/>
      <c r="AO14" s="47"/>
    </row>
    <row r="15" spans="1:41" s="6" customFormat="1" ht="14.25" customHeight="1">
      <c r="A15" s="318"/>
      <c r="B15" s="313"/>
      <c r="C15" s="327"/>
      <c r="D15" s="323"/>
      <c r="E15" s="323"/>
      <c r="F15" s="320"/>
      <c r="G15" s="319" t="s">
        <v>24</v>
      </c>
      <c r="H15" s="332" t="s">
        <v>25</v>
      </c>
      <c r="I15" s="332"/>
      <c r="J15" s="58" t="s">
        <v>26</v>
      </c>
      <c r="K15" s="55" t="s">
        <v>27</v>
      </c>
      <c r="L15" s="58" t="s">
        <v>28</v>
      </c>
      <c r="M15" s="58" t="s">
        <v>26</v>
      </c>
      <c r="N15" s="58" t="s">
        <v>26</v>
      </c>
      <c r="O15" s="58" t="s">
        <v>26</v>
      </c>
      <c r="P15" s="58" t="s">
        <v>29</v>
      </c>
      <c r="Q15" s="58" t="s">
        <v>29</v>
      </c>
      <c r="R15" s="58" t="s">
        <v>29</v>
      </c>
      <c r="S15" s="58" t="s">
        <v>29</v>
      </c>
      <c r="T15" s="58" t="s">
        <v>29</v>
      </c>
      <c r="U15" s="58" t="s">
        <v>29</v>
      </c>
      <c r="V15" s="58" t="s">
        <v>26</v>
      </c>
      <c r="W15" s="58" t="s">
        <v>30</v>
      </c>
      <c r="X15" s="323"/>
      <c r="Y15" s="320"/>
      <c r="Z15" s="320"/>
      <c r="AA15" s="323"/>
      <c r="AB15" s="320"/>
      <c r="AC15" s="320"/>
      <c r="AD15" s="318"/>
      <c r="AE15" s="318"/>
      <c r="AF15" s="331"/>
      <c r="AG15" s="331"/>
      <c r="AH15" s="318"/>
      <c r="AI15" s="323"/>
      <c r="AJ15" s="331"/>
      <c r="AK15" s="47"/>
      <c r="AL15" s="47"/>
      <c r="AM15" s="47"/>
      <c r="AN15" s="47"/>
      <c r="AO15" s="47"/>
    </row>
    <row r="16" spans="1:41" s="6" customFormat="1" ht="14.25" customHeight="1">
      <c r="A16" s="318"/>
      <c r="B16" s="313"/>
      <c r="C16" s="328"/>
      <c r="D16" s="324"/>
      <c r="E16" s="324"/>
      <c r="F16" s="321"/>
      <c r="G16" s="321"/>
      <c r="H16" s="59" t="s">
        <v>31</v>
      </c>
      <c r="I16" s="58" t="s">
        <v>32</v>
      </c>
      <c r="J16" s="58" t="s">
        <v>33</v>
      </c>
      <c r="K16" s="55" t="s">
        <v>34</v>
      </c>
      <c r="L16" s="58" t="s">
        <v>35</v>
      </c>
      <c r="M16" s="58" t="s">
        <v>33</v>
      </c>
      <c r="N16" s="58" t="s">
        <v>36</v>
      </c>
      <c r="O16" s="58" t="s">
        <v>36</v>
      </c>
      <c r="P16" s="58" t="s">
        <v>36</v>
      </c>
      <c r="Q16" s="58" t="s">
        <v>36</v>
      </c>
      <c r="R16" s="58" t="s">
        <v>36</v>
      </c>
      <c r="S16" s="58" t="s">
        <v>36</v>
      </c>
      <c r="T16" s="58" t="s">
        <v>36</v>
      </c>
      <c r="U16" s="58" t="s">
        <v>36</v>
      </c>
      <c r="V16" s="58" t="s">
        <v>36</v>
      </c>
      <c r="W16" s="58" t="s">
        <v>37</v>
      </c>
      <c r="X16" s="324"/>
      <c r="Y16" s="321"/>
      <c r="Z16" s="321"/>
      <c r="AA16" s="324"/>
      <c r="AB16" s="321"/>
      <c r="AC16" s="321"/>
      <c r="AD16" s="318"/>
      <c r="AE16" s="318"/>
      <c r="AF16" s="331"/>
      <c r="AG16" s="331"/>
      <c r="AH16" s="318"/>
      <c r="AI16" s="324"/>
      <c r="AJ16" s="331"/>
      <c r="AK16" s="47"/>
      <c r="AL16" s="47"/>
      <c r="AM16" s="47"/>
      <c r="AN16" s="47"/>
      <c r="AO16" s="47"/>
    </row>
    <row r="17" spans="1:41" s="5" customFormat="1" ht="18.75" customHeight="1">
      <c r="A17" s="57" t="s">
        <v>38</v>
      </c>
      <c r="B17" s="57" t="s">
        <v>39</v>
      </c>
      <c r="C17" s="57" t="s">
        <v>40</v>
      </c>
      <c r="D17" s="57" t="s">
        <v>41</v>
      </c>
      <c r="E17" s="57">
        <v>1</v>
      </c>
      <c r="F17" s="60">
        <v>2</v>
      </c>
      <c r="G17" s="61">
        <v>3</v>
      </c>
      <c r="H17" s="61">
        <v>4</v>
      </c>
      <c r="I17" s="60">
        <v>5</v>
      </c>
      <c r="J17" s="61">
        <v>7</v>
      </c>
      <c r="K17" s="60">
        <v>8</v>
      </c>
      <c r="L17" s="61">
        <v>9</v>
      </c>
      <c r="M17" s="60">
        <v>10</v>
      </c>
      <c r="N17" s="60"/>
      <c r="O17" s="61">
        <v>6</v>
      </c>
      <c r="P17" s="61"/>
      <c r="Q17" s="61"/>
      <c r="R17" s="61"/>
      <c r="S17" s="61"/>
      <c r="T17" s="61"/>
      <c r="U17" s="61"/>
      <c r="V17" s="61"/>
      <c r="W17" s="61">
        <v>5</v>
      </c>
      <c r="X17" s="57">
        <v>2</v>
      </c>
      <c r="Y17" s="60">
        <v>7</v>
      </c>
      <c r="Z17" s="60">
        <v>8</v>
      </c>
      <c r="AA17" s="60">
        <v>3</v>
      </c>
      <c r="AB17" s="57">
        <v>10</v>
      </c>
      <c r="AC17" s="61">
        <v>11</v>
      </c>
      <c r="AD17" s="57"/>
      <c r="AE17" s="57"/>
      <c r="AF17" s="57">
        <v>4</v>
      </c>
      <c r="AG17" s="57">
        <v>5</v>
      </c>
      <c r="AH17" s="57">
        <v>6</v>
      </c>
      <c r="AI17" s="57">
        <v>7</v>
      </c>
      <c r="AJ17" s="57">
        <v>8</v>
      </c>
      <c r="AK17" s="53"/>
      <c r="AL17" s="53"/>
      <c r="AM17" s="53"/>
      <c r="AN17" s="53"/>
      <c r="AO17" s="53"/>
    </row>
    <row r="18" spans="1:41" s="5" customFormat="1" ht="18.75" customHeight="1">
      <c r="A18" s="313" t="s">
        <v>190</v>
      </c>
      <c r="B18" s="313"/>
      <c r="C18" s="313"/>
      <c r="D18" s="313"/>
      <c r="E18" s="313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313"/>
      <c r="AI18" s="313"/>
      <c r="AJ18" s="313"/>
      <c r="AK18" s="53"/>
      <c r="AL18" s="53"/>
      <c r="AM18" s="53"/>
      <c r="AN18" s="53"/>
      <c r="AO18" s="53"/>
    </row>
    <row r="19" spans="1:41" s="5" customFormat="1" ht="13.5" customHeight="1">
      <c r="A19" s="55">
        <v>1</v>
      </c>
      <c r="B19" s="56" t="s">
        <v>72</v>
      </c>
      <c r="C19" s="57"/>
      <c r="D19" s="55">
        <v>2016</v>
      </c>
      <c r="E19" s="55">
        <v>2</v>
      </c>
      <c r="F19" s="58"/>
      <c r="G19" s="59"/>
      <c r="H19" s="59"/>
      <c r="I19" s="58"/>
      <c r="J19" s="59"/>
      <c r="K19" s="58"/>
      <c r="L19" s="59"/>
      <c r="M19" s="58"/>
      <c r="N19" s="58"/>
      <c r="O19" s="59"/>
      <c r="P19" s="59"/>
      <c r="Q19" s="59"/>
      <c r="R19" s="59"/>
      <c r="S19" s="59"/>
      <c r="T19" s="59"/>
      <c r="U19" s="59"/>
      <c r="V19" s="59"/>
      <c r="W19" s="59"/>
      <c r="X19" s="55">
        <v>2</v>
      </c>
      <c r="Y19" s="60"/>
      <c r="Z19" s="60"/>
      <c r="AA19" s="60"/>
      <c r="AB19" s="57"/>
      <c r="AC19" s="61"/>
      <c r="AD19" s="57"/>
      <c r="AE19" s="57"/>
      <c r="AF19" s="55" t="s">
        <v>73</v>
      </c>
      <c r="AG19" s="55" t="s">
        <v>74</v>
      </c>
      <c r="AH19" s="55" t="s">
        <v>188</v>
      </c>
      <c r="AI19" s="57"/>
      <c r="AJ19" s="57" t="s">
        <v>208</v>
      </c>
      <c r="AK19" s="53"/>
      <c r="AL19" s="53"/>
      <c r="AM19" s="53"/>
      <c r="AN19" s="53"/>
      <c r="AO19" s="53"/>
    </row>
    <row r="20" spans="1:41" s="5" customFormat="1" ht="13.5" customHeight="1">
      <c r="A20" s="55">
        <v>2</v>
      </c>
      <c r="B20" s="56" t="s">
        <v>75</v>
      </c>
      <c r="C20" s="57"/>
      <c r="D20" s="55">
        <v>2018</v>
      </c>
      <c r="E20" s="55">
        <v>1</v>
      </c>
      <c r="F20" s="58"/>
      <c r="G20" s="59"/>
      <c r="H20" s="59"/>
      <c r="I20" s="58"/>
      <c r="J20" s="59"/>
      <c r="K20" s="58"/>
      <c r="L20" s="59"/>
      <c r="M20" s="58"/>
      <c r="N20" s="58"/>
      <c r="O20" s="59"/>
      <c r="P20" s="59"/>
      <c r="Q20" s="59"/>
      <c r="R20" s="59"/>
      <c r="S20" s="59"/>
      <c r="T20" s="59"/>
      <c r="U20" s="59"/>
      <c r="V20" s="59"/>
      <c r="W20" s="59"/>
      <c r="X20" s="55">
        <v>1</v>
      </c>
      <c r="Y20" s="60"/>
      <c r="Z20" s="60"/>
      <c r="AA20" s="60"/>
      <c r="AB20" s="57"/>
      <c r="AC20" s="61"/>
      <c r="AD20" s="57"/>
      <c r="AE20" s="57"/>
      <c r="AF20" s="55" t="s">
        <v>73</v>
      </c>
      <c r="AG20" s="55" t="s">
        <v>74</v>
      </c>
      <c r="AH20" s="55" t="s">
        <v>56</v>
      </c>
      <c r="AI20" s="57"/>
      <c r="AJ20" s="55"/>
      <c r="AK20" s="53"/>
      <c r="AL20" s="53"/>
      <c r="AM20" s="53"/>
      <c r="AN20" s="53"/>
      <c r="AO20" s="53"/>
    </row>
    <row r="21" spans="1:41" s="38" customFormat="1" ht="13.5" customHeight="1">
      <c r="A21" s="62">
        <v>3</v>
      </c>
      <c r="B21" s="63" t="s">
        <v>198</v>
      </c>
      <c r="C21" s="64"/>
      <c r="D21" s="65">
        <v>2021</v>
      </c>
      <c r="E21" s="65">
        <v>1</v>
      </c>
      <c r="F21" s="66"/>
      <c r="G21" s="67"/>
      <c r="H21" s="67"/>
      <c r="I21" s="66"/>
      <c r="J21" s="67"/>
      <c r="K21" s="66"/>
      <c r="L21" s="67"/>
      <c r="M21" s="66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5">
        <v>0</v>
      </c>
      <c r="Y21" s="68"/>
      <c r="Z21" s="68"/>
      <c r="AA21" s="68">
        <v>-1</v>
      </c>
      <c r="AB21" s="64"/>
      <c r="AC21" s="69"/>
      <c r="AD21" s="64"/>
      <c r="AE21" s="64"/>
      <c r="AF21" s="55" t="s">
        <v>73</v>
      </c>
      <c r="AG21" s="62" t="s">
        <v>74</v>
      </c>
      <c r="AH21" s="62" t="s">
        <v>56</v>
      </c>
      <c r="AI21" s="64" t="s">
        <v>183</v>
      </c>
      <c r="AJ21" s="70" t="s">
        <v>199</v>
      </c>
      <c r="AK21" s="36"/>
      <c r="AL21" s="36"/>
      <c r="AM21" s="36"/>
      <c r="AN21" s="36"/>
      <c r="AO21" s="36"/>
    </row>
    <row r="22" spans="1:41" s="6" customFormat="1" ht="18.75" customHeight="1">
      <c r="A22" s="55"/>
      <c r="B22" s="314" t="s">
        <v>76</v>
      </c>
      <c r="C22" s="315"/>
      <c r="D22" s="315"/>
      <c r="E22" s="315"/>
      <c r="F22" s="315"/>
      <c r="G22" s="315"/>
      <c r="H22" s="315"/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15"/>
      <c r="X22" s="315"/>
      <c r="Y22" s="315"/>
      <c r="Z22" s="315"/>
      <c r="AA22" s="315"/>
      <c r="AB22" s="315"/>
      <c r="AC22" s="315"/>
      <c r="AD22" s="315"/>
      <c r="AE22" s="315"/>
      <c r="AF22" s="315"/>
      <c r="AG22" s="315"/>
      <c r="AH22" s="315"/>
      <c r="AI22" s="315"/>
      <c r="AJ22" s="316"/>
      <c r="AK22" s="47"/>
      <c r="AL22" s="47"/>
      <c r="AM22" s="47"/>
      <c r="AN22" s="47"/>
      <c r="AO22" s="47"/>
    </row>
    <row r="23" spans="1:41" s="45" customFormat="1" ht="25.5">
      <c r="A23" s="55">
        <v>1</v>
      </c>
      <c r="B23" s="71" t="s">
        <v>77</v>
      </c>
      <c r="C23" s="55"/>
      <c r="D23" s="55">
        <v>2015</v>
      </c>
      <c r="E23" s="55">
        <v>1</v>
      </c>
      <c r="F23" s="55" t="s">
        <v>68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>
        <v>0</v>
      </c>
      <c r="Y23" s="58"/>
      <c r="Z23" s="58"/>
      <c r="AA23" s="58">
        <v>-1</v>
      </c>
      <c r="AB23" s="58"/>
      <c r="AC23" s="58"/>
      <c r="AD23" s="72"/>
      <c r="AE23" s="55"/>
      <c r="AF23" s="55" t="s">
        <v>73</v>
      </c>
      <c r="AG23" s="55" t="s">
        <v>78</v>
      </c>
      <c r="AH23" s="55" t="s">
        <v>220</v>
      </c>
      <c r="AI23" s="55" t="s">
        <v>223</v>
      </c>
      <c r="AJ23" s="55" t="s">
        <v>205</v>
      </c>
      <c r="AK23" s="47"/>
      <c r="AL23" s="47"/>
      <c r="AM23" s="47"/>
      <c r="AN23" s="47"/>
      <c r="AO23" s="47"/>
    </row>
    <row r="24" spans="1:41" s="45" customFormat="1" ht="25.5">
      <c r="A24" s="55">
        <v>2</v>
      </c>
      <c r="B24" s="71" t="s">
        <v>77</v>
      </c>
      <c r="C24" s="55"/>
      <c r="D24" s="55">
        <v>2017</v>
      </c>
      <c r="E24" s="55">
        <v>2</v>
      </c>
      <c r="F24" s="55" t="s">
        <v>68</v>
      </c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>
        <v>1</v>
      </c>
      <c r="Y24" s="58"/>
      <c r="Z24" s="58"/>
      <c r="AA24" s="58">
        <v>-1</v>
      </c>
      <c r="AB24" s="58"/>
      <c r="AC24" s="58"/>
      <c r="AD24" s="72"/>
      <c r="AE24" s="55"/>
      <c r="AF24" s="55" t="s">
        <v>73</v>
      </c>
      <c r="AG24" s="55" t="s">
        <v>79</v>
      </c>
      <c r="AH24" s="55" t="s">
        <v>221</v>
      </c>
      <c r="AI24" s="55" t="s">
        <v>223</v>
      </c>
      <c r="AJ24" s="55" t="s">
        <v>206</v>
      </c>
      <c r="AK24" s="47"/>
      <c r="AL24" s="47"/>
      <c r="AM24" s="47"/>
      <c r="AN24" s="47"/>
      <c r="AO24" s="47"/>
    </row>
    <row r="25" spans="1:41" s="6" customFormat="1" ht="15" customHeight="1">
      <c r="A25" s="55">
        <v>3</v>
      </c>
      <c r="B25" s="71" t="s">
        <v>80</v>
      </c>
      <c r="C25" s="55"/>
      <c r="D25" s="55">
        <v>2009</v>
      </c>
      <c r="E25" s="55">
        <v>1</v>
      </c>
      <c r="F25" s="55" t="s">
        <v>68</v>
      </c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>
        <v>1</v>
      </c>
      <c r="Y25" s="58"/>
      <c r="Z25" s="58"/>
      <c r="AA25" s="58"/>
      <c r="AB25" s="58"/>
      <c r="AC25" s="58"/>
      <c r="AD25" s="73"/>
      <c r="AE25" s="55"/>
      <c r="AF25" s="55" t="s">
        <v>73</v>
      </c>
      <c r="AG25" s="55" t="s">
        <v>81</v>
      </c>
      <c r="AH25" s="55" t="s">
        <v>56</v>
      </c>
      <c r="AI25" s="55"/>
      <c r="AJ25" s="55"/>
      <c r="AK25" s="47"/>
      <c r="AL25" s="47"/>
      <c r="AM25" s="47"/>
      <c r="AN25" s="47"/>
      <c r="AO25" s="47"/>
    </row>
    <row r="26" spans="1:41" s="6" customFormat="1" ht="15" customHeight="1">
      <c r="A26" s="55">
        <v>4</v>
      </c>
      <c r="B26" s="71" t="s">
        <v>70</v>
      </c>
      <c r="C26" s="55"/>
      <c r="D26" s="55">
        <v>2016</v>
      </c>
      <c r="E26" s="55">
        <v>2</v>
      </c>
      <c r="F26" s="55" t="s">
        <v>68</v>
      </c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>
        <v>2</v>
      </c>
      <c r="Y26" s="58"/>
      <c r="Z26" s="58"/>
      <c r="AA26" s="58"/>
      <c r="AB26" s="58"/>
      <c r="AC26" s="58"/>
      <c r="AD26" s="72"/>
      <c r="AE26" s="55"/>
      <c r="AF26" s="55" t="s">
        <v>73</v>
      </c>
      <c r="AG26" s="55" t="s">
        <v>81</v>
      </c>
      <c r="AH26" s="55" t="s">
        <v>56</v>
      </c>
      <c r="AI26" s="55"/>
      <c r="AJ26" s="55"/>
      <c r="AK26" s="47"/>
      <c r="AL26" s="47"/>
      <c r="AM26" s="47"/>
      <c r="AN26" s="47"/>
      <c r="AO26" s="47"/>
    </row>
    <row r="27" spans="1:41" s="6" customFormat="1" ht="27" customHeight="1">
      <c r="A27" s="55">
        <v>5</v>
      </c>
      <c r="B27" s="71" t="s">
        <v>59</v>
      </c>
      <c r="C27" s="55"/>
      <c r="D27" s="55">
        <v>2016</v>
      </c>
      <c r="E27" s="55">
        <v>6</v>
      </c>
      <c r="F27" s="55" t="s">
        <v>68</v>
      </c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>
        <v>6</v>
      </c>
      <c r="Y27" s="58"/>
      <c r="Z27" s="58"/>
      <c r="AA27" s="74"/>
      <c r="AB27" s="58"/>
      <c r="AC27" s="58"/>
      <c r="AD27" s="73"/>
      <c r="AE27" s="55"/>
      <c r="AF27" s="55" t="s">
        <v>73</v>
      </c>
      <c r="AG27" s="55" t="s">
        <v>81</v>
      </c>
      <c r="AH27" s="55" t="s">
        <v>197</v>
      </c>
      <c r="AI27" s="55"/>
      <c r="AJ27" s="55"/>
      <c r="AK27" s="53" t="s">
        <v>191</v>
      </c>
      <c r="AL27" s="47"/>
      <c r="AM27" s="47"/>
      <c r="AN27" s="47"/>
      <c r="AO27" s="47"/>
    </row>
    <row r="28" spans="1:41" s="6" customFormat="1" ht="15" customHeight="1">
      <c r="A28" s="55">
        <v>6</v>
      </c>
      <c r="B28" s="71" t="s">
        <v>53</v>
      </c>
      <c r="C28" s="55"/>
      <c r="D28" s="55">
        <v>2016</v>
      </c>
      <c r="E28" s="55">
        <v>1</v>
      </c>
      <c r="F28" s="55" t="s">
        <v>68</v>
      </c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>
        <v>1</v>
      </c>
      <c r="Y28" s="58"/>
      <c r="Z28" s="58"/>
      <c r="AA28" s="75"/>
      <c r="AB28" s="58"/>
      <c r="AC28" s="58"/>
      <c r="AD28" s="73"/>
      <c r="AE28" s="55"/>
      <c r="AF28" s="55" t="s">
        <v>73</v>
      </c>
      <c r="AG28" s="55" t="s">
        <v>81</v>
      </c>
      <c r="AH28" s="55" t="s">
        <v>56</v>
      </c>
      <c r="AI28" s="55"/>
      <c r="AJ28" s="55"/>
      <c r="AK28" s="47"/>
      <c r="AL28" s="47"/>
      <c r="AM28" s="47"/>
      <c r="AN28" s="47"/>
      <c r="AO28" s="47"/>
    </row>
    <row r="29" spans="1:41" s="6" customFormat="1" ht="15" customHeight="1">
      <c r="A29" s="55">
        <v>7</v>
      </c>
      <c r="B29" s="71" t="s">
        <v>82</v>
      </c>
      <c r="C29" s="55"/>
      <c r="D29" s="55">
        <v>2016</v>
      </c>
      <c r="E29" s="55">
        <v>1</v>
      </c>
      <c r="F29" s="55" t="s">
        <v>68</v>
      </c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>
        <v>1</v>
      </c>
      <c r="Y29" s="58"/>
      <c r="Z29" s="58"/>
      <c r="AA29" s="58"/>
      <c r="AB29" s="58"/>
      <c r="AC29" s="58"/>
      <c r="AD29" s="73"/>
      <c r="AE29" s="55"/>
      <c r="AF29" s="55" t="s">
        <v>73</v>
      </c>
      <c r="AG29" s="55" t="s">
        <v>81</v>
      </c>
      <c r="AH29" s="55" t="s">
        <v>56</v>
      </c>
      <c r="AI29" s="55"/>
      <c r="AJ29" s="55"/>
      <c r="AK29" s="47"/>
      <c r="AL29" s="47"/>
      <c r="AM29" s="47"/>
      <c r="AN29" s="47"/>
      <c r="AO29" s="47"/>
    </row>
    <row r="30" spans="1:41" s="6" customFormat="1" ht="15" customHeight="1">
      <c r="A30" s="55">
        <v>8</v>
      </c>
      <c r="B30" s="71" t="s">
        <v>83</v>
      </c>
      <c r="C30" s="55"/>
      <c r="D30" s="55">
        <v>2018</v>
      </c>
      <c r="E30" s="55">
        <v>1</v>
      </c>
      <c r="F30" s="55" t="s">
        <v>68</v>
      </c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>
        <v>1</v>
      </c>
      <c r="Y30" s="58"/>
      <c r="Z30" s="58"/>
      <c r="AA30" s="75"/>
      <c r="AB30" s="58"/>
      <c r="AC30" s="58"/>
      <c r="AD30" s="73"/>
      <c r="AE30" s="55"/>
      <c r="AF30" s="55" t="s">
        <v>73</v>
      </c>
      <c r="AG30" s="55" t="s">
        <v>81</v>
      </c>
      <c r="AH30" s="55" t="s">
        <v>56</v>
      </c>
      <c r="AI30" s="55"/>
      <c r="AJ30" s="55"/>
      <c r="AK30" s="47"/>
      <c r="AL30" s="47"/>
      <c r="AM30" s="47"/>
      <c r="AN30" s="47"/>
      <c r="AO30" s="47"/>
    </row>
    <row r="31" spans="1:41" s="6" customFormat="1" ht="15" customHeight="1">
      <c r="A31" s="55">
        <v>9</v>
      </c>
      <c r="B31" s="71" t="s">
        <v>150</v>
      </c>
      <c r="C31" s="55" t="s">
        <v>84</v>
      </c>
      <c r="D31" s="55">
        <v>2017</v>
      </c>
      <c r="E31" s="55">
        <v>1</v>
      </c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>
        <v>1</v>
      </c>
      <c r="Y31" s="58"/>
      <c r="Z31" s="58"/>
      <c r="AA31" s="75"/>
      <c r="AB31" s="58"/>
      <c r="AC31" s="58"/>
      <c r="AD31" s="73"/>
      <c r="AE31" s="55"/>
      <c r="AF31" s="55" t="s">
        <v>73</v>
      </c>
      <c r="AG31" s="55" t="s">
        <v>81</v>
      </c>
      <c r="AH31" s="55" t="s">
        <v>56</v>
      </c>
      <c r="AI31" s="55"/>
      <c r="AJ31" s="55"/>
      <c r="AK31" s="47"/>
      <c r="AL31" s="47"/>
      <c r="AM31" s="47"/>
      <c r="AN31" s="47"/>
      <c r="AO31" s="47"/>
    </row>
    <row r="32" spans="1:41" s="5" customFormat="1" ht="25.5">
      <c r="A32" s="55">
        <v>10</v>
      </c>
      <c r="B32" s="71" t="s">
        <v>61</v>
      </c>
      <c r="C32" s="55"/>
      <c r="D32" s="55">
        <v>2012</v>
      </c>
      <c r="E32" s="55">
        <v>1</v>
      </c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5">
        <v>2</v>
      </c>
      <c r="Y32" s="58"/>
      <c r="Z32" s="58"/>
      <c r="AA32" s="74" t="s">
        <v>232</v>
      </c>
      <c r="AB32" s="58"/>
      <c r="AC32" s="58"/>
      <c r="AD32" s="76"/>
      <c r="AE32" s="55"/>
      <c r="AF32" s="55" t="s">
        <v>73</v>
      </c>
      <c r="AG32" s="55" t="s">
        <v>81</v>
      </c>
      <c r="AH32" s="55" t="s">
        <v>56</v>
      </c>
      <c r="AI32" s="55" t="s">
        <v>233</v>
      </c>
      <c r="AJ32" s="55"/>
      <c r="AK32" s="53"/>
      <c r="AL32" s="53"/>
      <c r="AM32" s="53"/>
      <c r="AN32" s="53"/>
      <c r="AO32" s="53"/>
    </row>
    <row r="33" spans="1:41" s="5" customFormat="1" ht="15" customHeight="1">
      <c r="A33" s="55">
        <v>11</v>
      </c>
      <c r="B33" s="71" t="s">
        <v>85</v>
      </c>
      <c r="C33" s="55"/>
      <c r="D33" s="55">
        <v>2008</v>
      </c>
      <c r="E33" s="55">
        <v>6</v>
      </c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5">
        <v>6</v>
      </c>
      <c r="Y33" s="58"/>
      <c r="Z33" s="58"/>
      <c r="AA33" s="75"/>
      <c r="AB33" s="58"/>
      <c r="AC33" s="58"/>
      <c r="AD33" s="76"/>
      <c r="AE33" s="55"/>
      <c r="AF33" s="55" t="s">
        <v>73</v>
      </c>
      <c r="AG33" s="55" t="s">
        <v>81</v>
      </c>
      <c r="AH33" s="55" t="s">
        <v>56</v>
      </c>
      <c r="AI33" s="55"/>
      <c r="AJ33" s="55"/>
      <c r="AK33" s="53"/>
      <c r="AL33" s="53"/>
      <c r="AM33" s="53"/>
      <c r="AN33" s="53"/>
      <c r="AO33" s="53"/>
    </row>
    <row r="34" spans="1:41" s="38" customFormat="1" ht="28.5" customHeight="1">
      <c r="A34" s="55">
        <v>12</v>
      </c>
      <c r="B34" s="71" t="s">
        <v>86</v>
      </c>
      <c r="C34" s="55"/>
      <c r="D34" s="55">
        <v>2017</v>
      </c>
      <c r="E34" s="55">
        <v>2</v>
      </c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5">
        <v>1</v>
      </c>
      <c r="Y34" s="58"/>
      <c r="Z34" s="58"/>
      <c r="AA34" s="74">
        <v>-1</v>
      </c>
      <c r="AB34" s="58"/>
      <c r="AC34" s="58"/>
      <c r="AD34" s="76"/>
      <c r="AE34" s="55"/>
      <c r="AF34" s="55" t="s">
        <v>73</v>
      </c>
      <c r="AG34" s="55" t="s">
        <v>87</v>
      </c>
      <c r="AH34" s="55" t="s">
        <v>222</v>
      </c>
      <c r="AI34" s="55" t="s">
        <v>223</v>
      </c>
      <c r="AJ34" s="55" t="s">
        <v>207</v>
      </c>
      <c r="AK34" s="53"/>
      <c r="AL34" s="53"/>
      <c r="AM34" s="53"/>
      <c r="AN34" s="53"/>
      <c r="AO34" s="53"/>
    </row>
    <row r="35" spans="1:41" s="6" customFormat="1" ht="12.75" customHeight="1">
      <c r="A35" s="55">
        <v>13</v>
      </c>
      <c r="B35" s="71" t="s">
        <v>88</v>
      </c>
      <c r="C35" s="55"/>
      <c r="D35" s="55">
        <v>2003</v>
      </c>
      <c r="E35" s="55">
        <v>1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>
        <v>1</v>
      </c>
      <c r="Y35" s="58"/>
      <c r="Z35" s="58"/>
      <c r="AA35" s="75"/>
      <c r="AB35" s="58"/>
      <c r="AC35" s="58"/>
      <c r="AD35" s="76"/>
      <c r="AE35" s="55"/>
      <c r="AF35" s="55" t="s">
        <v>73</v>
      </c>
      <c r="AG35" s="55" t="s">
        <v>81</v>
      </c>
      <c r="AH35" s="55" t="s">
        <v>56</v>
      </c>
      <c r="AI35" s="55"/>
      <c r="AJ35" s="55"/>
      <c r="AK35" s="47"/>
      <c r="AL35" s="47"/>
      <c r="AM35" s="47"/>
      <c r="AN35" s="47"/>
      <c r="AO35" s="47"/>
    </row>
    <row r="36" spans="1:41" s="5" customFormat="1" ht="12.75" customHeight="1">
      <c r="A36" s="55">
        <v>14</v>
      </c>
      <c r="B36" s="71" t="s">
        <v>89</v>
      </c>
      <c r="C36" s="55"/>
      <c r="D36" s="55">
        <v>2015</v>
      </c>
      <c r="E36" s="55">
        <v>1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5">
        <v>1</v>
      </c>
      <c r="Y36" s="58"/>
      <c r="Z36" s="58"/>
      <c r="AA36" s="75"/>
      <c r="AB36" s="58"/>
      <c r="AC36" s="58"/>
      <c r="AD36" s="76"/>
      <c r="AE36" s="55"/>
      <c r="AF36" s="55" t="s">
        <v>73</v>
      </c>
      <c r="AG36" s="55" t="s">
        <v>81</v>
      </c>
      <c r="AH36" s="55" t="s">
        <v>56</v>
      </c>
      <c r="AI36" s="55"/>
      <c r="AJ36" s="55"/>
      <c r="AK36" s="53"/>
      <c r="AL36" s="53"/>
      <c r="AM36" s="53"/>
      <c r="AN36" s="53"/>
      <c r="AO36" s="53"/>
    </row>
    <row r="37" spans="1:41" s="38" customFormat="1" ht="12.75" customHeight="1">
      <c r="A37" s="55">
        <v>17</v>
      </c>
      <c r="B37" s="71" t="s">
        <v>91</v>
      </c>
      <c r="C37" s="55"/>
      <c r="D37" s="55">
        <v>2017</v>
      </c>
      <c r="E37" s="55">
        <v>1</v>
      </c>
      <c r="F37" s="55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>
        <v>0</v>
      </c>
      <c r="Y37" s="58"/>
      <c r="Z37" s="58"/>
      <c r="AA37" s="75">
        <v>-1</v>
      </c>
      <c r="AB37" s="58"/>
      <c r="AC37" s="58"/>
      <c r="AD37" s="76"/>
      <c r="AE37" s="55"/>
      <c r="AF37" s="55" t="s">
        <v>73</v>
      </c>
      <c r="AG37" s="55" t="s">
        <v>92</v>
      </c>
      <c r="AH37" s="55" t="s">
        <v>220</v>
      </c>
      <c r="AI37" s="55" t="s">
        <v>229</v>
      </c>
      <c r="AJ37" s="55" t="s">
        <v>208</v>
      </c>
      <c r="AK37" s="53"/>
      <c r="AL37" s="53"/>
      <c r="AM37" s="53"/>
      <c r="AN37" s="53"/>
      <c r="AO37" s="53"/>
    </row>
    <row r="38" spans="1:41" s="38" customFormat="1" ht="12.75" customHeight="1">
      <c r="A38" s="55">
        <v>18</v>
      </c>
      <c r="B38" s="71" t="s">
        <v>93</v>
      </c>
      <c r="C38" s="55"/>
      <c r="D38" s="55">
        <v>2010</v>
      </c>
      <c r="E38" s="55">
        <v>1</v>
      </c>
      <c r="F38" s="55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>
        <v>0</v>
      </c>
      <c r="Y38" s="58"/>
      <c r="Z38" s="58"/>
      <c r="AA38" s="75">
        <v>-1</v>
      </c>
      <c r="AB38" s="58"/>
      <c r="AC38" s="58"/>
      <c r="AD38" s="76"/>
      <c r="AE38" s="55"/>
      <c r="AF38" s="55" t="s">
        <v>73</v>
      </c>
      <c r="AG38" s="55" t="s">
        <v>92</v>
      </c>
      <c r="AH38" s="55" t="s">
        <v>220</v>
      </c>
      <c r="AI38" s="55" t="s">
        <v>229</v>
      </c>
      <c r="AJ38" s="55" t="s">
        <v>208</v>
      </c>
      <c r="AK38" s="53"/>
      <c r="AL38" s="53"/>
      <c r="AM38" s="53"/>
      <c r="AN38" s="53"/>
      <c r="AO38" s="53"/>
    </row>
    <row r="39" spans="1:41" s="38" customFormat="1" ht="12.75" customHeight="1">
      <c r="A39" s="55">
        <v>20</v>
      </c>
      <c r="B39" s="71" t="s">
        <v>58</v>
      </c>
      <c r="C39" s="55" t="s">
        <v>94</v>
      </c>
      <c r="D39" s="55">
        <v>2003</v>
      </c>
      <c r="E39" s="55">
        <v>1</v>
      </c>
      <c r="F39" s="55" t="s">
        <v>68</v>
      </c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>
        <v>0</v>
      </c>
      <c r="Y39" s="58"/>
      <c r="Z39" s="58"/>
      <c r="AA39" s="75">
        <v>-1</v>
      </c>
      <c r="AB39" s="58"/>
      <c r="AC39" s="58"/>
      <c r="AD39" s="76"/>
      <c r="AE39" s="55"/>
      <c r="AF39" s="55" t="s">
        <v>73</v>
      </c>
      <c r="AG39" s="55" t="s">
        <v>92</v>
      </c>
      <c r="AH39" s="55" t="s">
        <v>220</v>
      </c>
      <c r="AI39" s="55" t="s">
        <v>229</v>
      </c>
      <c r="AJ39" s="55" t="s">
        <v>208</v>
      </c>
      <c r="AK39" s="53"/>
      <c r="AL39" s="53"/>
      <c r="AM39" s="53"/>
      <c r="AN39" s="53"/>
      <c r="AO39" s="53"/>
    </row>
    <row r="40" spans="1:41" s="38" customFormat="1" ht="12.75">
      <c r="A40" s="55">
        <v>21</v>
      </c>
      <c r="B40" s="71" t="s">
        <v>95</v>
      </c>
      <c r="C40" s="55"/>
      <c r="D40" s="55">
        <v>2003</v>
      </c>
      <c r="E40" s="55">
        <v>1</v>
      </c>
      <c r="F40" s="55" t="s">
        <v>68</v>
      </c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>
        <v>0</v>
      </c>
      <c r="Y40" s="58"/>
      <c r="Z40" s="58"/>
      <c r="AA40" s="75">
        <v>-1</v>
      </c>
      <c r="AB40" s="58"/>
      <c r="AC40" s="58"/>
      <c r="AD40" s="76"/>
      <c r="AE40" s="55"/>
      <c r="AF40" s="55" t="s">
        <v>73</v>
      </c>
      <c r="AG40" s="55" t="s">
        <v>92</v>
      </c>
      <c r="AH40" s="55" t="s">
        <v>220</v>
      </c>
      <c r="AI40" s="55" t="s">
        <v>229</v>
      </c>
      <c r="AJ40" s="55" t="s">
        <v>208</v>
      </c>
      <c r="AK40" s="53"/>
      <c r="AL40" s="53"/>
      <c r="AM40" s="53"/>
      <c r="AN40" s="53"/>
      <c r="AO40" s="53"/>
    </row>
    <row r="41" spans="1:41" s="38" customFormat="1" ht="45.75" customHeight="1">
      <c r="A41" s="55">
        <v>22</v>
      </c>
      <c r="B41" s="71" t="s">
        <v>96</v>
      </c>
      <c r="C41" s="55"/>
      <c r="D41" s="55">
        <v>2017</v>
      </c>
      <c r="E41" s="55">
        <v>10</v>
      </c>
      <c r="F41" s="55" t="s">
        <v>68</v>
      </c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>
        <v>7</v>
      </c>
      <c r="Y41" s="58"/>
      <c r="Z41" s="58"/>
      <c r="AA41" s="77">
        <v>-3</v>
      </c>
      <c r="AB41" s="58"/>
      <c r="AC41" s="58"/>
      <c r="AD41" s="76"/>
      <c r="AE41" s="55"/>
      <c r="AF41" s="55" t="s">
        <v>73</v>
      </c>
      <c r="AG41" s="55" t="s">
        <v>81</v>
      </c>
      <c r="AH41" s="55" t="s">
        <v>224</v>
      </c>
      <c r="AI41" s="55" t="s">
        <v>226</v>
      </c>
      <c r="AJ41" s="55" t="s">
        <v>243</v>
      </c>
      <c r="AK41" s="53"/>
      <c r="AL41" s="53"/>
      <c r="AM41" s="53"/>
      <c r="AN41" s="53"/>
      <c r="AO41" s="53"/>
    </row>
    <row r="42" spans="1:41" s="38" customFormat="1" ht="12.75">
      <c r="A42" s="55">
        <v>23</v>
      </c>
      <c r="B42" s="71" t="s">
        <v>97</v>
      </c>
      <c r="C42" s="55"/>
      <c r="D42" s="55">
        <v>2015</v>
      </c>
      <c r="E42" s="55">
        <v>1</v>
      </c>
      <c r="F42" s="55" t="s">
        <v>98</v>
      </c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>
        <v>0</v>
      </c>
      <c r="Y42" s="58"/>
      <c r="Z42" s="58"/>
      <c r="AA42" s="58">
        <v>-1</v>
      </c>
      <c r="AB42" s="58"/>
      <c r="AC42" s="58"/>
      <c r="AD42" s="76"/>
      <c r="AE42" s="55"/>
      <c r="AF42" s="55" t="s">
        <v>73</v>
      </c>
      <c r="AG42" s="55" t="s">
        <v>92</v>
      </c>
      <c r="AH42" s="55" t="s">
        <v>220</v>
      </c>
      <c r="AI42" s="55" t="s">
        <v>229</v>
      </c>
      <c r="AJ42" s="55" t="s">
        <v>208</v>
      </c>
      <c r="AK42" s="53"/>
      <c r="AL42" s="53"/>
      <c r="AM42" s="53"/>
      <c r="AN42" s="53"/>
      <c r="AO42" s="53"/>
    </row>
    <row r="43" spans="1:41" s="38" customFormat="1" ht="51">
      <c r="A43" s="55">
        <v>24</v>
      </c>
      <c r="B43" s="71" t="s">
        <v>67</v>
      </c>
      <c r="C43" s="55"/>
      <c r="D43" s="55">
        <v>2012</v>
      </c>
      <c r="E43" s="55">
        <v>2</v>
      </c>
      <c r="F43" s="55" t="s">
        <v>68</v>
      </c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>
        <v>1</v>
      </c>
      <c r="Y43" s="58"/>
      <c r="Z43" s="58"/>
      <c r="AA43" s="58">
        <v>-1</v>
      </c>
      <c r="AB43" s="58"/>
      <c r="AC43" s="58"/>
      <c r="AD43" s="76"/>
      <c r="AE43" s="55"/>
      <c r="AF43" s="55" t="s">
        <v>73</v>
      </c>
      <c r="AG43" s="55" t="s">
        <v>99</v>
      </c>
      <c r="AH43" s="55" t="s">
        <v>225</v>
      </c>
      <c r="AI43" s="55" t="s">
        <v>230</v>
      </c>
      <c r="AJ43" s="55" t="s">
        <v>208</v>
      </c>
      <c r="AK43" s="53"/>
      <c r="AL43" s="53"/>
      <c r="AM43" s="53"/>
      <c r="AN43" s="53"/>
      <c r="AO43" s="53"/>
    </row>
    <row r="44" spans="1:41" s="38" customFormat="1" ht="27" customHeight="1">
      <c r="A44" s="55">
        <v>25</v>
      </c>
      <c r="B44" s="71" t="s">
        <v>100</v>
      </c>
      <c r="C44" s="55"/>
      <c r="D44" s="55">
        <v>2012</v>
      </c>
      <c r="E44" s="55">
        <v>3</v>
      </c>
      <c r="F44" s="55" t="s">
        <v>68</v>
      </c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>
        <v>2</v>
      </c>
      <c r="Y44" s="58"/>
      <c r="Z44" s="58"/>
      <c r="AA44" s="58">
        <v>-1</v>
      </c>
      <c r="AB44" s="58"/>
      <c r="AC44" s="58"/>
      <c r="AD44" s="76"/>
      <c r="AE44" s="55"/>
      <c r="AF44" s="55" t="s">
        <v>73</v>
      </c>
      <c r="AG44" s="55" t="s">
        <v>101</v>
      </c>
      <c r="AH44" s="55" t="s">
        <v>227</v>
      </c>
      <c r="AI44" s="55" t="s">
        <v>228</v>
      </c>
      <c r="AJ44" s="55" t="s">
        <v>208</v>
      </c>
      <c r="AK44" s="53"/>
      <c r="AL44" s="53"/>
      <c r="AM44" s="53"/>
      <c r="AN44" s="53"/>
      <c r="AO44" s="53"/>
    </row>
    <row r="45" spans="1:41" s="38" customFormat="1" ht="27.75" customHeight="1">
      <c r="A45" s="55">
        <v>26</v>
      </c>
      <c r="B45" s="71" t="s">
        <v>102</v>
      </c>
      <c r="C45" s="55"/>
      <c r="D45" s="55">
        <v>2010</v>
      </c>
      <c r="E45" s="55">
        <v>2</v>
      </c>
      <c r="F45" s="55" t="s">
        <v>68</v>
      </c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>
        <v>0</v>
      </c>
      <c r="Y45" s="58"/>
      <c r="Z45" s="58"/>
      <c r="AA45" s="77">
        <v>-2</v>
      </c>
      <c r="AB45" s="58"/>
      <c r="AC45" s="58"/>
      <c r="AD45" s="76"/>
      <c r="AE45" s="55"/>
      <c r="AF45" s="55" t="s">
        <v>73</v>
      </c>
      <c r="AG45" s="55" t="s">
        <v>92</v>
      </c>
      <c r="AH45" s="55" t="s">
        <v>220</v>
      </c>
      <c r="AI45" s="55" t="s">
        <v>229</v>
      </c>
      <c r="AJ45" s="55" t="s">
        <v>208</v>
      </c>
      <c r="AK45" s="53" t="s">
        <v>195</v>
      </c>
      <c r="AL45" s="53"/>
      <c r="AM45" s="53"/>
      <c r="AN45" s="53"/>
      <c r="AO45" s="53"/>
    </row>
    <row r="46" spans="1:41" s="6" customFormat="1" ht="18.75" customHeight="1">
      <c r="A46" s="55">
        <v>27</v>
      </c>
      <c r="B46" s="71" t="s">
        <v>178</v>
      </c>
      <c r="C46" s="55"/>
      <c r="D46" s="55">
        <v>2018</v>
      </c>
      <c r="E46" s="55">
        <v>2</v>
      </c>
      <c r="F46" s="55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>
        <v>2</v>
      </c>
      <c r="Y46" s="58"/>
      <c r="Z46" s="58"/>
      <c r="AA46" s="74"/>
      <c r="AB46" s="58"/>
      <c r="AC46" s="58"/>
      <c r="AD46" s="77"/>
      <c r="AE46" s="58"/>
      <c r="AF46" s="55" t="s">
        <v>73</v>
      </c>
      <c r="AG46" s="55" t="s">
        <v>90</v>
      </c>
      <c r="AH46" s="55" t="s">
        <v>56</v>
      </c>
      <c r="AI46" s="58"/>
      <c r="AJ46" s="58"/>
      <c r="AK46" s="47"/>
      <c r="AL46" s="47"/>
      <c r="AM46" s="47"/>
      <c r="AN46" s="47"/>
      <c r="AO46" s="47"/>
    </row>
    <row r="47" spans="1:41" s="52" customFormat="1" ht="29.25" customHeight="1">
      <c r="A47" s="107">
        <v>28</v>
      </c>
      <c r="B47" s="78" t="s">
        <v>187</v>
      </c>
      <c r="C47" s="79"/>
      <c r="D47" s="80">
        <v>2020</v>
      </c>
      <c r="E47" s="81">
        <v>5</v>
      </c>
      <c r="F47" s="82">
        <v>1</v>
      </c>
      <c r="G47" s="83"/>
      <c r="H47" s="84" t="s">
        <v>180</v>
      </c>
      <c r="I47" s="84" t="s">
        <v>181</v>
      </c>
      <c r="J47" s="107" t="s">
        <v>54</v>
      </c>
      <c r="K47" s="82" t="s">
        <v>182</v>
      </c>
      <c r="L47" s="82" t="s">
        <v>62</v>
      </c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>
        <v>2</v>
      </c>
      <c r="Y47" s="86"/>
      <c r="Z47" s="86"/>
      <c r="AA47" s="86">
        <v>-3</v>
      </c>
      <c r="AB47" s="86"/>
      <c r="AC47" s="86"/>
      <c r="AD47" s="86"/>
      <c r="AE47" s="86"/>
      <c r="AF47" s="55" t="s">
        <v>73</v>
      </c>
      <c r="AG47" s="55" t="s">
        <v>183</v>
      </c>
      <c r="AH47" s="55" t="s">
        <v>56</v>
      </c>
      <c r="AI47" s="53" t="s">
        <v>231</v>
      </c>
      <c r="AJ47" s="86" t="s">
        <v>184</v>
      </c>
      <c r="AK47" s="86" t="s">
        <v>204</v>
      </c>
      <c r="AL47" s="86"/>
      <c r="AM47" s="86"/>
      <c r="AN47" s="86"/>
      <c r="AO47" s="86"/>
    </row>
    <row r="48" spans="1:41" s="38" customFormat="1" ht="13.5" customHeight="1">
      <c r="A48" s="55">
        <v>29</v>
      </c>
      <c r="B48" s="63" t="s">
        <v>198</v>
      </c>
      <c r="C48" s="87"/>
      <c r="D48" s="88">
        <v>2021</v>
      </c>
      <c r="E48" s="88">
        <v>1</v>
      </c>
      <c r="F48" s="89"/>
      <c r="G48" s="90"/>
      <c r="H48" s="90"/>
      <c r="I48" s="89"/>
      <c r="J48" s="90"/>
      <c r="K48" s="89"/>
      <c r="L48" s="90"/>
      <c r="M48" s="89"/>
      <c r="N48" s="89"/>
      <c r="O48" s="90"/>
      <c r="P48" s="90"/>
      <c r="Q48" s="90"/>
      <c r="R48" s="90"/>
      <c r="S48" s="90"/>
      <c r="T48" s="90"/>
      <c r="U48" s="90"/>
      <c r="V48" s="90"/>
      <c r="W48" s="90"/>
      <c r="X48" s="88">
        <v>4</v>
      </c>
      <c r="Y48" s="91"/>
      <c r="Z48" s="91"/>
      <c r="AA48" s="91">
        <v>3</v>
      </c>
      <c r="AB48" s="87"/>
      <c r="AC48" s="92"/>
      <c r="AD48" s="87"/>
      <c r="AE48" s="87"/>
      <c r="AF48" s="55" t="s">
        <v>73</v>
      </c>
      <c r="AG48" s="55" t="s">
        <v>183</v>
      </c>
      <c r="AH48" s="55" t="s">
        <v>56</v>
      </c>
      <c r="AI48" s="87"/>
      <c r="AJ48" s="93" t="s">
        <v>199</v>
      </c>
      <c r="AK48" s="53"/>
      <c r="AL48" s="53"/>
      <c r="AM48" s="53"/>
      <c r="AN48" s="53"/>
      <c r="AO48" s="53"/>
    </row>
    <row r="49" spans="1:41" s="6" customFormat="1" ht="23.25" customHeight="1">
      <c r="A49" s="55"/>
      <c r="B49" s="314" t="s">
        <v>103</v>
      </c>
      <c r="C49" s="315"/>
      <c r="D49" s="315"/>
      <c r="E49" s="315"/>
      <c r="F49" s="315"/>
      <c r="G49" s="315"/>
      <c r="H49" s="3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  <c r="Z49" s="315"/>
      <c r="AA49" s="315"/>
      <c r="AB49" s="315"/>
      <c r="AC49" s="315"/>
      <c r="AD49" s="315"/>
      <c r="AE49" s="315"/>
      <c r="AF49" s="315"/>
      <c r="AG49" s="315"/>
      <c r="AH49" s="315"/>
      <c r="AI49" s="315"/>
      <c r="AJ49" s="316"/>
      <c r="AK49" s="47"/>
      <c r="AL49" s="47"/>
      <c r="AM49" s="47"/>
      <c r="AN49" s="47"/>
      <c r="AO49" s="47"/>
    </row>
    <row r="50" spans="1:41" s="45" customFormat="1" ht="14.25" customHeight="1">
      <c r="A50" s="55">
        <v>1</v>
      </c>
      <c r="B50" s="71" t="s">
        <v>64</v>
      </c>
      <c r="C50" s="55"/>
      <c r="D50" s="55"/>
      <c r="E50" s="55">
        <v>1</v>
      </c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>
        <v>0</v>
      </c>
      <c r="Y50" s="58"/>
      <c r="Z50" s="58"/>
      <c r="AA50" s="75">
        <v>-1</v>
      </c>
      <c r="AB50" s="58"/>
      <c r="AC50" s="58"/>
      <c r="AD50" s="72"/>
      <c r="AE50" s="58"/>
      <c r="AF50" s="55" t="s">
        <v>73</v>
      </c>
      <c r="AG50" s="58" t="s">
        <v>104</v>
      </c>
      <c r="AH50" s="55" t="s">
        <v>188</v>
      </c>
      <c r="AI50" s="58"/>
      <c r="AJ50" s="55" t="s">
        <v>208</v>
      </c>
      <c r="AK50" s="47"/>
      <c r="AL50" s="47"/>
      <c r="AM50" s="47"/>
      <c r="AN50" s="47"/>
      <c r="AO50" s="47"/>
    </row>
    <row r="51" spans="1:41" s="5" customFormat="1" ht="14.25" customHeight="1">
      <c r="A51" s="55">
        <v>2</v>
      </c>
      <c r="B51" s="71" t="s">
        <v>65</v>
      </c>
      <c r="C51" s="55"/>
      <c r="D51" s="55">
        <v>2006</v>
      </c>
      <c r="E51" s="55">
        <v>1</v>
      </c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>
        <v>1</v>
      </c>
      <c r="Y51" s="58"/>
      <c r="Z51" s="58"/>
      <c r="AA51" s="75"/>
      <c r="AB51" s="58"/>
      <c r="AC51" s="58"/>
      <c r="AD51" s="73"/>
      <c r="AE51" s="55"/>
      <c r="AF51" s="55" t="s">
        <v>73</v>
      </c>
      <c r="AG51" s="58" t="s">
        <v>104</v>
      </c>
      <c r="AH51" s="55" t="s">
        <v>56</v>
      </c>
      <c r="AI51" s="55"/>
      <c r="AJ51" s="55"/>
      <c r="AK51" s="53"/>
      <c r="AL51" s="53"/>
      <c r="AM51" s="53"/>
      <c r="AN51" s="53"/>
      <c r="AO51" s="53"/>
    </row>
    <row r="52" spans="1:41" s="38" customFormat="1" ht="14.25" customHeight="1">
      <c r="A52" s="55">
        <v>3</v>
      </c>
      <c r="B52" s="71" t="s">
        <v>71</v>
      </c>
      <c r="C52" s="55"/>
      <c r="D52" s="55">
        <v>2014</v>
      </c>
      <c r="E52" s="55">
        <v>4</v>
      </c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>
        <v>0</v>
      </c>
      <c r="Y52" s="58"/>
      <c r="Z52" s="58"/>
      <c r="AA52" s="75">
        <v>-4</v>
      </c>
      <c r="AB52" s="58"/>
      <c r="AC52" s="58"/>
      <c r="AD52" s="73"/>
      <c r="AE52" s="55"/>
      <c r="AF52" s="55" t="s">
        <v>73</v>
      </c>
      <c r="AG52" s="58" t="s">
        <v>104</v>
      </c>
      <c r="AH52" s="55" t="s">
        <v>220</v>
      </c>
      <c r="AI52" s="55"/>
      <c r="AJ52" s="55" t="s">
        <v>208</v>
      </c>
      <c r="AK52" s="53"/>
      <c r="AL52" s="53"/>
      <c r="AM52" s="53"/>
      <c r="AN52" s="53"/>
      <c r="AO52" s="53"/>
    </row>
    <row r="53" spans="1:41" s="5" customFormat="1" ht="14.25" customHeight="1">
      <c r="A53" s="55">
        <v>4</v>
      </c>
      <c r="B53" s="71" t="s">
        <v>66</v>
      </c>
      <c r="C53" s="55"/>
      <c r="D53" s="55">
        <v>2014</v>
      </c>
      <c r="E53" s="55">
        <v>1</v>
      </c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5">
        <v>1</v>
      </c>
      <c r="Y53" s="58"/>
      <c r="Z53" s="58"/>
      <c r="AA53" s="75"/>
      <c r="AB53" s="58"/>
      <c r="AC53" s="58"/>
      <c r="AD53" s="94"/>
      <c r="AE53" s="55"/>
      <c r="AF53" s="55" t="s">
        <v>73</v>
      </c>
      <c r="AG53" s="58" t="s">
        <v>104</v>
      </c>
      <c r="AH53" s="55" t="s">
        <v>56</v>
      </c>
      <c r="AI53" s="55"/>
      <c r="AJ53" s="55"/>
      <c r="AK53" s="53"/>
      <c r="AL53" s="53"/>
      <c r="AM53" s="53"/>
      <c r="AN53" s="53"/>
      <c r="AO53" s="53"/>
    </row>
    <row r="54" spans="1:41" s="38" customFormat="1" ht="14.25" customHeight="1">
      <c r="A54" s="55">
        <v>5</v>
      </c>
      <c r="B54" s="71" t="s">
        <v>62</v>
      </c>
      <c r="C54" s="55"/>
      <c r="D54" s="55">
        <v>2017</v>
      </c>
      <c r="E54" s="55">
        <v>1</v>
      </c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5">
        <v>0</v>
      </c>
      <c r="Y54" s="58"/>
      <c r="Z54" s="58"/>
      <c r="AA54" s="75">
        <v>-1</v>
      </c>
      <c r="AB54" s="58"/>
      <c r="AC54" s="58"/>
      <c r="AD54" s="94"/>
      <c r="AE54" s="55"/>
      <c r="AF54" s="55" t="s">
        <v>73</v>
      </c>
      <c r="AG54" s="58" t="s">
        <v>104</v>
      </c>
      <c r="AH54" s="55" t="s">
        <v>188</v>
      </c>
      <c r="AI54" s="55"/>
      <c r="AJ54" s="55" t="s">
        <v>208</v>
      </c>
      <c r="AK54" s="53"/>
      <c r="AL54" s="53"/>
      <c r="AM54" s="53"/>
      <c r="AN54" s="53"/>
      <c r="AO54" s="53"/>
    </row>
    <row r="55" spans="1:41" s="38" customFormat="1" ht="14.25" customHeight="1">
      <c r="A55" s="55">
        <v>6</v>
      </c>
      <c r="B55" s="71" t="s">
        <v>105</v>
      </c>
      <c r="C55" s="55"/>
      <c r="D55" s="55">
        <v>2017</v>
      </c>
      <c r="E55" s="55">
        <v>1</v>
      </c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5">
        <v>0</v>
      </c>
      <c r="Y55" s="58"/>
      <c r="Z55" s="58"/>
      <c r="AA55" s="75">
        <v>-1</v>
      </c>
      <c r="AB55" s="58"/>
      <c r="AC55" s="58"/>
      <c r="AD55" s="95"/>
      <c r="AE55" s="55"/>
      <c r="AF55" s="55" t="s">
        <v>73</v>
      </c>
      <c r="AG55" s="58" t="s">
        <v>104</v>
      </c>
      <c r="AH55" s="55" t="s">
        <v>188</v>
      </c>
      <c r="AI55" s="55"/>
      <c r="AJ55" s="55" t="s">
        <v>208</v>
      </c>
      <c r="AK55" s="53"/>
      <c r="AL55" s="53"/>
      <c r="AM55" s="53"/>
      <c r="AN55" s="53"/>
      <c r="AO55" s="53"/>
    </row>
    <row r="56" spans="1:41" s="5" customFormat="1" ht="12.75">
      <c r="A56" s="55"/>
      <c r="B56" s="314" t="s">
        <v>234</v>
      </c>
      <c r="C56" s="315"/>
      <c r="D56" s="315"/>
      <c r="E56" s="315"/>
      <c r="F56" s="315"/>
      <c r="G56" s="315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  <c r="AA56" s="315"/>
      <c r="AB56" s="315"/>
      <c r="AC56" s="315"/>
      <c r="AD56" s="315"/>
      <c r="AE56" s="315"/>
      <c r="AF56" s="315"/>
      <c r="AG56" s="315"/>
      <c r="AH56" s="315"/>
      <c r="AI56" s="315"/>
      <c r="AJ56" s="316"/>
      <c r="AK56" s="53"/>
      <c r="AL56" s="53"/>
      <c r="AM56" s="53"/>
      <c r="AN56" s="53"/>
      <c r="AO56" s="53"/>
    </row>
    <row r="57" spans="1:41" s="37" customFormat="1" ht="12.75">
      <c r="A57" s="55">
        <v>2</v>
      </c>
      <c r="B57" s="71" t="s">
        <v>82</v>
      </c>
      <c r="C57" s="55"/>
      <c r="D57" s="55">
        <v>2011</v>
      </c>
      <c r="E57" s="55">
        <v>3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5">
        <v>0</v>
      </c>
      <c r="Y57" s="58"/>
      <c r="Z57" s="58"/>
      <c r="AA57" s="75">
        <v>-3</v>
      </c>
      <c r="AB57" s="58"/>
      <c r="AC57" s="58"/>
      <c r="AD57" s="94"/>
      <c r="AE57" s="55"/>
      <c r="AF57" s="55" t="s">
        <v>73</v>
      </c>
      <c r="AG57" s="55" t="s">
        <v>229</v>
      </c>
      <c r="AH57" s="55" t="s">
        <v>220</v>
      </c>
      <c r="AI57" s="55" t="s">
        <v>229</v>
      </c>
      <c r="AJ57" s="55" t="s">
        <v>208</v>
      </c>
      <c r="AK57" s="53"/>
      <c r="AL57" s="53"/>
      <c r="AM57" s="53"/>
      <c r="AN57" s="53"/>
      <c r="AO57" s="53"/>
    </row>
    <row r="58" spans="1:41" s="37" customFormat="1" ht="12.75">
      <c r="A58" s="55">
        <v>3</v>
      </c>
      <c r="B58" s="71" t="s">
        <v>70</v>
      </c>
      <c r="C58" s="55"/>
      <c r="D58" s="55">
        <v>2016</v>
      </c>
      <c r="E58" s="55">
        <v>5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5">
        <v>0</v>
      </c>
      <c r="Y58" s="58"/>
      <c r="Z58" s="58"/>
      <c r="AA58" s="75">
        <v>-5</v>
      </c>
      <c r="AB58" s="58"/>
      <c r="AC58" s="58"/>
      <c r="AD58" s="94"/>
      <c r="AE58" s="55"/>
      <c r="AF58" s="55" t="s">
        <v>73</v>
      </c>
      <c r="AG58" s="55" t="s">
        <v>229</v>
      </c>
      <c r="AH58" s="55" t="s">
        <v>220</v>
      </c>
      <c r="AI58" s="55" t="s">
        <v>229</v>
      </c>
      <c r="AJ58" s="55" t="s">
        <v>208</v>
      </c>
      <c r="AK58" s="53"/>
      <c r="AL58" s="53"/>
      <c r="AM58" s="53"/>
      <c r="AN58" s="53"/>
      <c r="AO58" s="53"/>
    </row>
    <row r="59" spans="1:41" s="37" customFormat="1" ht="14.25" customHeight="1">
      <c r="A59" s="55">
        <v>4</v>
      </c>
      <c r="B59" s="71" t="s">
        <v>108</v>
      </c>
      <c r="C59" s="55"/>
      <c r="D59" s="55">
        <v>2018</v>
      </c>
      <c r="E59" s="55">
        <v>1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5">
        <v>0</v>
      </c>
      <c r="Y59" s="58"/>
      <c r="Z59" s="58"/>
      <c r="AA59" s="75">
        <v>-1</v>
      </c>
      <c r="AB59" s="58"/>
      <c r="AC59" s="58"/>
      <c r="AD59" s="94"/>
      <c r="AE59" s="55"/>
      <c r="AF59" s="55" t="s">
        <v>73</v>
      </c>
      <c r="AG59" s="55" t="s">
        <v>229</v>
      </c>
      <c r="AH59" s="55" t="s">
        <v>220</v>
      </c>
      <c r="AI59" s="55" t="s">
        <v>229</v>
      </c>
      <c r="AJ59" s="55" t="s">
        <v>208</v>
      </c>
      <c r="AK59" s="53"/>
      <c r="AL59" s="53"/>
      <c r="AM59" s="53"/>
      <c r="AN59" s="53"/>
      <c r="AO59" s="53"/>
    </row>
    <row r="60" spans="1:41" s="37" customFormat="1" ht="30" customHeight="1">
      <c r="A60" s="55">
        <v>6</v>
      </c>
      <c r="B60" s="71" t="s">
        <v>59</v>
      </c>
      <c r="C60" s="55"/>
      <c r="D60" s="55">
        <v>2016</v>
      </c>
      <c r="E60" s="55">
        <v>5</v>
      </c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5">
        <v>0</v>
      </c>
      <c r="Y60" s="58"/>
      <c r="Z60" s="58"/>
      <c r="AA60" s="75">
        <v>-5</v>
      </c>
      <c r="AB60" s="58"/>
      <c r="AC60" s="58"/>
      <c r="AD60" s="94"/>
      <c r="AE60" s="55"/>
      <c r="AF60" s="55" t="s">
        <v>73</v>
      </c>
      <c r="AG60" s="55" t="s">
        <v>229</v>
      </c>
      <c r="AH60" s="55" t="s">
        <v>220</v>
      </c>
      <c r="AI60" s="55" t="s">
        <v>229</v>
      </c>
      <c r="AJ60" s="55" t="s">
        <v>208</v>
      </c>
      <c r="AK60" s="53"/>
      <c r="AL60" s="53"/>
      <c r="AM60" s="53"/>
      <c r="AN60" s="53"/>
      <c r="AO60" s="53"/>
    </row>
    <row r="61" spans="1:41" s="37" customFormat="1" ht="29.25" customHeight="1">
      <c r="A61" s="55">
        <v>7</v>
      </c>
      <c r="B61" s="71" t="s">
        <v>53</v>
      </c>
      <c r="C61" s="55"/>
      <c r="D61" s="55">
        <v>2016</v>
      </c>
      <c r="E61" s="55">
        <v>4</v>
      </c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5">
        <v>0</v>
      </c>
      <c r="Y61" s="58"/>
      <c r="Z61" s="58"/>
      <c r="AA61" s="75">
        <v>-4</v>
      </c>
      <c r="AB61" s="58"/>
      <c r="AC61" s="58"/>
      <c r="AD61" s="94"/>
      <c r="AE61" s="55"/>
      <c r="AF61" s="55" t="s">
        <v>73</v>
      </c>
      <c r="AG61" s="55" t="s">
        <v>229</v>
      </c>
      <c r="AH61" s="55" t="s">
        <v>220</v>
      </c>
      <c r="AI61" s="55" t="s">
        <v>229</v>
      </c>
      <c r="AJ61" s="56" t="s">
        <v>196</v>
      </c>
      <c r="AK61" s="53" t="s">
        <v>192</v>
      </c>
      <c r="AL61" s="53"/>
      <c r="AM61" s="53"/>
      <c r="AN61" s="53"/>
      <c r="AO61" s="53"/>
    </row>
    <row r="62" spans="1:41" s="5" customFormat="1" ht="14.25" customHeight="1">
      <c r="A62" s="55">
        <v>8</v>
      </c>
      <c r="B62" s="71" t="s">
        <v>109</v>
      </c>
      <c r="C62" s="55"/>
      <c r="D62" s="55">
        <v>2004</v>
      </c>
      <c r="E62" s="55">
        <v>1</v>
      </c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5">
        <v>0</v>
      </c>
      <c r="Y62" s="58"/>
      <c r="Z62" s="58"/>
      <c r="AA62" s="75">
        <v>-1</v>
      </c>
      <c r="AB62" s="58"/>
      <c r="AC62" s="58"/>
      <c r="AD62" s="95"/>
      <c r="AE62" s="55"/>
      <c r="AF62" s="55" t="s">
        <v>73</v>
      </c>
      <c r="AG62" s="55" t="s">
        <v>183</v>
      </c>
      <c r="AH62" s="55" t="s">
        <v>56</v>
      </c>
      <c r="AI62" s="58"/>
      <c r="AJ62" s="55" t="s">
        <v>209</v>
      </c>
      <c r="AK62" s="53"/>
      <c r="AL62" s="53"/>
      <c r="AM62" s="53"/>
      <c r="AN62" s="53"/>
      <c r="AO62" s="53"/>
    </row>
    <row r="63" spans="1:41" s="5" customFormat="1" ht="14.25" customHeight="1">
      <c r="A63" s="55">
        <v>9</v>
      </c>
      <c r="B63" s="71" t="s">
        <v>110</v>
      </c>
      <c r="C63" s="55"/>
      <c r="D63" s="55">
        <v>2004</v>
      </c>
      <c r="E63" s="55">
        <v>1</v>
      </c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5">
        <v>1</v>
      </c>
      <c r="Y63" s="58"/>
      <c r="Z63" s="58"/>
      <c r="AA63" s="75"/>
      <c r="AB63" s="58"/>
      <c r="AC63" s="58"/>
      <c r="AD63" s="95"/>
      <c r="AE63" s="55"/>
      <c r="AF63" s="55" t="s">
        <v>73</v>
      </c>
      <c r="AG63" s="55" t="s">
        <v>107</v>
      </c>
      <c r="AH63" s="55" t="s">
        <v>56</v>
      </c>
      <c r="AI63" s="58"/>
      <c r="AJ63" s="55"/>
      <c r="AK63" s="53"/>
      <c r="AL63" s="53"/>
      <c r="AM63" s="53"/>
      <c r="AN63" s="53"/>
      <c r="AO63" s="53"/>
    </row>
    <row r="64" spans="1:41" s="5" customFormat="1" ht="14.25" customHeight="1">
      <c r="A64" s="55">
        <v>11</v>
      </c>
      <c r="B64" s="71" t="s">
        <v>111</v>
      </c>
      <c r="C64" s="55"/>
      <c r="D64" s="55">
        <v>2007</v>
      </c>
      <c r="E64" s="55">
        <v>1</v>
      </c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5">
        <v>1</v>
      </c>
      <c r="Y64" s="58"/>
      <c r="Z64" s="58"/>
      <c r="AA64" s="75"/>
      <c r="AB64" s="58"/>
      <c r="AC64" s="58"/>
      <c r="AD64" s="94"/>
      <c r="AE64" s="55"/>
      <c r="AF64" s="55" t="s">
        <v>73</v>
      </c>
      <c r="AG64" s="55" t="s">
        <v>107</v>
      </c>
      <c r="AH64" s="55" t="s">
        <v>56</v>
      </c>
      <c r="AI64" s="55"/>
      <c r="AJ64" s="55"/>
      <c r="AK64" s="53"/>
      <c r="AL64" s="53"/>
      <c r="AM64" s="53"/>
      <c r="AN64" s="53"/>
      <c r="AO64" s="53"/>
    </row>
    <row r="65" spans="1:41" s="5" customFormat="1" ht="14.25" customHeight="1">
      <c r="A65" s="55">
        <v>12</v>
      </c>
      <c r="B65" s="71" t="s">
        <v>112</v>
      </c>
      <c r="C65" s="55"/>
      <c r="D65" s="55">
        <v>2003</v>
      </c>
      <c r="E65" s="55">
        <v>1</v>
      </c>
      <c r="F65" s="96"/>
      <c r="G65" s="96"/>
      <c r="H65" s="96"/>
      <c r="I65" s="97"/>
      <c r="J65" s="97"/>
      <c r="K65" s="58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55">
        <v>1</v>
      </c>
      <c r="Y65" s="97"/>
      <c r="Z65" s="96"/>
      <c r="AA65" s="98"/>
      <c r="AB65" s="97"/>
      <c r="AC65" s="97"/>
      <c r="AD65" s="99"/>
      <c r="AE65" s="71"/>
      <c r="AF65" s="55" t="s">
        <v>73</v>
      </c>
      <c r="AG65" s="55" t="s">
        <v>107</v>
      </c>
      <c r="AH65" s="55" t="s">
        <v>56</v>
      </c>
      <c r="AI65" s="71"/>
      <c r="AJ65" s="55"/>
      <c r="AK65" s="53"/>
      <c r="AL65" s="53"/>
      <c r="AM65" s="53"/>
      <c r="AN65" s="53"/>
      <c r="AO65" s="53"/>
    </row>
    <row r="66" spans="1:41" s="5" customFormat="1" ht="14.25" customHeight="1">
      <c r="A66" s="55"/>
      <c r="B66" s="100" t="s">
        <v>172</v>
      </c>
      <c r="C66" s="56"/>
      <c r="D66" s="55"/>
      <c r="E66" s="55"/>
      <c r="F66" s="96"/>
      <c r="G66" s="96"/>
      <c r="H66" s="97"/>
      <c r="I66" s="97"/>
      <c r="J66" s="97"/>
      <c r="K66" s="58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55"/>
      <c r="Y66" s="97"/>
      <c r="Z66" s="96"/>
      <c r="AA66" s="98"/>
      <c r="AB66" s="97"/>
      <c r="AC66" s="97"/>
      <c r="AD66" s="101"/>
      <c r="AE66" s="71"/>
      <c r="AF66" s="55"/>
      <c r="AG66" s="55"/>
      <c r="AH66" s="55"/>
      <c r="AI66" s="55"/>
      <c r="AJ66" s="55"/>
      <c r="AK66" s="329"/>
      <c r="AL66" s="330"/>
      <c r="AM66" s="330"/>
      <c r="AN66" s="330"/>
      <c r="AO66" s="53"/>
    </row>
    <row r="67" spans="1:41" s="5" customFormat="1" ht="14.25" customHeight="1">
      <c r="A67" s="55"/>
      <c r="B67" s="100" t="s">
        <v>114</v>
      </c>
      <c r="C67" s="56"/>
      <c r="D67" s="55"/>
      <c r="E67" s="55"/>
      <c r="F67" s="96"/>
      <c r="G67" s="96"/>
      <c r="H67" s="97"/>
      <c r="I67" s="97"/>
      <c r="J67" s="97"/>
      <c r="K67" s="58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55"/>
      <c r="Y67" s="97"/>
      <c r="Z67" s="96"/>
      <c r="AA67" s="98"/>
      <c r="AB67" s="97"/>
      <c r="AC67" s="97"/>
      <c r="AD67" s="101"/>
      <c r="AE67" s="71"/>
      <c r="AF67" s="55"/>
      <c r="AG67" s="55"/>
      <c r="AH67" s="55"/>
      <c r="AI67" s="55"/>
      <c r="AJ67" s="55"/>
      <c r="AK67" s="53"/>
      <c r="AL67" s="53"/>
      <c r="AM67" s="53"/>
      <c r="AN67" s="53"/>
      <c r="AO67" s="53"/>
    </row>
    <row r="68" spans="1:41" s="5" customFormat="1" ht="25.5">
      <c r="A68" s="55">
        <v>2</v>
      </c>
      <c r="B68" s="71" t="s">
        <v>82</v>
      </c>
      <c r="C68" s="55"/>
      <c r="D68" s="55">
        <v>2016</v>
      </c>
      <c r="E68" s="55">
        <v>2</v>
      </c>
      <c r="F68" s="96"/>
      <c r="G68" s="96"/>
      <c r="H68" s="97"/>
      <c r="I68" s="97"/>
      <c r="J68" s="97"/>
      <c r="K68" s="58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55">
        <v>0</v>
      </c>
      <c r="Y68" s="97"/>
      <c r="Z68" s="96"/>
      <c r="AA68" s="98">
        <v>-2</v>
      </c>
      <c r="AB68" s="97"/>
      <c r="AC68" s="97"/>
      <c r="AD68" s="101"/>
      <c r="AE68" s="71"/>
      <c r="AF68" s="55" t="s">
        <v>73</v>
      </c>
      <c r="AG68" s="55" t="s">
        <v>210</v>
      </c>
      <c r="AH68" s="55"/>
      <c r="AI68" s="55"/>
      <c r="AJ68" s="55" t="s">
        <v>210</v>
      </c>
      <c r="AK68" s="329"/>
      <c r="AL68" s="330"/>
      <c r="AM68" s="330"/>
      <c r="AN68" s="330"/>
      <c r="AO68" s="330"/>
    </row>
    <row r="69" spans="1:41" s="5" customFormat="1" ht="25.5">
      <c r="A69" s="55">
        <v>3</v>
      </c>
      <c r="B69" s="71" t="s">
        <v>70</v>
      </c>
      <c r="C69" s="55"/>
      <c r="D69" s="55">
        <v>2016</v>
      </c>
      <c r="E69" s="55">
        <v>1</v>
      </c>
      <c r="F69" s="96"/>
      <c r="G69" s="96"/>
      <c r="H69" s="97"/>
      <c r="I69" s="97"/>
      <c r="J69" s="97"/>
      <c r="K69" s="58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55">
        <v>0</v>
      </c>
      <c r="Y69" s="97"/>
      <c r="Z69" s="96"/>
      <c r="AA69" s="75">
        <v>-1</v>
      </c>
      <c r="AB69" s="97"/>
      <c r="AC69" s="97"/>
      <c r="AD69" s="101"/>
      <c r="AE69" s="71"/>
      <c r="AF69" s="55" t="s">
        <v>73</v>
      </c>
      <c r="AG69" s="55" t="s">
        <v>211</v>
      </c>
      <c r="AH69" s="55"/>
      <c r="AI69" s="55"/>
      <c r="AJ69" s="55" t="s">
        <v>211</v>
      </c>
      <c r="AK69" s="329"/>
      <c r="AL69" s="330"/>
      <c r="AM69" s="330"/>
      <c r="AN69" s="330"/>
      <c r="AO69" s="330"/>
    </row>
    <row r="70" spans="1:41" s="5" customFormat="1" ht="14.25" customHeight="1">
      <c r="A70" s="55">
        <v>4</v>
      </c>
      <c r="B70" s="71" t="s">
        <v>59</v>
      </c>
      <c r="C70" s="55"/>
      <c r="D70" s="55">
        <v>2016</v>
      </c>
      <c r="E70" s="55">
        <v>4</v>
      </c>
      <c r="F70" s="96"/>
      <c r="G70" s="96"/>
      <c r="H70" s="97"/>
      <c r="I70" s="97"/>
      <c r="J70" s="97"/>
      <c r="K70" s="58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55">
        <v>0</v>
      </c>
      <c r="Y70" s="97"/>
      <c r="Z70" s="96"/>
      <c r="AA70" s="98">
        <v>-4</v>
      </c>
      <c r="AB70" s="97"/>
      <c r="AC70" s="97"/>
      <c r="AD70" s="101"/>
      <c r="AE70" s="71"/>
      <c r="AF70" s="55" t="s">
        <v>73</v>
      </c>
      <c r="AG70" s="55" t="s">
        <v>212</v>
      </c>
      <c r="AH70" s="55"/>
      <c r="AI70" s="55"/>
      <c r="AJ70" s="55" t="s">
        <v>212</v>
      </c>
      <c r="AK70" s="53"/>
      <c r="AL70" s="53"/>
      <c r="AM70" s="53"/>
      <c r="AN70" s="53"/>
      <c r="AO70" s="53"/>
    </row>
    <row r="71" spans="1:41" s="5" customFormat="1" ht="14.25" customHeight="1">
      <c r="A71" s="55"/>
      <c r="B71" s="102" t="s">
        <v>116</v>
      </c>
      <c r="C71" s="55"/>
      <c r="D71" s="55"/>
      <c r="E71" s="55"/>
      <c r="F71" s="96"/>
      <c r="G71" s="96"/>
      <c r="H71" s="97"/>
      <c r="I71" s="97"/>
      <c r="J71" s="97"/>
      <c r="K71" s="58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55"/>
      <c r="Y71" s="97"/>
      <c r="Z71" s="96"/>
      <c r="AA71" s="98"/>
      <c r="AB71" s="97"/>
      <c r="AC71" s="97"/>
      <c r="AD71" s="101"/>
      <c r="AE71" s="71"/>
      <c r="AF71" s="55"/>
      <c r="AG71" s="55"/>
      <c r="AH71" s="55"/>
      <c r="AI71" s="55"/>
      <c r="AJ71" s="55"/>
      <c r="AK71" s="53"/>
      <c r="AL71" s="53"/>
      <c r="AM71" s="53"/>
      <c r="AN71" s="53"/>
      <c r="AO71" s="53"/>
    </row>
    <row r="72" spans="1:41" s="5" customFormat="1" ht="14.25" customHeight="1">
      <c r="A72" s="55">
        <v>1</v>
      </c>
      <c r="B72" s="71" t="s">
        <v>117</v>
      </c>
      <c r="C72" s="55"/>
      <c r="D72" s="55">
        <v>2015</v>
      </c>
      <c r="E72" s="55">
        <v>1</v>
      </c>
      <c r="F72" s="96"/>
      <c r="G72" s="96"/>
      <c r="H72" s="97"/>
      <c r="I72" s="97"/>
      <c r="J72" s="97"/>
      <c r="K72" s="58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55">
        <v>0</v>
      </c>
      <c r="Y72" s="97"/>
      <c r="Z72" s="96"/>
      <c r="AA72" s="98">
        <v>-1</v>
      </c>
      <c r="AB72" s="97"/>
      <c r="AC72" s="97"/>
      <c r="AD72" s="101"/>
      <c r="AE72" s="71"/>
      <c r="AF72" s="55" t="s">
        <v>73</v>
      </c>
      <c r="AG72" s="55" t="s">
        <v>213</v>
      </c>
      <c r="AH72" s="55"/>
      <c r="AI72" s="55"/>
      <c r="AJ72" s="55" t="s">
        <v>213</v>
      </c>
      <c r="AK72" s="53"/>
      <c r="AL72" s="53"/>
      <c r="AM72" s="53"/>
      <c r="AN72" s="53"/>
      <c r="AO72" s="53"/>
    </row>
    <row r="73" spans="1:41" s="5" customFormat="1" ht="14.25" customHeight="1">
      <c r="A73" s="55">
        <v>3</v>
      </c>
      <c r="B73" s="71" t="s">
        <v>118</v>
      </c>
      <c r="C73" s="55"/>
      <c r="D73" s="55">
        <v>2016</v>
      </c>
      <c r="E73" s="55">
        <v>1</v>
      </c>
      <c r="F73" s="96"/>
      <c r="G73" s="96"/>
      <c r="H73" s="97"/>
      <c r="I73" s="97"/>
      <c r="J73" s="97"/>
      <c r="K73" s="58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55">
        <v>0</v>
      </c>
      <c r="Y73" s="97"/>
      <c r="Z73" s="96"/>
      <c r="AA73" s="98">
        <v>-1</v>
      </c>
      <c r="AB73" s="97"/>
      <c r="AC73" s="97"/>
      <c r="AD73" s="101"/>
      <c r="AE73" s="71"/>
      <c r="AF73" s="55" t="s">
        <v>73</v>
      </c>
      <c r="AG73" s="55" t="s">
        <v>213</v>
      </c>
      <c r="AH73" s="55"/>
      <c r="AI73" s="55"/>
      <c r="AJ73" s="55" t="s">
        <v>213</v>
      </c>
      <c r="AK73" s="53"/>
      <c r="AL73" s="53"/>
      <c r="AM73" s="53"/>
      <c r="AN73" s="53"/>
      <c r="AO73" s="53"/>
    </row>
    <row r="74" spans="1:41" s="5" customFormat="1" ht="14.25" customHeight="1">
      <c r="A74" s="55">
        <v>4</v>
      </c>
      <c r="B74" s="71" t="s">
        <v>119</v>
      </c>
      <c r="C74" s="55"/>
      <c r="D74" s="55">
        <v>2014</v>
      </c>
      <c r="E74" s="55">
        <v>1</v>
      </c>
      <c r="F74" s="96"/>
      <c r="G74" s="96"/>
      <c r="H74" s="97"/>
      <c r="I74" s="97"/>
      <c r="J74" s="97"/>
      <c r="K74" s="58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55">
        <v>0</v>
      </c>
      <c r="Y74" s="97"/>
      <c r="Z74" s="96"/>
      <c r="AA74" s="98">
        <v>-1</v>
      </c>
      <c r="AB74" s="97"/>
      <c r="AC74" s="97"/>
      <c r="AD74" s="101"/>
      <c r="AE74" s="71"/>
      <c r="AF74" s="55" t="s">
        <v>73</v>
      </c>
      <c r="AG74" s="55" t="s">
        <v>214</v>
      </c>
      <c r="AH74" s="55"/>
      <c r="AI74" s="55"/>
      <c r="AJ74" s="55" t="s">
        <v>214</v>
      </c>
      <c r="AK74" s="53"/>
      <c r="AL74" s="53"/>
      <c r="AM74" s="53"/>
      <c r="AN74" s="53"/>
      <c r="AO74" s="53"/>
    </row>
    <row r="75" spans="1:41" s="5" customFormat="1" ht="25.5">
      <c r="A75" s="55">
        <v>5</v>
      </c>
      <c r="B75" s="71" t="s">
        <v>69</v>
      </c>
      <c r="C75" s="55"/>
      <c r="D75" s="55">
        <v>2003</v>
      </c>
      <c r="E75" s="55">
        <v>1</v>
      </c>
      <c r="F75" s="96"/>
      <c r="G75" s="96"/>
      <c r="H75" s="97"/>
      <c r="I75" s="97"/>
      <c r="J75" s="97"/>
      <c r="K75" s="58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55">
        <v>0</v>
      </c>
      <c r="Y75" s="97"/>
      <c r="Z75" s="96"/>
      <c r="AA75" s="98">
        <v>-1</v>
      </c>
      <c r="AB75" s="97"/>
      <c r="AC75" s="97"/>
      <c r="AD75" s="101"/>
      <c r="AE75" s="71"/>
      <c r="AF75" s="55" t="s">
        <v>73</v>
      </c>
      <c r="AG75" s="55" t="s">
        <v>215</v>
      </c>
      <c r="AH75" s="55"/>
      <c r="AI75" s="55"/>
      <c r="AJ75" s="55" t="s">
        <v>215</v>
      </c>
      <c r="AK75" s="53"/>
      <c r="AL75" s="53"/>
      <c r="AM75" s="53"/>
      <c r="AN75" s="53"/>
      <c r="AO75" s="53"/>
    </row>
    <row r="76" spans="1:41" s="38" customFormat="1" ht="14.25" customHeight="1">
      <c r="A76" s="55">
        <v>6</v>
      </c>
      <c r="B76" s="71" t="s">
        <v>120</v>
      </c>
      <c r="C76" s="55"/>
      <c r="D76" s="55">
        <v>2005</v>
      </c>
      <c r="E76" s="55">
        <v>1</v>
      </c>
      <c r="F76" s="96"/>
      <c r="G76" s="96"/>
      <c r="H76" s="97"/>
      <c r="I76" s="97"/>
      <c r="J76" s="97"/>
      <c r="K76" s="58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55">
        <v>0</v>
      </c>
      <c r="Y76" s="97"/>
      <c r="Z76" s="96"/>
      <c r="AA76" s="98">
        <v>-1</v>
      </c>
      <c r="AB76" s="97"/>
      <c r="AC76" s="97"/>
      <c r="AD76" s="101"/>
      <c r="AE76" s="71"/>
      <c r="AF76" s="55" t="s">
        <v>73</v>
      </c>
      <c r="AG76" s="55" t="s">
        <v>235</v>
      </c>
      <c r="AH76" s="55" t="s">
        <v>220</v>
      </c>
      <c r="AI76" s="55"/>
      <c r="AJ76" s="55" t="s">
        <v>216</v>
      </c>
      <c r="AK76" s="53"/>
      <c r="AL76" s="53"/>
      <c r="AM76" s="53"/>
      <c r="AN76" s="53"/>
      <c r="AO76" s="53"/>
    </row>
    <row r="77" spans="1:41" s="38" customFormat="1" ht="14.25" customHeight="1">
      <c r="A77" s="55">
        <v>7</v>
      </c>
      <c r="B77" s="71" t="s">
        <v>121</v>
      </c>
      <c r="C77" s="55"/>
      <c r="D77" s="55">
        <v>2005</v>
      </c>
      <c r="E77" s="55">
        <v>1</v>
      </c>
      <c r="F77" s="96"/>
      <c r="G77" s="96"/>
      <c r="H77" s="97"/>
      <c r="I77" s="97"/>
      <c r="J77" s="97"/>
      <c r="K77" s="58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55">
        <v>0</v>
      </c>
      <c r="Y77" s="97"/>
      <c r="Z77" s="96"/>
      <c r="AA77" s="98">
        <v>-1</v>
      </c>
      <c r="AB77" s="97"/>
      <c r="AC77" s="97"/>
      <c r="AD77" s="101"/>
      <c r="AE77" s="71"/>
      <c r="AF77" s="55" t="s">
        <v>73</v>
      </c>
      <c r="AG77" s="55" t="s">
        <v>235</v>
      </c>
      <c r="AH77" s="55" t="s">
        <v>220</v>
      </c>
      <c r="AI77" s="55"/>
      <c r="AJ77" s="55" t="s">
        <v>216</v>
      </c>
      <c r="AK77" s="53"/>
      <c r="AL77" s="53"/>
      <c r="AM77" s="53"/>
      <c r="AN77" s="53"/>
      <c r="AO77" s="53"/>
    </row>
    <row r="78" spans="1:41" s="46" customFormat="1" ht="14.25" customHeight="1">
      <c r="A78" s="55">
        <v>9</v>
      </c>
      <c r="B78" s="71" t="s">
        <v>123</v>
      </c>
      <c r="C78" s="55"/>
      <c r="D78" s="55">
        <v>2008</v>
      </c>
      <c r="E78" s="55">
        <v>1</v>
      </c>
      <c r="F78" s="103"/>
      <c r="G78" s="100" t="s">
        <v>42</v>
      </c>
      <c r="H78" s="100"/>
      <c r="I78" s="100"/>
      <c r="J78" s="100"/>
      <c r="K78" s="57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55">
        <v>0</v>
      </c>
      <c r="Y78" s="100"/>
      <c r="Z78" s="100"/>
      <c r="AA78" s="98">
        <v>-1</v>
      </c>
      <c r="AB78" s="104" t="s">
        <v>43</v>
      </c>
      <c r="AC78" s="100"/>
      <c r="AD78" s="100"/>
      <c r="AE78" s="100"/>
      <c r="AF78" s="55" t="s">
        <v>73</v>
      </c>
      <c r="AG78" s="55" t="s">
        <v>235</v>
      </c>
      <c r="AH78" s="55" t="s">
        <v>220</v>
      </c>
      <c r="AI78" s="100"/>
      <c r="AJ78" s="55" t="s">
        <v>216</v>
      </c>
      <c r="AK78" s="54"/>
      <c r="AL78" s="54"/>
      <c r="AM78" s="54"/>
      <c r="AN78" s="54"/>
      <c r="AO78" s="54"/>
    </row>
    <row r="79" spans="1:41" s="46" customFormat="1" ht="14.25" customHeight="1">
      <c r="A79" s="55">
        <v>10</v>
      </c>
      <c r="B79" s="71" t="s">
        <v>124</v>
      </c>
      <c r="C79" s="55"/>
      <c r="D79" s="55">
        <v>2003</v>
      </c>
      <c r="E79" s="55">
        <v>1</v>
      </c>
      <c r="F79" s="103"/>
      <c r="G79" s="100"/>
      <c r="H79" s="100"/>
      <c r="I79" s="100"/>
      <c r="J79" s="100"/>
      <c r="K79" s="57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55">
        <v>0</v>
      </c>
      <c r="Y79" s="100"/>
      <c r="Z79" s="100"/>
      <c r="AA79" s="98">
        <v>-1</v>
      </c>
      <c r="AB79" s="104"/>
      <c r="AC79" s="100"/>
      <c r="AD79" s="100"/>
      <c r="AE79" s="100"/>
      <c r="AF79" s="55" t="s">
        <v>73</v>
      </c>
      <c r="AG79" s="55" t="s">
        <v>229</v>
      </c>
      <c r="AH79" s="55" t="s">
        <v>220</v>
      </c>
      <c r="AI79" s="100"/>
      <c r="AJ79" s="55" t="s">
        <v>217</v>
      </c>
      <c r="AK79" s="54"/>
      <c r="AL79" s="54"/>
      <c r="AM79" s="54"/>
      <c r="AN79" s="54"/>
      <c r="AO79" s="54"/>
    </row>
    <row r="80" spans="1:41" s="46" customFormat="1" ht="14.25" customHeight="1">
      <c r="A80" s="55">
        <v>11</v>
      </c>
      <c r="B80" s="71" t="s">
        <v>125</v>
      </c>
      <c r="C80" s="55"/>
      <c r="D80" s="55">
        <v>2015</v>
      </c>
      <c r="E80" s="55">
        <v>1</v>
      </c>
      <c r="F80" s="103"/>
      <c r="G80" s="100"/>
      <c r="H80" s="100"/>
      <c r="I80" s="100"/>
      <c r="J80" s="100"/>
      <c r="K80" s="57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55">
        <v>0</v>
      </c>
      <c r="Y80" s="100"/>
      <c r="Z80" s="100"/>
      <c r="AA80" s="98">
        <v>-1</v>
      </c>
      <c r="AB80" s="104"/>
      <c r="AC80" s="100"/>
      <c r="AD80" s="100"/>
      <c r="AE80" s="100"/>
      <c r="AF80" s="55" t="s">
        <v>73</v>
      </c>
      <c r="AG80" s="55" t="s">
        <v>229</v>
      </c>
      <c r="AH80" s="55" t="s">
        <v>220</v>
      </c>
      <c r="AI80" s="100"/>
      <c r="AJ80" s="55" t="s">
        <v>217</v>
      </c>
      <c r="AK80" s="54"/>
      <c r="AL80" s="54"/>
      <c r="AM80" s="54"/>
      <c r="AN80" s="54"/>
      <c r="AO80" s="54"/>
    </row>
    <row r="81" spans="1:41" s="39" customFormat="1" ht="45">
      <c r="A81" s="107"/>
      <c r="B81" s="78" t="s">
        <v>187</v>
      </c>
      <c r="C81" s="105"/>
      <c r="D81" s="106">
        <v>2020</v>
      </c>
      <c r="E81" s="107">
        <v>2</v>
      </c>
      <c r="F81" s="108">
        <v>1</v>
      </c>
      <c r="G81" s="109"/>
      <c r="H81" s="84" t="s">
        <v>180</v>
      </c>
      <c r="I81" s="110" t="s">
        <v>181</v>
      </c>
      <c r="J81" s="107" t="s">
        <v>54</v>
      </c>
      <c r="K81" s="108" t="s">
        <v>182</v>
      </c>
      <c r="L81" s="111" t="s">
        <v>62</v>
      </c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>
        <v>0</v>
      </c>
      <c r="Y81" s="112"/>
      <c r="Z81" s="112"/>
      <c r="AA81" s="112">
        <v>-2</v>
      </c>
      <c r="AB81" s="112"/>
      <c r="AC81" s="112"/>
      <c r="AD81" s="112"/>
      <c r="AE81" s="112"/>
      <c r="AF81" s="55" t="s">
        <v>73</v>
      </c>
      <c r="AG81" s="55" t="s">
        <v>236</v>
      </c>
      <c r="AH81" s="55" t="s">
        <v>56</v>
      </c>
      <c r="AI81" s="71"/>
      <c r="AJ81" s="112" t="s">
        <v>185</v>
      </c>
      <c r="AK81" s="86"/>
      <c r="AL81" s="86"/>
      <c r="AM81" s="86"/>
      <c r="AN81" s="86"/>
      <c r="AO81" s="86"/>
    </row>
    <row r="82" spans="1:41" s="4" customFormat="1" ht="18.75" customHeight="1">
      <c r="A82" s="55"/>
      <c r="B82" s="100" t="s">
        <v>126</v>
      </c>
      <c r="C82" s="55"/>
      <c r="D82" s="55"/>
      <c r="E82" s="55"/>
      <c r="F82" s="103"/>
      <c r="G82" s="100"/>
      <c r="H82" s="100"/>
      <c r="I82" s="100"/>
      <c r="J82" s="100"/>
      <c r="K82" s="57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55"/>
      <c r="Y82" s="100"/>
      <c r="Z82" s="100"/>
      <c r="AA82" s="100"/>
      <c r="AB82" s="104"/>
      <c r="AC82" s="100"/>
      <c r="AD82" s="100"/>
      <c r="AE82" s="100"/>
      <c r="AF82" s="100"/>
      <c r="AG82" s="100"/>
      <c r="AH82" s="100"/>
      <c r="AI82" s="100"/>
      <c r="AJ82" s="55"/>
      <c r="AK82" s="54"/>
      <c r="AL82" s="54"/>
      <c r="AM82" s="54"/>
      <c r="AN82" s="54"/>
      <c r="AO82" s="54"/>
    </row>
    <row r="83" spans="1:41" s="4" customFormat="1" ht="18.75" customHeight="1">
      <c r="A83" s="55">
        <v>2</v>
      </c>
      <c r="B83" s="71" t="s">
        <v>82</v>
      </c>
      <c r="C83" s="55"/>
      <c r="D83" s="55">
        <v>2016</v>
      </c>
      <c r="E83" s="55">
        <v>1</v>
      </c>
      <c r="F83" s="103"/>
      <c r="G83" s="100"/>
      <c r="H83" s="100"/>
      <c r="I83" s="100"/>
      <c r="J83" s="100"/>
      <c r="K83" s="57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55">
        <v>1</v>
      </c>
      <c r="Y83" s="100"/>
      <c r="Z83" s="100"/>
      <c r="AA83" s="100"/>
      <c r="AB83" s="104"/>
      <c r="AC83" s="100"/>
      <c r="AD83" s="100"/>
      <c r="AE83" s="100"/>
      <c r="AF83" s="55" t="s">
        <v>73</v>
      </c>
      <c r="AG83" s="55" t="s">
        <v>128</v>
      </c>
      <c r="AH83" s="100"/>
      <c r="AI83" s="100"/>
      <c r="AJ83" s="55"/>
      <c r="AK83" s="54"/>
      <c r="AL83" s="54"/>
      <c r="AM83" s="54"/>
      <c r="AN83" s="54"/>
      <c r="AO83" s="54"/>
    </row>
    <row r="84" spans="1:41" s="4" customFormat="1" ht="18.75" customHeight="1">
      <c r="A84" s="55"/>
      <c r="B84" s="100" t="s">
        <v>129</v>
      </c>
      <c r="C84" s="55"/>
      <c r="D84" s="55"/>
      <c r="E84" s="55"/>
      <c r="F84" s="103"/>
      <c r="G84" s="100"/>
      <c r="H84" s="100"/>
      <c r="I84" s="100"/>
      <c r="J84" s="100"/>
      <c r="K84" s="57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55"/>
      <c r="Y84" s="100"/>
      <c r="Z84" s="100"/>
      <c r="AA84" s="100"/>
      <c r="AB84" s="104"/>
      <c r="AC84" s="100"/>
      <c r="AD84" s="100"/>
      <c r="AE84" s="100"/>
      <c r="AF84" s="55"/>
      <c r="AG84" s="55"/>
      <c r="AH84" s="100"/>
      <c r="AI84" s="100"/>
      <c r="AJ84" s="55"/>
      <c r="AK84" s="54"/>
      <c r="AL84" s="54"/>
      <c r="AM84" s="54"/>
      <c r="AN84" s="54"/>
      <c r="AO84" s="54"/>
    </row>
    <row r="85" spans="1:41" s="4" customFormat="1" ht="18.75" customHeight="1">
      <c r="A85" s="55">
        <v>1</v>
      </c>
      <c r="B85" s="71" t="s">
        <v>130</v>
      </c>
      <c r="C85" s="55" t="s">
        <v>131</v>
      </c>
      <c r="D85" s="55">
        <v>2013</v>
      </c>
      <c r="E85" s="55">
        <v>1</v>
      </c>
      <c r="F85" s="103"/>
      <c r="G85" s="100"/>
      <c r="H85" s="100"/>
      <c r="I85" s="100"/>
      <c r="J85" s="100"/>
      <c r="K85" s="57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55">
        <v>1</v>
      </c>
      <c r="Y85" s="100"/>
      <c r="Z85" s="100"/>
      <c r="AA85" s="100"/>
      <c r="AB85" s="104"/>
      <c r="AC85" s="100"/>
      <c r="AD85" s="100"/>
      <c r="AE85" s="100"/>
      <c r="AF85" s="55" t="s">
        <v>73</v>
      </c>
      <c r="AG85" s="55" t="s">
        <v>128</v>
      </c>
      <c r="AH85" s="100"/>
      <c r="AI85" s="100"/>
      <c r="AJ85" s="55"/>
      <c r="AK85" s="54"/>
      <c r="AL85" s="54"/>
      <c r="AM85" s="54"/>
      <c r="AN85" s="54"/>
      <c r="AO85" s="54"/>
    </row>
    <row r="86" spans="1:41" s="4" customFormat="1" ht="18.75" customHeight="1">
      <c r="A86" s="55">
        <v>2</v>
      </c>
      <c r="B86" s="71" t="s">
        <v>132</v>
      </c>
      <c r="C86" s="55" t="s">
        <v>133</v>
      </c>
      <c r="D86" s="55">
        <v>2004</v>
      </c>
      <c r="E86" s="55">
        <v>1</v>
      </c>
      <c r="F86" s="103"/>
      <c r="G86" s="100"/>
      <c r="H86" s="100"/>
      <c r="I86" s="100"/>
      <c r="J86" s="100"/>
      <c r="K86" s="57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55">
        <v>1</v>
      </c>
      <c r="Y86" s="100"/>
      <c r="Z86" s="100"/>
      <c r="AA86" s="100"/>
      <c r="AB86" s="104"/>
      <c r="AC86" s="100"/>
      <c r="AD86" s="100"/>
      <c r="AE86" s="100"/>
      <c r="AF86" s="55" t="s">
        <v>73</v>
      </c>
      <c r="AG86" s="55" t="s">
        <v>128</v>
      </c>
      <c r="AH86" s="100"/>
      <c r="AI86" s="100"/>
      <c r="AJ86" s="55"/>
      <c r="AK86" s="54"/>
      <c r="AL86" s="54"/>
      <c r="AM86" s="54"/>
      <c r="AN86" s="54"/>
      <c r="AO86" s="54"/>
    </row>
    <row r="87" spans="1:41" s="4" customFormat="1" ht="18.75" customHeight="1">
      <c r="A87" s="55">
        <v>3</v>
      </c>
      <c r="B87" s="71" t="s">
        <v>60</v>
      </c>
      <c r="C87" s="55"/>
      <c r="D87" s="55">
        <v>2013</v>
      </c>
      <c r="E87" s="55">
        <v>1</v>
      </c>
      <c r="F87" s="103"/>
      <c r="G87" s="100"/>
      <c r="H87" s="100"/>
      <c r="I87" s="100"/>
      <c r="J87" s="100"/>
      <c r="K87" s="57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55">
        <v>1</v>
      </c>
      <c r="Y87" s="100"/>
      <c r="Z87" s="100"/>
      <c r="AA87" s="100"/>
      <c r="AB87" s="104"/>
      <c r="AC87" s="100"/>
      <c r="AD87" s="100"/>
      <c r="AE87" s="100"/>
      <c r="AF87" s="55" t="s">
        <v>73</v>
      </c>
      <c r="AG87" s="55" t="s">
        <v>128</v>
      </c>
      <c r="AH87" s="100"/>
      <c r="AI87" s="100"/>
      <c r="AJ87" s="55"/>
      <c r="AK87" s="54"/>
      <c r="AL87" s="54"/>
      <c r="AM87" s="54"/>
      <c r="AN87" s="54"/>
      <c r="AO87" s="54"/>
    </row>
    <row r="88" spans="1:41" s="4" customFormat="1" ht="18.75" customHeight="1">
      <c r="A88" s="55">
        <v>4</v>
      </c>
      <c r="B88" s="71" t="s">
        <v>134</v>
      </c>
      <c r="C88" s="55"/>
      <c r="D88" s="55">
        <v>2013</v>
      </c>
      <c r="E88" s="55">
        <v>1</v>
      </c>
      <c r="F88" s="103"/>
      <c r="G88" s="100"/>
      <c r="H88" s="100"/>
      <c r="I88" s="100"/>
      <c r="J88" s="100"/>
      <c r="K88" s="57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55">
        <v>1</v>
      </c>
      <c r="Y88" s="100"/>
      <c r="Z88" s="100"/>
      <c r="AA88" s="100"/>
      <c r="AB88" s="104"/>
      <c r="AC88" s="100"/>
      <c r="AD88" s="100"/>
      <c r="AE88" s="100"/>
      <c r="AF88" s="55" t="s">
        <v>73</v>
      </c>
      <c r="AG88" s="55" t="s">
        <v>128</v>
      </c>
      <c r="AH88" s="100"/>
      <c r="AI88" s="100"/>
      <c r="AJ88" s="55"/>
      <c r="AK88" s="54"/>
      <c r="AL88" s="54"/>
      <c r="AM88" s="54"/>
      <c r="AN88" s="54"/>
      <c r="AO88" s="54"/>
    </row>
    <row r="89" spans="1:41" s="4" customFormat="1" ht="18.75" customHeight="1">
      <c r="A89" s="55">
        <v>5</v>
      </c>
      <c r="B89" s="71" t="s">
        <v>63</v>
      </c>
      <c r="C89" s="55"/>
      <c r="D89" s="55">
        <v>2008</v>
      </c>
      <c r="E89" s="55">
        <v>1</v>
      </c>
      <c r="F89" s="103"/>
      <c r="G89" s="100"/>
      <c r="H89" s="100"/>
      <c r="I89" s="100"/>
      <c r="J89" s="100"/>
      <c r="K89" s="57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55">
        <v>1</v>
      </c>
      <c r="Y89" s="100"/>
      <c r="Z89" s="100"/>
      <c r="AA89" s="100"/>
      <c r="AB89" s="104"/>
      <c r="AC89" s="100"/>
      <c r="AD89" s="100"/>
      <c r="AE89" s="100"/>
      <c r="AF89" s="55" t="s">
        <v>73</v>
      </c>
      <c r="AG89" s="55" t="s">
        <v>128</v>
      </c>
      <c r="AH89" s="100"/>
      <c r="AI89" s="100"/>
      <c r="AJ89" s="55"/>
      <c r="AK89" s="54"/>
      <c r="AL89" s="54"/>
      <c r="AM89" s="54"/>
      <c r="AN89" s="54"/>
      <c r="AO89" s="54"/>
    </row>
    <row r="90" spans="1:41" s="4" customFormat="1" ht="18.75" customHeight="1">
      <c r="A90" s="55">
        <v>6</v>
      </c>
      <c r="B90" s="71" t="s">
        <v>86</v>
      </c>
      <c r="C90" s="55"/>
      <c r="D90" s="55">
        <v>2017</v>
      </c>
      <c r="E90" s="55">
        <v>1</v>
      </c>
      <c r="F90" s="103"/>
      <c r="G90" s="100"/>
      <c r="H90" s="100"/>
      <c r="I90" s="100"/>
      <c r="J90" s="100"/>
      <c r="K90" s="57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55">
        <v>1</v>
      </c>
      <c r="Y90" s="100"/>
      <c r="Z90" s="100"/>
      <c r="AA90" s="100"/>
      <c r="AB90" s="104"/>
      <c r="AC90" s="100"/>
      <c r="AD90" s="100"/>
      <c r="AE90" s="100"/>
      <c r="AF90" s="55" t="s">
        <v>73</v>
      </c>
      <c r="AG90" s="55" t="s">
        <v>128</v>
      </c>
      <c r="AH90" s="100"/>
      <c r="AI90" s="100"/>
      <c r="AJ90" s="55"/>
      <c r="AK90" s="54"/>
      <c r="AL90" s="54"/>
      <c r="AM90" s="54"/>
      <c r="AN90" s="54"/>
      <c r="AO90" s="54"/>
    </row>
    <row r="91" spans="1:41" s="4" customFormat="1" ht="18.75" customHeight="1">
      <c r="A91" s="55"/>
      <c r="B91" s="100" t="s">
        <v>135</v>
      </c>
      <c r="C91" s="55"/>
      <c r="D91" s="55"/>
      <c r="E91" s="55"/>
      <c r="F91" s="103"/>
      <c r="G91" s="100"/>
      <c r="H91" s="100"/>
      <c r="I91" s="100"/>
      <c r="J91" s="100"/>
      <c r="K91" s="57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55"/>
      <c r="Y91" s="100"/>
      <c r="Z91" s="100"/>
      <c r="AA91" s="100"/>
      <c r="AB91" s="104"/>
      <c r="AC91" s="100"/>
      <c r="AD91" s="100"/>
      <c r="AE91" s="100"/>
      <c r="AF91" s="100"/>
      <c r="AG91" s="55"/>
      <c r="AH91" s="100"/>
      <c r="AI91" s="100"/>
      <c r="AJ91" s="55"/>
      <c r="AK91" s="54"/>
      <c r="AL91" s="54"/>
      <c r="AM91" s="54"/>
      <c r="AN91" s="54"/>
      <c r="AO91" s="54"/>
    </row>
    <row r="92" spans="1:41" s="4" customFormat="1" ht="18.75" customHeight="1">
      <c r="A92" s="55">
        <v>2</v>
      </c>
      <c r="B92" s="71" t="s">
        <v>82</v>
      </c>
      <c r="C92" s="55"/>
      <c r="D92" s="55">
        <v>2016</v>
      </c>
      <c r="E92" s="55">
        <v>1</v>
      </c>
      <c r="F92" s="103"/>
      <c r="G92" s="100"/>
      <c r="H92" s="100"/>
      <c r="I92" s="100"/>
      <c r="J92" s="100"/>
      <c r="K92" s="57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55">
        <v>1</v>
      </c>
      <c r="Y92" s="100"/>
      <c r="Z92" s="100"/>
      <c r="AA92" s="100"/>
      <c r="AB92" s="104"/>
      <c r="AC92" s="100"/>
      <c r="AD92" s="100"/>
      <c r="AE92" s="100"/>
      <c r="AF92" s="55" t="s">
        <v>73</v>
      </c>
      <c r="AG92" s="55" t="s">
        <v>237</v>
      </c>
      <c r="AH92" s="100"/>
      <c r="AI92" s="100"/>
      <c r="AJ92" s="55"/>
      <c r="AK92" s="54"/>
      <c r="AL92" s="54"/>
      <c r="AM92" s="54"/>
      <c r="AN92" s="54"/>
      <c r="AO92" s="54"/>
    </row>
    <row r="93" spans="1:41" s="4" customFormat="1" ht="18.75" customHeight="1">
      <c r="A93" s="55"/>
      <c r="B93" s="100" t="s">
        <v>137</v>
      </c>
      <c r="C93" s="55"/>
      <c r="D93" s="55"/>
      <c r="E93" s="55"/>
      <c r="F93" s="103"/>
      <c r="G93" s="100"/>
      <c r="H93" s="100"/>
      <c r="I93" s="100"/>
      <c r="J93" s="100"/>
      <c r="K93" s="57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55"/>
      <c r="Y93" s="100"/>
      <c r="Z93" s="100"/>
      <c r="AA93" s="100"/>
      <c r="AB93" s="104"/>
      <c r="AC93" s="100"/>
      <c r="AD93" s="100"/>
      <c r="AE93" s="100"/>
      <c r="AF93" s="100"/>
      <c r="AG93" s="55"/>
      <c r="AH93" s="100"/>
      <c r="AI93" s="100"/>
      <c r="AJ93" s="55"/>
      <c r="AK93" s="54"/>
      <c r="AL93" s="54"/>
      <c r="AM93" s="54"/>
      <c r="AN93" s="54"/>
      <c r="AO93" s="54"/>
    </row>
    <row r="94" spans="1:41" s="4" customFormat="1" ht="18.75" customHeight="1">
      <c r="A94" s="55">
        <v>1</v>
      </c>
      <c r="B94" s="71" t="s">
        <v>138</v>
      </c>
      <c r="C94" s="55"/>
      <c r="D94" s="55">
        <v>2016</v>
      </c>
      <c r="E94" s="55">
        <v>1</v>
      </c>
      <c r="F94" s="103"/>
      <c r="G94" s="100"/>
      <c r="H94" s="100"/>
      <c r="I94" s="100"/>
      <c r="J94" s="100"/>
      <c r="K94" s="57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55">
        <v>1</v>
      </c>
      <c r="Y94" s="100"/>
      <c r="Z94" s="100"/>
      <c r="AA94" s="100"/>
      <c r="AB94" s="104"/>
      <c r="AC94" s="100"/>
      <c r="AD94" s="100"/>
      <c r="AE94" s="100"/>
      <c r="AF94" s="55" t="s">
        <v>73</v>
      </c>
      <c r="AG94" s="55" t="s">
        <v>136</v>
      </c>
      <c r="AH94" s="100"/>
      <c r="AI94" s="100"/>
      <c r="AJ94" s="55"/>
      <c r="AK94" s="54"/>
      <c r="AL94" s="54"/>
      <c r="AM94" s="54"/>
      <c r="AN94" s="54"/>
      <c r="AO94" s="54"/>
    </row>
    <row r="95" spans="1:41" s="4" customFormat="1" ht="18.75" customHeight="1">
      <c r="A95" s="55">
        <v>2</v>
      </c>
      <c r="B95" s="71" t="s">
        <v>139</v>
      </c>
      <c r="C95" s="55"/>
      <c r="D95" s="55">
        <v>2013</v>
      </c>
      <c r="E95" s="55">
        <v>1</v>
      </c>
      <c r="F95" s="103"/>
      <c r="G95" s="100"/>
      <c r="H95" s="100"/>
      <c r="I95" s="100"/>
      <c r="J95" s="100"/>
      <c r="K95" s="57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55">
        <v>1</v>
      </c>
      <c r="Y95" s="100"/>
      <c r="Z95" s="100"/>
      <c r="AA95" s="100"/>
      <c r="AB95" s="104"/>
      <c r="AC95" s="100"/>
      <c r="AD95" s="100"/>
      <c r="AE95" s="100"/>
      <c r="AF95" s="55" t="s">
        <v>73</v>
      </c>
      <c r="AG95" s="55" t="s">
        <v>136</v>
      </c>
      <c r="AH95" s="100"/>
      <c r="AI95" s="100"/>
      <c r="AJ95" s="55"/>
      <c r="AK95" s="54"/>
      <c r="AL95" s="54"/>
      <c r="AM95" s="54"/>
      <c r="AN95" s="54"/>
      <c r="AO95" s="54"/>
    </row>
    <row r="96" spans="1:41" s="4" customFormat="1" ht="18.75" customHeight="1">
      <c r="A96" s="55">
        <v>3</v>
      </c>
      <c r="B96" s="71" t="s">
        <v>132</v>
      </c>
      <c r="C96" s="55" t="s">
        <v>140</v>
      </c>
      <c r="D96" s="55">
        <v>2008</v>
      </c>
      <c r="E96" s="55">
        <v>1</v>
      </c>
      <c r="F96" s="103"/>
      <c r="G96" s="100"/>
      <c r="H96" s="100"/>
      <c r="I96" s="100"/>
      <c r="J96" s="100"/>
      <c r="K96" s="57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55">
        <v>1</v>
      </c>
      <c r="Y96" s="100"/>
      <c r="Z96" s="100"/>
      <c r="AA96" s="100"/>
      <c r="AB96" s="104"/>
      <c r="AC96" s="100"/>
      <c r="AD96" s="100"/>
      <c r="AE96" s="100"/>
      <c r="AF96" s="55" t="s">
        <v>73</v>
      </c>
      <c r="AG96" s="55" t="s">
        <v>238</v>
      </c>
      <c r="AH96" s="100"/>
      <c r="AI96" s="100"/>
      <c r="AJ96" s="55"/>
      <c r="AK96" s="54"/>
      <c r="AL96" s="54"/>
      <c r="AM96" s="54"/>
      <c r="AN96" s="54"/>
      <c r="AO96" s="54"/>
    </row>
    <row r="97" spans="1:41" s="46" customFormat="1" ht="18.75" customHeight="1">
      <c r="A97" s="55">
        <v>4</v>
      </c>
      <c r="B97" s="71" t="s">
        <v>117</v>
      </c>
      <c r="C97" s="55"/>
      <c r="D97" s="55">
        <v>2015</v>
      </c>
      <c r="E97" s="55">
        <v>1</v>
      </c>
      <c r="F97" s="103"/>
      <c r="G97" s="100"/>
      <c r="H97" s="100"/>
      <c r="I97" s="100"/>
      <c r="J97" s="100"/>
      <c r="K97" s="57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55">
        <v>1</v>
      </c>
      <c r="Y97" s="100"/>
      <c r="Z97" s="100"/>
      <c r="AA97" s="100"/>
      <c r="AB97" s="104"/>
      <c r="AC97" s="100"/>
      <c r="AD97" s="100"/>
      <c r="AE97" s="100"/>
      <c r="AF97" s="55" t="s">
        <v>73</v>
      </c>
      <c r="AG97" s="55" t="s">
        <v>237</v>
      </c>
      <c r="AH97" s="100" t="s">
        <v>220</v>
      </c>
      <c r="AI97" s="100"/>
      <c r="AJ97" s="55" t="s">
        <v>208</v>
      </c>
      <c r="AK97" s="54"/>
      <c r="AL97" s="54"/>
      <c r="AM97" s="54"/>
      <c r="AN97" s="54"/>
      <c r="AO97" s="54"/>
    </row>
    <row r="98" spans="1:41" s="46" customFormat="1" ht="18.75" customHeight="1">
      <c r="A98" s="55">
        <v>5</v>
      </c>
      <c r="B98" s="71" t="s">
        <v>63</v>
      </c>
      <c r="C98" s="55"/>
      <c r="D98" s="55">
        <v>2005</v>
      </c>
      <c r="E98" s="55">
        <v>1</v>
      </c>
      <c r="F98" s="103"/>
      <c r="G98" s="100"/>
      <c r="H98" s="100"/>
      <c r="I98" s="100"/>
      <c r="J98" s="100"/>
      <c r="K98" s="57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55">
        <v>0</v>
      </c>
      <c r="Y98" s="100"/>
      <c r="Z98" s="100"/>
      <c r="AA98" s="100">
        <v>-1</v>
      </c>
      <c r="AB98" s="104"/>
      <c r="AC98" s="100"/>
      <c r="AD98" s="100"/>
      <c r="AE98" s="100"/>
      <c r="AF98" s="55" t="s">
        <v>73</v>
      </c>
      <c r="AG98" s="55" t="s">
        <v>239</v>
      </c>
      <c r="AH98" s="100"/>
      <c r="AI98" s="100"/>
      <c r="AJ98" s="55" t="s">
        <v>218</v>
      </c>
      <c r="AK98" s="54"/>
      <c r="AL98" s="54"/>
      <c r="AM98" s="54"/>
      <c r="AN98" s="54"/>
      <c r="AO98" s="54"/>
    </row>
    <row r="99" spans="1:41" s="4" customFormat="1" ht="18.75" customHeight="1">
      <c r="A99" s="55"/>
      <c r="B99" s="100" t="s">
        <v>141</v>
      </c>
      <c r="C99" s="55"/>
      <c r="D99" s="55"/>
      <c r="E99" s="55"/>
      <c r="F99" s="103"/>
      <c r="G99" s="100"/>
      <c r="H99" s="100"/>
      <c r="I99" s="100"/>
      <c r="J99" s="100"/>
      <c r="K99" s="57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55"/>
      <c r="Y99" s="100"/>
      <c r="Z99" s="100"/>
      <c r="AA99" s="100"/>
      <c r="AB99" s="104"/>
      <c r="AC99" s="100"/>
      <c r="AD99" s="100"/>
      <c r="AE99" s="100"/>
      <c r="AF99" s="55"/>
      <c r="AG99" s="55"/>
      <c r="AH99" s="100"/>
      <c r="AI99" s="100"/>
      <c r="AJ99" s="55"/>
      <c r="AK99" s="54"/>
      <c r="AL99" s="54"/>
      <c r="AM99" s="54"/>
      <c r="AN99" s="54"/>
      <c r="AO99" s="54"/>
    </row>
    <row r="100" spans="1:41" s="46" customFormat="1" ht="18.75" customHeight="1">
      <c r="A100" s="55">
        <v>1</v>
      </c>
      <c r="B100" s="71" t="s">
        <v>142</v>
      </c>
      <c r="C100" s="55"/>
      <c r="D100" s="55">
        <v>2016</v>
      </c>
      <c r="E100" s="55">
        <v>6</v>
      </c>
      <c r="F100" s="103"/>
      <c r="G100" s="100"/>
      <c r="H100" s="100"/>
      <c r="I100" s="100"/>
      <c r="J100" s="100"/>
      <c r="K100" s="57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55">
        <v>0</v>
      </c>
      <c r="Y100" s="100"/>
      <c r="Z100" s="100"/>
      <c r="AA100" s="100">
        <v>-6</v>
      </c>
      <c r="AB100" s="104"/>
      <c r="AC100" s="100"/>
      <c r="AD100" s="100"/>
      <c r="AE100" s="100"/>
      <c r="AF100" s="55" t="s">
        <v>73</v>
      </c>
      <c r="AG100" s="55" t="s">
        <v>55</v>
      </c>
      <c r="AH100" s="100"/>
      <c r="AI100" s="100"/>
      <c r="AJ100" s="55" t="s">
        <v>208</v>
      </c>
      <c r="AK100" s="54"/>
      <c r="AL100" s="54"/>
      <c r="AM100" s="54"/>
      <c r="AN100" s="54"/>
      <c r="AO100" s="54"/>
    </row>
    <row r="101" spans="1:41" s="46" customFormat="1" ht="18.75" customHeight="1">
      <c r="A101" s="55">
        <v>2</v>
      </c>
      <c r="B101" s="71" t="s">
        <v>59</v>
      </c>
      <c r="C101" s="55"/>
      <c r="D101" s="55">
        <v>2016</v>
      </c>
      <c r="E101" s="55">
        <v>10</v>
      </c>
      <c r="F101" s="103"/>
      <c r="G101" s="100"/>
      <c r="H101" s="100"/>
      <c r="I101" s="100"/>
      <c r="J101" s="100"/>
      <c r="K101" s="57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55">
        <v>0</v>
      </c>
      <c r="Y101" s="100"/>
      <c r="Z101" s="100"/>
      <c r="AA101" s="100">
        <v>-10</v>
      </c>
      <c r="AB101" s="104"/>
      <c r="AC101" s="100"/>
      <c r="AD101" s="100"/>
      <c r="AE101" s="100"/>
      <c r="AF101" s="55" t="s">
        <v>73</v>
      </c>
      <c r="AG101" s="55" t="s">
        <v>55</v>
      </c>
      <c r="AH101" s="100"/>
      <c r="AI101" s="100"/>
      <c r="AJ101" s="55" t="s">
        <v>208</v>
      </c>
      <c r="AK101" s="54"/>
      <c r="AL101" s="54"/>
      <c r="AM101" s="54"/>
      <c r="AN101" s="54"/>
      <c r="AO101" s="54"/>
    </row>
    <row r="102" spans="1:41" s="4" customFormat="1" ht="18.75" customHeight="1">
      <c r="A102" s="55"/>
      <c r="B102" s="100" t="s">
        <v>143</v>
      </c>
      <c r="C102" s="55"/>
      <c r="D102" s="55"/>
      <c r="E102" s="55"/>
      <c r="F102" s="103"/>
      <c r="G102" s="100"/>
      <c r="H102" s="100"/>
      <c r="I102" s="100"/>
      <c r="J102" s="100"/>
      <c r="K102" s="57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55"/>
      <c r="Y102" s="100"/>
      <c r="Z102" s="100"/>
      <c r="AA102" s="100"/>
      <c r="AB102" s="104"/>
      <c r="AC102" s="100"/>
      <c r="AD102" s="100"/>
      <c r="AE102" s="100"/>
      <c r="AF102" s="100"/>
      <c r="AG102" s="55"/>
      <c r="AH102" s="100"/>
      <c r="AI102" s="100"/>
      <c r="AJ102" s="55"/>
      <c r="AK102" s="54"/>
      <c r="AL102" s="54"/>
      <c r="AM102" s="54"/>
      <c r="AN102" s="54"/>
      <c r="AO102" s="54"/>
    </row>
    <row r="103" spans="1:41" s="4" customFormat="1" ht="25.5">
      <c r="A103" s="55">
        <v>1</v>
      </c>
      <c r="B103" s="71" t="s">
        <v>144</v>
      </c>
      <c r="C103" s="55"/>
      <c r="D103" s="55">
        <v>2004</v>
      </c>
      <c r="E103" s="55">
        <v>1</v>
      </c>
      <c r="F103" s="103"/>
      <c r="G103" s="100"/>
      <c r="H103" s="100"/>
      <c r="I103" s="100"/>
      <c r="J103" s="100"/>
      <c r="K103" s="57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55">
        <v>1</v>
      </c>
      <c r="Y103" s="100"/>
      <c r="Z103" s="100"/>
      <c r="AA103" s="100"/>
      <c r="AB103" s="104"/>
      <c r="AC103" s="100"/>
      <c r="AD103" s="100"/>
      <c r="AE103" s="100"/>
      <c r="AF103" s="55" t="s">
        <v>73</v>
      </c>
      <c r="AG103" s="55" t="s">
        <v>237</v>
      </c>
      <c r="AH103" s="100"/>
      <c r="AI103" s="100"/>
      <c r="AJ103" s="55" t="s">
        <v>149</v>
      </c>
      <c r="AK103" s="54"/>
      <c r="AL103" s="54"/>
      <c r="AM103" s="54"/>
      <c r="AN103" s="54"/>
      <c r="AO103" s="54"/>
    </row>
    <row r="104" spans="1:41" s="4" customFormat="1" ht="25.5">
      <c r="A104" s="55">
        <v>2</v>
      </c>
      <c r="B104" s="71" t="s">
        <v>145</v>
      </c>
      <c r="C104" s="55"/>
      <c r="D104" s="55">
        <v>2014</v>
      </c>
      <c r="E104" s="55">
        <v>1</v>
      </c>
      <c r="F104" s="103"/>
      <c r="G104" s="100"/>
      <c r="H104" s="100"/>
      <c r="I104" s="100"/>
      <c r="J104" s="100"/>
      <c r="K104" s="57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55">
        <v>1</v>
      </c>
      <c r="Y104" s="100"/>
      <c r="Z104" s="100"/>
      <c r="AA104" s="100"/>
      <c r="AB104" s="104"/>
      <c r="AC104" s="100"/>
      <c r="AD104" s="100"/>
      <c r="AE104" s="100"/>
      <c r="AF104" s="55" t="s">
        <v>73</v>
      </c>
      <c r="AG104" s="55" t="s">
        <v>237</v>
      </c>
      <c r="AH104" s="100"/>
      <c r="AI104" s="100"/>
      <c r="AJ104" s="55"/>
      <c r="AK104" s="54"/>
      <c r="AL104" s="54"/>
      <c r="AM104" s="54"/>
      <c r="AN104" s="54"/>
      <c r="AO104" s="54"/>
    </row>
    <row r="105" spans="1:41" s="4" customFormat="1" ht="25.5">
      <c r="A105" s="55">
        <v>3</v>
      </c>
      <c r="B105" s="71" t="s">
        <v>64</v>
      </c>
      <c r="C105" s="55"/>
      <c r="D105" s="55">
        <v>2014</v>
      </c>
      <c r="E105" s="55">
        <v>1</v>
      </c>
      <c r="F105" s="103"/>
      <c r="G105" s="100"/>
      <c r="H105" s="100"/>
      <c r="I105" s="100"/>
      <c r="J105" s="100"/>
      <c r="K105" s="57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55">
        <v>1</v>
      </c>
      <c r="Y105" s="100"/>
      <c r="Z105" s="100"/>
      <c r="AA105" s="100"/>
      <c r="AB105" s="104"/>
      <c r="AC105" s="100"/>
      <c r="AD105" s="100"/>
      <c r="AE105" s="100"/>
      <c r="AF105" s="55" t="s">
        <v>73</v>
      </c>
      <c r="AG105" s="55" t="s">
        <v>237</v>
      </c>
      <c r="AH105" s="100" t="s">
        <v>220</v>
      </c>
      <c r="AI105" s="100"/>
      <c r="AJ105" s="55" t="s">
        <v>208</v>
      </c>
      <c r="AK105" s="54"/>
      <c r="AL105" s="54"/>
      <c r="AM105" s="54"/>
      <c r="AN105" s="54"/>
      <c r="AO105" s="54"/>
    </row>
    <row r="106" spans="1:41" s="4" customFormat="1" ht="18.75" customHeight="1">
      <c r="A106" s="55">
        <v>4</v>
      </c>
      <c r="B106" s="71" t="s">
        <v>146</v>
      </c>
      <c r="C106" s="55"/>
      <c r="D106" s="55">
        <v>2008</v>
      </c>
      <c r="E106" s="55">
        <v>1</v>
      </c>
      <c r="F106" s="103"/>
      <c r="G106" s="100"/>
      <c r="H106" s="100"/>
      <c r="I106" s="100"/>
      <c r="J106" s="100"/>
      <c r="K106" s="57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55">
        <v>1</v>
      </c>
      <c r="Y106" s="100"/>
      <c r="Z106" s="100"/>
      <c r="AA106" s="100"/>
      <c r="AB106" s="104"/>
      <c r="AC106" s="100"/>
      <c r="AD106" s="100"/>
      <c r="AE106" s="100"/>
      <c r="AF106" s="55" t="s">
        <v>73</v>
      </c>
      <c r="AG106" s="55"/>
      <c r="AH106" s="100" t="s">
        <v>220</v>
      </c>
      <c r="AI106" s="100"/>
      <c r="AJ106" s="55" t="s">
        <v>208</v>
      </c>
      <c r="AK106" s="54"/>
      <c r="AL106" s="54"/>
      <c r="AM106" s="54"/>
      <c r="AN106" s="54"/>
      <c r="AO106" s="54"/>
    </row>
    <row r="107" spans="1:41" s="4" customFormat="1" ht="18.75" customHeight="1">
      <c r="A107" s="55">
        <v>5</v>
      </c>
      <c r="B107" s="71" t="s">
        <v>147</v>
      </c>
      <c r="C107" s="55"/>
      <c r="D107" s="55">
        <v>2014</v>
      </c>
      <c r="E107" s="55">
        <v>1</v>
      </c>
      <c r="F107" s="103"/>
      <c r="G107" s="100"/>
      <c r="H107" s="100"/>
      <c r="I107" s="100"/>
      <c r="J107" s="100"/>
      <c r="K107" s="57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55">
        <v>1</v>
      </c>
      <c r="Y107" s="100"/>
      <c r="Z107" s="100"/>
      <c r="AA107" s="100"/>
      <c r="AB107" s="104"/>
      <c r="AC107" s="100"/>
      <c r="AD107" s="100"/>
      <c r="AE107" s="100"/>
      <c r="AF107" s="55" t="s">
        <v>73</v>
      </c>
      <c r="AG107" s="55"/>
      <c r="AH107" s="100" t="s">
        <v>220</v>
      </c>
      <c r="AI107" s="100"/>
      <c r="AJ107" s="55" t="s">
        <v>208</v>
      </c>
      <c r="AK107" s="54"/>
      <c r="AL107" s="54"/>
      <c r="AM107" s="54"/>
      <c r="AN107" s="54"/>
      <c r="AO107" s="54"/>
    </row>
    <row r="108" spans="1:41" s="4" customFormat="1" ht="18.75" customHeight="1">
      <c r="A108" s="55"/>
      <c r="B108" s="334" t="s">
        <v>179</v>
      </c>
      <c r="C108" s="335"/>
      <c r="D108" s="55"/>
      <c r="E108" s="55"/>
      <c r="F108" s="103"/>
      <c r="G108" s="100"/>
      <c r="H108" s="100"/>
      <c r="I108" s="100"/>
      <c r="J108" s="100"/>
      <c r="K108" s="57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55"/>
      <c r="Y108" s="100"/>
      <c r="Z108" s="100"/>
      <c r="AA108" s="100"/>
      <c r="AB108" s="104"/>
      <c r="AC108" s="100"/>
      <c r="AD108" s="100"/>
      <c r="AE108" s="100"/>
      <c r="AF108" s="100"/>
      <c r="AG108" s="55"/>
      <c r="AH108" s="100"/>
      <c r="AI108" s="100"/>
      <c r="AJ108" s="55"/>
      <c r="AK108" s="54"/>
      <c r="AL108" s="54"/>
      <c r="AM108" s="54"/>
      <c r="AN108" s="54"/>
      <c r="AO108" s="54"/>
    </row>
    <row r="109" spans="1:41" s="4" customFormat="1" ht="18.75" customHeight="1">
      <c r="A109" s="55">
        <v>1</v>
      </c>
      <c r="B109" s="71" t="s">
        <v>82</v>
      </c>
      <c r="C109" s="55"/>
      <c r="D109" s="55">
        <v>2016</v>
      </c>
      <c r="E109" s="55">
        <v>2</v>
      </c>
      <c r="F109" s="103"/>
      <c r="G109" s="100"/>
      <c r="H109" s="100"/>
      <c r="I109" s="100"/>
      <c r="J109" s="100"/>
      <c r="K109" s="57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55">
        <v>2</v>
      </c>
      <c r="Y109" s="100"/>
      <c r="Z109" s="100"/>
      <c r="AA109" s="100"/>
      <c r="AB109" s="104"/>
      <c r="AC109" s="100"/>
      <c r="AD109" s="100"/>
      <c r="AE109" s="100"/>
      <c r="AF109" s="55" t="s">
        <v>73</v>
      </c>
      <c r="AG109" s="55" t="s">
        <v>240</v>
      </c>
      <c r="AH109" s="100" t="s">
        <v>241</v>
      </c>
      <c r="AI109" s="100"/>
      <c r="AJ109" s="55" t="s">
        <v>208</v>
      </c>
      <c r="AK109" s="54"/>
      <c r="AL109" s="54"/>
      <c r="AM109" s="54"/>
      <c r="AN109" s="54"/>
      <c r="AO109" s="54"/>
    </row>
    <row r="110" spans="1:41" s="4" customFormat="1" ht="18.75" customHeight="1">
      <c r="A110" s="55">
        <v>4</v>
      </c>
      <c r="B110" s="71" t="s">
        <v>117</v>
      </c>
      <c r="C110" s="55"/>
      <c r="D110" s="55">
        <v>2015</v>
      </c>
      <c r="E110" s="55">
        <v>1</v>
      </c>
      <c r="F110" s="55" t="s">
        <v>68</v>
      </c>
      <c r="G110" s="100"/>
      <c r="H110" s="100"/>
      <c r="I110" s="100"/>
      <c r="J110" s="100"/>
      <c r="K110" s="57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55">
        <v>1</v>
      </c>
      <c r="Y110" s="100"/>
      <c r="Z110" s="100"/>
      <c r="AA110" s="100"/>
      <c r="AB110" s="104"/>
      <c r="AC110" s="100"/>
      <c r="AD110" s="100"/>
      <c r="AE110" s="100"/>
      <c r="AF110" s="55" t="s">
        <v>73</v>
      </c>
      <c r="AG110" s="55"/>
      <c r="AH110" s="100"/>
      <c r="AI110" s="100"/>
      <c r="AJ110" s="55" t="s">
        <v>208</v>
      </c>
      <c r="AK110" s="54"/>
      <c r="AL110" s="54"/>
      <c r="AM110" s="54"/>
      <c r="AN110" s="54"/>
      <c r="AO110" s="54"/>
    </row>
    <row r="111" spans="1:41" s="46" customFormat="1" ht="18.75" customHeight="1">
      <c r="A111" s="57"/>
      <c r="B111" s="100" t="s">
        <v>202</v>
      </c>
      <c r="C111" s="57"/>
      <c r="D111" s="57"/>
      <c r="E111" s="57"/>
      <c r="F111" s="57"/>
      <c r="G111" s="100"/>
      <c r="H111" s="100"/>
      <c r="I111" s="100"/>
      <c r="J111" s="100"/>
      <c r="K111" s="57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57"/>
      <c r="Y111" s="100"/>
      <c r="Z111" s="100"/>
      <c r="AA111" s="100"/>
      <c r="AB111" s="104"/>
      <c r="AC111" s="100"/>
      <c r="AD111" s="100"/>
      <c r="AE111" s="100"/>
      <c r="AF111" s="57"/>
      <c r="AG111" s="57"/>
      <c r="AH111" s="100"/>
      <c r="AI111" s="100"/>
      <c r="AJ111" s="57"/>
      <c r="AK111" s="54"/>
      <c r="AL111" s="54"/>
      <c r="AM111" s="54"/>
      <c r="AN111" s="54"/>
      <c r="AO111" s="54"/>
    </row>
    <row r="112" spans="1:41" s="36" customFormat="1" ht="12.75">
      <c r="A112" s="55">
        <v>1</v>
      </c>
      <c r="B112" s="71" t="s">
        <v>106</v>
      </c>
      <c r="C112" s="55"/>
      <c r="D112" s="55">
        <v>2013</v>
      </c>
      <c r="E112" s="55">
        <v>1</v>
      </c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5">
        <v>1</v>
      </c>
      <c r="Y112" s="58"/>
      <c r="Z112" s="58"/>
      <c r="AA112" s="75"/>
      <c r="AB112" s="58"/>
      <c r="AC112" s="58"/>
      <c r="AD112" s="94"/>
      <c r="AE112" s="55"/>
      <c r="AF112" s="55" t="s">
        <v>73</v>
      </c>
      <c r="AG112" s="55" t="s">
        <v>235</v>
      </c>
      <c r="AH112" s="55" t="s">
        <v>220</v>
      </c>
      <c r="AI112" s="55"/>
      <c r="AJ112" s="55" t="s">
        <v>208</v>
      </c>
      <c r="AK112" s="53"/>
      <c r="AL112" s="53"/>
      <c r="AM112" s="53"/>
      <c r="AN112" s="53"/>
      <c r="AO112" s="53"/>
    </row>
    <row r="113" spans="1:41" s="36" customFormat="1" ht="14.25" customHeight="1">
      <c r="A113" s="55"/>
      <c r="B113" s="100" t="s">
        <v>172</v>
      </c>
      <c r="C113" s="56"/>
      <c r="D113" s="55"/>
      <c r="E113" s="55"/>
      <c r="F113" s="96"/>
      <c r="G113" s="96"/>
      <c r="H113" s="97"/>
      <c r="I113" s="97"/>
      <c r="J113" s="97"/>
      <c r="K113" s="58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55"/>
      <c r="Y113" s="97"/>
      <c r="Z113" s="96"/>
      <c r="AA113" s="98"/>
      <c r="AB113" s="97"/>
      <c r="AC113" s="97"/>
      <c r="AD113" s="101"/>
      <c r="AE113" s="71"/>
      <c r="AF113" s="55"/>
      <c r="AG113" s="55"/>
      <c r="AH113" s="55"/>
      <c r="AI113" s="55"/>
      <c r="AJ113" s="55"/>
      <c r="AK113" s="329"/>
      <c r="AL113" s="330"/>
      <c r="AM113" s="330"/>
      <c r="AN113" s="330"/>
      <c r="AO113" s="53"/>
    </row>
    <row r="114" spans="1:41" s="36" customFormat="1" ht="14.25" customHeight="1">
      <c r="A114" s="55"/>
      <c r="B114" s="100" t="s">
        <v>114</v>
      </c>
      <c r="C114" s="56"/>
      <c r="D114" s="55"/>
      <c r="E114" s="55"/>
      <c r="F114" s="96"/>
      <c r="G114" s="96"/>
      <c r="H114" s="97"/>
      <c r="I114" s="97"/>
      <c r="J114" s="97"/>
      <c r="K114" s="58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55"/>
      <c r="Y114" s="97"/>
      <c r="Z114" s="96"/>
      <c r="AA114" s="98"/>
      <c r="AB114" s="97"/>
      <c r="AC114" s="97"/>
      <c r="AD114" s="101"/>
      <c r="AE114" s="71"/>
      <c r="AF114" s="55"/>
      <c r="AG114" s="55"/>
      <c r="AH114" s="55"/>
      <c r="AI114" s="55"/>
      <c r="AJ114" s="55"/>
      <c r="AK114" s="53"/>
      <c r="AL114" s="53"/>
      <c r="AM114" s="53"/>
      <c r="AN114" s="53"/>
      <c r="AO114" s="53"/>
    </row>
    <row r="115" spans="1:41" s="36" customFormat="1" ht="14.25" customHeight="1">
      <c r="A115" s="55">
        <v>1</v>
      </c>
      <c r="B115" s="71" t="s">
        <v>115</v>
      </c>
      <c r="C115" s="55"/>
      <c r="D115" s="55">
        <v>2013</v>
      </c>
      <c r="E115" s="55">
        <v>1</v>
      </c>
      <c r="F115" s="55" t="s">
        <v>68</v>
      </c>
      <c r="G115" s="96"/>
      <c r="H115" s="97"/>
      <c r="I115" s="97"/>
      <c r="J115" s="97"/>
      <c r="K115" s="58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55">
        <v>1</v>
      </c>
      <c r="Y115" s="97"/>
      <c r="Z115" s="96"/>
      <c r="AA115" s="98"/>
      <c r="AB115" s="97"/>
      <c r="AC115" s="97"/>
      <c r="AD115" s="101"/>
      <c r="AE115" s="71"/>
      <c r="AF115" s="55" t="s">
        <v>73</v>
      </c>
      <c r="AG115" s="55" t="s">
        <v>235</v>
      </c>
      <c r="AH115" s="55" t="s">
        <v>220</v>
      </c>
      <c r="AI115" s="55"/>
      <c r="AJ115" s="55" t="s">
        <v>208</v>
      </c>
      <c r="AK115" s="329"/>
      <c r="AL115" s="330"/>
      <c r="AM115" s="330"/>
      <c r="AN115" s="330"/>
      <c r="AO115" s="330"/>
    </row>
    <row r="116" spans="1:41" s="36" customFormat="1" ht="27.75" customHeight="1">
      <c r="A116" s="55"/>
      <c r="B116" s="102" t="s">
        <v>116</v>
      </c>
      <c r="C116" s="55"/>
      <c r="D116" s="55"/>
      <c r="E116" s="55"/>
      <c r="F116" s="96"/>
      <c r="G116" s="96"/>
      <c r="H116" s="97"/>
      <c r="I116" s="97"/>
      <c r="J116" s="97"/>
      <c r="K116" s="58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55"/>
      <c r="Y116" s="97"/>
      <c r="Z116" s="96"/>
      <c r="AA116" s="98"/>
      <c r="AB116" s="97"/>
      <c r="AC116" s="97"/>
      <c r="AD116" s="101"/>
      <c r="AE116" s="71"/>
      <c r="AF116" s="55"/>
      <c r="AG116" s="55"/>
      <c r="AH116" s="55"/>
      <c r="AI116" s="55"/>
      <c r="AJ116" s="55"/>
      <c r="AK116" s="53"/>
      <c r="AL116" s="53"/>
      <c r="AM116" s="53"/>
      <c r="AN116" s="53"/>
      <c r="AO116" s="53"/>
    </row>
    <row r="117" spans="1:41" s="47" customFormat="1" ht="14.25" customHeight="1">
      <c r="A117" s="55">
        <v>8</v>
      </c>
      <c r="B117" s="71" t="s">
        <v>122</v>
      </c>
      <c r="C117" s="55"/>
      <c r="D117" s="55">
        <v>2006</v>
      </c>
      <c r="E117" s="55">
        <v>1</v>
      </c>
      <c r="F117" s="71"/>
      <c r="G117" s="97"/>
      <c r="H117" s="97"/>
      <c r="I117" s="97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55">
        <v>1</v>
      </c>
      <c r="Y117" s="71"/>
      <c r="Z117" s="71"/>
      <c r="AA117" s="71"/>
      <c r="AB117" s="71"/>
      <c r="AC117" s="71"/>
      <c r="AD117" s="71"/>
      <c r="AE117" s="71"/>
      <c r="AF117" s="55" t="s">
        <v>73</v>
      </c>
      <c r="AG117" s="55" t="s">
        <v>235</v>
      </c>
      <c r="AH117" s="55" t="s">
        <v>220</v>
      </c>
      <c r="AI117" s="71"/>
      <c r="AJ117" s="55" t="s">
        <v>208</v>
      </c>
    </row>
    <row r="118" spans="1:41" s="48" customFormat="1" ht="18.75" customHeight="1">
      <c r="A118" s="55"/>
      <c r="B118" s="100" t="s">
        <v>126</v>
      </c>
      <c r="C118" s="55"/>
      <c r="D118" s="55"/>
      <c r="E118" s="55"/>
      <c r="F118" s="103"/>
      <c r="G118" s="100"/>
      <c r="H118" s="100"/>
      <c r="I118" s="100"/>
      <c r="J118" s="100"/>
      <c r="K118" s="57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55"/>
      <c r="Y118" s="100"/>
      <c r="Z118" s="100"/>
      <c r="AA118" s="100"/>
      <c r="AB118" s="104"/>
      <c r="AC118" s="100"/>
      <c r="AD118" s="100"/>
      <c r="AE118" s="100"/>
      <c r="AF118" s="100"/>
      <c r="AG118" s="100"/>
      <c r="AH118" s="100"/>
      <c r="AI118" s="100"/>
      <c r="AJ118" s="55"/>
      <c r="AK118" s="54"/>
      <c r="AL118" s="54"/>
      <c r="AM118" s="54"/>
      <c r="AN118" s="54"/>
      <c r="AO118" s="54"/>
    </row>
    <row r="119" spans="1:41" s="48" customFormat="1" ht="18.75" customHeight="1">
      <c r="A119" s="55">
        <v>1</v>
      </c>
      <c r="B119" s="71" t="s">
        <v>127</v>
      </c>
      <c r="C119" s="55"/>
      <c r="D119" s="55">
        <v>2018</v>
      </c>
      <c r="E119" s="55">
        <v>1</v>
      </c>
      <c r="F119" s="103"/>
      <c r="G119" s="100"/>
      <c r="H119" s="100"/>
      <c r="I119" s="100"/>
      <c r="J119" s="100"/>
      <c r="K119" s="57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55">
        <v>1</v>
      </c>
      <c r="Y119" s="100"/>
      <c r="Z119" s="100"/>
      <c r="AA119" s="100"/>
      <c r="AB119" s="104"/>
      <c r="AC119" s="100"/>
      <c r="AD119" s="100"/>
      <c r="AE119" s="100"/>
      <c r="AF119" s="55" t="s">
        <v>73</v>
      </c>
      <c r="AG119" s="55" t="s">
        <v>235</v>
      </c>
      <c r="AH119" s="55" t="s">
        <v>220</v>
      </c>
      <c r="AI119" s="100"/>
      <c r="AJ119" s="55" t="s">
        <v>208</v>
      </c>
      <c r="AK119" s="54"/>
      <c r="AL119" s="54"/>
      <c r="AM119" s="54"/>
      <c r="AN119" s="54"/>
      <c r="AO119" s="54"/>
    </row>
    <row r="120" spans="1:41" s="4" customFormat="1" ht="12.75">
      <c r="A120" s="10"/>
      <c r="B120" s="8"/>
      <c r="C120" s="8"/>
      <c r="D120" s="8"/>
      <c r="E120" s="8"/>
      <c r="F120" s="9"/>
      <c r="K120" s="51"/>
      <c r="X120" s="51"/>
      <c r="AB120" s="11"/>
    </row>
    <row r="121" spans="1:41" s="4" customFormat="1" ht="12.75">
      <c r="A121" s="13"/>
      <c r="E121" s="51"/>
      <c r="F121" s="9"/>
      <c r="K121" s="51"/>
      <c r="X121" s="51"/>
      <c r="AA121" s="51"/>
      <c r="AB121" s="11"/>
      <c r="AH121" s="336" t="s">
        <v>193</v>
      </c>
      <c r="AI121" s="336"/>
      <c r="AJ121" s="336"/>
    </row>
    <row r="122" spans="1:41" s="4" customFormat="1" ht="12.75">
      <c r="A122" s="13"/>
      <c r="B122" s="4" t="s">
        <v>151</v>
      </c>
      <c r="E122" s="336" t="s">
        <v>170</v>
      </c>
      <c r="F122" s="336"/>
      <c r="G122" s="336"/>
      <c r="H122" s="336"/>
      <c r="I122" s="336"/>
      <c r="J122" s="336"/>
      <c r="K122" s="336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  <c r="AA122" s="336"/>
      <c r="AB122" s="336"/>
      <c r="AC122" s="336"/>
      <c r="AD122" s="336"/>
      <c r="AE122" s="336"/>
      <c r="AF122" s="336"/>
      <c r="AG122" s="336" t="s">
        <v>152</v>
      </c>
      <c r="AH122" s="336"/>
      <c r="AI122" s="336" t="s">
        <v>153</v>
      </c>
      <c r="AJ122" s="336"/>
    </row>
    <row r="123" spans="1:41" s="4" customFormat="1" ht="19.5" customHeight="1">
      <c r="A123" s="13" t="s">
        <v>154</v>
      </c>
      <c r="B123" s="12" t="s">
        <v>52</v>
      </c>
      <c r="C123" s="15" t="s">
        <v>156</v>
      </c>
      <c r="E123" s="51"/>
      <c r="F123" s="9"/>
      <c r="K123" s="51"/>
      <c r="X123" s="51"/>
      <c r="AA123" s="51"/>
      <c r="AB123" s="11"/>
      <c r="AJ123" s="14"/>
    </row>
    <row r="124" spans="1:41" s="4" customFormat="1" ht="19.5" customHeight="1">
      <c r="A124" s="13" t="s">
        <v>154</v>
      </c>
      <c r="B124" s="12" t="s">
        <v>155</v>
      </c>
      <c r="C124" s="15" t="s">
        <v>156</v>
      </c>
      <c r="E124" s="51"/>
      <c r="F124" s="9"/>
      <c r="K124" s="51"/>
      <c r="X124" s="51"/>
      <c r="AA124" s="51"/>
      <c r="AB124" s="11"/>
      <c r="AJ124" s="14"/>
    </row>
    <row r="125" spans="1:41" s="4" customFormat="1" ht="19.5" customHeight="1">
      <c r="A125" s="13" t="s">
        <v>154</v>
      </c>
      <c r="B125" s="12" t="s">
        <v>157</v>
      </c>
      <c r="C125" s="15" t="s">
        <v>156</v>
      </c>
      <c r="E125" s="51"/>
      <c r="F125" s="9"/>
      <c r="K125" s="51"/>
      <c r="X125" s="51"/>
      <c r="AA125" s="51"/>
      <c r="AB125" s="11"/>
      <c r="AJ125" s="14"/>
    </row>
    <row r="126" spans="1:41" s="4" customFormat="1" ht="19.5" customHeight="1">
      <c r="A126" s="13" t="s">
        <v>154</v>
      </c>
      <c r="B126" s="12" t="s">
        <v>158</v>
      </c>
      <c r="C126" s="15" t="s">
        <v>156</v>
      </c>
      <c r="E126" s="336" t="s">
        <v>171</v>
      </c>
      <c r="F126" s="336"/>
      <c r="G126" s="336"/>
      <c r="H126" s="336"/>
      <c r="I126" s="336"/>
      <c r="J126" s="336"/>
      <c r="K126" s="336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  <c r="AA126" s="336"/>
      <c r="AB126" s="336"/>
      <c r="AC126" s="336"/>
      <c r="AD126" s="336"/>
      <c r="AE126" s="336"/>
      <c r="AF126" s="336"/>
      <c r="AG126" s="336" t="s">
        <v>159</v>
      </c>
      <c r="AH126" s="336"/>
      <c r="AI126" s="336" t="s">
        <v>160</v>
      </c>
      <c r="AJ126" s="336"/>
    </row>
    <row r="127" spans="1:41" ht="12.75" customHeight="1">
      <c r="A127" s="13"/>
      <c r="C127" s="15"/>
      <c r="D127" s="3"/>
      <c r="E127" s="49"/>
    </row>
    <row r="128" spans="1:41">
      <c r="E128" s="336" t="s">
        <v>173</v>
      </c>
      <c r="F128" s="336"/>
      <c r="G128" s="336"/>
      <c r="H128" s="336"/>
      <c r="I128" s="336"/>
      <c r="J128" s="336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  <c r="AA128" s="336"/>
      <c r="AB128" s="336"/>
      <c r="AC128" s="336"/>
      <c r="AD128" s="336"/>
      <c r="AE128" s="336"/>
      <c r="AF128" s="336"/>
    </row>
    <row r="129" spans="1:40">
      <c r="E129" s="16"/>
      <c r="F129" s="17"/>
      <c r="G129" s="6"/>
      <c r="H129" s="6"/>
      <c r="I129" s="6"/>
      <c r="J129" s="6"/>
      <c r="K129" s="1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51"/>
      <c r="Y129" s="4"/>
      <c r="Z129" s="4"/>
      <c r="AA129" s="18"/>
      <c r="AB129" s="4"/>
      <c r="AC129" s="4"/>
      <c r="AD129" s="4"/>
      <c r="AE129" s="4"/>
      <c r="AF129" s="4"/>
    </row>
    <row r="130" spans="1:40" ht="20.25" customHeight="1">
      <c r="E130" s="16"/>
      <c r="F130" s="17"/>
      <c r="G130" s="6"/>
      <c r="H130" s="6"/>
      <c r="I130" s="6"/>
      <c r="J130" s="6"/>
      <c r="K130" s="1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51"/>
      <c r="Y130" s="4"/>
      <c r="Z130" s="4"/>
      <c r="AA130" s="18"/>
      <c r="AB130" s="4"/>
      <c r="AC130" s="4"/>
      <c r="AD130" s="4"/>
      <c r="AE130" s="4"/>
      <c r="AF130" s="4"/>
    </row>
    <row r="131" spans="1:40" ht="20.25" customHeight="1">
      <c r="E131" s="16"/>
      <c r="F131" s="17"/>
      <c r="G131" s="6"/>
      <c r="H131" s="6"/>
      <c r="I131" s="6"/>
      <c r="J131" s="6"/>
      <c r="K131" s="1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51"/>
      <c r="Y131" s="4"/>
      <c r="Z131" s="4"/>
      <c r="AA131" s="18"/>
      <c r="AB131" s="4"/>
      <c r="AC131" s="4"/>
      <c r="AD131" s="4"/>
      <c r="AE131" s="4"/>
      <c r="AF131" s="4"/>
    </row>
    <row r="132" spans="1:40">
      <c r="E132" s="16"/>
      <c r="F132" s="17"/>
      <c r="G132" s="6"/>
      <c r="H132" s="6"/>
      <c r="I132" s="6"/>
      <c r="J132" s="6"/>
      <c r="K132" s="1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51" t="s">
        <v>52</v>
      </c>
      <c r="Y132" s="4"/>
      <c r="Z132" s="4"/>
      <c r="AA132" s="18"/>
      <c r="AB132" s="4"/>
      <c r="AC132" s="4"/>
      <c r="AD132" s="4"/>
      <c r="AE132" s="4"/>
      <c r="AF132" s="4" t="s">
        <v>174</v>
      </c>
    </row>
    <row r="133" spans="1:40">
      <c r="E133" s="16"/>
      <c r="F133" s="17"/>
      <c r="G133" s="6"/>
      <c r="H133" s="6"/>
      <c r="I133" s="6"/>
      <c r="J133" s="6"/>
      <c r="K133" s="1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51"/>
      <c r="Y133" s="4"/>
      <c r="Z133" s="4"/>
      <c r="AA133" s="18"/>
      <c r="AB133" s="4"/>
      <c r="AC133" s="4"/>
      <c r="AD133" s="4"/>
      <c r="AE133" s="4"/>
      <c r="AF133" s="4"/>
    </row>
    <row r="134" spans="1:40" s="42" customFormat="1">
      <c r="A134" s="340" t="s">
        <v>201</v>
      </c>
      <c r="B134" s="340"/>
      <c r="C134" s="340"/>
      <c r="D134" s="340"/>
      <c r="E134" s="340"/>
      <c r="F134" s="340"/>
      <c r="G134" s="340"/>
      <c r="H134" s="340"/>
      <c r="I134" s="340"/>
      <c r="J134" s="340"/>
      <c r="K134" s="340"/>
      <c r="L134" s="340"/>
      <c r="M134" s="340"/>
      <c r="N134" s="340"/>
      <c r="O134" s="340"/>
      <c r="P134" s="340"/>
      <c r="Q134" s="340"/>
      <c r="R134" s="340"/>
      <c r="S134" s="340"/>
      <c r="T134" s="340"/>
      <c r="U134" s="340"/>
      <c r="V134" s="340"/>
      <c r="W134" s="340"/>
      <c r="X134" s="340"/>
      <c r="Y134" s="340"/>
      <c r="Z134" s="340"/>
      <c r="AA134" s="340"/>
      <c r="AB134" s="340"/>
      <c r="AC134" s="340"/>
      <c r="AD134" s="340"/>
      <c r="AE134" s="340"/>
      <c r="AF134" s="340"/>
      <c r="AG134" s="340"/>
      <c r="AH134" s="340"/>
      <c r="AI134" s="340"/>
      <c r="AJ134" s="340"/>
    </row>
    <row r="135" spans="1:40" s="4" customFormat="1" ht="18.75" customHeight="1">
      <c r="A135" s="19">
        <v>2</v>
      </c>
      <c r="B135" s="24" t="s">
        <v>127</v>
      </c>
      <c r="C135" s="19"/>
      <c r="D135" s="19">
        <v>2018</v>
      </c>
      <c r="E135" s="19">
        <v>1</v>
      </c>
      <c r="F135" s="34"/>
      <c r="G135" s="33"/>
      <c r="H135" s="33"/>
      <c r="I135" s="33"/>
      <c r="J135" s="33"/>
      <c r="K135" s="21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19">
        <v>1</v>
      </c>
      <c r="Y135" s="33"/>
      <c r="Z135" s="33"/>
      <c r="AA135" s="33"/>
      <c r="AB135" s="35"/>
      <c r="AC135" s="33"/>
      <c r="AD135" s="33"/>
      <c r="AE135" s="33"/>
      <c r="AF135" s="23" t="s">
        <v>73</v>
      </c>
      <c r="AG135" s="19" t="s">
        <v>148</v>
      </c>
      <c r="AH135" s="33"/>
      <c r="AI135" s="33"/>
      <c r="AJ135" s="19" t="s">
        <v>200</v>
      </c>
    </row>
    <row r="138" spans="1:40">
      <c r="A138" s="337" t="s">
        <v>194</v>
      </c>
      <c r="B138" s="337"/>
      <c r="C138" s="337"/>
      <c r="D138" s="337"/>
      <c r="E138" s="337"/>
      <c r="F138" s="337"/>
      <c r="G138" s="337"/>
      <c r="H138" s="337"/>
      <c r="I138" s="337"/>
      <c r="J138" s="337"/>
      <c r="K138" s="337"/>
      <c r="L138" s="337"/>
      <c r="M138" s="337"/>
      <c r="N138" s="337"/>
      <c r="O138" s="337"/>
      <c r="P138" s="337"/>
      <c r="Q138" s="337"/>
      <c r="R138" s="337"/>
      <c r="S138" s="337"/>
      <c r="T138" s="337"/>
      <c r="U138" s="337"/>
      <c r="V138" s="337"/>
      <c r="W138" s="337"/>
      <c r="X138" s="337"/>
      <c r="Y138" s="337"/>
      <c r="Z138" s="337"/>
      <c r="AA138" s="337"/>
      <c r="AB138" s="337"/>
      <c r="AC138" s="337"/>
      <c r="AD138" s="337"/>
      <c r="AE138" s="337"/>
      <c r="AF138" s="337"/>
      <c r="AG138" s="337"/>
      <c r="AH138" s="337"/>
      <c r="AI138" s="337"/>
      <c r="AJ138" s="337"/>
    </row>
    <row r="140" spans="1:40" s="5" customFormat="1" ht="30.75" customHeight="1">
      <c r="A140" s="19">
        <v>5</v>
      </c>
      <c r="B140" s="24" t="s">
        <v>108</v>
      </c>
      <c r="C140" s="19"/>
      <c r="D140" s="19">
        <v>2013</v>
      </c>
      <c r="E140" s="19">
        <v>2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19">
        <v>2</v>
      </c>
      <c r="Y140" s="22"/>
      <c r="Z140" s="22"/>
      <c r="AA140" s="25"/>
      <c r="AB140" s="22"/>
      <c r="AC140" s="22"/>
      <c r="AD140" s="26"/>
      <c r="AE140" s="19"/>
      <c r="AF140" s="23" t="s">
        <v>73</v>
      </c>
      <c r="AG140" s="23" t="s">
        <v>107</v>
      </c>
      <c r="AH140" s="43" t="s">
        <v>57</v>
      </c>
      <c r="AI140" s="41"/>
      <c r="AJ140" s="44" t="s">
        <v>189</v>
      </c>
    </row>
    <row r="141" spans="1:40" s="4" customFormat="1" ht="18.75" customHeight="1">
      <c r="A141" s="19">
        <v>3</v>
      </c>
      <c r="B141" s="24" t="s">
        <v>176</v>
      </c>
      <c r="C141" s="19"/>
      <c r="D141" s="19">
        <v>2010</v>
      </c>
      <c r="E141" s="19">
        <v>1</v>
      </c>
      <c r="F141" s="34"/>
      <c r="G141" s="33"/>
      <c r="H141" s="33"/>
      <c r="I141" s="33"/>
      <c r="J141" s="33"/>
      <c r="K141" s="21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19">
        <v>1</v>
      </c>
      <c r="Y141" s="33"/>
      <c r="Z141" s="33"/>
      <c r="AA141" s="33"/>
      <c r="AB141" s="35"/>
      <c r="AC141" s="33"/>
      <c r="AD141" s="33"/>
      <c r="AE141" s="33"/>
      <c r="AF141" s="23" t="s">
        <v>73</v>
      </c>
      <c r="AG141" s="19" t="s">
        <v>177</v>
      </c>
      <c r="AH141" s="44" t="s">
        <v>188</v>
      </c>
      <c r="AI141" s="41"/>
      <c r="AJ141" s="44" t="s">
        <v>189</v>
      </c>
    </row>
    <row r="142" spans="1:40" s="5" customFormat="1" ht="14.25" customHeight="1">
      <c r="A142" s="19">
        <v>14</v>
      </c>
      <c r="B142" s="24" t="s">
        <v>113</v>
      </c>
      <c r="C142" s="31"/>
      <c r="D142" s="19"/>
      <c r="E142" s="19"/>
      <c r="F142" s="27"/>
      <c r="G142" s="27"/>
      <c r="H142" s="28"/>
      <c r="I142" s="28"/>
      <c r="J142" s="28"/>
      <c r="K142" s="22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19">
        <v>1</v>
      </c>
      <c r="Y142" s="28"/>
      <c r="Z142" s="27"/>
      <c r="AA142" s="29"/>
      <c r="AB142" s="28"/>
      <c r="AC142" s="28"/>
      <c r="AD142" s="32"/>
      <c r="AE142" s="24"/>
      <c r="AF142" s="23" t="s">
        <v>73</v>
      </c>
      <c r="AG142" s="23" t="s">
        <v>175</v>
      </c>
      <c r="AH142" s="40" t="s">
        <v>188</v>
      </c>
      <c r="AI142" s="19"/>
      <c r="AJ142" s="40" t="s">
        <v>189</v>
      </c>
      <c r="AK142" s="338"/>
      <c r="AL142" s="339"/>
      <c r="AM142" s="339"/>
      <c r="AN142" s="339"/>
    </row>
    <row r="143" spans="1:40" s="5" customFormat="1" ht="14.25" customHeight="1">
      <c r="A143" s="19">
        <v>13</v>
      </c>
      <c r="B143" s="24" t="s">
        <v>93</v>
      </c>
      <c r="C143" s="20"/>
      <c r="D143" s="19">
        <v>2008</v>
      </c>
      <c r="E143" s="19">
        <v>1</v>
      </c>
      <c r="F143" s="28"/>
      <c r="G143" s="28"/>
      <c r="H143" s="28"/>
      <c r="I143" s="28"/>
      <c r="J143" s="28"/>
      <c r="K143" s="22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19">
        <v>1</v>
      </c>
      <c r="Y143" s="28"/>
      <c r="Z143" s="28"/>
      <c r="AA143" s="29"/>
      <c r="AB143" s="28"/>
      <c r="AC143" s="28"/>
      <c r="AD143" s="30"/>
      <c r="AE143" s="24"/>
      <c r="AF143" s="23" t="s">
        <v>73</v>
      </c>
      <c r="AG143" s="23" t="s">
        <v>107</v>
      </c>
      <c r="AH143" s="19" t="s">
        <v>56</v>
      </c>
      <c r="AI143" s="24"/>
      <c r="AJ143" s="19"/>
    </row>
  </sheetData>
  <mergeCells count="50">
    <mergeCell ref="A138:AJ138"/>
    <mergeCell ref="AK142:AN142"/>
    <mergeCell ref="E122:AF122"/>
    <mergeCell ref="AG122:AH122"/>
    <mergeCell ref="AI122:AJ122"/>
    <mergeCell ref="E126:AF126"/>
    <mergeCell ref="AG126:AH126"/>
    <mergeCell ref="AI126:AJ126"/>
    <mergeCell ref="A134:AJ134"/>
    <mergeCell ref="B108:C108"/>
    <mergeCell ref="AK113:AN113"/>
    <mergeCell ref="AK115:AO115"/>
    <mergeCell ref="AH121:AJ121"/>
    <mergeCell ref="E128:AF128"/>
    <mergeCell ref="AK66:AN66"/>
    <mergeCell ref="AK68:AO69"/>
    <mergeCell ref="AF13:AF16"/>
    <mergeCell ref="AG13:AG16"/>
    <mergeCell ref="X14:X16"/>
    <mergeCell ref="Y14:Y16"/>
    <mergeCell ref="B49:AJ49"/>
    <mergeCell ref="B56:AJ56"/>
    <mergeCell ref="AH13:AH16"/>
    <mergeCell ref="AI13:AI16"/>
    <mergeCell ref="AJ13:AJ16"/>
    <mergeCell ref="E14:E16"/>
    <mergeCell ref="G15:G16"/>
    <mergeCell ref="H15:I15"/>
    <mergeCell ref="F14:F16"/>
    <mergeCell ref="G14:I14"/>
    <mergeCell ref="A18:AJ18"/>
    <mergeCell ref="B22:AJ22"/>
    <mergeCell ref="X13:Z13"/>
    <mergeCell ref="AA13:AC13"/>
    <mergeCell ref="AD13:AD16"/>
    <mergeCell ref="AE13:AE16"/>
    <mergeCell ref="AB14:AB16"/>
    <mergeCell ref="AC14:AC16"/>
    <mergeCell ref="D13:D16"/>
    <mergeCell ref="E13:P13"/>
    <mergeCell ref="A13:A16"/>
    <mergeCell ref="B13:B16"/>
    <mergeCell ref="C13:C16"/>
    <mergeCell ref="Z14:Z16"/>
    <mergeCell ref="AA14:AA16"/>
    <mergeCell ref="Z1:AJ1"/>
    <mergeCell ref="Z2:AJ2"/>
    <mergeCell ref="A3:AJ3"/>
    <mergeCell ref="Z4:AJ4"/>
    <mergeCell ref="A5:AJ5"/>
  </mergeCells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17"/>
  <sheetViews>
    <sheetView topLeftCell="A42" workbookViewId="0">
      <selection activeCell="B59" sqref="B59:AK59"/>
    </sheetView>
  </sheetViews>
  <sheetFormatPr defaultColWidth="11.42578125" defaultRowHeight="12.75"/>
  <cols>
    <col min="1" max="1" width="3.85546875" customWidth="1"/>
    <col min="2" max="2" width="32.85546875" customWidth="1"/>
    <col min="3" max="3" width="9.85546875" customWidth="1"/>
    <col min="4" max="4" width="7.42578125" customWidth="1"/>
    <col min="5" max="5" width="6" bestFit="1" customWidth="1"/>
    <col min="6" max="22" width="0" hidden="1" customWidth="1"/>
    <col min="23" max="23" width="3" hidden="1" customWidth="1"/>
    <col min="24" max="24" width="8.5703125" customWidth="1"/>
    <col min="25" max="26" width="0" hidden="1" customWidth="1"/>
    <col min="27" max="27" width="11.140625" customWidth="1"/>
    <col min="28" max="31" width="0" hidden="1" customWidth="1"/>
    <col min="32" max="32" width="13.5703125" customWidth="1"/>
    <col min="33" max="33" width="16.85546875" customWidth="1"/>
    <col min="34" max="34" width="14.5703125" customWidth="1"/>
    <col min="35" max="35" width="17.140625" customWidth="1"/>
    <col min="36" max="36" width="26.5703125" customWidth="1"/>
    <col min="37" max="41" width="9.140625" customWidth="1"/>
  </cols>
  <sheetData>
    <row r="1" spans="1:41" ht="15.75">
      <c r="A1" s="113" t="s">
        <v>44</v>
      </c>
      <c r="B1" s="114"/>
      <c r="C1" s="114"/>
      <c r="D1" s="115"/>
      <c r="E1" s="116"/>
      <c r="F1" s="117"/>
      <c r="G1" s="115"/>
      <c r="H1" s="118"/>
      <c r="I1" s="118"/>
      <c r="J1" s="119" t="s">
        <v>0</v>
      </c>
      <c r="K1" s="118"/>
      <c r="L1" s="118"/>
      <c r="M1" s="118"/>
      <c r="N1" s="118"/>
      <c r="O1" s="115"/>
      <c r="P1" s="119"/>
      <c r="Q1" s="119"/>
      <c r="R1" s="119"/>
      <c r="S1" s="119"/>
      <c r="T1" s="119"/>
      <c r="U1" s="119"/>
      <c r="V1" s="119"/>
      <c r="W1" s="119"/>
      <c r="X1" s="116"/>
      <c r="Y1" s="115"/>
      <c r="Z1" s="310" t="s">
        <v>0</v>
      </c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115"/>
      <c r="AL1" s="115"/>
      <c r="AM1" s="115"/>
      <c r="AN1" s="115"/>
      <c r="AO1" s="115"/>
    </row>
    <row r="2" spans="1:41" ht="15.75">
      <c r="A2" s="120" t="s">
        <v>45</v>
      </c>
      <c r="B2" s="115"/>
      <c r="C2" s="115"/>
      <c r="D2" s="115"/>
      <c r="E2" s="116"/>
      <c r="F2" s="117"/>
      <c r="G2" s="115"/>
      <c r="H2" s="115"/>
      <c r="I2" s="115"/>
      <c r="J2" s="115"/>
      <c r="K2" s="115"/>
      <c r="L2" s="115"/>
      <c r="M2" s="115"/>
      <c r="N2" s="115"/>
      <c r="O2" s="121"/>
      <c r="P2" s="121"/>
      <c r="Q2" s="121"/>
      <c r="R2" s="121"/>
      <c r="S2" s="121"/>
      <c r="T2" s="121"/>
      <c r="U2" s="121"/>
      <c r="V2" s="121"/>
      <c r="W2" s="121"/>
      <c r="X2" s="116"/>
      <c r="Y2" s="115"/>
      <c r="Z2" s="311" t="s">
        <v>255</v>
      </c>
      <c r="AA2" s="311"/>
      <c r="AB2" s="311"/>
      <c r="AC2" s="311"/>
      <c r="AD2" s="311"/>
      <c r="AE2" s="311"/>
      <c r="AF2" s="311"/>
      <c r="AG2" s="311"/>
      <c r="AH2" s="311"/>
      <c r="AI2" s="311"/>
      <c r="AJ2" s="311"/>
      <c r="AK2" s="115"/>
      <c r="AL2" s="115"/>
      <c r="AM2" s="115"/>
      <c r="AN2" s="115"/>
      <c r="AO2" s="115"/>
    </row>
    <row r="3" spans="1:41" ht="15.75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311"/>
      <c r="AA3" s="311"/>
      <c r="AB3" s="311"/>
      <c r="AC3" s="311"/>
      <c r="AD3" s="311"/>
      <c r="AE3" s="311"/>
      <c r="AF3" s="311"/>
      <c r="AG3" s="311"/>
      <c r="AH3" s="311"/>
      <c r="AI3" s="311"/>
      <c r="AJ3" s="311"/>
      <c r="AK3" s="115"/>
      <c r="AL3" s="115"/>
      <c r="AM3" s="115"/>
      <c r="AN3" s="115"/>
      <c r="AO3" s="115"/>
    </row>
    <row r="4" spans="1:41" ht="18.75">
      <c r="A4" s="312" t="s">
        <v>203</v>
      </c>
      <c r="B4" s="312"/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115"/>
      <c r="AL4" s="115"/>
      <c r="AM4" s="115"/>
      <c r="AN4" s="115"/>
      <c r="AO4" s="115"/>
    </row>
    <row r="5" spans="1:41" ht="15.75">
      <c r="A5" s="122" t="s">
        <v>242</v>
      </c>
      <c r="B5" s="116"/>
      <c r="C5" s="116"/>
      <c r="D5" s="116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23"/>
      <c r="AB5" s="119"/>
      <c r="AC5" s="119"/>
      <c r="AD5" s="119"/>
      <c r="AE5" s="119"/>
      <c r="AF5" s="119"/>
      <c r="AG5" s="115"/>
      <c r="AH5" s="115"/>
      <c r="AI5" s="115"/>
      <c r="AJ5" s="124"/>
      <c r="AK5" s="115"/>
      <c r="AL5" s="115"/>
      <c r="AM5" s="115"/>
      <c r="AN5" s="115"/>
      <c r="AO5" s="115"/>
    </row>
    <row r="6" spans="1:41" ht="15.75">
      <c r="A6" s="125" t="s">
        <v>161</v>
      </c>
      <c r="B6" s="116"/>
      <c r="C6" s="115"/>
      <c r="D6" s="115" t="s">
        <v>162</v>
      </c>
      <c r="E6" s="119"/>
      <c r="F6" s="115"/>
      <c r="G6" s="115"/>
      <c r="H6" s="126"/>
      <c r="I6" s="119"/>
      <c r="J6" s="115"/>
      <c r="K6" s="126" t="s">
        <v>4</v>
      </c>
      <c r="L6" s="119"/>
      <c r="M6" s="127"/>
      <c r="N6" s="115"/>
      <c r="O6" s="115"/>
      <c r="P6" s="115"/>
      <c r="Q6" s="115"/>
      <c r="R6" s="115"/>
      <c r="S6" s="126"/>
      <c r="T6" s="128"/>
      <c r="U6" s="115"/>
      <c r="V6" s="115"/>
      <c r="W6" s="123"/>
      <c r="X6" s="119"/>
      <c r="Y6" s="115"/>
      <c r="Z6" s="119"/>
      <c r="AA6" s="119"/>
      <c r="AB6" s="126"/>
      <c r="AC6" s="115"/>
      <c r="AD6" s="115"/>
      <c r="AE6" s="115"/>
      <c r="AF6" s="115"/>
      <c r="AG6" s="125" t="s">
        <v>153</v>
      </c>
      <c r="AH6" s="115"/>
      <c r="AI6" s="115"/>
      <c r="AJ6" s="124"/>
      <c r="AK6" s="115"/>
      <c r="AL6" s="115"/>
      <c r="AM6" s="115"/>
      <c r="AN6" s="115"/>
      <c r="AO6" s="115"/>
    </row>
    <row r="7" spans="1:41" ht="15.75">
      <c r="A7" s="125" t="s">
        <v>163</v>
      </c>
      <c r="B7" s="116"/>
      <c r="C7" s="115"/>
      <c r="D7" s="129" t="s">
        <v>152</v>
      </c>
      <c r="E7" s="130"/>
      <c r="F7" s="115"/>
      <c r="G7" s="115"/>
      <c r="H7" s="126"/>
      <c r="I7" s="119"/>
      <c r="J7" s="115"/>
      <c r="K7" s="126"/>
      <c r="L7" s="119"/>
      <c r="M7" s="127"/>
      <c r="N7" s="115"/>
      <c r="O7" s="115"/>
      <c r="P7" s="115"/>
      <c r="Q7" s="115"/>
      <c r="R7" s="115"/>
      <c r="S7" s="126"/>
      <c r="T7" s="128"/>
      <c r="U7" s="115"/>
      <c r="V7" s="115"/>
      <c r="W7" s="123"/>
      <c r="X7" s="119"/>
      <c r="Y7" s="115"/>
      <c r="Z7" s="119"/>
      <c r="AA7" s="119"/>
      <c r="AB7" s="126"/>
      <c r="AC7" s="115"/>
      <c r="AD7" s="115"/>
      <c r="AE7" s="115"/>
      <c r="AF7" s="115"/>
      <c r="AG7" s="115" t="s">
        <v>164</v>
      </c>
      <c r="AH7" s="115"/>
      <c r="AI7" s="115"/>
      <c r="AJ7" s="124"/>
      <c r="AK7" s="115"/>
      <c r="AL7" s="115"/>
      <c r="AM7" s="115"/>
      <c r="AN7" s="115"/>
      <c r="AO7" s="115"/>
    </row>
    <row r="8" spans="1:41" ht="15.75">
      <c r="A8" s="125" t="s">
        <v>165</v>
      </c>
      <c r="B8" s="116"/>
      <c r="C8" s="115"/>
      <c r="D8" s="129" t="s">
        <v>166</v>
      </c>
      <c r="E8" s="119"/>
      <c r="F8" s="115"/>
      <c r="G8" s="115"/>
      <c r="H8" s="126"/>
      <c r="I8" s="119"/>
      <c r="J8" s="115"/>
      <c r="K8" s="126" t="s">
        <v>5</v>
      </c>
      <c r="L8" s="119"/>
      <c r="M8" s="127"/>
      <c r="N8" s="115"/>
      <c r="O8" s="115"/>
      <c r="P8" s="115"/>
      <c r="Q8" s="115"/>
      <c r="R8" s="115"/>
      <c r="S8" s="126"/>
      <c r="T8" s="128"/>
      <c r="U8" s="115"/>
      <c r="V8" s="115"/>
      <c r="W8" s="123"/>
      <c r="X8" s="119"/>
      <c r="Y8" s="115"/>
      <c r="Z8" s="119"/>
      <c r="AA8" s="119"/>
      <c r="AB8" s="126"/>
      <c r="AC8" s="115"/>
      <c r="AD8" s="115"/>
      <c r="AE8" s="115"/>
      <c r="AF8" s="115"/>
      <c r="AG8" s="115" t="s">
        <v>167</v>
      </c>
      <c r="AH8" s="115"/>
      <c r="AI8" s="115"/>
      <c r="AJ8" s="124"/>
      <c r="AK8" s="115"/>
      <c r="AL8" s="115"/>
      <c r="AM8" s="115"/>
      <c r="AN8" s="115"/>
      <c r="AO8" s="115"/>
    </row>
    <row r="9" spans="1:41" ht="15.75">
      <c r="A9" s="125" t="s">
        <v>186</v>
      </c>
      <c r="B9" s="130"/>
      <c r="C9" s="115"/>
      <c r="D9" s="115" t="s">
        <v>170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29" t="s">
        <v>168</v>
      </c>
      <c r="AH9" s="115"/>
      <c r="AI9" s="115"/>
      <c r="AJ9" s="115"/>
      <c r="AK9" s="115"/>
      <c r="AL9" s="115"/>
      <c r="AM9" s="115"/>
      <c r="AN9" s="115"/>
      <c r="AO9" s="115"/>
    </row>
    <row r="10" spans="1:41" ht="15.75">
      <c r="A10" s="125" t="s">
        <v>169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</row>
    <row r="11" spans="1:41" ht="15.75">
      <c r="A11" s="125" t="s">
        <v>6</v>
      </c>
      <c r="B11" s="115"/>
      <c r="C11" s="115"/>
      <c r="D11" s="115"/>
      <c r="E11" s="116"/>
      <c r="F11" s="117"/>
      <c r="G11" s="115"/>
      <c r="H11" s="115"/>
      <c r="I11" s="115"/>
      <c r="J11" s="115"/>
      <c r="K11" s="116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6"/>
      <c r="Y11" s="115"/>
      <c r="Z11" s="115"/>
      <c r="AA11" s="131"/>
      <c r="AB11" s="115"/>
      <c r="AC11" s="115"/>
      <c r="AD11" s="115"/>
      <c r="AE11" s="115"/>
      <c r="AF11" s="115"/>
      <c r="AG11" s="115"/>
      <c r="AH11" s="115"/>
      <c r="AI11" s="115"/>
      <c r="AJ11" s="124"/>
      <c r="AK11" s="115"/>
      <c r="AL11" s="115"/>
      <c r="AM11" s="115"/>
      <c r="AN11" s="115"/>
      <c r="AO11" s="115"/>
    </row>
    <row r="12" spans="1:41" ht="32.1" customHeight="1">
      <c r="A12" s="318" t="s">
        <v>7</v>
      </c>
      <c r="B12" s="313" t="s">
        <v>8</v>
      </c>
      <c r="C12" s="326" t="s">
        <v>219</v>
      </c>
      <c r="D12" s="322" t="s">
        <v>9</v>
      </c>
      <c r="E12" s="325" t="s">
        <v>46</v>
      </c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132"/>
      <c r="R12" s="132"/>
      <c r="S12" s="132"/>
      <c r="T12" s="132"/>
      <c r="U12" s="132"/>
      <c r="V12" s="132"/>
      <c r="W12" s="133"/>
      <c r="X12" s="317" t="s">
        <v>47</v>
      </c>
      <c r="Y12" s="317"/>
      <c r="Z12" s="317"/>
      <c r="AA12" s="317" t="s">
        <v>48</v>
      </c>
      <c r="AB12" s="317"/>
      <c r="AC12" s="317"/>
      <c r="AD12" s="318" t="s">
        <v>10</v>
      </c>
      <c r="AE12" s="318" t="s">
        <v>11</v>
      </c>
      <c r="AF12" s="318" t="s">
        <v>12</v>
      </c>
      <c r="AG12" s="318" t="s">
        <v>13</v>
      </c>
      <c r="AH12" s="318" t="s">
        <v>14</v>
      </c>
      <c r="AI12" s="322" t="s">
        <v>50</v>
      </c>
      <c r="AJ12" s="318" t="s">
        <v>51</v>
      </c>
      <c r="AK12" s="47"/>
      <c r="AL12" s="47"/>
      <c r="AM12" s="47"/>
      <c r="AN12" s="47"/>
      <c r="AO12" s="47"/>
    </row>
    <row r="13" spans="1:41">
      <c r="A13" s="318"/>
      <c r="B13" s="313"/>
      <c r="C13" s="327"/>
      <c r="D13" s="323"/>
      <c r="E13" s="322" t="s">
        <v>49</v>
      </c>
      <c r="F13" s="319" t="s">
        <v>15</v>
      </c>
      <c r="G13" s="333" t="s">
        <v>16</v>
      </c>
      <c r="H13" s="333"/>
      <c r="I13" s="333"/>
      <c r="J13" s="60" t="s">
        <v>17</v>
      </c>
      <c r="K13" s="57" t="s">
        <v>18</v>
      </c>
      <c r="L13" s="58"/>
      <c r="M13" s="58" t="s">
        <v>17</v>
      </c>
      <c r="N13" s="58" t="s">
        <v>17</v>
      </c>
      <c r="O13" s="58" t="s">
        <v>17</v>
      </c>
      <c r="P13" s="58" t="s">
        <v>19</v>
      </c>
      <c r="Q13" s="58" t="s">
        <v>19</v>
      </c>
      <c r="R13" s="58" t="s">
        <v>19</v>
      </c>
      <c r="S13" s="58" t="s">
        <v>19</v>
      </c>
      <c r="T13" s="58" t="s">
        <v>19</v>
      </c>
      <c r="U13" s="58" t="s">
        <v>19</v>
      </c>
      <c r="V13" s="58" t="s">
        <v>20</v>
      </c>
      <c r="W13" s="58"/>
      <c r="X13" s="322" t="s">
        <v>49</v>
      </c>
      <c r="Y13" s="319" t="s">
        <v>21</v>
      </c>
      <c r="Z13" s="319" t="s">
        <v>22</v>
      </c>
      <c r="AA13" s="322" t="s">
        <v>49</v>
      </c>
      <c r="AB13" s="319" t="s">
        <v>21</v>
      </c>
      <c r="AC13" s="319" t="s">
        <v>23</v>
      </c>
      <c r="AD13" s="318"/>
      <c r="AE13" s="318"/>
      <c r="AF13" s="331"/>
      <c r="AG13" s="331"/>
      <c r="AH13" s="318"/>
      <c r="AI13" s="323"/>
      <c r="AJ13" s="331"/>
      <c r="AK13" s="47"/>
      <c r="AL13" s="47"/>
      <c r="AM13" s="47"/>
      <c r="AN13" s="47"/>
      <c r="AO13" s="47"/>
    </row>
    <row r="14" spans="1:41" ht="6" customHeight="1">
      <c r="A14" s="318"/>
      <c r="B14" s="313"/>
      <c r="C14" s="327"/>
      <c r="D14" s="323"/>
      <c r="E14" s="323"/>
      <c r="F14" s="320"/>
      <c r="G14" s="319" t="s">
        <v>24</v>
      </c>
      <c r="H14" s="332" t="s">
        <v>25</v>
      </c>
      <c r="I14" s="332"/>
      <c r="J14" s="58" t="s">
        <v>26</v>
      </c>
      <c r="K14" s="55" t="s">
        <v>27</v>
      </c>
      <c r="L14" s="58" t="s">
        <v>28</v>
      </c>
      <c r="M14" s="58" t="s">
        <v>26</v>
      </c>
      <c r="N14" s="58" t="s">
        <v>26</v>
      </c>
      <c r="O14" s="58" t="s">
        <v>26</v>
      </c>
      <c r="P14" s="58" t="s">
        <v>29</v>
      </c>
      <c r="Q14" s="58" t="s">
        <v>29</v>
      </c>
      <c r="R14" s="58" t="s">
        <v>29</v>
      </c>
      <c r="S14" s="58" t="s">
        <v>29</v>
      </c>
      <c r="T14" s="58" t="s">
        <v>29</v>
      </c>
      <c r="U14" s="58" t="s">
        <v>29</v>
      </c>
      <c r="V14" s="58" t="s">
        <v>26</v>
      </c>
      <c r="W14" s="58" t="s">
        <v>30</v>
      </c>
      <c r="X14" s="323"/>
      <c r="Y14" s="320"/>
      <c r="Z14" s="320"/>
      <c r="AA14" s="323"/>
      <c r="AB14" s="320"/>
      <c r="AC14" s="320"/>
      <c r="AD14" s="318"/>
      <c r="AE14" s="318"/>
      <c r="AF14" s="331"/>
      <c r="AG14" s="331"/>
      <c r="AH14" s="318"/>
      <c r="AI14" s="323"/>
      <c r="AJ14" s="331"/>
      <c r="AK14" s="47"/>
      <c r="AL14" s="47"/>
      <c r="AM14" s="47"/>
      <c r="AN14" s="47"/>
      <c r="AO14" s="47"/>
    </row>
    <row r="15" spans="1:41" ht="51" hidden="1">
      <c r="A15" s="318"/>
      <c r="B15" s="313"/>
      <c r="C15" s="328"/>
      <c r="D15" s="324"/>
      <c r="E15" s="324"/>
      <c r="F15" s="321"/>
      <c r="G15" s="321"/>
      <c r="H15" s="59" t="s">
        <v>31</v>
      </c>
      <c r="I15" s="58" t="s">
        <v>32</v>
      </c>
      <c r="J15" s="58" t="s">
        <v>33</v>
      </c>
      <c r="K15" s="55" t="s">
        <v>34</v>
      </c>
      <c r="L15" s="58" t="s">
        <v>35</v>
      </c>
      <c r="M15" s="58" t="s">
        <v>33</v>
      </c>
      <c r="N15" s="58" t="s">
        <v>36</v>
      </c>
      <c r="O15" s="58" t="s">
        <v>36</v>
      </c>
      <c r="P15" s="58" t="s">
        <v>36</v>
      </c>
      <c r="Q15" s="58" t="s">
        <v>36</v>
      </c>
      <c r="R15" s="58" t="s">
        <v>36</v>
      </c>
      <c r="S15" s="58" t="s">
        <v>36</v>
      </c>
      <c r="T15" s="58" t="s">
        <v>36</v>
      </c>
      <c r="U15" s="58" t="s">
        <v>36</v>
      </c>
      <c r="V15" s="58" t="s">
        <v>36</v>
      </c>
      <c r="W15" s="58" t="s">
        <v>37</v>
      </c>
      <c r="X15" s="324"/>
      <c r="Y15" s="321"/>
      <c r="Z15" s="321"/>
      <c r="AA15" s="324"/>
      <c r="AB15" s="321"/>
      <c r="AC15" s="321"/>
      <c r="AD15" s="318"/>
      <c r="AE15" s="318"/>
      <c r="AF15" s="331"/>
      <c r="AG15" s="331"/>
      <c r="AH15" s="318"/>
      <c r="AI15" s="324"/>
      <c r="AJ15" s="331"/>
      <c r="AK15" s="47"/>
      <c r="AL15" s="47"/>
      <c r="AM15" s="47"/>
      <c r="AN15" s="47"/>
      <c r="AO15" s="47"/>
    </row>
    <row r="16" spans="1:41">
      <c r="A16" s="57" t="s">
        <v>38</v>
      </c>
      <c r="B16" s="57" t="s">
        <v>39</v>
      </c>
      <c r="C16" s="57" t="s">
        <v>40</v>
      </c>
      <c r="D16" s="57" t="s">
        <v>41</v>
      </c>
      <c r="E16" s="57">
        <v>1</v>
      </c>
      <c r="F16" s="60">
        <v>2</v>
      </c>
      <c r="G16" s="61">
        <v>3</v>
      </c>
      <c r="H16" s="61">
        <v>4</v>
      </c>
      <c r="I16" s="60">
        <v>5</v>
      </c>
      <c r="J16" s="61">
        <v>7</v>
      </c>
      <c r="K16" s="60">
        <v>8</v>
      </c>
      <c r="L16" s="61">
        <v>9</v>
      </c>
      <c r="M16" s="60">
        <v>10</v>
      </c>
      <c r="N16" s="60"/>
      <c r="O16" s="61">
        <v>6</v>
      </c>
      <c r="P16" s="61"/>
      <c r="Q16" s="61"/>
      <c r="R16" s="61"/>
      <c r="S16" s="61"/>
      <c r="T16" s="61"/>
      <c r="U16" s="61"/>
      <c r="V16" s="61"/>
      <c r="W16" s="61">
        <v>5</v>
      </c>
      <c r="X16" s="57">
        <v>2</v>
      </c>
      <c r="Y16" s="60">
        <v>7</v>
      </c>
      <c r="Z16" s="60">
        <v>8</v>
      </c>
      <c r="AA16" s="60">
        <v>3</v>
      </c>
      <c r="AB16" s="57">
        <v>10</v>
      </c>
      <c r="AC16" s="61">
        <v>11</v>
      </c>
      <c r="AD16" s="57"/>
      <c r="AE16" s="57"/>
      <c r="AF16" s="57">
        <v>4</v>
      </c>
      <c r="AG16" s="57">
        <v>5</v>
      </c>
      <c r="AH16" s="57">
        <v>6</v>
      </c>
      <c r="AI16" s="57">
        <v>7</v>
      </c>
      <c r="AJ16" s="57">
        <v>8</v>
      </c>
      <c r="AK16" s="53"/>
      <c r="AL16" s="53"/>
      <c r="AM16" s="53"/>
      <c r="AN16" s="53"/>
      <c r="AO16" s="53"/>
    </row>
    <row r="17" spans="1:41">
      <c r="A17" s="313" t="s">
        <v>190</v>
      </c>
      <c r="B17" s="313"/>
      <c r="C17" s="313"/>
      <c r="D17" s="313"/>
      <c r="E17" s="313"/>
      <c r="F17" s="313"/>
      <c r="G17" s="313"/>
      <c r="H17" s="313"/>
      <c r="I17" s="313"/>
      <c r="J17" s="313"/>
      <c r="K17" s="313"/>
      <c r="L17" s="313"/>
      <c r="M17" s="313"/>
      <c r="N17" s="313"/>
      <c r="O17" s="313"/>
      <c r="P17" s="313"/>
      <c r="Q17" s="313"/>
      <c r="R17" s="313"/>
      <c r="S17" s="313"/>
      <c r="T17" s="313"/>
      <c r="U17" s="313"/>
      <c r="V17" s="313"/>
      <c r="W17" s="313"/>
      <c r="X17" s="313"/>
      <c r="Y17" s="313"/>
      <c r="Z17" s="313"/>
      <c r="AA17" s="313"/>
      <c r="AB17" s="313"/>
      <c r="AC17" s="313"/>
      <c r="AD17" s="313"/>
      <c r="AE17" s="313"/>
      <c r="AF17" s="313"/>
      <c r="AG17" s="313"/>
      <c r="AH17" s="313"/>
      <c r="AI17" s="313"/>
      <c r="AJ17" s="313"/>
      <c r="AK17" s="53"/>
      <c r="AL17" s="53"/>
      <c r="AM17" s="53"/>
      <c r="AN17" s="53"/>
      <c r="AO17" s="53"/>
    </row>
    <row r="18" spans="1:41" ht="25.5">
      <c r="A18" s="55">
        <v>1</v>
      </c>
      <c r="B18" s="56" t="s">
        <v>72</v>
      </c>
      <c r="C18" s="57"/>
      <c r="D18" s="55">
        <v>2016</v>
      </c>
      <c r="E18" s="55">
        <v>2</v>
      </c>
      <c r="F18" s="58"/>
      <c r="G18" s="59"/>
      <c r="H18" s="59"/>
      <c r="I18" s="58"/>
      <c r="J18" s="59"/>
      <c r="K18" s="58"/>
      <c r="L18" s="59"/>
      <c r="M18" s="58"/>
      <c r="N18" s="58"/>
      <c r="O18" s="59"/>
      <c r="P18" s="59"/>
      <c r="Q18" s="59"/>
      <c r="R18" s="59"/>
      <c r="S18" s="59"/>
      <c r="T18" s="59"/>
      <c r="U18" s="59"/>
      <c r="V18" s="59"/>
      <c r="W18" s="59"/>
      <c r="X18" s="55">
        <v>2</v>
      </c>
      <c r="Y18" s="60"/>
      <c r="Z18" s="60"/>
      <c r="AA18" s="60"/>
      <c r="AB18" s="57"/>
      <c r="AC18" s="61"/>
      <c r="AD18" s="57"/>
      <c r="AE18" s="57"/>
      <c r="AF18" s="55" t="s">
        <v>73</v>
      </c>
      <c r="AG18" s="55" t="s">
        <v>74</v>
      </c>
      <c r="AH18" s="55" t="s">
        <v>188</v>
      </c>
      <c r="AI18" s="57"/>
      <c r="AJ18" s="57" t="s">
        <v>208</v>
      </c>
      <c r="AK18" s="53"/>
      <c r="AL18" s="53"/>
      <c r="AM18" s="53"/>
      <c r="AN18" s="53"/>
      <c r="AO18" s="53"/>
    </row>
    <row r="19" spans="1:41" ht="25.5">
      <c r="A19" s="55">
        <v>2</v>
      </c>
      <c r="B19" s="56" t="s">
        <v>75</v>
      </c>
      <c r="C19" s="57"/>
      <c r="D19" s="55">
        <v>2018</v>
      </c>
      <c r="E19" s="55">
        <v>1</v>
      </c>
      <c r="F19" s="58"/>
      <c r="G19" s="59"/>
      <c r="H19" s="59"/>
      <c r="I19" s="58"/>
      <c r="J19" s="59"/>
      <c r="K19" s="58"/>
      <c r="L19" s="59"/>
      <c r="M19" s="58"/>
      <c r="N19" s="58"/>
      <c r="O19" s="59"/>
      <c r="P19" s="59"/>
      <c r="Q19" s="59"/>
      <c r="R19" s="59"/>
      <c r="S19" s="59"/>
      <c r="T19" s="59"/>
      <c r="U19" s="59"/>
      <c r="V19" s="59"/>
      <c r="W19" s="59"/>
      <c r="X19" s="55">
        <v>1</v>
      </c>
      <c r="Y19" s="60"/>
      <c r="Z19" s="60"/>
      <c r="AA19" s="60"/>
      <c r="AB19" s="57"/>
      <c r="AC19" s="61"/>
      <c r="AD19" s="57"/>
      <c r="AE19" s="57"/>
      <c r="AF19" s="55" t="s">
        <v>73</v>
      </c>
      <c r="AG19" s="55" t="s">
        <v>74</v>
      </c>
      <c r="AH19" s="55" t="s">
        <v>56</v>
      </c>
      <c r="AI19" s="57"/>
      <c r="AJ19" s="55"/>
      <c r="AK19" s="53"/>
      <c r="AL19" s="53"/>
      <c r="AM19" s="53"/>
      <c r="AN19" s="53"/>
      <c r="AO19" s="53"/>
    </row>
    <row r="20" spans="1:41">
      <c r="A20" s="55"/>
      <c r="B20" s="314" t="s">
        <v>76</v>
      </c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315"/>
      <c r="AB20" s="315"/>
      <c r="AC20" s="315"/>
      <c r="AD20" s="315"/>
      <c r="AE20" s="315"/>
      <c r="AF20" s="315"/>
      <c r="AG20" s="315"/>
      <c r="AH20" s="315"/>
      <c r="AI20" s="315"/>
      <c r="AJ20" s="316"/>
      <c r="AK20" s="47"/>
      <c r="AL20" s="47"/>
      <c r="AM20" s="47"/>
      <c r="AN20" s="47"/>
      <c r="AO20" s="47"/>
    </row>
    <row r="21" spans="1:41">
      <c r="A21" s="55">
        <v>1</v>
      </c>
      <c r="B21" s="71" t="s">
        <v>77</v>
      </c>
      <c r="C21" s="55"/>
      <c r="D21" s="55">
        <v>2015</v>
      </c>
      <c r="E21" s="55">
        <v>1</v>
      </c>
      <c r="F21" s="55" t="s">
        <v>68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>
        <v>0</v>
      </c>
      <c r="Y21" s="58"/>
      <c r="Z21" s="58"/>
      <c r="AA21" s="58">
        <v>-1</v>
      </c>
      <c r="AB21" s="58"/>
      <c r="AC21" s="58"/>
      <c r="AD21" s="72"/>
      <c r="AE21" s="55"/>
      <c r="AF21" s="55" t="s">
        <v>73</v>
      </c>
      <c r="AG21" s="55" t="s">
        <v>223</v>
      </c>
      <c r="AH21" s="55" t="s">
        <v>220</v>
      </c>
      <c r="AI21" s="55"/>
      <c r="AJ21" s="57" t="s">
        <v>208</v>
      </c>
      <c r="AK21" s="47"/>
      <c r="AL21" s="47"/>
      <c r="AM21" s="47"/>
      <c r="AN21" s="47"/>
      <c r="AO21" s="47"/>
    </row>
    <row r="22" spans="1:41" ht="25.5">
      <c r="A22" s="55">
        <v>2</v>
      </c>
      <c r="B22" s="71" t="s">
        <v>77</v>
      </c>
      <c r="C22" s="55"/>
      <c r="D22" s="55">
        <v>2017</v>
      </c>
      <c r="E22" s="55">
        <v>2</v>
      </c>
      <c r="F22" s="55" t="s">
        <v>68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>
        <v>1</v>
      </c>
      <c r="Y22" s="58"/>
      <c r="Z22" s="58"/>
      <c r="AA22" s="58">
        <v>-1</v>
      </c>
      <c r="AB22" s="58"/>
      <c r="AC22" s="58"/>
      <c r="AD22" s="72"/>
      <c r="AE22" s="55"/>
      <c r="AF22" s="55" t="s">
        <v>73</v>
      </c>
      <c r="AG22" s="55" t="s">
        <v>244</v>
      </c>
      <c r="AH22" s="55" t="s">
        <v>221</v>
      </c>
      <c r="AI22" s="55"/>
      <c r="AJ22" s="57" t="s">
        <v>245</v>
      </c>
      <c r="AK22" s="47"/>
      <c r="AL22" s="47"/>
      <c r="AM22" s="47"/>
      <c r="AN22" s="47"/>
      <c r="AO22" s="47"/>
    </row>
    <row r="23" spans="1:41">
      <c r="A23" s="55">
        <v>3</v>
      </c>
      <c r="B23" s="71" t="s">
        <v>80</v>
      </c>
      <c r="C23" s="55"/>
      <c r="D23" s="55">
        <v>2009</v>
      </c>
      <c r="E23" s="55">
        <v>1</v>
      </c>
      <c r="F23" s="55" t="s">
        <v>68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>
        <v>1</v>
      </c>
      <c r="Y23" s="58"/>
      <c r="Z23" s="58"/>
      <c r="AA23" s="58"/>
      <c r="AB23" s="58"/>
      <c r="AC23" s="58"/>
      <c r="AD23" s="73"/>
      <c r="AE23" s="55"/>
      <c r="AF23" s="55" t="s">
        <v>73</v>
      </c>
      <c r="AG23" s="55" t="s">
        <v>81</v>
      </c>
      <c r="AH23" s="55" t="s">
        <v>56</v>
      </c>
      <c r="AI23" s="55"/>
      <c r="AJ23" s="55"/>
      <c r="AK23" s="47"/>
      <c r="AL23" s="47"/>
      <c r="AM23" s="47"/>
      <c r="AN23" s="47"/>
      <c r="AO23" s="47"/>
    </row>
    <row r="24" spans="1:41">
      <c r="A24" s="55">
        <v>4</v>
      </c>
      <c r="B24" s="71" t="s">
        <v>70</v>
      </c>
      <c r="C24" s="55"/>
      <c r="D24" s="55">
        <v>2016</v>
      </c>
      <c r="E24" s="55">
        <v>2</v>
      </c>
      <c r="F24" s="55" t="s">
        <v>68</v>
      </c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>
        <v>2</v>
      </c>
      <c r="Y24" s="58"/>
      <c r="Z24" s="58"/>
      <c r="AA24" s="58"/>
      <c r="AB24" s="58"/>
      <c r="AC24" s="58"/>
      <c r="AD24" s="72"/>
      <c r="AE24" s="55"/>
      <c r="AF24" s="55" t="s">
        <v>73</v>
      </c>
      <c r="AG24" s="55" t="s">
        <v>81</v>
      </c>
      <c r="AH24" s="55" t="s">
        <v>56</v>
      </c>
      <c r="AI24" s="55"/>
      <c r="AJ24" s="55"/>
      <c r="AK24" s="47"/>
      <c r="AL24" s="47"/>
      <c r="AM24" s="47"/>
      <c r="AN24" s="47"/>
      <c r="AO24" s="47"/>
    </row>
    <row r="25" spans="1:41" ht="76.5">
      <c r="A25" s="55">
        <v>5</v>
      </c>
      <c r="B25" s="71" t="s">
        <v>59</v>
      </c>
      <c r="C25" s="55"/>
      <c r="D25" s="55">
        <v>2016</v>
      </c>
      <c r="E25" s="55">
        <v>6</v>
      </c>
      <c r="F25" s="55" t="s">
        <v>68</v>
      </c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>
        <v>6</v>
      </c>
      <c r="Y25" s="58"/>
      <c r="Z25" s="58"/>
      <c r="AA25" s="74"/>
      <c r="AB25" s="58"/>
      <c r="AC25" s="58"/>
      <c r="AD25" s="73"/>
      <c r="AE25" s="55"/>
      <c r="AF25" s="55" t="s">
        <v>73</v>
      </c>
      <c r="AG25" s="55" t="s">
        <v>81</v>
      </c>
      <c r="AH25" s="55" t="s">
        <v>197</v>
      </c>
      <c r="AI25" s="55"/>
      <c r="AJ25" s="55"/>
      <c r="AK25" s="53" t="s">
        <v>191</v>
      </c>
      <c r="AL25" s="47"/>
      <c r="AM25" s="47"/>
      <c r="AN25" s="47"/>
      <c r="AO25" s="47"/>
    </row>
    <row r="26" spans="1:41">
      <c r="A26" s="55">
        <v>6</v>
      </c>
      <c r="B26" s="71" t="s">
        <v>53</v>
      </c>
      <c r="C26" s="55"/>
      <c r="D26" s="55">
        <v>2016</v>
      </c>
      <c r="E26" s="55">
        <v>1</v>
      </c>
      <c r="F26" s="55" t="s">
        <v>68</v>
      </c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>
        <v>1</v>
      </c>
      <c r="Y26" s="58"/>
      <c r="Z26" s="58"/>
      <c r="AA26" s="75"/>
      <c r="AB26" s="58"/>
      <c r="AC26" s="58"/>
      <c r="AD26" s="73"/>
      <c r="AE26" s="55"/>
      <c r="AF26" s="55" t="s">
        <v>73</v>
      </c>
      <c r="AG26" s="55" t="s">
        <v>81</v>
      </c>
      <c r="AH26" s="55" t="s">
        <v>56</v>
      </c>
      <c r="AI26" s="55"/>
      <c r="AJ26" s="55"/>
      <c r="AK26" s="47"/>
      <c r="AL26" s="47"/>
      <c r="AM26" s="47"/>
      <c r="AN26" s="47"/>
      <c r="AO26" s="47"/>
    </row>
    <row r="27" spans="1:41">
      <c r="A27" s="55">
        <v>7</v>
      </c>
      <c r="B27" s="71" t="s">
        <v>82</v>
      </c>
      <c r="C27" s="55"/>
      <c r="D27" s="55">
        <v>2016</v>
      </c>
      <c r="E27" s="55">
        <v>1</v>
      </c>
      <c r="F27" s="55" t="s">
        <v>68</v>
      </c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>
        <v>1</v>
      </c>
      <c r="Y27" s="58"/>
      <c r="Z27" s="58"/>
      <c r="AA27" s="58"/>
      <c r="AB27" s="58"/>
      <c r="AC27" s="58"/>
      <c r="AD27" s="73"/>
      <c r="AE27" s="55"/>
      <c r="AF27" s="55" t="s">
        <v>73</v>
      </c>
      <c r="AG27" s="55" t="s">
        <v>81</v>
      </c>
      <c r="AH27" s="55" t="s">
        <v>56</v>
      </c>
      <c r="AI27" s="55"/>
      <c r="AJ27" s="55"/>
      <c r="AK27" s="47"/>
      <c r="AL27" s="47"/>
      <c r="AM27" s="47"/>
      <c r="AN27" s="47"/>
      <c r="AO27" s="47"/>
    </row>
    <row r="28" spans="1:41">
      <c r="A28" s="55">
        <v>8</v>
      </c>
      <c r="B28" s="71" t="s">
        <v>83</v>
      </c>
      <c r="C28" s="55"/>
      <c r="D28" s="55">
        <v>2018</v>
      </c>
      <c r="E28" s="55">
        <v>1</v>
      </c>
      <c r="F28" s="55" t="s">
        <v>68</v>
      </c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>
        <v>1</v>
      </c>
      <c r="Y28" s="58"/>
      <c r="Z28" s="58"/>
      <c r="AA28" s="75"/>
      <c r="AB28" s="58"/>
      <c r="AC28" s="58"/>
      <c r="AD28" s="73"/>
      <c r="AE28" s="55"/>
      <c r="AF28" s="55" t="s">
        <v>73</v>
      </c>
      <c r="AG28" s="55" t="s">
        <v>81</v>
      </c>
      <c r="AH28" s="55" t="s">
        <v>56</v>
      </c>
      <c r="AI28" s="55"/>
      <c r="AJ28" s="55"/>
      <c r="AK28" s="47"/>
      <c r="AL28" s="47"/>
      <c r="AM28" s="47"/>
      <c r="AN28" s="47"/>
      <c r="AO28" s="47"/>
    </row>
    <row r="29" spans="1:41">
      <c r="A29" s="55">
        <v>9</v>
      </c>
      <c r="B29" s="71" t="s">
        <v>150</v>
      </c>
      <c r="C29" s="55" t="s">
        <v>84</v>
      </c>
      <c r="D29" s="55">
        <v>2017</v>
      </c>
      <c r="E29" s="55">
        <v>1</v>
      </c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>
        <v>1</v>
      </c>
      <c r="Y29" s="58"/>
      <c r="Z29" s="58"/>
      <c r="AA29" s="75"/>
      <c r="AB29" s="58"/>
      <c r="AC29" s="58"/>
      <c r="AD29" s="73"/>
      <c r="AE29" s="55"/>
      <c r="AF29" s="55" t="s">
        <v>73</v>
      </c>
      <c r="AG29" s="55" t="s">
        <v>81</v>
      </c>
      <c r="AH29" s="55" t="s">
        <v>56</v>
      </c>
      <c r="AI29" s="55"/>
      <c r="AJ29" s="55"/>
      <c r="AK29" s="47"/>
      <c r="AL29" s="47"/>
      <c r="AM29" s="47"/>
      <c r="AN29" s="47"/>
      <c r="AO29" s="47"/>
    </row>
    <row r="30" spans="1:41" ht="25.5">
      <c r="A30" s="55">
        <v>10</v>
      </c>
      <c r="B30" s="71" t="s">
        <v>61</v>
      </c>
      <c r="C30" s="55"/>
      <c r="D30" s="55">
        <v>2012</v>
      </c>
      <c r="E30" s="55">
        <v>1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5">
        <v>2</v>
      </c>
      <c r="Y30" s="58"/>
      <c r="Z30" s="58"/>
      <c r="AA30" s="74" t="s">
        <v>232</v>
      </c>
      <c r="AB30" s="58"/>
      <c r="AC30" s="58"/>
      <c r="AD30" s="76"/>
      <c r="AE30" s="55"/>
      <c r="AF30" s="55" t="s">
        <v>73</v>
      </c>
      <c r="AG30" s="55" t="s">
        <v>81</v>
      </c>
      <c r="AH30" s="55" t="s">
        <v>56</v>
      </c>
      <c r="AI30" s="55"/>
      <c r="AJ30" s="55" t="s">
        <v>233</v>
      </c>
      <c r="AK30" s="53"/>
      <c r="AL30" s="53"/>
      <c r="AM30" s="53"/>
      <c r="AN30" s="53"/>
      <c r="AO30" s="53"/>
    </row>
    <row r="31" spans="1:41">
      <c r="A31" s="55">
        <v>11</v>
      </c>
      <c r="B31" s="71" t="s">
        <v>85</v>
      </c>
      <c r="C31" s="55"/>
      <c r="D31" s="55">
        <v>2008</v>
      </c>
      <c r="E31" s="55">
        <v>6</v>
      </c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5">
        <v>6</v>
      </c>
      <c r="Y31" s="58"/>
      <c r="Z31" s="58"/>
      <c r="AA31" s="75"/>
      <c r="AB31" s="58"/>
      <c r="AC31" s="58"/>
      <c r="AD31" s="76"/>
      <c r="AE31" s="55"/>
      <c r="AF31" s="55" t="s">
        <v>73</v>
      </c>
      <c r="AG31" s="55" t="s">
        <v>81</v>
      </c>
      <c r="AH31" s="55" t="s">
        <v>56</v>
      </c>
      <c r="AI31" s="55"/>
      <c r="AJ31" s="55"/>
      <c r="AK31" s="53"/>
      <c r="AL31" s="53"/>
      <c r="AM31" s="53"/>
      <c r="AN31" s="53"/>
      <c r="AO31" s="53"/>
    </row>
    <row r="32" spans="1:41" ht="38.25">
      <c r="A32" s="55">
        <v>12</v>
      </c>
      <c r="B32" s="71" t="s">
        <v>86</v>
      </c>
      <c r="C32" s="55"/>
      <c r="D32" s="55">
        <v>2017</v>
      </c>
      <c r="E32" s="55">
        <v>2</v>
      </c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5">
        <v>1</v>
      </c>
      <c r="Y32" s="58"/>
      <c r="Z32" s="58"/>
      <c r="AA32" s="74">
        <v>-1</v>
      </c>
      <c r="AB32" s="58"/>
      <c r="AC32" s="58"/>
      <c r="AD32" s="76"/>
      <c r="AE32" s="55"/>
      <c r="AF32" s="55" t="s">
        <v>73</v>
      </c>
      <c r="AG32" s="55" t="s">
        <v>246</v>
      </c>
      <c r="AH32" s="55" t="s">
        <v>222</v>
      </c>
      <c r="AI32" s="55"/>
      <c r="AJ32" s="55" t="s">
        <v>247</v>
      </c>
      <c r="AK32" s="53"/>
      <c r="AL32" s="53"/>
      <c r="AM32" s="53"/>
      <c r="AN32" s="53"/>
      <c r="AO32" s="53"/>
    </row>
    <row r="33" spans="1:41">
      <c r="A33" s="55">
        <v>13</v>
      </c>
      <c r="B33" s="71" t="s">
        <v>88</v>
      </c>
      <c r="C33" s="55"/>
      <c r="D33" s="55">
        <v>2003</v>
      </c>
      <c r="E33" s="55">
        <v>1</v>
      </c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>
        <v>1</v>
      </c>
      <c r="Y33" s="58"/>
      <c r="Z33" s="58"/>
      <c r="AA33" s="75"/>
      <c r="AB33" s="58"/>
      <c r="AC33" s="58"/>
      <c r="AD33" s="76"/>
      <c r="AE33" s="55"/>
      <c r="AF33" s="55" t="s">
        <v>73</v>
      </c>
      <c r="AG33" s="55" t="s">
        <v>81</v>
      </c>
      <c r="AH33" s="55" t="s">
        <v>56</v>
      </c>
      <c r="AI33" s="55"/>
      <c r="AJ33" s="55"/>
      <c r="AK33" s="47"/>
      <c r="AL33" s="47"/>
      <c r="AM33" s="47"/>
      <c r="AN33" s="47"/>
      <c r="AO33" s="47"/>
    </row>
    <row r="34" spans="1:41">
      <c r="A34" s="55">
        <v>14</v>
      </c>
      <c r="B34" s="71" t="s">
        <v>89</v>
      </c>
      <c r="C34" s="55"/>
      <c r="D34" s="55">
        <v>2015</v>
      </c>
      <c r="E34" s="55">
        <v>1</v>
      </c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5">
        <v>1</v>
      </c>
      <c r="Y34" s="58"/>
      <c r="Z34" s="58"/>
      <c r="AA34" s="75"/>
      <c r="AB34" s="58"/>
      <c r="AC34" s="58"/>
      <c r="AD34" s="76"/>
      <c r="AE34" s="55"/>
      <c r="AF34" s="55" t="s">
        <v>73</v>
      </c>
      <c r="AG34" s="55" t="s">
        <v>81</v>
      </c>
      <c r="AH34" s="55" t="s">
        <v>56</v>
      </c>
      <c r="AI34" s="55"/>
      <c r="AJ34" s="55"/>
      <c r="AK34" s="53"/>
      <c r="AL34" s="53"/>
      <c r="AM34" s="53"/>
      <c r="AN34" s="53"/>
      <c r="AO34" s="53"/>
    </row>
    <row r="35" spans="1:41">
      <c r="A35" s="55">
        <v>17</v>
      </c>
      <c r="B35" s="71" t="s">
        <v>91</v>
      </c>
      <c r="C35" s="55"/>
      <c r="D35" s="55">
        <v>2017</v>
      </c>
      <c r="E35" s="55">
        <v>1</v>
      </c>
      <c r="F35" s="55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>
        <v>0</v>
      </c>
      <c r="Y35" s="58"/>
      <c r="Z35" s="58"/>
      <c r="AA35" s="75">
        <v>-1</v>
      </c>
      <c r="AB35" s="58"/>
      <c r="AC35" s="58"/>
      <c r="AD35" s="76"/>
      <c r="AE35" s="55"/>
      <c r="AF35" s="55" t="s">
        <v>73</v>
      </c>
      <c r="AG35" s="55" t="s">
        <v>229</v>
      </c>
      <c r="AH35" s="55" t="s">
        <v>220</v>
      </c>
      <c r="AI35" s="55"/>
      <c r="AJ35" s="55" t="s">
        <v>208</v>
      </c>
      <c r="AK35" s="53"/>
      <c r="AL35" s="53"/>
      <c r="AM35" s="53"/>
      <c r="AN35" s="53"/>
      <c r="AO35" s="53"/>
    </row>
    <row r="36" spans="1:41">
      <c r="A36" s="55">
        <v>18</v>
      </c>
      <c r="B36" s="71" t="s">
        <v>93</v>
      </c>
      <c r="C36" s="55"/>
      <c r="D36" s="55">
        <v>2010</v>
      </c>
      <c r="E36" s="55">
        <v>1</v>
      </c>
      <c r="F36" s="55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>
        <v>0</v>
      </c>
      <c r="Y36" s="58"/>
      <c r="Z36" s="58"/>
      <c r="AA36" s="75">
        <v>-1</v>
      </c>
      <c r="AB36" s="58"/>
      <c r="AC36" s="58"/>
      <c r="AD36" s="76"/>
      <c r="AE36" s="55"/>
      <c r="AF36" s="55" t="s">
        <v>73</v>
      </c>
      <c r="AG36" s="55" t="s">
        <v>229</v>
      </c>
      <c r="AH36" s="55" t="s">
        <v>220</v>
      </c>
      <c r="AI36" s="55"/>
      <c r="AJ36" s="55" t="s">
        <v>208</v>
      </c>
      <c r="AK36" s="53"/>
      <c r="AL36" s="53"/>
      <c r="AM36" s="53"/>
      <c r="AN36" s="53"/>
      <c r="AO36" s="53"/>
    </row>
    <row r="37" spans="1:41">
      <c r="A37" s="55">
        <v>20</v>
      </c>
      <c r="B37" s="71" t="s">
        <v>58</v>
      </c>
      <c r="C37" s="55" t="s">
        <v>94</v>
      </c>
      <c r="D37" s="55">
        <v>2003</v>
      </c>
      <c r="E37" s="55">
        <v>1</v>
      </c>
      <c r="F37" s="55" t="s">
        <v>68</v>
      </c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>
        <v>0</v>
      </c>
      <c r="Y37" s="58"/>
      <c r="Z37" s="58"/>
      <c r="AA37" s="75">
        <v>-1</v>
      </c>
      <c r="AB37" s="58"/>
      <c r="AC37" s="58"/>
      <c r="AD37" s="76"/>
      <c r="AE37" s="55"/>
      <c r="AF37" s="55" t="s">
        <v>73</v>
      </c>
      <c r="AG37" s="55" t="s">
        <v>229</v>
      </c>
      <c r="AH37" s="55" t="s">
        <v>220</v>
      </c>
      <c r="AI37" s="55"/>
      <c r="AJ37" s="55" t="s">
        <v>208</v>
      </c>
      <c r="AK37" s="53"/>
      <c r="AL37" s="53"/>
      <c r="AM37" s="53"/>
      <c r="AN37" s="53"/>
      <c r="AO37" s="53"/>
    </row>
    <row r="38" spans="1:41">
      <c r="A38" s="55">
        <v>21</v>
      </c>
      <c r="B38" s="71" t="s">
        <v>95</v>
      </c>
      <c r="C38" s="55"/>
      <c r="D38" s="55">
        <v>2003</v>
      </c>
      <c r="E38" s="55">
        <v>1</v>
      </c>
      <c r="F38" s="55" t="s">
        <v>68</v>
      </c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>
        <v>0</v>
      </c>
      <c r="Y38" s="58"/>
      <c r="Z38" s="58"/>
      <c r="AA38" s="75">
        <v>-1</v>
      </c>
      <c r="AB38" s="58"/>
      <c r="AC38" s="58"/>
      <c r="AD38" s="76"/>
      <c r="AE38" s="55"/>
      <c r="AF38" s="55" t="s">
        <v>73</v>
      </c>
      <c r="AG38" s="55" t="s">
        <v>229</v>
      </c>
      <c r="AH38" s="55" t="s">
        <v>220</v>
      </c>
      <c r="AI38" s="55"/>
      <c r="AJ38" s="55" t="s">
        <v>208</v>
      </c>
      <c r="AK38" s="53"/>
      <c r="AL38" s="53"/>
      <c r="AM38" s="53"/>
      <c r="AN38" s="53"/>
      <c r="AO38" s="53"/>
    </row>
    <row r="39" spans="1:41" ht="38.25">
      <c r="A39" s="55">
        <v>22</v>
      </c>
      <c r="B39" s="71" t="s">
        <v>96</v>
      </c>
      <c r="C39" s="55"/>
      <c r="D39" s="55">
        <v>2017</v>
      </c>
      <c r="E39" s="55">
        <v>10</v>
      </c>
      <c r="F39" s="55" t="s">
        <v>68</v>
      </c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>
        <v>7</v>
      </c>
      <c r="Y39" s="58"/>
      <c r="Z39" s="58"/>
      <c r="AA39" s="77">
        <v>-3</v>
      </c>
      <c r="AB39" s="58"/>
      <c r="AC39" s="58"/>
      <c r="AD39" s="76"/>
      <c r="AE39" s="55"/>
      <c r="AF39" s="55" t="s">
        <v>73</v>
      </c>
      <c r="AG39" s="55" t="s">
        <v>81</v>
      </c>
      <c r="AH39" s="55" t="s">
        <v>224</v>
      </c>
      <c r="AI39" s="55"/>
      <c r="AJ39" s="55" t="s">
        <v>248</v>
      </c>
      <c r="AK39" s="53"/>
      <c r="AL39" s="53"/>
      <c r="AM39" s="53"/>
      <c r="AN39" s="53"/>
      <c r="AO39" s="53"/>
    </row>
    <row r="40" spans="1:41">
      <c r="A40" s="55">
        <v>23</v>
      </c>
      <c r="B40" s="71" t="s">
        <v>97</v>
      </c>
      <c r="C40" s="55"/>
      <c r="D40" s="55">
        <v>2015</v>
      </c>
      <c r="E40" s="55">
        <v>1</v>
      </c>
      <c r="F40" s="55" t="s">
        <v>98</v>
      </c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>
        <v>0</v>
      </c>
      <c r="Y40" s="58"/>
      <c r="Z40" s="58"/>
      <c r="AA40" s="58">
        <v>-1</v>
      </c>
      <c r="AB40" s="58"/>
      <c r="AC40" s="58"/>
      <c r="AD40" s="76"/>
      <c r="AE40" s="55"/>
      <c r="AF40" s="55" t="s">
        <v>73</v>
      </c>
      <c r="AG40" s="55" t="s">
        <v>229</v>
      </c>
      <c r="AH40" s="55" t="s">
        <v>220</v>
      </c>
      <c r="AI40" s="55"/>
      <c r="AJ40" s="55" t="s">
        <v>208</v>
      </c>
      <c r="AK40" s="53"/>
      <c r="AL40" s="53"/>
      <c r="AM40" s="53"/>
      <c r="AN40" s="53"/>
      <c r="AO40" s="53"/>
    </row>
    <row r="41" spans="1:41" ht="25.5">
      <c r="A41" s="55">
        <v>24</v>
      </c>
      <c r="B41" s="71" t="s">
        <v>67</v>
      </c>
      <c r="C41" s="55"/>
      <c r="D41" s="55">
        <v>2012</v>
      </c>
      <c r="E41" s="55">
        <v>2</v>
      </c>
      <c r="F41" s="55" t="s">
        <v>68</v>
      </c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>
        <v>1</v>
      </c>
      <c r="Y41" s="58"/>
      <c r="Z41" s="58"/>
      <c r="AA41" s="58">
        <v>-1</v>
      </c>
      <c r="AB41" s="58"/>
      <c r="AC41" s="58"/>
      <c r="AD41" s="76"/>
      <c r="AE41" s="55"/>
      <c r="AF41" s="55" t="s">
        <v>73</v>
      </c>
      <c r="AG41" s="55" t="s">
        <v>249</v>
      </c>
      <c r="AH41" s="55" t="s">
        <v>56</v>
      </c>
      <c r="AI41" s="55"/>
      <c r="AJ41" s="55" t="s">
        <v>250</v>
      </c>
      <c r="AK41" s="53"/>
      <c r="AL41" s="53"/>
      <c r="AM41" s="53"/>
      <c r="AN41" s="53"/>
      <c r="AO41" s="53"/>
    </row>
    <row r="42" spans="1:41" ht="38.25">
      <c r="A42" s="55">
        <v>25</v>
      </c>
      <c r="B42" s="71" t="s">
        <v>100</v>
      </c>
      <c r="C42" s="55"/>
      <c r="D42" s="55">
        <v>2012</v>
      </c>
      <c r="E42" s="55">
        <v>3</v>
      </c>
      <c r="F42" s="55" t="s">
        <v>68</v>
      </c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>
        <v>2</v>
      </c>
      <c r="Y42" s="58"/>
      <c r="Z42" s="58"/>
      <c r="AA42" s="58">
        <v>-1</v>
      </c>
      <c r="AB42" s="58"/>
      <c r="AC42" s="58"/>
      <c r="AD42" s="76"/>
      <c r="AE42" s="55"/>
      <c r="AF42" s="55" t="s">
        <v>73</v>
      </c>
      <c r="AG42" s="55" t="s">
        <v>251</v>
      </c>
      <c r="AH42" s="55" t="s">
        <v>56</v>
      </c>
      <c r="AI42" s="55"/>
      <c r="AJ42" s="55" t="s">
        <v>250</v>
      </c>
      <c r="AK42" s="53"/>
      <c r="AL42" s="53"/>
      <c r="AM42" s="53"/>
      <c r="AN42" s="53"/>
      <c r="AO42" s="53"/>
    </row>
    <row r="43" spans="1:41" ht="63.75">
      <c r="A43" s="55">
        <v>26</v>
      </c>
      <c r="B43" s="71" t="s">
        <v>102</v>
      </c>
      <c r="C43" s="55"/>
      <c r="D43" s="55">
        <v>2010</v>
      </c>
      <c r="E43" s="55">
        <v>2</v>
      </c>
      <c r="F43" s="55" t="s">
        <v>68</v>
      </c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>
        <v>0</v>
      </c>
      <c r="Y43" s="58"/>
      <c r="Z43" s="58"/>
      <c r="AA43" s="77">
        <v>-2</v>
      </c>
      <c r="AB43" s="58"/>
      <c r="AC43" s="58"/>
      <c r="AD43" s="76"/>
      <c r="AE43" s="55"/>
      <c r="AF43" s="55" t="s">
        <v>73</v>
      </c>
      <c r="AG43" s="55" t="s">
        <v>229</v>
      </c>
      <c r="AH43" s="55" t="s">
        <v>220</v>
      </c>
      <c r="AI43" s="55"/>
      <c r="AJ43" s="55" t="s">
        <v>208</v>
      </c>
      <c r="AK43" s="53" t="s">
        <v>195</v>
      </c>
      <c r="AL43" s="53"/>
      <c r="AM43" s="53"/>
      <c r="AN43" s="53"/>
      <c r="AO43" s="53"/>
    </row>
    <row r="44" spans="1:41">
      <c r="A44" s="55">
        <v>27</v>
      </c>
      <c r="B44" s="71" t="s">
        <v>178</v>
      </c>
      <c r="C44" s="55"/>
      <c r="D44" s="55">
        <v>2018</v>
      </c>
      <c r="E44" s="55">
        <v>2</v>
      </c>
      <c r="F44" s="55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>
        <v>2</v>
      </c>
      <c r="Y44" s="58"/>
      <c r="Z44" s="58"/>
      <c r="AA44" s="74"/>
      <c r="AB44" s="58"/>
      <c r="AC44" s="58"/>
      <c r="AD44" s="77"/>
      <c r="AE44" s="58"/>
      <c r="AF44" s="55" t="s">
        <v>73</v>
      </c>
      <c r="AG44" s="55" t="s">
        <v>90</v>
      </c>
      <c r="AH44" s="55" t="s">
        <v>56</v>
      </c>
      <c r="AI44" s="58"/>
      <c r="AJ44" s="58"/>
      <c r="AK44" s="47"/>
      <c r="AL44" s="47"/>
      <c r="AM44" s="47"/>
      <c r="AN44" s="47"/>
      <c r="AO44" s="47"/>
    </row>
    <row r="45" spans="1:41" ht="45">
      <c r="A45" s="107">
        <v>28</v>
      </c>
      <c r="B45" s="78" t="s">
        <v>187</v>
      </c>
      <c r="C45" s="79"/>
      <c r="D45" s="80">
        <v>2020</v>
      </c>
      <c r="E45" s="81">
        <v>5</v>
      </c>
      <c r="F45" s="82">
        <v>1</v>
      </c>
      <c r="G45" s="83"/>
      <c r="H45" s="84" t="s">
        <v>180</v>
      </c>
      <c r="I45" s="84" t="s">
        <v>181</v>
      </c>
      <c r="J45" s="107" t="s">
        <v>54</v>
      </c>
      <c r="K45" s="82" t="s">
        <v>182</v>
      </c>
      <c r="L45" s="82" t="s">
        <v>62</v>
      </c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>
        <v>2</v>
      </c>
      <c r="Y45" s="86"/>
      <c r="Z45" s="86"/>
      <c r="AA45" s="86">
        <v>-3</v>
      </c>
      <c r="AB45" s="86"/>
      <c r="AC45" s="86"/>
      <c r="AD45" s="86"/>
      <c r="AE45" s="86"/>
      <c r="AF45" s="55" t="s">
        <v>73</v>
      </c>
      <c r="AG45" s="55" t="s">
        <v>183</v>
      </c>
      <c r="AH45" s="55" t="s">
        <v>56</v>
      </c>
      <c r="AI45" s="53"/>
      <c r="AJ45" s="53" t="s">
        <v>254</v>
      </c>
      <c r="AK45" s="86" t="s">
        <v>252</v>
      </c>
      <c r="AL45" s="86"/>
      <c r="AM45" s="86"/>
      <c r="AN45" s="86"/>
      <c r="AO45" s="86"/>
    </row>
    <row r="46" spans="1:41">
      <c r="A46" s="55">
        <v>29</v>
      </c>
      <c r="B46" s="63" t="s">
        <v>198</v>
      </c>
      <c r="C46" s="87"/>
      <c r="D46" s="88">
        <v>2021</v>
      </c>
      <c r="E46" s="88">
        <v>1</v>
      </c>
      <c r="F46" s="89"/>
      <c r="G46" s="90"/>
      <c r="H46" s="90"/>
      <c r="I46" s="89"/>
      <c r="J46" s="90"/>
      <c r="K46" s="89"/>
      <c r="L46" s="90"/>
      <c r="M46" s="89"/>
      <c r="N46" s="89"/>
      <c r="O46" s="90"/>
      <c r="P46" s="90"/>
      <c r="Q46" s="90"/>
      <c r="R46" s="90"/>
      <c r="S46" s="90"/>
      <c r="T46" s="90"/>
      <c r="U46" s="90"/>
      <c r="V46" s="90"/>
      <c r="W46" s="90"/>
      <c r="X46" s="88">
        <v>4</v>
      </c>
      <c r="Y46" s="91"/>
      <c r="Z46" s="91"/>
      <c r="AA46" s="134" t="s">
        <v>253</v>
      </c>
      <c r="AB46" s="87"/>
      <c r="AC46" s="92"/>
      <c r="AD46" s="87"/>
      <c r="AE46" s="87"/>
      <c r="AF46" s="55" t="s">
        <v>73</v>
      </c>
      <c r="AG46" s="55" t="s">
        <v>183</v>
      </c>
      <c r="AH46" s="55" t="s">
        <v>56</v>
      </c>
      <c r="AI46" s="87"/>
      <c r="AJ46" s="93" t="s">
        <v>199</v>
      </c>
      <c r="AK46" s="53"/>
      <c r="AL46" s="53"/>
      <c r="AM46" s="53"/>
      <c r="AN46" s="53"/>
      <c r="AO46" s="53"/>
    </row>
    <row r="47" spans="1:41">
      <c r="A47" s="55"/>
      <c r="B47" s="314" t="s">
        <v>103</v>
      </c>
      <c r="C47" s="315"/>
      <c r="D47" s="315"/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Y47" s="315"/>
      <c r="Z47" s="315"/>
      <c r="AA47" s="315"/>
      <c r="AB47" s="315"/>
      <c r="AC47" s="315"/>
      <c r="AD47" s="315"/>
      <c r="AE47" s="315"/>
      <c r="AF47" s="315"/>
      <c r="AG47" s="315"/>
      <c r="AH47" s="315"/>
      <c r="AI47" s="315"/>
      <c r="AJ47" s="316"/>
      <c r="AK47" s="47"/>
      <c r="AL47" s="47"/>
      <c r="AM47" s="47"/>
      <c r="AN47" s="47"/>
      <c r="AO47" s="47"/>
    </row>
    <row r="48" spans="1:41">
      <c r="A48" s="55">
        <v>1</v>
      </c>
      <c r="B48" s="71" t="s">
        <v>64</v>
      </c>
      <c r="C48" s="55"/>
      <c r="D48" s="55"/>
      <c r="E48" s="55">
        <v>1</v>
      </c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>
        <v>0</v>
      </c>
      <c r="Y48" s="58"/>
      <c r="Z48" s="58"/>
      <c r="AA48" s="75">
        <v>-1</v>
      </c>
      <c r="AB48" s="58"/>
      <c r="AC48" s="58"/>
      <c r="AD48" s="72"/>
      <c r="AE48" s="58"/>
      <c r="AF48" s="55" t="s">
        <v>73</v>
      </c>
      <c r="AG48" s="55" t="s">
        <v>229</v>
      </c>
      <c r="AH48" s="55" t="s">
        <v>188</v>
      </c>
      <c r="AI48" s="58"/>
      <c r="AJ48" s="55" t="s">
        <v>208</v>
      </c>
      <c r="AK48" s="47"/>
      <c r="AL48" s="47"/>
      <c r="AM48" s="47"/>
      <c r="AN48" s="47"/>
      <c r="AO48" s="47"/>
    </row>
    <row r="49" spans="1:41">
      <c r="A49" s="55">
        <v>2</v>
      </c>
      <c r="B49" s="71" t="s">
        <v>65</v>
      </c>
      <c r="C49" s="55"/>
      <c r="D49" s="55">
        <v>2006</v>
      </c>
      <c r="E49" s="55">
        <v>1</v>
      </c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>
        <v>1</v>
      </c>
      <c r="Y49" s="58"/>
      <c r="Z49" s="58"/>
      <c r="AA49" s="75"/>
      <c r="AB49" s="58"/>
      <c r="AC49" s="58"/>
      <c r="AD49" s="73"/>
      <c r="AE49" s="55"/>
      <c r="AF49" s="55" t="s">
        <v>73</v>
      </c>
      <c r="AG49" s="58" t="s">
        <v>104</v>
      </c>
      <c r="AH49" s="55" t="s">
        <v>56</v>
      </c>
      <c r="AI49" s="55"/>
      <c r="AJ49" s="55"/>
      <c r="AK49" s="53"/>
      <c r="AL49" s="53"/>
      <c r="AM49" s="53"/>
      <c r="AN49" s="53"/>
      <c r="AO49" s="53"/>
    </row>
    <row r="50" spans="1:41">
      <c r="A50" s="55">
        <v>3</v>
      </c>
      <c r="B50" s="71" t="s">
        <v>71</v>
      </c>
      <c r="C50" s="55"/>
      <c r="D50" s="55">
        <v>2014</v>
      </c>
      <c r="E50" s="55">
        <v>4</v>
      </c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>
        <v>0</v>
      </c>
      <c r="Y50" s="58"/>
      <c r="Z50" s="58"/>
      <c r="AA50" s="75">
        <v>-4</v>
      </c>
      <c r="AB50" s="58"/>
      <c r="AC50" s="58"/>
      <c r="AD50" s="73"/>
      <c r="AE50" s="55"/>
      <c r="AF50" s="55" t="s">
        <v>73</v>
      </c>
      <c r="AG50" s="55" t="s">
        <v>229</v>
      </c>
      <c r="AH50" s="55" t="s">
        <v>220</v>
      </c>
      <c r="AI50" s="55"/>
      <c r="AJ50" s="55" t="s">
        <v>208</v>
      </c>
      <c r="AK50" s="53"/>
      <c r="AL50" s="53"/>
      <c r="AM50" s="53"/>
      <c r="AN50" s="53"/>
      <c r="AO50" s="53"/>
    </row>
    <row r="51" spans="1:41">
      <c r="A51" s="55">
        <v>4</v>
      </c>
      <c r="B51" s="71" t="s">
        <v>66</v>
      </c>
      <c r="C51" s="55"/>
      <c r="D51" s="55">
        <v>2014</v>
      </c>
      <c r="E51" s="55">
        <v>1</v>
      </c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5">
        <v>1</v>
      </c>
      <c r="Y51" s="58"/>
      <c r="Z51" s="58"/>
      <c r="AA51" s="75"/>
      <c r="AB51" s="58"/>
      <c r="AC51" s="58"/>
      <c r="AD51" s="94"/>
      <c r="AE51" s="55"/>
      <c r="AF51" s="55" t="s">
        <v>73</v>
      </c>
      <c r="AG51" s="58" t="s">
        <v>104</v>
      </c>
      <c r="AH51" s="55" t="s">
        <v>56</v>
      </c>
      <c r="AI51" s="55"/>
      <c r="AJ51" s="55"/>
      <c r="AK51" s="53"/>
      <c r="AL51" s="53"/>
      <c r="AM51" s="53"/>
      <c r="AN51" s="53"/>
      <c r="AO51" s="53"/>
    </row>
    <row r="52" spans="1:41">
      <c r="A52" s="55">
        <v>5</v>
      </c>
      <c r="B52" s="71" t="s">
        <v>62</v>
      </c>
      <c r="C52" s="55"/>
      <c r="D52" s="55">
        <v>2017</v>
      </c>
      <c r="E52" s="55">
        <v>1</v>
      </c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5">
        <v>0</v>
      </c>
      <c r="Y52" s="58"/>
      <c r="Z52" s="58"/>
      <c r="AA52" s="75">
        <v>-1</v>
      </c>
      <c r="AB52" s="58"/>
      <c r="AC52" s="58"/>
      <c r="AD52" s="94"/>
      <c r="AE52" s="55"/>
      <c r="AF52" s="55" t="s">
        <v>73</v>
      </c>
      <c r="AG52" s="55" t="s">
        <v>229</v>
      </c>
      <c r="AH52" s="55" t="s">
        <v>188</v>
      </c>
      <c r="AI52" s="55"/>
      <c r="AJ52" s="55" t="s">
        <v>208</v>
      </c>
      <c r="AK52" s="53"/>
      <c r="AL52" s="53"/>
      <c r="AM52" s="53"/>
      <c r="AN52" s="53"/>
      <c r="AO52" s="53"/>
    </row>
    <row r="53" spans="1:41">
      <c r="A53" s="55">
        <v>6</v>
      </c>
      <c r="B53" s="71" t="s">
        <v>105</v>
      </c>
      <c r="C53" s="55"/>
      <c r="D53" s="55">
        <v>2017</v>
      </c>
      <c r="E53" s="55">
        <v>1</v>
      </c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5">
        <v>0</v>
      </c>
      <c r="Y53" s="58"/>
      <c r="Z53" s="58"/>
      <c r="AA53" s="75">
        <v>-1</v>
      </c>
      <c r="AB53" s="58"/>
      <c r="AC53" s="58"/>
      <c r="AD53" s="95"/>
      <c r="AE53" s="55"/>
      <c r="AF53" s="55" t="s">
        <v>73</v>
      </c>
      <c r="AG53" s="55" t="s">
        <v>229</v>
      </c>
      <c r="AH53" s="55" t="s">
        <v>188</v>
      </c>
      <c r="AI53" s="55"/>
      <c r="AJ53" s="55" t="s">
        <v>208</v>
      </c>
      <c r="AK53" s="53"/>
      <c r="AL53" s="53"/>
      <c r="AM53" s="53"/>
      <c r="AN53" s="53"/>
      <c r="AO53" s="53"/>
    </row>
    <row r="54" spans="1:41">
      <c r="A54" s="55"/>
      <c r="B54" s="314" t="s">
        <v>234</v>
      </c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Y54" s="315"/>
      <c r="Z54" s="315"/>
      <c r="AA54" s="315"/>
      <c r="AB54" s="315"/>
      <c r="AC54" s="315"/>
      <c r="AD54" s="315"/>
      <c r="AE54" s="315"/>
      <c r="AF54" s="315"/>
      <c r="AG54" s="315"/>
      <c r="AH54" s="315"/>
      <c r="AI54" s="315"/>
      <c r="AJ54" s="316"/>
      <c r="AK54" s="53"/>
      <c r="AL54" s="53"/>
      <c r="AM54" s="53"/>
      <c r="AN54" s="53"/>
      <c r="AO54" s="53"/>
    </row>
    <row r="55" spans="1:41">
      <c r="A55" s="55">
        <v>2</v>
      </c>
      <c r="B55" s="71" t="s">
        <v>82</v>
      </c>
      <c r="C55" s="55"/>
      <c r="D55" s="55">
        <v>2011</v>
      </c>
      <c r="E55" s="55">
        <v>3</v>
      </c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5">
        <v>0</v>
      </c>
      <c r="Y55" s="58"/>
      <c r="Z55" s="58"/>
      <c r="AA55" s="75">
        <v>-3</v>
      </c>
      <c r="AB55" s="58"/>
      <c r="AC55" s="58"/>
      <c r="AD55" s="94"/>
      <c r="AE55" s="55"/>
      <c r="AF55" s="55" t="s">
        <v>73</v>
      </c>
      <c r="AG55" s="55" t="s">
        <v>229</v>
      </c>
      <c r="AH55" s="55" t="s">
        <v>220</v>
      </c>
      <c r="AI55" s="55"/>
      <c r="AJ55" s="55" t="s">
        <v>208</v>
      </c>
      <c r="AK55" s="53"/>
      <c r="AL55" s="53"/>
      <c r="AM55" s="53"/>
      <c r="AN55" s="53"/>
      <c r="AO55" s="53"/>
    </row>
    <row r="56" spans="1:41">
      <c r="A56" s="55">
        <v>3</v>
      </c>
      <c r="B56" s="71" t="s">
        <v>70</v>
      </c>
      <c r="C56" s="55"/>
      <c r="D56" s="55">
        <v>2016</v>
      </c>
      <c r="E56" s="55">
        <v>5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5">
        <v>0</v>
      </c>
      <c r="Y56" s="58"/>
      <c r="Z56" s="58"/>
      <c r="AA56" s="75">
        <v>-5</v>
      </c>
      <c r="AB56" s="58"/>
      <c r="AC56" s="58"/>
      <c r="AD56" s="94"/>
      <c r="AE56" s="55"/>
      <c r="AF56" s="55" t="s">
        <v>73</v>
      </c>
      <c r="AG56" s="55" t="s">
        <v>229</v>
      </c>
      <c r="AH56" s="55" t="s">
        <v>220</v>
      </c>
      <c r="AI56" s="55"/>
      <c r="AJ56" s="55" t="s">
        <v>208</v>
      </c>
      <c r="AK56" s="53"/>
      <c r="AL56" s="53"/>
      <c r="AM56" s="53"/>
      <c r="AN56" s="53"/>
      <c r="AO56" s="53"/>
    </row>
    <row r="57" spans="1:41">
      <c r="A57" s="55">
        <v>4</v>
      </c>
      <c r="B57" s="71" t="s">
        <v>108</v>
      </c>
      <c r="C57" s="55"/>
      <c r="D57" s="55">
        <v>2018</v>
      </c>
      <c r="E57" s="55">
        <v>1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5">
        <v>0</v>
      </c>
      <c r="Y57" s="58"/>
      <c r="Z57" s="58"/>
      <c r="AA57" s="75">
        <v>-1</v>
      </c>
      <c r="AB57" s="58"/>
      <c r="AC57" s="58"/>
      <c r="AD57" s="94"/>
      <c r="AE57" s="55"/>
      <c r="AF57" s="55" t="s">
        <v>73</v>
      </c>
      <c r="AG57" s="55" t="s">
        <v>229</v>
      </c>
      <c r="AH57" s="55" t="s">
        <v>220</v>
      </c>
      <c r="AI57" s="55"/>
      <c r="AJ57" s="55" t="s">
        <v>208</v>
      </c>
      <c r="AK57" s="53"/>
      <c r="AL57" s="53"/>
      <c r="AM57" s="53"/>
      <c r="AN57" s="53"/>
      <c r="AO57" s="53"/>
    </row>
    <row r="58" spans="1:41">
      <c r="A58" s="55">
        <v>6</v>
      </c>
      <c r="B58" s="71" t="s">
        <v>59</v>
      </c>
      <c r="C58" s="55"/>
      <c r="D58" s="55">
        <v>2016</v>
      </c>
      <c r="E58" s="55">
        <v>5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5">
        <v>0</v>
      </c>
      <c r="Y58" s="58"/>
      <c r="Z58" s="58"/>
      <c r="AA58" s="75">
        <v>-5</v>
      </c>
      <c r="AB58" s="58"/>
      <c r="AC58" s="58"/>
      <c r="AD58" s="94"/>
      <c r="AE58" s="55"/>
      <c r="AF58" s="55" t="s">
        <v>73</v>
      </c>
      <c r="AG58" s="55" t="s">
        <v>229</v>
      </c>
      <c r="AH58" s="55" t="s">
        <v>220</v>
      </c>
      <c r="AI58" s="55"/>
      <c r="AJ58" s="55" t="s">
        <v>208</v>
      </c>
      <c r="AK58" s="53"/>
      <c r="AL58" s="53"/>
      <c r="AM58" s="53"/>
      <c r="AN58" s="53"/>
      <c r="AO58" s="53"/>
    </row>
    <row r="59" spans="1:41" ht="76.5">
      <c r="A59" s="55">
        <v>7</v>
      </c>
      <c r="B59" s="71" t="s">
        <v>53</v>
      </c>
      <c r="C59" s="55"/>
      <c r="D59" s="55">
        <v>2016</v>
      </c>
      <c r="E59" s="55">
        <v>4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5">
        <v>0</v>
      </c>
      <c r="Y59" s="58"/>
      <c r="Z59" s="58"/>
      <c r="AA59" s="75">
        <v>-4</v>
      </c>
      <c r="AB59" s="58"/>
      <c r="AC59" s="58"/>
      <c r="AD59" s="94"/>
      <c r="AE59" s="55"/>
      <c r="AF59" s="55" t="s">
        <v>73</v>
      </c>
      <c r="AG59" s="55" t="s">
        <v>237</v>
      </c>
      <c r="AH59" s="55" t="s">
        <v>220</v>
      </c>
      <c r="AI59" s="55"/>
      <c r="AJ59" s="56" t="s">
        <v>196</v>
      </c>
      <c r="AK59" s="53" t="s">
        <v>192</v>
      </c>
      <c r="AL59" s="53"/>
      <c r="AM59" s="53"/>
      <c r="AN59" s="53"/>
      <c r="AO59" s="53"/>
    </row>
    <row r="60" spans="1:41">
      <c r="A60" s="55">
        <v>8</v>
      </c>
      <c r="B60" s="71" t="s">
        <v>109</v>
      </c>
      <c r="C60" s="55"/>
      <c r="D60" s="55">
        <v>2004</v>
      </c>
      <c r="E60" s="55">
        <v>1</v>
      </c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5">
        <v>0</v>
      </c>
      <c r="Y60" s="58"/>
      <c r="Z60" s="58"/>
      <c r="AA60" s="75">
        <v>-1</v>
      </c>
      <c r="AB60" s="58"/>
      <c r="AC60" s="58"/>
      <c r="AD60" s="95"/>
      <c r="AE60" s="55"/>
      <c r="AF60" s="55" t="s">
        <v>73</v>
      </c>
      <c r="AG60" s="55" t="s">
        <v>183</v>
      </c>
      <c r="AH60" s="55" t="s">
        <v>56</v>
      </c>
      <c r="AI60" s="58"/>
      <c r="AJ60" s="55" t="s">
        <v>209</v>
      </c>
      <c r="AK60" s="53"/>
      <c r="AL60" s="53"/>
      <c r="AM60" s="53"/>
      <c r="AN60" s="53"/>
      <c r="AO60" s="53"/>
    </row>
    <row r="61" spans="1:41">
      <c r="A61" s="55">
        <v>9</v>
      </c>
      <c r="B61" s="71" t="s">
        <v>110</v>
      </c>
      <c r="C61" s="55"/>
      <c r="D61" s="55">
        <v>2004</v>
      </c>
      <c r="E61" s="55">
        <v>1</v>
      </c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5">
        <v>1</v>
      </c>
      <c r="Y61" s="58"/>
      <c r="Z61" s="58"/>
      <c r="AA61" s="75"/>
      <c r="AB61" s="58"/>
      <c r="AC61" s="58"/>
      <c r="AD61" s="95"/>
      <c r="AE61" s="55"/>
      <c r="AF61" s="55" t="s">
        <v>73</v>
      </c>
      <c r="AG61" s="55" t="s">
        <v>107</v>
      </c>
      <c r="AH61" s="55" t="s">
        <v>56</v>
      </c>
      <c r="AI61" s="58"/>
      <c r="AJ61" s="55"/>
      <c r="AK61" s="53"/>
      <c r="AL61" s="53"/>
      <c r="AM61" s="53"/>
      <c r="AN61" s="53"/>
      <c r="AO61" s="53"/>
    </row>
    <row r="62" spans="1:41">
      <c r="A62" s="55">
        <v>11</v>
      </c>
      <c r="B62" s="71" t="s">
        <v>111</v>
      </c>
      <c r="C62" s="55"/>
      <c r="D62" s="55">
        <v>2007</v>
      </c>
      <c r="E62" s="55">
        <v>1</v>
      </c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5">
        <v>1</v>
      </c>
      <c r="Y62" s="58"/>
      <c r="Z62" s="58"/>
      <c r="AA62" s="75"/>
      <c r="AB62" s="58"/>
      <c r="AC62" s="58"/>
      <c r="AD62" s="94"/>
      <c r="AE62" s="55"/>
      <c r="AF62" s="55" t="s">
        <v>73</v>
      </c>
      <c r="AG62" s="55" t="s">
        <v>107</v>
      </c>
      <c r="AH62" s="55" t="s">
        <v>56</v>
      </c>
      <c r="AI62" s="55"/>
      <c r="AJ62" s="55"/>
      <c r="AK62" s="53"/>
      <c r="AL62" s="53"/>
      <c r="AM62" s="53"/>
      <c r="AN62" s="53"/>
      <c r="AO62" s="53"/>
    </row>
    <row r="63" spans="1:41">
      <c r="A63" s="55">
        <v>12</v>
      </c>
      <c r="B63" s="71" t="s">
        <v>112</v>
      </c>
      <c r="C63" s="55"/>
      <c r="D63" s="55">
        <v>2003</v>
      </c>
      <c r="E63" s="55">
        <v>1</v>
      </c>
      <c r="F63" s="96"/>
      <c r="G63" s="96"/>
      <c r="H63" s="96"/>
      <c r="I63" s="97"/>
      <c r="J63" s="97"/>
      <c r="K63" s="58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55">
        <v>1</v>
      </c>
      <c r="Y63" s="97"/>
      <c r="Z63" s="96"/>
      <c r="AA63" s="98"/>
      <c r="AB63" s="97"/>
      <c r="AC63" s="97"/>
      <c r="AD63" s="99"/>
      <c r="AE63" s="71"/>
      <c r="AF63" s="55" t="s">
        <v>73</v>
      </c>
      <c r="AG63" s="55" t="s">
        <v>107</v>
      </c>
      <c r="AH63" s="55" t="s">
        <v>56</v>
      </c>
      <c r="AI63" s="71"/>
      <c r="AJ63" s="55"/>
      <c r="AK63" s="53"/>
      <c r="AL63" s="53"/>
      <c r="AM63" s="53"/>
      <c r="AN63" s="53"/>
      <c r="AO63" s="53"/>
    </row>
    <row r="64" spans="1:41">
      <c r="A64" s="55"/>
      <c r="B64" s="100" t="s">
        <v>172</v>
      </c>
      <c r="C64" s="56"/>
      <c r="D64" s="55"/>
      <c r="E64" s="55"/>
      <c r="F64" s="96"/>
      <c r="G64" s="96"/>
      <c r="H64" s="97"/>
      <c r="I64" s="97"/>
      <c r="J64" s="97"/>
      <c r="K64" s="58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55"/>
      <c r="Y64" s="97"/>
      <c r="Z64" s="96"/>
      <c r="AA64" s="98"/>
      <c r="AB64" s="97"/>
      <c r="AC64" s="97"/>
      <c r="AD64" s="101"/>
      <c r="AE64" s="71"/>
      <c r="AF64" s="55"/>
      <c r="AG64" s="55"/>
      <c r="AH64" s="55"/>
      <c r="AI64" s="55"/>
      <c r="AJ64" s="55"/>
      <c r="AK64" s="329"/>
      <c r="AL64" s="330"/>
      <c r="AM64" s="330"/>
      <c r="AN64" s="330"/>
      <c r="AO64" s="53"/>
    </row>
    <row r="65" spans="1:41">
      <c r="A65" s="55"/>
      <c r="B65" s="100" t="s">
        <v>114</v>
      </c>
      <c r="C65" s="56"/>
      <c r="D65" s="55"/>
      <c r="E65" s="55"/>
      <c r="F65" s="96"/>
      <c r="G65" s="96"/>
      <c r="H65" s="97"/>
      <c r="I65" s="97"/>
      <c r="J65" s="97"/>
      <c r="K65" s="58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55"/>
      <c r="Y65" s="97"/>
      <c r="Z65" s="96"/>
      <c r="AA65" s="98"/>
      <c r="AB65" s="97"/>
      <c r="AC65" s="97"/>
      <c r="AD65" s="101"/>
      <c r="AE65" s="71"/>
      <c r="AF65" s="55"/>
      <c r="AG65" s="55"/>
      <c r="AH65" s="55"/>
      <c r="AI65" s="55"/>
      <c r="AJ65" s="55"/>
      <c r="AK65" s="53"/>
      <c r="AL65" s="53"/>
      <c r="AM65" s="53"/>
      <c r="AN65" s="53"/>
      <c r="AO65" s="53"/>
    </row>
    <row r="66" spans="1:41" ht="25.5">
      <c r="A66" s="55">
        <v>2</v>
      </c>
      <c r="B66" s="71" t="s">
        <v>82</v>
      </c>
      <c r="C66" s="55"/>
      <c r="D66" s="55">
        <v>2016</v>
      </c>
      <c r="E66" s="55">
        <v>2</v>
      </c>
      <c r="F66" s="96"/>
      <c r="G66" s="96"/>
      <c r="H66" s="97"/>
      <c r="I66" s="97"/>
      <c r="J66" s="97"/>
      <c r="K66" s="58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55">
        <v>0</v>
      </c>
      <c r="Y66" s="97"/>
      <c r="Z66" s="96"/>
      <c r="AA66" s="98">
        <v>-2</v>
      </c>
      <c r="AB66" s="97"/>
      <c r="AC66" s="97"/>
      <c r="AD66" s="101"/>
      <c r="AE66" s="71"/>
      <c r="AF66" s="55" t="s">
        <v>73</v>
      </c>
      <c r="AG66" s="55" t="s">
        <v>210</v>
      </c>
      <c r="AH66" s="55"/>
      <c r="AI66" s="55"/>
      <c r="AJ66" s="55" t="s">
        <v>210</v>
      </c>
      <c r="AK66" s="329"/>
      <c r="AL66" s="330"/>
      <c r="AM66" s="330"/>
      <c r="AN66" s="330"/>
      <c r="AO66" s="330"/>
    </row>
    <row r="67" spans="1:41" ht="25.5">
      <c r="A67" s="55">
        <v>3</v>
      </c>
      <c r="B67" s="71" t="s">
        <v>70</v>
      </c>
      <c r="C67" s="55"/>
      <c r="D67" s="55">
        <v>2016</v>
      </c>
      <c r="E67" s="55">
        <v>1</v>
      </c>
      <c r="F67" s="96"/>
      <c r="G67" s="96"/>
      <c r="H67" s="97"/>
      <c r="I67" s="97"/>
      <c r="J67" s="97"/>
      <c r="K67" s="58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55">
        <v>0</v>
      </c>
      <c r="Y67" s="97"/>
      <c r="Z67" s="96"/>
      <c r="AA67" s="75">
        <v>-1</v>
      </c>
      <c r="AB67" s="97"/>
      <c r="AC67" s="97"/>
      <c r="AD67" s="101"/>
      <c r="AE67" s="71"/>
      <c r="AF67" s="55" t="s">
        <v>73</v>
      </c>
      <c r="AG67" s="55" t="s">
        <v>211</v>
      </c>
      <c r="AH67" s="55"/>
      <c r="AI67" s="55"/>
      <c r="AJ67" s="55" t="s">
        <v>211</v>
      </c>
      <c r="AK67" s="329"/>
      <c r="AL67" s="330"/>
      <c r="AM67" s="330"/>
      <c r="AN67" s="330"/>
      <c r="AO67" s="330"/>
    </row>
    <row r="68" spans="1:41">
      <c r="A68" s="55">
        <v>4</v>
      </c>
      <c r="B68" s="71" t="s">
        <v>59</v>
      </c>
      <c r="C68" s="55"/>
      <c r="D68" s="55">
        <v>2016</v>
      </c>
      <c r="E68" s="55">
        <v>4</v>
      </c>
      <c r="F68" s="96"/>
      <c r="G68" s="96"/>
      <c r="H68" s="97"/>
      <c r="I68" s="97"/>
      <c r="J68" s="97"/>
      <c r="K68" s="58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55">
        <v>0</v>
      </c>
      <c r="Y68" s="97"/>
      <c r="Z68" s="96"/>
      <c r="AA68" s="98">
        <v>-4</v>
      </c>
      <c r="AB68" s="97"/>
      <c r="AC68" s="97"/>
      <c r="AD68" s="101"/>
      <c r="AE68" s="71"/>
      <c r="AF68" s="55" t="s">
        <v>73</v>
      </c>
      <c r="AG68" s="55" t="s">
        <v>212</v>
      </c>
      <c r="AH68" s="55"/>
      <c r="AI68" s="55"/>
      <c r="AJ68" s="55" t="s">
        <v>212</v>
      </c>
      <c r="AK68" s="53"/>
      <c r="AL68" s="53"/>
      <c r="AM68" s="53"/>
      <c r="AN68" s="53"/>
      <c r="AO68" s="53"/>
    </row>
    <row r="69" spans="1:41">
      <c r="A69" s="55"/>
      <c r="B69" s="102" t="s">
        <v>116</v>
      </c>
      <c r="C69" s="55"/>
      <c r="D69" s="55"/>
      <c r="E69" s="55"/>
      <c r="F69" s="96"/>
      <c r="G69" s="96"/>
      <c r="H69" s="97"/>
      <c r="I69" s="97"/>
      <c r="J69" s="97"/>
      <c r="K69" s="58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55"/>
      <c r="Y69" s="97"/>
      <c r="Z69" s="96"/>
      <c r="AA69" s="98"/>
      <c r="AB69" s="97"/>
      <c r="AC69" s="97"/>
      <c r="AD69" s="101"/>
      <c r="AE69" s="71"/>
      <c r="AF69" s="55"/>
      <c r="AG69" s="55"/>
      <c r="AH69" s="55"/>
      <c r="AI69" s="55"/>
      <c r="AJ69" s="55"/>
      <c r="AK69" s="53"/>
      <c r="AL69" s="53"/>
      <c r="AM69" s="53"/>
      <c r="AN69" s="53"/>
      <c r="AO69" s="53"/>
    </row>
    <row r="70" spans="1:41">
      <c r="A70" s="55">
        <v>1</v>
      </c>
      <c r="B70" s="71" t="s">
        <v>117</v>
      </c>
      <c r="C70" s="55"/>
      <c r="D70" s="55">
        <v>2015</v>
      </c>
      <c r="E70" s="55">
        <v>1</v>
      </c>
      <c r="F70" s="96"/>
      <c r="G70" s="96"/>
      <c r="H70" s="97"/>
      <c r="I70" s="97"/>
      <c r="J70" s="97"/>
      <c r="K70" s="58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55">
        <v>0</v>
      </c>
      <c r="Y70" s="97"/>
      <c r="Z70" s="96"/>
      <c r="AA70" s="98">
        <v>-1</v>
      </c>
      <c r="AB70" s="97"/>
      <c r="AC70" s="97"/>
      <c r="AD70" s="101"/>
      <c r="AE70" s="71"/>
      <c r="AF70" s="55" t="s">
        <v>73</v>
      </c>
      <c r="AG70" s="55" t="s">
        <v>213</v>
      </c>
      <c r="AH70" s="55"/>
      <c r="AI70" s="55"/>
      <c r="AJ70" s="55" t="s">
        <v>213</v>
      </c>
      <c r="AK70" s="53"/>
      <c r="AL70" s="53"/>
      <c r="AM70" s="53"/>
      <c r="AN70" s="53"/>
      <c r="AO70" s="53"/>
    </row>
    <row r="71" spans="1:41">
      <c r="A71" s="55">
        <v>3</v>
      </c>
      <c r="B71" s="71" t="s">
        <v>118</v>
      </c>
      <c r="C71" s="55"/>
      <c r="D71" s="55">
        <v>2016</v>
      </c>
      <c r="E71" s="55">
        <v>1</v>
      </c>
      <c r="F71" s="96"/>
      <c r="G71" s="96"/>
      <c r="H71" s="97"/>
      <c r="I71" s="97"/>
      <c r="J71" s="97"/>
      <c r="K71" s="58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55">
        <v>0</v>
      </c>
      <c r="Y71" s="97"/>
      <c r="Z71" s="96"/>
      <c r="AA71" s="98">
        <v>-1</v>
      </c>
      <c r="AB71" s="97"/>
      <c r="AC71" s="97"/>
      <c r="AD71" s="101"/>
      <c r="AE71" s="71"/>
      <c r="AF71" s="55" t="s">
        <v>73</v>
      </c>
      <c r="AG71" s="55" t="s">
        <v>213</v>
      </c>
      <c r="AH71" s="55"/>
      <c r="AI71" s="55"/>
      <c r="AJ71" s="55" t="s">
        <v>213</v>
      </c>
      <c r="AK71" s="53"/>
      <c r="AL71" s="53"/>
      <c r="AM71" s="53"/>
      <c r="AN71" s="53"/>
      <c r="AO71" s="53"/>
    </row>
    <row r="72" spans="1:41">
      <c r="A72" s="55">
        <v>4</v>
      </c>
      <c r="B72" s="71" t="s">
        <v>119</v>
      </c>
      <c r="C72" s="55"/>
      <c r="D72" s="55">
        <v>2014</v>
      </c>
      <c r="E72" s="55">
        <v>1</v>
      </c>
      <c r="F72" s="96"/>
      <c r="G72" s="96"/>
      <c r="H72" s="97"/>
      <c r="I72" s="97"/>
      <c r="J72" s="97"/>
      <c r="K72" s="58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55">
        <v>0</v>
      </c>
      <c r="Y72" s="97"/>
      <c r="Z72" s="96"/>
      <c r="AA72" s="98">
        <v>-1</v>
      </c>
      <c r="AB72" s="97"/>
      <c r="AC72" s="97"/>
      <c r="AD72" s="101"/>
      <c r="AE72" s="71"/>
      <c r="AF72" s="55" t="s">
        <v>73</v>
      </c>
      <c r="AG72" s="55" t="s">
        <v>214</v>
      </c>
      <c r="AH72" s="55"/>
      <c r="AI72" s="55"/>
      <c r="AJ72" s="55" t="s">
        <v>214</v>
      </c>
      <c r="AK72" s="53"/>
      <c r="AL72" s="53"/>
      <c r="AM72" s="53"/>
      <c r="AN72" s="53"/>
      <c r="AO72" s="53"/>
    </row>
    <row r="73" spans="1:41" ht="25.5">
      <c r="A73" s="55">
        <v>5</v>
      </c>
      <c r="B73" s="71" t="s">
        <v>69</v>
      </c>
      <c r="C73" s="55"/>
      <c r="D73" s="55">
        <v>2003</v>
      </c>
      <c r="E73" s="55">
        <v>1</v>
      </c>
      <c r="F73" s="96"/>
      <c r="G73" s="96"/>
      <c r="H73" s="97"/>
      <c r="I73" s="97"/>
      <c r="J73" s="97"/>
      <c r="K73" s="58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55">
        <v>0</v>
      </c>
      <c r="Y73" s="97"/>
      <c r="Z73" s="96"/>
      <c r="AA73" s="98">
        <v>-1</v>
      </c>
      <c r="AB73" s="97"/>
      <c r="AC73" s="97"/>
      <c r="AD73" s="101"/>
      <c r="AE73" s="71"/>
      <c r="AF73" s="55" t="s">
        <v>73</v>
      </c>
      <c r="AG73" s="55" t="s">
        <v>215</v>
      </c>
      <c r="AH73" s="55"/>
      <c r="AI73" s="55"/>
      <c r="AJ73" s="55" t="s">
        <v>215</v>
      </c>
      <c r="AK73" s="53"/>
      <c r="AL73" s="53"/>
      <c r="AM73" s="53"/>
      <c r="AN73" s="53"/>
      <c r="AO73" s="53"/>
    </row>
    <row r="74" spans="1:41">
      <c r="A74" s="55">
        <v>6</v>
      </c>
      <c r="B74" s="71" t="s">
        <v>120</v>
      </c>
      <c r="C74" s="55"/>
      <c r="D74" s="55">
        <v>2005</v>
      </c>
      <c r="E74" s="55">
        <v>1</v>
      </c>
      <c r="F74" s="96"/>
      <c r="G74" s="96"/>
      <c r="H74" s="97"/>
      <c r="I74" s="97"/>
      <c r="J74" s="97"/>
      <c r="K74" s="58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55">
        <v>0</v>
      </c>
      <c r="Y74" s="97"/>
      <c r="Z74" s="96"/>
      <c r="AA74" s="98">
        <v>-1</v>
      </c>
      <c r="AB74" s="97"/>
      <c r="AC74" s="97"/>
      <c r="AD74" s="101"/>
      <c r="AE74" s="71"/>
      <c r="AF74" s="55" t="s">
        <v>73</v>
      </c>
      <c r="AG74" s="55" t="s">
        <v>235</v>
      </c>
      <c r="AH74" s="55" t="s">
        <v>220</v>
      </c>
      <c r="AI74" s="55"/>
      <c r="AJ74" s="55" t="s">
        <v>216</v>
      </c>
      <c r="AK74" s="53"/>
      <c r="AL74" s="53"/>
      <c r="AM74" s="53"/>
      <c r="AN74" s="53"/>
      <c r="AO74" s="53"/>
    </row>
    <row r="75" spans="1:41">
      <c r="A75" s="55">
        <v>7</v>
      </c>
      <c r="B75" s="71" t="s">
        <v>121</v>
      </c>
      <c r="C75" s="55"/>
      <c r="D75" s="55">
        <v>2005</v>
      </c>
      <c r="E75" s="55">
        <v>1</v>
      </c>
      <c r="F75" s="96"/>
      <c r="G75" s="96"/>
      <c r="H75" s="97"/>
      <c r="I75" s="97"/>
      <c r="J75" s="97"/>
      <c r="K75" s="58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55">
        <v>0</v>
      </c>
      <c r="Y75" s="97"/>
      <c r="Z75" s="96"/>
      <c r="AA75" s="98">
        <v>-1</v>
      </c>
      <c r="AB75" s="97"/>
      <c r="AC75" s="97"/>
      <c r="AD75" s="101"/>
      <c r="AE75" s="71"/>
      <c r="AF75" s="55" t="s">
        <v>73</v>
      </c>
      <c r="AG75" s="55" t="s">
        <v>235</v>
      </c>
      <c r="AH75" s="55" t="s">
        <v>220</v>
      </c>
      <c r="AI75" s="55"/>
      <c r="AJ75" s="55" t="s">
        <v>216</v>
      </c>
      <c r="AK75" s="53"/>
      <c r="AL75" s="53"/>
      <c r="AM75" s="53"/>
      <c r="AN75" s="53"/>
      <c r="AO75" s="53"/>
    </row>
    <row r="76" spans="1:41" ht="38.25">
      <c r="A76" s="55">
        <v>9</v>
      </c>
      <c r="B76" s="71" t="s">
        <v>123</v>
      </c>
      <c r="C76" s="55"/>
      <c r="D76" s="55">
        <v>2008</v>
      </c>
      <c r="E76" s="55">
        <v>1</v>
      </c>
      <c r="F76" s="103"/>
      <c r="G76" s="100" t="s">
        <v>42</v>
      </c>
      <c r="H76" s="100"/>
      <c r="I76" s="100"/>
      <c r="J76" s="100"/>
      <c r="K76" s="57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55">
        <v>0</v>
      </c>
      <c r="Y76" s="100"/>
      <c r="Z76" s="100"/>
      <c r="AA76" s="98">
        <v>-1</v>
      </c>
      <c r="AB76" s="104" t="s">
        <v>43</v>
      </c>
      <c r="AC76" s="100"/>
      <c r="AD76" s="100"/>
      <c r="AE76" s="100"/>
      <c r="AF76" s="55" t="s">
        <v>73</v>
      </c>
      <c r="AG76" s="55" t="s">
        <v>235</v>
      </c>
      <c r="AH76" s="55" t="s">
        <v>220</v>
      </c>
      <c r="AI76" s="100"/>
      <c r="AJ76" s="55" t="s">
        <v>216</v>
      </c>
      <c r="AK76" s="54"/>
      <c r="AL76" s="54"/>
      <c r="AM76" s="54"/>
      <c r="AN76" s="54"/>
      <c r="AO76" s="54"/>
    </row>
    <row r="77" spans="1:41">
      <c r="A77" s="55">
        <v>10</v>
      </c>
      <c r="B77" s="71" t="s">
        <v>124</v>
      </c>
      <c r="C77" s="55"/>
      <c r="D77" s="55">
        <v>2003</v>
      </c>
      <c r="E77" s="55">
        <v>1</v>
      </c>
      <c r="F77" s="103"/>
      <c r="G77" s="100"/>
      <c r="H77" s="100"/>
      <c r="I77" s="100"/>
      <c r="J77" s="100"/>
      <c r="K77" s="57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55">
        <v>0</v>
      </c>
      <c r="Y77" s="100"/>
      <c r="Z77" s="100"/>
      <c r="AA77" s="98">
        <v>-1</v>
      </c>
      <c r="AB77" s="104"/>
      <c r="AC77" s="100"/>
      <c r="AD77" s="100"/>
      <c r="AE77" s="100"/>
      <c r="AF77" s="55" t="s">
        <v>73</v>
      </c>
      <c r="AG77" s="55" t="s">
        <v>229</v>
      </c>
      <c r="AH77" s="55" t="s">
        <v>220</v>
      </c>
      <c r="AI77" s="100"/>
      <c r="AJ77" s="55" t="s">
        <v>217</v>
      </c>
      <c r="AK77" s="54"/>
      <c r="AL77" s="54"/>
      <c r="AM77" s="54"/>
      <c r="AN77" s="54"/>
      <c r="AO77" s="54"/>
    </row>
    <row r="78" spans="1:41">
      <c r="A78" s="55">
        <v>11</v>
      </c>
      <c r="B78" s="71" t="s">
        <v>125</v>
      </c>
      <c r="C78" s="55"/>
      <c r="D78" s="55">
        <v>2015</v>
      </c>
      <c r="E78" s="55">
        <v>1</v>
      </c>
      <c r="F78" s="103"/>
      <c r="G78" s="100"/>
      <c r="H78" s="100"/>
      <c r="I78" s="100"/>
      <c r="J78" s="100"/>
      <c r="K78" s="57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55">
        <v>0</v>
      </c>
      <c r="Y78" s="100"/>
      <c r="Z78" s="100"/>
      <c r="AA78" s="98">
        <v>-1</v>
      </c>
      <c r="AB78" s="104"/>
      <c r="AC78" s="100"/>
      <c r="AD78" s="100"/>
      <c r="AE78" s="100"/>
      <c r="AF78" s="55" t="s">
        <v>73</v>
      </c>
      <c r="AG78" s="55" t="s">
        <v>229</v>
      </c>
      <c r="AH78" s="55" t="s">
        <v>220</v>
      </c>
      <c r="AI78" s="100"/>
      <c r="AJ78" s="55" t="s">
        <v>217</v>
      </c>
      <c r="AK78" s="54"/>
      <c r="AL78" s="54"/>
      <c r="AM78" s="54"/>
      <c r="AN78" s="54"/>
      <c r="AO78" s="54"/>
    </row>
    <row r="79" spans="1:41" ht="45">
      <c r="A79" s="107"/>
      <c r="B79" s="78" t="s">
        <v>187</v>
      </c>
      <c r="C79" s="105"/>
      <c r="D79" s="106">
        <v>2020</v>
      </c>
      <c r="E79" s="107">
        <v>2</v>
      </c>
      <c r="F79" s="108">
        <v>1</v>
      </c>
      <c r="G79" s="109"/>
      <c r="H79" s="84" t="s">
        <v>180</v>
      </c>
      <c r="I79" s="110" t="s">
        <v>181</v>
      </c>
      <c r="J79" s="107" t="s">
        <v>54</v>
      </c>
      <c r="K79" s="108" t="s">
        <v>182</v>
      </c>
      <c r="L79" s="111" t="s">
        <v>62</v>
      </c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>
        <v>0</v>
      </c>
      <c r="Y79" s="112"/>
      <c r="Z79" s="112"/>
      <c r="AA79" s="112">
        <v>-2</v>
      </c>
      <c r="AB79" s="112"/>
      <c r="AC79" s="112"/>
      <c r="AD79" s="112"/>
      <c r="AE79" s="112"/>
      <c r="AF79" s="55" t="s">
        <v>73</v>
      </c>
      <c r="AG79" s="55" t="s">
        <v>236</v>
      </c>
      <c r="AH79" s="55" t="s">
        <v>56</v>
      </c>
      <c r="AI79" s="71"/>
      <c r="AJ79" s="112" t="s">
        <v>185</v>
      </c>
      <c r="AK79" s="86"/>
      <c r="AL79" s="86"/>
      <c r="AM79" s="86"/>
      <c r="AN79" s="86"/>
      <c r="AO79" s="86"/>
    </row>
    <row r="80" spans="1:41">
      <c r="A80" s="55"/>
      <c r="B80" s="100" t="s">
        <v>126</v>
      </c>
      <c r="C80" s="55"/>
      <c r="D80" s="55"/>
      <c r="E80" s="55"/>
      <c r="F80" s="103"/>
      <c r="G80" s="100"/>
      <c r="H80" s="100"/>
      <c r="I80" s="100"/>
      <c r="J80" s="100"/>
      <c r="K80" s="57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55"/>
      <c r="Y80" s="100"/>
      <c r="Z80" s="100"/>
      <c r="AA80" s="100"/>
      <c r="AB80" s="104"/>
      <c r="AC80" s="100"/>
      <c r="AD80" s="100"/>
      <c r="AE80" s="100"/>
      <c r="AF80" s="100"/>
      <c r="AG80" s="100"/>
      <c r="AH80" s="100"/>
      <c r="AI80" s="100"/>
      <c r="AJ80" s="55"/>
      <c r="AK80" s="54"/>
      <c r="AL80" s="54"/>
      <c r="AM80" s="54"/>
      <c r="AN80" s="54"/>
      <c r="AO80" s="54"/>
    </row>
    <row r="81" spans="1:41">
      <c r="A81" s="55">
        <v>2</v>
      </c>
      <c r="B81" s="71" t="s">
        <v>82</v>
      </c>
      <c r="C81" s="55"/>
      <c r="D81" s="55">
        <v>2016</v>
      </c>
      <c r="E81" s="55">
        <v>1</v>
      </c>
      <c r="F81" s="103"/>
      <c r="G81" s="100"/>
      <c r="H81" s="100"/>
      <c r="I81" s="100"/>
      <c r="J81" s="100"/>
      <c r="K81" s="57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55">
        <v>1</v>
      </c>
      <c r="Y81" s="100"/>
      <c r="Z81" s="100"/>
      <c r="AA81" s="100"/>
      <c r="AB81" s="104"/>
      <c r="AC81" s="100"/>
      <c r="AD81" s="100"/>
      <c r="AE81" s="100"/>
      <c r="AF81" s="55" t="s">
        <v>73</v>
      </c>
      <c r="AG81" s="55" t="s">
        <v>128</v>
      </c>
      <c r="AH81" s="100"/>
      <c r="AI81" s="100"/>
      <c r="AJ81" s="55"/>
      <c r="AK81" s="54"/>
      <c r="AL81" s="54"/>
      <c r="AM81" s="54"/>
      <c r="AN81" s="54"/>
      <c r="AO81" s="54"/>
    </row>
    <row r="82" spans="1:41">
      <c r="A82" s="55"/>
      <c r="B82" s="100" t="s">
        <v>129</v>
      </c>
      <c r="C82" s="55"/>
      <c r="D82" s="55"/>
      <c r="E82" s="55"/>
      <c r="F82" s="103"/>
      <c r="G82" s="100"/>
      <c r="H82" s="100"/>
      <c r="I82" s="100"/>
      <c r="J82" s="100"/>
      <c r="K82" s="57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55"/>
      <c r="Y82" s="100"/>
      <c r="Z82" s="100"/>
      <c r="AA82" s="100"/>
      <c r="AB82" s="104"/>
      <c r="AC82" s="100"/>
      <c r="AD82" s="100"/>
      <c r="AE82" s="100"/>
      <c r="AF82" s="55"/>
      <c r="AG82" s="55"/>
      <c r="AH82" s="100"/>
      <c r="AI82" s="100"/>
      <c r="AJ82" s="55"/>
      <c r="AK82" s="54"/>
      <c r="AL82" s="54"/>
      <c r="AM82" s="54"/>
      <c r="AN82" s="54"/>
      <c r="AO82" s="54"/>
    </row>
    <row r="83" spans="1:41">
      <c r="A83" s="55">
        <v>1</v>
      </c>
      <c r="B83" s="71" t="s">
        <v>130</v>
      </c>
      <c r="C83" s="55" t="s">
        <v>131</v>
      </c>
      <c r="D83" s="55">
        <v>2013</v>
      </c>
      <c r="E83" s="55">
        <v>1</v>
      </c>
      <c r="F83" s="103"/>
      <c r="G83" s="100"/>
      <c r="H83" s="100"/>
      <c r="I83" s="100"/>
      <c r="J83" s="100"/>
      <c r="K83" s="57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55">
        <v>1</v>
      </c>
      <c r="Y83" s="100"/>
      <c r="Z83" s="100"/>
      <c r="AA83" s="100"/>
      <c r="AB83" s="104"/>
      <c r="AC83" s="100"/>
      <c r="AD83" s="100"/>
      <c r="AE83" s="100"/>
      <c r="AF83" s="55" t="s">
        <v>73</v>
      </c>
      <c r="AG83" s="55" t="s">
        <v>128</v>
      </c>
      <c r="AH83" s="100"/>
      <c r="AI83" s="100"/>
      <c r="AJ83" s="55"/>
      <c r="AK83" s="54"/>
      <c r="AL83" s="54"/>
      <c r="AM83" s="54"/>
      <c r="AN83" s="54"/>
      <c r="AO83" s="54"/>
    </row>
    <row r="84" spans="1:41">
      <c r="A84" s="55">
        <v>2</v>
      </c>
      <c r="B84" s="71" t="s">
        <v>132</v>
      </c>
      <c r="C84" s="55" t="s">
        <v>133</v>
      </c>
      <c r="D84" s="55">
        <v>2004</v>
      </c>
      <c r="E84" s="55">
        <v>1</v>
      </c>
      <c r="F84" s="103"/>
      <c r="G84" s="100"/>
      <c r="H84" s="100"/>
      <c r="I84" s="100"/>
      <c r="J84" s="100"/>
      <c r="K84" s="57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55">
        <v>1</v>
      </c>
      <c r="Y84" s="100"/>
      <c r="Z84" s="100"/>
      <c r="AA84" s="100"/>
      <c r="AB84" s="104"/>
      <c r="AC84" s="100"/>
      <c r="AD84" s="100"/>
      <c r="AE84" s="100"/>
      <c r="AF84" s="55" t="s">
        <v>73</v>
      </c>
      <c r="AG84" s="55" t="s">
        <v>128</v>
      </c>
      <c r="AH84" s="100"/>
      <c r="AI84" s="100"/>
      <c r="AJ84" s="55"/>
      <c r="AK84" s="54"/>
      <c r="AL84" s="54"/>
      <c r="AM84" s="54"/>
      <c r="AN84" s="54"/>
      <c r="AO84" s="54"/>
    </row>
    <row r="85" spans="1:41">
      <c r="A85" s="55">
        <v>3</v>
      </c>
      <c r="B85" s="71" t="s">
        <v>60</v>
      </c>
      <c r="C85" s="55"/>
      <c r="D85" s="55">
        <v>2013</v>
      </c>
      <c r="E85" s="55">
        <v>1</v>
      </c>
      <c r="F85" s="103"/>
      <c r="G85" s="100"/>
      <c r="H85" s="100"/>
      <c r="I85" s="100"/>
      <c r="J85" s="100"/>
      <c r="K85" s="57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55">
        <v>1</v>
      </c>
      <c r="Y85" s="100"/>
      <c r="Z85" s="100"/>
      <c r="AA85" s="100"/>
      <c r="AB85" s="104"/>
      <c r="AC85" s="100"/>
      <c r="AD85" s="100"/>
      <c r="AE85" s="100"/>
      <c r="AF85" s="55" t="s">
        <v>73</v>
      </c>
      <c r="AG85" s="55" t="s">
        <v>128</v>
      </c>
      <c r="AH85" s="100"/>
      <c r="AI85" s="100"/>
      <c r="AJ85" s="55"/>
      <c r="AK85" s="54"/>
      <c r="AL85" s="54"/>
      <c r="AM85" s="54"/>
      <c r="AN85" s="54"/>
      <c r="AO85" s="54"/>
    </row>
    <row r="86" spans="1:41">
      <c r="A86" s="55">
        <v>4</v>
      </c>
      <c r="B86" s="71" t="s">
        <v>134</v>
      </c>
      <c r="C86" s="55"/>
      <c r="D86" s="55">
        <v>2013</v>
      </c>
      <c r="E86" s="55">
        <v>1</v>
      </c>
      <c r="F86" s="103"/>
      <c r="G86" s="100"/>
      <c r="H86" s="100"/>
      <c r="I86" s="100"/>
      <c r="J86" s="100"/>
      <c r="K86" s="57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55">
        <v>1</v>
      </c>
      <c r="Y86" s="100"/>
      <c r="Z86" s="100"/>
      <c r="AA86" s="100"/>
      <c r="AB86" s="104"/>
      <c r="AC86" s="100"/>
      <c r="AD86" s="100"/>
      <c r="AE86" s="100"/>
      <c r="AF86" s="55" t="s">
        <v>73</v>
      </c>
      <c r="AG86" s="55" t="s">
        <v>128</v>
      </c>
      <c r="AH86" s="100"/>
      <c r="AI86" s="100"/>
      <c r="AJ86" s="55"/>
      <c r="AK86" s="54"/>
      <c r="AL86" s="54"/>
      <c r="AM86" s="54"/>
      <c r="AN86" s="54"/>
      <c r="AO86" s="54"/>
    </row>
    <row r="87" spans="1:41">
      <c r="A87" s="55">
        <v>5</v>
      </c>
      <c r="B87" s="71" t="s">
        <v>63</v>
      </c>
      <c r="C87" s="55"/>
      <c r="D87" s="55">
        <v>2008</v>
      </c>
      <c r="E87" s="55">
        <v>1</v>
      </c>
      <c r="F87" s="103"/>
      <c r="G87" s="100"/>
      <c r="H87" s="100"/>
      <c r="I87" s="100"/>
      <c r="J87" s="100"/>
      <c r="K87" s="57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55">
        <v>1</v>
      </c>
      <c r="Y87" s="100"/>
      <c r="Z87" s="100"/>
      <c r="AA87" s="100"/>
      <c r="AB87" s="104"/>
      <c r="AC87" s="100"/>
      <c r="AD87" s="100"/>
      <c r="AE87" s="100"/>
      <c r="AF87" s="55" t="s">
        <v>73</v>
      </c>
      <c r="AG87" s="55" t="s">
        <v>128</v>
      </c>
      <c r="AH87" s="100"/>
      <c r="AI87" s="100"/>
      <c r="AJ87" s="55"/>
      <c r="AK87" s="54"/>
      <c r="AL87" s="54"/>
      <c r="AM87" s="54"/>
      <c r="AN87" s="54"/>
      <c r="AO87" s="54"/>
    </row>
    <row r="88" spans="1:41">
      <c r="A88" s="55">
        <v>6</v>
      </c>
      <c r="B88" s="71" t="s">
        <v>86</v>
      </c>
      <c r="C88" s="55"/>
      <c r="D88" s="55">
        <v>2017</v>
      </c>
      <c r="E88" s="55">
        <v>1</v>
      </c>
      <c r="F88" s="103"/>
      <c r="G88" s="100"/>
      <c r="H88" s="100"/>
      <c r="I88" s="100"/>
      <c r="J88" s="100"/>
      <c r="K88" s="57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55">
        <v>1</v>
      </c>
      <c r="Y88" s="100"/>
      <c r="Z88" s="100"/>
      <c r="AA88" s="100"/>
      <c r="AB88" s="104"/>
      <c r="AC88" s="100"/>
      <c r="AD88" s="100"/>
      <c r="AE88" s="100"/>
      <c r="AF88" s="55" t="s">
        <v>73</v>
      </c>
      <c r="AG88" s="55" t="s">
        <v>128</v>
      </c>
      <c r="AH88" s="100"/>
      <c r="AI88" s="100"/>
      <c r="AJ88" s="55"/>
      <c r="AK88" s="54"/>
      <c r="AL88" s="54"/>
      <c r="AM88" s="54"/>
      <c r="AN88" s="54"/>
      <c r="AO88" s="54"/>
    </row>
    <row r="89" spans="1:41">
      <c r="A89" s="55"/>
      <c r="B89" s="100" t="s">
        <v>135</v>
      </c>
      <c r="C89" s="55"/>
      <c r="D89" s="55"/>
      <c r="E89" s="55"/>
      <c r="F89" s="103"/>
      <c r="G89" s="100"/>
      <c r="H89" s="100"/>
      <c r="I89" s="100"/>
      <c r="J89" s="100"/>
      <c r="K89" s="57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55"/>
      <c r="Y89" s="100"/>
      <c r="Z89" s="100"/>
      <c r="AA89" s="100"/>
      <c r="AB89" s="104"/>
      <c r="AC89" s="100"/>
      <c r="AD89" s="100"/>
      <c r="AE89" s="100"/>
      <c r="AF89" s="100"/>
      <c r="AG89" s="55"/>
      <c r="AH89" s="100"/>
      <c r="AI89" s="100"/>
      <c r="AJ89" s="55"/>
      <c r="AK89" s="54"/>
      <c r="AL89" s="54"/>
      <c r="AM89" s="54"/>
      <c r="AN89" s="54"/>
      <c r="AO89" s="54"/>
    </row>
    <row r="90" spans="1:41" ht="25.5">
      <c r="A90" s="55">
        <v>2</v>
      </c>
      <c r="B90" s="71" t="s">
        <v>82</v>
      </c>
      <c r="C90" s="55"/>
      <c r="D90" s="55">
        <v>2016</v>
      </c>
      <c r="E90" s="55">
        <v>1</v>
      </c>
      <c r="F90" s="103"/>
      <c r="G90" s="100"/>
      <c r="H90" s="100"/>
      <c r="I90" s="100"/>
      <c r="J90" s="100"/>
      <c r="K90" s="57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55">
        <v>1</v>
      </c>
      <c r="Y90" s="100"/>
      <c r="Z90" s="100"/>
      <c r="AA90" s="100"/>
      <c r="AB90" s="104"/>
      <c r="AC90" s="100"/>
      <c r="AD90" s="100"/>
      <c r="AE90" s="100"/>
      <c r="AF90" s="55" t="s">
        <v>73</v>
      </c>
      <c r="AG90" s="55" t="s">
        <v>237</v>
      </c>
      <c r="AH90" s="100"/>
      <c r="AI90" s="100"/>
      <c r="AJ90" s="55"/>
      <c r="AK90" s="54"/>
      <c r="AL90" s="54"/>
      <c r="AM90" s="54"/>
      <c r="AN90" s="54"/>
      <c r="AO90" s="54"/>
    </row>
    <row r="91" spans="1:41">
      <c r="A91" s="55"/>
      <c r="B91" s="100" t="s">
        <v>137</v>
      </c>
      <c r="C91" s="55"/>
      <c r="D91" s="55"/>
      <c r="E91" s="55"/>
      <c r="F91" s="103"/>
      <c r="G91" s="100"/>
      <c r="H91" s="100"/>
      <c r="I91" s="100"/>
      <c r="J91" s="100"/>
      <c r="K91" s="57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55"/>
      <c r="Y91" s="100"/>
      <c r="Z91" s="100"/>
      <c r="AA91" s="100"/>
      <c r="AB91" s="104"/>
      <c r="AC91" s="100"/>
      <c r="AD91" s="100"/>
      <c r="AE91" s="100"/>
      <c r="AF91" s="100"/>
      <c r="AG91" s="55"/>
      <c r="AH91" s="100"/>
      <c r="AI91" s="100"/>
      <c r="AJ91" s="55"/>
      <c r="AK91" s="54"/>
      <c r="AL91" s="54"/>
      <c r="AM91" s="54"/>
      <c r="AN91" s="54"/>
      <c r="AO91" s="54"/>
    </row>
    <row r="92" spans="1:41">
      <c r="A92" s="55">
        <v>1</v>
      </c>
      <c r="B92" s="71" t="s">
        <v>138</v>
      </c>
      <c r="C92" s="55"/>
      <c r="D92" s="55">
        <v>2016</v>
      </c>
      <c r="E92" s="55">
        <v>1</v>
      </c>
      <c r="F92" s="103"/>
      <c r="G92" s="100"/>
      <c r="H92" s="100"/>
      <c r="I92" s="100"/>
      <c r="J92" s="100"/>
      <c r="K92" s="57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55">
        <v>1</v>
      </c>
      <c r="Y92" s="100"/>
      <c r="Z92" s="100"/>
      <c r="AA92" s="100"/>
      <c r="AB92" s="104"/>
      <c r="AC92" s="100"/>
      <c r="AD92" s="100"/>
      <c r="AE92" s="100"/>
      <c r="AF92" s="55" t="s">
        <v>73</v>
      </c>
      <c r="AG92" s="55" t="s">
        <v>136</v>
      </c>
      <c r="AH92" s="100"/>
      <c r="AI92" s="100"/>
      <c r="AJ92" s="55"/>
      <c r="AK92" s="54"/>
      <c r="AL92" s="54"/>
      <c r="AM92" s="54"/>
      <c r="AN92" s="54"/>
      <c r="AO92" s="54"/>
    </row>
    <row r="93" spans="1:41">
      <c r="A93" s="55">
        <v>2</v>
      </c>
      <c r="B93" s="71" t="s">
        <v>139</v>
      </c>
      <c r="C93" s="55"/>
      <c r="D93" s="55">
        <v>2013</v>
      </c>
      <c r="E93" s="55">
        <v>1</v>
      </c>
      <c r="F93" s="103"/>
      <c r="G93" s="100"/>
      <c r="H93" s="100"/>
      <c r="I93" s="100"/>
      <c r="J93" s="100"/>
      <c r="K93" s="57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55">
        <v>1</v>
      </c>
      <c r="Y93" s="100"/>
      <c r="Z93" s="100"/>
      <c r="AA93" s="100"/>
      <c r="AB93" s="104"/>
      <c r="AC93" s="100"/>
      <c r="AD93" s="100"/>
      <c r="AE93" s="100"/>
      <c r="AF93" s="55" t="s">
        <v>73</v>
      </c>
      <c r="AG93" s="55" t="s">
        <v>136</v>
      </c>
      <c r="AH93" s="100"/>
      <c r="AI93" s="100"/>
      <c r="AJ93" s="55"/>
      <c r="AK93" s="54"/>
      <c r="AL93" s="54"/>
      <c r="AM93" s="54"/>
      <c r="AN93" s="54"/>
      <c r="AO93" s="54"/>
    </row>
    <row r="94" spans="1:41">
      <c r="A94" s="55">
        <v>3</v>
      </c>
      <c r="B94" s="71" t="s">
        <v>132</v>
      </c>
      <c r="C94" s="55" t="s">
        <v>140</v>
      </c>
      <c r="D94" s="55">
        <v>2008</v>
      </c>
      <c r="E94" s="55">
        <v>1</v>
      </c>
      <c r="F94" s="103"/>
      <c r="G94" s="100"/>
      <c r="H94" s="100"/>
      <c r="I94" s="100"/>
      <c r="J94" s="100"/>
      <c r="K94" s="57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55">
        <v>1</v>
      </c>
      <c r="Y94" s="100"/>
      <c r="Z94" s="100"/>
      <c r="AA94" s="100"/>
      <c r="AB94" s="104"/>
      <c r="AC94" s="100"/>
      <c r="AD94" s="100"/>
      <c r="AE94" s="100"/>
      <c r="AF94" s="55" t="s">
        <v>73</v>
      </c>
      <c r="AG94" s="55" t="s">
        <v>238</v>
      </c>
      <c r="AH94" s="100"/>
      <c r="AI94" s="100"/>
      <c r="AJ94" s="55"/>
      <c r="AK94" s="54"/>
      <c r="AL94" s="54"/>
      <c r="AM94" s="54"/>
      <c r="AN94" s="54"/>
      <c r="AO94" s="54"/>
    </row>
    <row r="95" spans="1:41" ht="25.5">
      <c r="A95" s="55">
        <v>4</v>
      </c>
      <c r="B95" s="71" t="s">
        <v>117</v>
      </c>
      <c r="C95" s="55"/>
      <c r="D95" s="55">
        <v>2015</v>
      </c>
      <c r="E95" s="55">
        <v>1</v>
      </c>
      <c r="F95" s="103"/>
      <c r="G95" s="100"/>
      <c r="H95" s="100"/>
      <c r="I95" s="100"/>
      <c r="J95" s="100"/>
      <c r="K95" s="57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55">
        <v>1</v>
      </c>
      <c r="Y95" s="100"/>
      <c r="Z95" s="100"/>
      <c r="AA95" s="100"/>
      <c r="AB95" s="104"/>
      <c r="AC95" s="100"/>
      <c r="AD95" s="100"/>
      <c r="AE95" s="100"/>
      <c r="AF95" s="55" t="s">
        <v>73</v>
      </c>
      <c r="AG95" s="55" t="s">
        <v>237</v>
      </c>
      <c r="AH95" s="100" t="s">
        <v>220</v>
      </c>
      <c r="AI95" s="100"/>
      <c r="AJ95" s="55" t="s">
        <v>208</v>
      </c>
      <c r="AK95" s="54"/>
      <c r="AL95" s="54"/>
      <c r="AM95" s="54"/>
      <c r="AN95" s="54"/>
      <c r="AO95" s="54"/>
    </row>
    <row r="96" spans="1:41">
      <c r="A96" s="55">
        <v>5</v>
      </c>
      <c r="B96" s="71" t="s">
        <v>63</v>
      </c>
      <c r="C96" s="55"/>
      <c r="D96" s="55">
        <v>2005</v>
      </c>
      <c r="E96" s="55">
        <v>1</v>
      </c>
      <c r="F96" s="103"/>
      <c r="G96" s="100"/>
      <c r="H96" s="100"/>
      <c r="I96" s="100"/>
      <c r="J96" s="100"/>
      <c r="K96" s="57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55">
        <v>0</v>
      </c>
      <c r="Y96" s="100"/>
      <c r="Z96" s="100"/>
      <c r="AA96" s="100">
        <v>-1</v>
      </c>
      <c r="AB96" s="104"/>
      <c r="AC96" s="100"/>
      <c r="AD96" s="100"/>
      <c r="AE96" s="100"/>
      <c r="AF96" s="55" t="s">
        <v>73</v>
      </c>
      <c r="AG96" s="55" t="s">
        <v>239</v>
      </c>
      <c r="AH96" s="100"/>
      <c r="AI96" s="100"/>
      <c r="AJ96" s="55" t="s">
        <v>218</v>
      </c>
      <c r="AK96" s="54"/>
      <c r="AL96" s="54"/>
      <c r="AM96" s="54"/>
      <c r="AN96" s="54"/>
      <c r="AO96" s="54"/>
    </row>
    <row r="97" spans="1:41">
      <c r="A97" s="55"/>
      <c r="B97" s="100" t="s">
        <v>141</v>
      </c>
      <c r="C97" s="55"/>
      <c r="D97" s="55"/>
      <c r="E97" s="55"/>
      <c r="F97" s="103"/>
      <c r="G97" s="100"/>
      <c r="H97" s="100"/>
      <c r="I97" s="100"/>
      <c r="J97" s="100"/>
      <c r="K97" s="57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55"/>
      <c r="Y97" s="100"/>
      <c r="Z97" s="100"/>
      <c r="AA97" s="100"/>
      <c r="AB97" s="104"/>
      <c r="AC97" s="100"/>
      <c r="AD97" s="100"/>
      <c r="AE97" s="100"/>
      <c r="AF97" s="55"/>
      <c r="AG97" s="55"/>
      <c r="AH97" s="100"/>
      <c r="AI97" s="100"/>
      <c r="AJ97" s="55"/>
      <c r="AK97" s="54"/>
      <c r="AL97" s="54"/>
      <c r="AM97" s="54"/>
      <c r="AN97" s="54"/>
      <c r="AO97" s="54"/>
    </row>
    <row r="98" spans="1:41">
      <c r="A98" s="55">
        <v>1</v>
      </c>
      <c r="B98" s="71" t="s">
        <v>142</v>
      </c>
      <c r="C98" s="55"/>
      <c r="D98" s="55">
        <v>2016</v>
      </c>
      <c r="E98" s="55">
        <v>6</v>
      </c>
      <c r="F98" s="103"/>
      <c r="G98" s="100"/>
      <c r="H98" s="100"/>
      <c r="I98" s="100"/>
      <c r="J98" s="100"/>
      <c r="K98" s="57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55">
        <v>0</v>
      </c>
      <c r="Y98" s="100"/>
      <c r="Z98" s="100"/>
      <c r="AA98" s="100">
        <v>-6</v>
      </c>
      <c r="AB98" s="104"/>
      <c r="AC98" s="100"/>
      <c r="AD98" s="100"/>
      <c r="AE98" s="100"/>
      <c r="AF98" s="55" t="s">
        <v>73</v>
      </c>
      <c r="AG98" s="55" t="s">
        <v>55</v>
      </c>
      <c r="AH98" s="100"/>
      <c r="AI98" s="100"/>
      <c r="AJ98" s="55" t="s">
        <v>208</v>
      </c>
      <c r="AK98" s="54"/>
      <c r="AL98" s="54"/>
      <c r="AM98" s="54"/>
      <c r="AN98" s="54"/>
      <c r="AO98" s="54"/>
    </row>
    <row r="99" spans="1:41">
      <c r="A99" s="55">
        <v>2</v>
      </c>
      <c r="B99" s="71" t="s">
        <v>59</v>
      </c>
      <c r="C99" s="55"/>
      <c r="D99" s="55">
        <v>2016</v>
      </c>
      <c r="E99" s="55">
        <v>10</v>
      </c>
      <c r="F99" s="103"/>
      <c r="G99" s="100"/>
      <c r="H99" s="100"/>
      <c r="I99" s="100"/>
      <c r="J99" s="100"/>
      <c r="K99" s="57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55">
        <v>0</v>
      </c>
      <c r="Y99" s="100"/>
      <c r="Z99" s="100"/>
      <c r="AA99" s="100">
        <v>-10</v>
      </c>
      <c r="AB99" s="104"/>
      <c r="AC99" s="100"/>
      <c r="AD99" s="100"/>
      <c r="AE99" s="100"/>
      <c r="AF99" s="55" t="s">
        <v>73</v>
      </c>
      <c r="AG99" s="55" t="s">
        <v>55</v>
      </c>
      <c r="AH99" s="100"/>
      <c r="AI99" s="100"/>
      <c r="AJ99" s="55" t="s">
        <v>208</v>
      </c>
      <c r="AK99" s="54"/>
      <c r="AL99" s="54"/>
      <c r="AM99" s="54"/>
      <c r="AN99" s="54"/>
      <c r="AO99" s="54"/>
    </row>
    <row r="100" spans="1:41">
      <c r="A100" s="55"/>
      <c r="B100" s="100" t="s">
        <v>143</v>
      </c>
      <c r="C100" s="55"/>
      <c r="D100" s="55"/>
      <c r="E100" s="55"/>
      <c r="F100" s="103"/>
      <c r="G100" s="100"/>
      <c r="H100" s="100"/>
      <c r="I100" s="100"/>
      <c r="J100" s="100"/>
      <c r="K100" s="57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55"/>
      <c r="Y100" s="100"/>
      <c r="Z100" s="100"/>
      <c r="AA100" s="100"/>
      <c r="AB100" s="104"/>
      <c r="AC100" s="100"/>
      <c r="AD100" s="100"/>
      <c r="AE100" s="100"/>
      <c r="AF100" s="100"/>
      <c r="AG100" s="55"/>
      <c r="AH100" s="100"/>
      <c r="AI100" s="100"/>
      <c r="AJ100" s="55"/>
      <c r="AK100" s="54"/>
      <c r="AL100" s="54"/>
      <c r="AM100" s="54"/>
      <c r="AN100" s="54"/>
      <c r="AO100" s="54"/>
    </row>
    <row r="101" spans="1:41" ht="25.5">
      <c r="A101" s="55">
        <v>1</v>
      </c>
      <c r="B101" s="71" t="s">
        <v>144</v>
      </c>
      <c r="C101" s="55"/>
      <c r="D101" s="55">
        <v>2004</v>
      </c>
      <c r="E101" s="55">
        <v>1</v>
      </c>
      <c r="F101" s="103"/>
      <c r="G101" s="100"/>
      <c r="H101" s="100"/>
      <c r="I101" s="100"/>
      <c r="J101" s="100"/>
      <c r="K101" s="57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55">
        <v>1</v>
      </c>
      <c r="Y101" s="100"/>
      <c r="Z101" s="100"/>
      <c r="AA101" s="100"/>
      <c r="AB101" s="104"/>
      <c r="AC101" s="100"/>
      <c r="AD101" s="100"/>
      <c r="AE101" s="100"/>
      <c r="AF101" s="55" t="s">
        <v>73</v>
      </c>
      <c r="AG101" s="55" t="s">
        <v>237</v>
      </c>
      <c r="AH101" s="100"/>
      <c r="AI101" s="100"/>
      <c r="AJ101" s="55" t="s">
        <v>149</v>
      </c>
      <c r="AK101" s="54"/>
      <c r="AL101" s="54"/>
      <c r="AM101" s="54"/>
      <c r="AN101" s="54"/>
      <c r="AO101" s="54"/>
    </row>
    <row r="102" spans="1:41" ht="25.5">
      <c r="A102" s="55">
        <v>2</v>
      </c>
      <c r="B102" s="71" t="s">
        <v>145</v>
      </c>
      <c r="C102" s="55"/>
      <c r="D102" s="55">
        <v>2014</v>
      </c>
      <c r="E102" s="55">
        <v>1</v>
      </c>
      <c r="F102" s="103"/>
      <c r="G102" s="100"/>
      <c r="H102" s="100"/>
      <c r="I102" s="100"/>
      <c r="J102" s="100"/>
      <c r="K102" s="57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55">
        <v>1</v>
      </c>
      <c r="Y102" s="100"/>
      <c r="Z102" s="100"/>
      <c r="AA102" s="100"/>
      <c r="AB102" s="104"/>
      <c r="AC102" s="100"/>
      <c r="AD102" s="100"/>
      <c r="AE102" s="100"/>
      <c r="AF102" s="55" t="s">
        <v>73</v>
      </c>
      <c r="AG102" s="55" t="s">
        <v>237</v>
      </c>
      <c r="AH102" s="100"/>
      <c r="AI102" s="100"/>
      <c r="AJ102" s="55"/>
      <c r="AK102" s="54"/>
      <c r="AL102" s="54"/>
      <c r="AM102" s="54"/>
      <c r="AN102" s="54"/>
      <c r="AO102" s="54"/>
    </row>
    <row r="103" spans="1:41" ht="25.5">
      <c r="A103" s="55">
        <v>3</v>
      </c>
      <c r="B103" s="71" t="s">
        <v>64</v>
      </c>
      <c r="C103" s="55"/>
      <c r="D103" s="55">
        <v>2014</v>
      </c>
      <c r="E103" s="55">
        <v>1</v>
      </c>
      <c r="F103" s="103"/>
      <c r="G103" s="100"/>
      <c r="H103" s="100"/>
      <c r="I103" s="100"/>
      <c r="J103" s="100"/>
      <c r="K103" s="57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55">
        <v>1</v>
      </c>
      <c r="Y103" s="100"/>
      <c r="Z103" s="100"/>
      <c r="AA103" s="100"/>
      <c r="AB103" s="104"/>
      <c r="AC103" s="100"/>
      <c r="AD103" s="100"/>
      <c r="AE103" s="100"/>
      <c r="AF103" s="55" t="s">
        <v>73</v>
      </c>
      <c r="AG103" s="55" t="s">
        <v>237</v>
      </c>
      <c r="AH103" s="100" t="s">
        <v>220</v>
      </c>
      <c r="AI103" s="100"/>
      <c r="AJ103" s="55" t="s">
        <v>208</v>
      </c>
      <c r="AK103" s="54"/>
      <c r="AL103" s="54"/>
      <c r="AM103" s="54"/>
      <c r="AN103" s="54"/>
      <c r="AO103" s="54"/>
    </row>
    <row r="104" spans="1:41">
      <c r="A104" s="55">
        <v>4</v>
      </c>
      <c r="B104" s="71" t="s">
        <v>146</v>
      </c>
      <c r="C104" s="55"/>
      <c r="D104" s="55">
        <v>2008</v>
      </c>
      <c r="E104" s="55">
        <v>1</v>
      </c>
      <c r="F104" s="103"/>
      <c r="G104" s="100"/>
      <c r="H104" s="100"/>
      <c r="I104" s="100"/>
      <c r="J104" s="100"/>
      <c r="K104" s="57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55">
        <v>1</v>
      </c>
      <c r="Y104" s="100"/>
      <c r="Z104" s="100"/>
      <c r="AA104" s="100"/>
      <c r="AB104" s="104"/>
      <c r="AC104" s="100"/>
      <c r="AD104" s="100"/>
      <c r="AE104" s="100"/>
      <c r="AF104" s="55" t="s">
        <v>73</v>
      </c>
      <c r="AG104" s="55"/>
      <c r="AH104" s="100" t="s">
        <v>220</v>
      </c>
      <c r="AI104" s="100"/>
      <c r="AJ104" s="55" t="s">
        <v>208</v>
      </c>
      <c r="AK104" s="54"/>
      <c r="AL104" s="54"/>
      <c r="AM104" s="54"/>
      <c r="AN104" s="54"/>
      <c r="AO104" s="54"/>
    </row>
    <row r="105" spans="1:41">
      <c r="A105" s="55">
        <v>5</v>
      </c>
      <c r="B105" s="71" t="s">
        <v>147</v>
      </c>
      <c r="C105" s="55"/>
      <c r="D105" s="55">
        <v>2014</v>
      </c>
      <c r="E105" s="55">
        <v>1</v>
      </c>
      <c r="F105" s="103"/>
      <c r="G105" s="100"/>
      <c r="H105" s="100"/>
      <c r="I105" s="100"/>
      <c r="J105" s="100"/>
      <c r="K105" s="57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55">
        <v>1</v>
      </c>
      <c r="Y105" s="100"/>
      <c r="Z105" s="100"/>
      <c r="AA105" s="100"/>
      <c r="AB105" s="104"/>
      <c r="AC105" s="100"/>
      <c r="AD105" s="100"/>
      <c r="AE105" s="100"/>
      <c r="AF105" s="55" t="s">
        <v>73</v>
      </c>
      <c r="AG105" s="55"/>
      <c r="AH105" s="100" t="s">
        <v>220</v>
      </c>
      <c r="AI105" s="100"/>
      <c r="AJ105" s="55" t="s">
        <v>208</v>
      </c>
      <c r="AK105" s="54"/>
      <c r="AL105" s="54"/>
      <c r="AM105" s="54"/>
      <c r="AN105" s="54"/>
      <c r="AO105" s="54"/>
    </row>
    <row r="106" spans="1:41">
      <c r="A106" s="55"/>
      <c r="B106" s="334" t="s">
        <v>179</v>
      </c>
      <c r="C106" s="335"/>
      <c r="D106" s="55"/>
      <c r="E106" s="55"/>
      <c r="F106" s="103"/>
      <c r="G106" s="100"/>
      <c r="H106" s="100"/>
      <c r="I106" s="100"/>
      <c r="J106" s="100"/>
      <c r="K106" s="57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55"/>
      <c r="Y106" s="100"/>
      <c r="Z106" s="100"/>
      <c r="AA106" s="100"/>
      <c r="AB106" s="104"/>
      <c r="AC106" s="100"/>
      <c r="AD106" s="100"/>
      <c r="AE106" s="100"/>
      <c r="AF106" s="100"/>
      <c r="AG106" s="55"/>
      <c r="AH106" s="100"/>
      <c r="AI106" s="100"/>
      <c r="AJ106" s="55"/>
      <c r="AK106" s="54"/>
      <c r="AL106" s="54"/>
      <c r="AM106" s="54"/>
      <c r="AN106" s="54"/>
      <c r="AO106" s="54"/>
    </row>
    <row r="107" spans="1:41" ht="25.5">
      <c r="A107" s="55">
        <v>1</v>
      </c>
      <c r="B107" s="71" t="s">
        <v>82</v>
      </c>
      <c r="C107" s="55"/>
      <c r="D107" s="55">
        <v>2016</v>
      </c>
      <c r="E107" s="55">
        <v>2</v>
      </c>
      <c r="F107" s="103"/>
      <c r="G107" s="100"/>
      <c r="H107" s="100"/>
      <c r="I107" s="100"/>
      <c r="J107" s="100"/>
      <c r="K107" s="57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55">
        <v>2</v>
      </c>
      <c r="Y107" s="100"/>
      <c r="Z107" s="100"/>
      <c r="AA107" s="100"/>
      <c r="AB107" s="104"/>
      <c r="AC107" s="100"/>
      <c r="AD107" s="100"/>
      <c r="AE107" s="100"/>
      <c r="AF107" s="55" t="s">
        <v>73</v>
      </c>
      <c r="AG107" s="55" t="s">
        <v>240</v>
      </c>
      <c r="AH107" s="100" t="s">
        <v>241</v>
      </c>
      <c r="AI107" s="100"/>
      <c r="AJ107" s="55" t="s">
        <v>208</v>
      </c>
      <c r="AK107" s="54"/>
      <c r="AL107" s="54"/>
      <c r="AM107" s="54"/>
      <c r="AN107" s="54"/>
      <c r="AO107" s="54"/>
    </row>
    <row r="108" spans="1:41">
      <c r="A108" s="55">
        <v>4</v>
      </c>
      <c r="B108" s="71" t="s">
        <v>117</v>
      </c>
      <c r="C108" s="55"/>
      <c r="D108" s="55">
        <v>2015</v>
      </c>
      <c r="E108" s="55">
        <v>1</v>
      </c>
      <c r="F108" s="55" t="s">
        <v>68</v>
      </c>
      <c r="G108" s="100"/>
      <c r="H108" s="100"/>
      <c r="I108" s="100"/>
      <c r="J108" s="100"/>
      <c r="K108" s="57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55">
        <v>1</v>
      </c>
      <c r="Y108" s="100"/>
      <c r="Z108" s="100"/>
      <c r="AA108" s="100"/>
      <c r="AB108" s="104"/>
      <c r="AC108" s="100"/>
      <c r="AD108" s="100"/>
      <c r="AE108" s="100"/>
      <c r="AF108" s="55" t="s">
        <v>73</v>
      </c>
      <c r="AG108" s="55"/>
      <c r="AH108" s="100"/>
      <c r="AI108" s="100"/>
      <c r="AJ108" s="55" t="s">
        <v>208</v>
      </c>
      <c r="AK108" s="54"/>
      <c r="AL108" s="54"/>
      <c r="AM108" s="54"/>
      <c r="AN108" s="54"/>
      <c r="AO108" s="54"/>
    </row>
    <row r="109" spans="1:41">
      <c r="A109" s="57"/>
      <c r="B109" s="100" t="s">
        <v>202</v>
      </c>
      <c r="C109" s="57"/>
      <c r="D109" s="57"/>
      <c r="E109" s="57"/>
      <c r="F109" s="57"/>
      <c r="G109" s="100"/>
      <c r="H109" s="100"/>
      <c r="I109" s="100"/>
      <c r="J109" s="100"/>
      <c r="K109" s="57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57"/>
      <c r="Y109" s="100"/>
      <c r="Z109" s="100"/>
      <c r="AA109" s="100"/>
      <c r="AB109" s="104"/>
      <c r="AC109" s="100"/>
      <c r="AD109" s="100"/>
      <c r="AE109" s="100"/>
      <c r="AF109" s="57"/>
      <c r="AG109" s="57"/>
      <c r="AH109" s="100"/>
      <c r="AI109" s="100"/>
      <c r="AJ109" s="57"/>
      <c r="AK109" s="54"/>
      <c r="AL109" s="54"/>
      <c r="AM109" s="54"/>
      <c r="AN109" s="54"/>
      <c r="AO109" s="54"/>
    </row>
    <row r="110" spans="1:41">
      <c r="A110" s="55">
        <v>1</v>
      </c>
      <c r="B110" s="71" t="s">
        <v>106</v>
      </c>
      <c r="C110" s="55"/>
      <c r="D110" s="55">
        <v>2013</v>
      </c>
      <c r="E110" s="55">
        <v>1</v>
      </c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5">
        <v>1</v>
      </c>
      <c r="Y110" s="58"/>
      <c r="Z110" s="58"/>
      <c r="AA110" s="75"/>
      <c r="AB110" s="58"/>
      <c r="AC110" s="58"/>
      <c r="AD110" s="94"/>
      <c r="AE110" s="55"/>
      <c r="AF110" s="55" t="s">
        <v>73</v>
      </c>
      <c r="AG110" s="55" t="s">
        <v>235</v>
      </c>
      <c r="AH110" s="55" t="s">
        <v>220</v>
      </c>
      <c r="AI110" s="55"/>
      <c r="AJ110" s="55" t="s">
        <v>208</v>
      </c>
      <c r="AK110" s="53"/>
      <c r="AL110" s="53"/>
      <c r="AM110" s="53"/>
      <c r="AN110" s="53"/>
      <c r="AO110" s="53"/>
    </row>
    <row r="111" spans="1:41">
      <c r="A111" s="55"/>
      <c r="B111" s="100" t="s">
        <v>172</v>
      </c>
      <c r="C111" s="56"/>
      <c r="D111" s="55"/>
      <c r="E111" s="55"/>
      <c r="F111" s="96"/>
      <c r="G111" s="96"/>
      <c r="H111" s="97"/>
      <c r="I111" s="97"/>
      <c r="J111" s="97"/>
      <c r="K111" s="58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55"/>
      <c r="Y111" s="97"/>
      <c r="Z111" s="96"/>
      <c r="AA111" s="98"/>
      <c r="AB111" s="97"/>
      <c r="AC111" s="97"/>
      <c r="AD111" s="101"/>
      <c r="AE111" s="71"/>
      <c r="AF111" s="55"/>
      <c r="AG111" s="55"/>
      <c r="AH111" s="55"/>
      <c r="AI111" s="55"/>
      <c r="AJ111" s="55"/>
      <c r="AK111" s="329"/>
      <c r="AL111" s="330"/>
      <c r="AM111" s="330"/>
      <c r="AN111" s="330"/>
      <c r="AO111" s="53"/>
    </row>
    <row r="112" spans="1:41">
      <c r="A112" s="55"/>
      <c r="B112" s="100" t="s">
        <v>114</v>
      </c>
      <c r="C112" s="56"/>
      <c r="D112" s="55"/>
      <c r="E112" s="55"/>
      <c r="F112" s="96"/>
      <c r="G112" s="96"/>
      <c r="H112" s="97"/>
      <c r="I112" s="97"/>
      <c r="J112" s="97"/>
      <c r="K112" s="58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55"/>
      <c r="Y112" s="97"/>
      <c r="Z112" s="96"/>
      <c r="AA112" s="98"/>
      <c r="AB112" s="97"/>
      <c r="AC112" s="97"/>
      <c r="AD112" s="101"/>
      <c r="AE112" s="71"/>
      <c r="AF112" s="55"/>
      <c r="AG112" s="55"/>
      <c r="AH112" s="55"/>
      <c r="AI112" s="55"/>
      <c r="AJ112" s="55"/>
      <c r="AK112" s="53"/>
      <c r="AL112" s="53"/>
      <c r="AM112" s="53"/>
      <c r="AN112" s="53"/>
      <c r="AO112" s="53"/>
    </row>
    <row r="113" spans="1:41">
      <c r="A113" s="55">
        <v>1</v>
      </c>
      <c r="B113" s="71" t="s">
        <v>115</v>
      </c>
      <c r="C113" s="55"/>
      <c r="D113" s="55">
        <v>2013</v>
      </c>
      <c r="E113" s="55">
        <v>1</v>
      </c>
      <c r="F113" s="55" t="s">
        <v>68</v>
      </c>
      <c r="G113" s="96"/>
      <c r="H113" s="97"/>
      <c r="I113" s="97"/>
      <c r="J113" s="97"/>
      <c r="K113" s="58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55">
        <v>1</v>
      </c>
      <c r="Y113" s="97"/>
      <c r="Z113" s="96"/>
      <c r="AA113" s="98"/>
      <c r="AB113" s="97"/>
      <c r="AC113" s="97"/>
      <c r="AD113" s="101"/>
      <c r="AE113" s="71"/>
      <c r="AF113" s="55" t="s">
        <v>73</v>
      </c>
      <c r="AG113" s="55" t="s">
        <v>235</v>
      </c>
      <c r="AH113" s="55" t="s">
        <v>220</v>
      </c>
      <c r="AI113" s="55"/>
      <c r="AJ113" s="55" t="s">
        <v>208</v>
      </c>
      <c r="AK113" s="329"/>
      <c r="AL113" s="330"/>
      <c r="AM113" s="330"/>
      <c r="AN113" s="330"/>
      <c r="AO113" s="330"/>
    </row>
    <row r="114" spans="1:41">
      <c r="A114" s="55"/>
      <c r="B114" s="102" t="s">
        <v>116</v>
      </c>
      <c r="C114" s="55"/>
      <c r="D114" s="55"/>
      <c r="E114" s="55"/>
      <c r="F114" s="96"/>
      <c r="G114" s="96"/>
      <c r="H114" s="97"/>
      <c r="I114" s="97"/>
      <c r="J114" s="97"/>
      <c r="K114" s="58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55"/>
      <c r="Y114" s="97"/>
      <c r="Z114" s="96"/>
      <c r="AA114" s="98"/>
      <c r="AB114" s="97"/>
      <c r="AC114" s="97"/>
      <c r="AD114" s="101"/>
      <c r="AE114" s="71"/>
      <c r="AF114" s="55"/>
      <c r="AG114" s="55"/>
      <c r="AH114" s="55"/>
      <c r="AI114" s="55"/>
      <c r="AJ114" s="55"/>
      <c r="AK114" s="53"/>
      <c r="AL114" s="53"/>
      <c r="AM114" s="53"/>
      <c r="AN114" s="53"/>
      <c r="AO114" s="53"/>
    </row>
    <row r="115" spans="1:41">
      <c r="A115" s="55">
        <v>8</v>
      </c>
      <c r="B115" s="71" t="s">
        <v>122</v>
      </c>
      <c r="C115" s="55"/>
      <c r="D115" s="55">
        <v>2006</v>
      </c>
      <c r="E115" s="55">
        <v>1</v>
      </c>
      <c r="F115" s="71"/>
      <c r="G115" s="97"/>
      <c r="H115" s="97"/>
      <c r="I115" s="97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55">
        <v>1</v>
      </c>
      <c r="Y115" s="71"/>
      <c r="Z115" s="71"/>
      <c r="AA115" s="71"/>
      <c r="AB115" s="71"/>
      <c r="AC115" s="71"/>
      <c r="AD115" s="71"/>
      <c r="AE115" s="71"/>
      <c r="AF115" s="55" t="s">
        <v>73</v>
      </c>
      <c r="AG115" s="55" t="s">
        <v>235</v>
      </c>
      <c r="AH115" s="55" t="s">
        <v>220</v>
      </c>
      <c r="AI115" s="71"/>
      <c r="AJ115" s="55" t="s">
        <v>208</v>
      </c>
      <c r="AK115" s="47"/>
      <c r="AL115" s="47"/>
      <c r="AM115" s="47"/>
      <c r="AN115" s="47"/>
      <c r="AO115" s="47"/>
    </row>
    <row r="116" spans="1:41">
      <c r="A116" s="55"/>
      <c r="B116" s="100" t="s">
        <v>126</v>
      </c>
      <c r="C116" s="55"/>
      <c r="D116" s="55"/>
      <c r="E116" s="55"/>
      <c r="F116" s="103"/>
      <c r="G116" s="100"/>
      <c r="H116" s="100"/>
      <c r="I116" s="100"/>
      <c r="J116" s="100"/>
      <c r="K116" s="57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55"/>
      <c r="Y116" s="100"/>
      <c r="Z116" s="100"/>
      <c r="AA116" s="100"/>
      <c r="AB116" s="104"/>
      <c r="AC116" s="100"/>
      <c r="AD116" s="100"/>
      <c r="AE116" s="100"/>
      <c r="AF116" s="100"/>
      <c r="AG116" s="100"/>
      <c r="AH116" s="100"/>
      <c r="AI116" s="100"/>
      <c r="AJ116" s="55"/>
      <c r="AK116" s="54"/>
      <c r="AL116" s="54"/>
      <c r="AM116" s="54"/>
      <c r="AN116" s="54"/>
      <c r="AO116" s="54"/>
    </row>
    <row r="117" spans="1:41">
      <c r="A117" s="55">
        <v>1</v>
      </c>
      <c r="B117" s="71" t="s">
        <v>127</v>
      </c>
      <c r="C117" s="55"/>
      <c r="D117" s="55">
        <v>2018</v>
      </c>
      <c r="E117" s="55">
        <v>1</v>
      </c>
      <c r="F117" s="103"/>
      <c r="G117" s="100"/>
      <c r="H117" s="100"/>
      <c r="I117" s="100"/>
      <c r="J117" s="100"/>
      <c r="K117" s="57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55">
        <v>1</v>
      </c>
      <c r="Y117" s="100"/>
      <c r="Z117" s="100"/>
      <c r="AA117" s="100"/>
      <c r="AB117" s="104"/>
      <c r="AC117" s="100"/>
      <c r="AD117" s="100"/>
      <c r="AE117" s="100"/>
      <c r="AF117" s="55" t="s">
        <v>73</v>
      </c>
      <c r="AG117" s="55" t="s">
        <v>235</v>
      </c>
      <c r="AH117" s="55" t="s">
        <v>220</v>
      </c>
      <c r="AI117" s="100"/>
      <c r="AJ117" s="55" t="s">
        <v>208</v>
      </c>
      <c r="AK117" s="54"/>
      <c r="AL117" s="54"/>
      <c r="AM117" s="54"/>
      <c r="AN117" s="54"/>
      <c r="AO117" s="54"/>
    </row>
  </sheetData>
  <mergeCells count="38">
    <mergeCell ref="AG12:AG15"/>
    <mergeCell ref="AB13:AB15"/>
    <mergeCell ref="AC13:AC15"/>
    <mergeCell ref="Z13:Z15"/>
    <mergeCell ref="AE12:AE15"/>
    <mergeCell ref="AF12:AF15"/>
    <mergeCell ref="E13:E15"/>
    <mergeCell ref="F13:F15"/>
    <mergeCell ref="Z1:AJ1"/>
    <mergeCell ref="Z2:AJ2"/>
    <mergeCell ref="Z3:AJ3"/>
    <mergeCell ref="A4:AJ4"/>
    <mergeCell ref="A12:A15"/>
    <mergeCell ref="AA13:AA15"/>
    <mergeCell ref="X12:Z12"/>
    <mergeCell ref="AA12:AC12"/>
    <mergeCell ref="AD12:AD15"/>
    <mergeCell ref="Y13:Y15"/>
    <mergeCell ref="B12:B15"/>
    <mergeCell ref="C12:C15"/>
    <mergeCell ref="G13:I13"/>
    <mergeCell ref="X13:X15"/>
    <mergeCell ref="AK113:AO113"/>
    <mergeCell ref="G14:G15"/>
    <mergeCell ref="H14:I14"/>
    <mergeCell ref="A17:AJ17"/>
    <mergeCell ref="B20:AJ20"/>
    <mergeCell ref="B47:AJ47"/>
    <mergeCell ref="B54:AJ54"/>
    <mergeCell ref="AH12:AH15"/>
    <mergeCell ref="AI12:AI15"/>
    <mergeCell ref="AJ12:AJ15"/>
    <mergeCell ref="AK64:AN64"/>
    <mergeCell ref="AK66:AO67"/>
    <mergeCell ref="B106:C106"/>
    <mergeCell ref="AK111:AN111"/>
    <mergeCell ref="D12:D15"/>
    <mergeCell ref="E12:P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81"/>
  <sheetViews>
    <sheetView topLeftCell="A21" zoomScale="85" zoomScaleNormal="85" workbookViewId="0">
      <selection activeCell="A25" sqref="A25:XFD25"/>
    </sheetView>
  </sheetViews>
  <sheetFormatPr defaultColWidth="9" defaultRowHeight="14.25"/>
  <cols>
    <col min="1" max="1" width="5.140625" style="143" customWidth="1"/>
    <col min="2" max="2" width="31.140625" style="143" customWidth="1"/>
    <col min="3" max="3" width="11.140625" style="143" customWidth="1"/>
    <col min="4" max="4" width="7.42578125" style="143" customWidth="1"/>
    <col min="5" max="5" width="8.140625" style="143" customWidth="1"/>
    <col min="6" max="22" width="0" style="143" hidden="1" customWidth="1"/>
    <col min="23" max="23" width="3" style="143" hidden="1" customWidth="1"/>
    <col min="24" max="24" width="8.5703125" style="143" customWidth="1"/>
    <col min="25" max="26" width="0" style="143" hidden="1" customWidth="1"/>
    <col min="27" max="27" width="7.85546875" style="215" customWidth="1"/>
    <col min="28" max="31" width="0" style="143" hidden="1" customWidth="1"/>
    <col min="32" max="33" width="12.5703125" style="230" customWidth="1"/>
    <col min="34" max="35" width="11.85546875" style="143" customWidth="1"/>
    <col min="36" max="36" width="9.140625" style="143" customWidth="1"/>
    <col min="37" max="37" width="11.140625" style="143" customWidth="1"/>
    <col min="38" max="38" width="10.28515625" style="216" customWidth="1"/>
    <col min="39" max="16384" width="9" style="143"/>
  </cols>
  <sheetData>
    <row r="1" spans="1:42" ht="15.75">
      <c r="A1" s="141" t="s">
        <v>44</v>
      </c>
      <c r="B1" s="139"/>
      <c r="C1" s="139"/>
      <c r="D1" s="138"/>
      <c r="E1" s="275"/>
      <c r="F1" s="142"/>
      <c r="G1" s="138"/>
      <c r="H1" s="135"/>
      <c r="I1" s="135"/>
      <c r="J1" s="276" t="s">
        <v>0</v>
      </c>
      <c r="K1" s="135"/>
      <c r="L1" s="135"/>
      <c r="M1" s="135"/>
      <c r="N1" s="135"/>
      <c r="O1" s="138"/>
      <c r="P1" s="276"/>
      <c r="Q1" s="276"/>
      <c r="R1" s="276"/>
      <c r="S1" s="276"/>
      <c r="T1" s="276"/>
      <c r="U1" s="276"/>
      <c r="V1" s="276"/>
      <c r="W1" s="276"/>
      <c r="X1" s="275"/>
      <c r="Y1" s="138"/>
      <c r="Z1" s="347" t="s">
        <v>0</v>
      </c>
      <c r="AA1" s="347"/>
      <c r="AB1" s="347"/>
      <c r="AC1" s="347"/>
      <c r="AD1" s="347"/>
      <c r="AE1" s="347"/>
      <c r="AF1" s="347"/>
      <c r="AG1" s="347"/>
      <c r="AH1" s="347"/>
      <c r="AI1" s="347"/>
      <c r="AJ1" s="347"/>
      <c r="AK1" s="347"/>
      <c r="AL1" s="347"/>
      <c r="AM1" s="138"/>
      <c r="AN1" s="138"/>
      <c r="AO1" s="138"/>
      <c r="AP1" s="138"/>
    </row>
    <row r="2" spans="1:42" ht="15.75">
      <c r="A2" s="144" t="s">
        <v>45</v>
      </c>
      <c r="B2" s="138"/>
      <c r="C2" s="138"/>
      <c r="D2" s="138"/>
      <c r="E2" s="275"/>
      <c r="F2" s="142"/>
      <c r="G2" s="138"/>
      <c r="H2" s="138"/>
      <c r="I2" s="138"/>
      <c r="J2" s="138"/>
      <c r="K2" s="138"/>
      <c r="L2" s="138"/>
      <c r="M2" s="138"/>
      <c r="N2" s="138"/>
      <c r="O2" s="145"/>
      <c r="P2" s="145"/>
      <c r="Q2" s="145"/>
      <c r="R2" s="145"/>
      <c r="S2" s="145"/>
      <c r="T2" s="145"/>
      <c r="U2" s="145"/>
      <c r="V2" s="145"/>
      <c r="W2" s="145"/>
      <c r="X2" s="275"/>
      <c r="Y2" s="13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138"/>
      <c r="AN2" s="138"/>
      <c r="AO2" s="138"/>
      <c r="AP2" s="138"/>
    </row>
    <row r="3" spans="1:42" ht="15.75">
      <c r="A3" s="144"/>
      <c r="B3" s="138"/>
      <c r="C3" s="138"/>
      <c r="D3" s="138"/>
      <c r="E3" s="275"/>
      <c r="F3" s="142"/>
      <c r="G3" s="138"/>
      <c r="H3" s="138"/>
      <c r="I3" s="138"/>
      <c r="J3" s="138"/>
      <c r="K3" s="138"/>
      <c r="L3" s="138"/>
      <c r="M3" s="138"/>
      <c r="N3" s="138"/>
      <c r="O3" s="145"/>
      <c r="P3" s="145"/>
      <c r="Q3" s="145"/>
      <c r="R3" s="145"/>
      <c r="S3" s="145"/>
      <c r="T3" s="145"/>
      <c r="U3" s="145"/>
      <c r="V3" s="145"/>
      <c r="W3" s="145"/>
      <c r="X3" s="275"/>
      <c r="Y3" s="138"/>
      <c r="Z3" s="275"/>
      <c r="AA3" s="168"/>
      <c r="AB3" s="275"/>
      <c r="AC3" s="275"/>
      <c r="AD3" s="275"/>
      <c r="AE3" s="275"/>
      <c r="AF3" s="148"/>
      <c r="AG3" s="148"/>
      <c r="AH3" s="275"/>
      <c r="AI3" s="275"/>
      <c r="AJ3" s="275"/>
      <c r="AK3" s="275"/>
      <c r="AL3" s="169"/>
      <c r="AM3" s="138"/>
      <c r="AN3" s="138"/>
      <c r="AO3" s="138"/>
      <c r="AP3" s="138"/>
    </row>
    <row r="4" spans="1:42" ht="18.75">
      <c r="A4" s="349" t="s">
        <v>347</v>
      </c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49"/>
      <c r="AH4" s="349"/>
      <c r="AI4" s="349"/>
      <c r="AJ4" s="349"/>
      <c r="AK4" s="349"/>
      <c r="AL4" s="349"/>
      <c r="AM4" s="138"/>
      <c r="AN4" s="138"/>
      <c r="AO4" s="138"/>
      <c r="AP4" s="138"/>
    </row>
    <row r="5" spans="1:42" ht="18.75">
      <c r="A5" s="349" t="s">
        <v>276</v>
      </c>
      <c r="B5" s="349"/>
      <c r="C5" s="349"/>
      <c r="D5" s="349"/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349"/>
      <c r="AJ5" s="349"/>
      <c r="AK5" s="349"/>
      <c r="AL5" s="349"/>
      <c r="AM5" s="138"/>
      <c r="AN5" s="138"/>
      <c r="AO5" s="138"/>
      <c r="AP5" s="138"/>
    </row>
    <row r="6" spans="1:42" ht="18.75">
      <c r="A6" s="277"/>
      <c r="B6" s="277"/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170"/>
      <c r="AB6" s="277"/>
      <c r="AC6" s="277"/>
      <c r="AD6" s="277"/>
      <c r="AE6" s="277"/>
      <c r="AF6" s="220"/>
      <c r="AG6" s="220"/>
      <c r="AH6" s="277"/>
      <c r="AI6" s="277"/>
      <c r="AJ6" s="277"/>
      <c r="AK6" s="277"/>
      <c r="AL6" s="171"/>
      <c r="AM6" s="138"/>
      <c r="AN6" s="138"/>
      <c r="AO6" s="138"/>
      <c r="AP6" s="138"/>
    </row>
    <row r="7" spans="1:42" s="147" customFormat="1" ht="15.75">
      <c r="A7" s="139" t="s">
        <v>423</v>
      </c>
      <c r="B7" s="275"/>
      <c r="C7" s="275"/>
      <c r="D7" s="275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172"/>
      <c r="AB7" s="276"/>
      <c r="AC7" s="276"/>
      <c r="AD7" s="276"/>
      <c r="AE7" s="276"/>
      <c r="AF7" s="149"/>
      <c r="AG7" s="149"/>
      <c r="AH7" s="276"/>
      <c r="AI7" s="138"/>
      <c r="AJ7" s="138"/>
      <c r="AK7" s="138"/>
      <c r="AL7" s="173"/>
      <c r="AM7" s="138"/>
      <c r="AN7" s="138"/>
      <c r="AO7" s="138"/>
      <c r="AP7" s="138"/>
    </row>
    <row r="8" spans="1:42" s="147" customFormat="1" ht="15.75">
      <c r="A8" s="140" t="s">
        <v>342</v>
      </c>
      <c r="B8" s="275"/>
      <c r="C8" s="138"/>
      <c r="D8" s="138" t="s">
        <v>162</v>
      </c>
      <c r="E8" s="276"/>
      <c r="F8" s="138"/>
      <c r="G8" s="138"/>
      <c r="H8" s="140"/>
      <c r="I8" s="276"/>
      <c r="J8" s="138"/>
      <c r="K8" s="140" t="s">
        <v>4</v>
      </c>
      <c r="L8" s="276"/>
      <c r="M8" s="148"/>
      <c r="N8" s="138"/>
      <c r="O8" s="138"/>
      <c r="P8" s="138"/>
      <c r="Q8" s="138"/>
      <c r="R8" s="138"/>
      <c r="S8" s="140"/>
      <c r="T8" s="149"/>
      <c r="U8" s="138"/>
      <c r="V8" s="138"/>
      <c r="W8" s="146"/>
      <c r="X8" s="276"/>
      <c r="Y8" s="138"/>
      <c r="Z8" s="276"/>
      <c r="AA8" s="174"/>
      <c r="AB8" s="140"/>
      <c r="AC8" s="138"/>
      <c r="AD8" s="138"/>
      <c r="AE8" s="138"/>
      <c r="AF8" s="148"/>
      <c r="AG8" s="148"/>
      <c r="AH8" s="138"/>
      <c r="AI8" s="140" t="s">
        <v>153</v>
      </c>
      <c r="AJ8" s="138"/>
      <c r="AK8" s="138"/>
      <c r="AL8" s="173"/>
      <c r="AM8" s="138"/>
      <c r="AN8" s="138"/>
      <c r="AO8" s="138"/>
      <c r="AP8" s="138"/>
    </row>
    <row r="9" spans="1:42" s="147" customFormat="1" ht="15.75">
      <c r="A9" s="140" t="s">
        <v>424</v>
      </c>
      <c r="B9" s="275"/>
      <c r="C9" s="138"/>
      <c r="D9" s="138" t="s">
        <v>152</v>
      </c>
      <c r="E9" s="275"/>
      <c r="F9" s="138"/>
      <c r="G9" s="138"/>
      <c r="H9" s="140"/>
      <c r="I9" s="276"/>
      <c r="J9" s="138"/>
      <c r="K9" s="140"/>
      <c r="L9" s="276"/>
      <c r="M9" s="148"/>
      <c r="N9" s="138"/>
      <c r="O9" s="138"/>
      <c r="P9" s="138"/>
      <c r="Q9" s="138"/>
      <c r="R9" s="138"/>
      <c r="S9" s="140"/>
      <c r="T9" s="149"/>
      <c r="U9" s="138"/>
      <c r="V9" s="138"/>
      <c r="W9" s="146"/>
      <c r="X9" s="276"/>
      <c r="Y9" s="138"/>
      <c r="Z9" s="276"/>
      <c r="AA9" s="174"/>
      <c r="AB9" s="140"/>
      <c r="AC9" s="138"/>
      <c r="AD9" s="138"/>
      <c r="AE9" s="138"/>
      <c r="AF9" s="148"/>
      <c r="AG9" s="148"/>
      <c r="AH9" s="138"/>
      <c r="AI9" s="138" t="s">
        <v>164</v>
      </c>
      <c r="AJ9" s="138"/>
      <c r="AK9" s="138"/>
      <c r="AL9" s="173"/>
      <c r="AM9" s="138"/>
      <c r="AN9" s="138"/>
      <c r="AO9" s="138"/>
      <c r="AP9" s="138"/>
    </row>
    <row r="10" spans="1:42" s="147" customFormat="1" ht="15.75">
      <c r="A10" s="140" t="s">
        <v>165</v>
      </c>
      <c r="B10" s="275"/>
      <c r="C10" s="138"/>
      <c r="D10" s="138" t="s">
        <v>166</v>
      </c>
      <c r="E10" s="276"/>
      <c r="F10" s="138"/>
      <c r="G10" s="138"/>
      <c r="H10" s="140"/>
      <c r="I10" s="276"/>
      <c r="J10" s="138"/>
      <c r="K10" s="140" t="s">
        <v>5</v>
      </c>
      <c r="L10" s="276"/>
      <c r="M10" s="148"/>
      <c r="N10" s="138"/>
      <c r="O10" s="138"/>
      <c r="P10" s="138"/>
      <c r="Q10" s="138"/>
      <c r="R10" s="138"/>
      <c r="S10" s="140"/>
      <c r="T10" s="149"/>
      <c r="U10" s="138"/>
      <c r="V10" s="138"/>
      <c r="W10" s="146"/>
      <c r="X10" s="276"/>
      <c r="Y10" s="138"/>
      <c r="Z10" s="276"/>
      <c r="AA10" s="174"/>
      <c r="AB10" s="140"/>
      <c r="AC10" s="138"/>
      <c r="AD10" s="138"/>
      <c r="AE10" s="138"/>
      <c r="AF10" s="148"/>
      <c r="AG10" s="148"/>
      <c r="AH10" s="138"/>
      <c r="AI10" s="138" t="s">
        <v>167</v>
      </c>
      <c r="AJ10" s="138"/>
      <c r="AK10" s="138"/>
      <c r="AL10" s="173"/>
      <c r="AM10" s="138"/>
      <c r="AN10" s="138"/>
      <c r="AO10" s="138"/>
      <c r="AP10" s="138"/>
    </row>
    <row r="11" spans="1:42" s="147" customFormat="1" ht="15.75">
      <c r="A11" s="140" t="s">
        <v>425</v>
      </c>
      <c r="B11" s="275"/>
      <c r="C11" s="138"/>
      <c r="D11" s="138" t="s">
        <v>170</v>
      </c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75"/>
      <c r="AB11" s="138"/>
      <c r="AC11" s="138"/>
      <c r="AD11" s="138"/>
      <c r="AE11" s="138"/>
      <c r="AF11" s="148"/>
      <c r="AG11" s="148"/>
      <c r="AH11" s="138"/>
      <c r="AI11" s="138" t="s">
        <v>168</v>
      </c>
      <c r="AJ11" s="138"/>
      <c r="AK11" s="138"/>
      <c r="AL11" s="173"/>
      <c r="AM11" s="138"/>
      <c r="AN11" s="138"/>
      <c r="AO11" s="138"/>
      <c r="AP11" s="138"/>
    </row>
    <row r="12" spans="1:42" s="147" customFormat="1" ht="15.75">
      <c r="A12" s="140" t="s">
        <v>169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75"/>
      <c r="AB12" s="138"/>
      <c r="AC12" s="138"/>
      <c r="AD12" s="138"/>
      <c r="AE12" s="138"/>
      <c r="AF12" s="148"/>
      <c r="AG12" s="148"/>
      <c r="AH12" s="138"/>
      <c r="AI12" s="138"/>
      <c r="AJ12" s="138"/>
      <c r="AK12" s="138"/>
      <c r="AL12" s="173"/>
      <c r="AM12" s="138"/>
      <c r="AN12" s="138"/>
      <c r="AO12" s="138"/>
      <c r="AP12" s="138"/>
    </row>
    <row r="13" spans="1:42" s="147" customFormat="1" ht="15.75">
      <c r="A13" s="140" t="s">
        <v>6</v>
      </c>
      <c r="B13" s="138"/>
      <c r="C13" s="138"/>
      <c r="D13" s="138"/>
      <c r="E13" s="275"/>
      <c r="F13" s="142"/>
      <c r="G13" s="138"/>
      <c r="H13" s="138"/>
      <c r="I13" s="138"/>
      <c r="J13" s="138"/>
      <c r="K13" s="275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275"/>
      <c r="Y13" s="138"/>
      <c r="Z13" s="138"/>
      <c r="AA13" s="176"/>
      <c r="AB13" s="138"/>
      <c r="AC13" s="138"/>
      <c r="AD13" s="138"/>
      <c r="AE13" s="138"/>
      <c r="AF13" s="148"/>
      <c r="AG13" s="148"/>
      <c r="AH13" s="138"/>
      <c r="AI13" s="138"/>
      <c r="AJ13" s="138"/>
      <c r="AK13" s="138"/>
      <c r="AL13" s="173"/>
      <c r="AM13" s="138"/>
      <c r="AN13" s="138"/>
      <c r="AO13" s="138"/>
      <c r="AP13" s="138"/>
    </row>
    <row r="14" spans="1:42" s="152" customFormat="1" ht="39" customHeight="1">
      <c r="A14" s="350" t="s">
        <v>7</v>
      </c>
      <c r="B14" s="350" t="s">
        <v>8</v>
      </c>
      <c r="C14" s="341" t="s">
        <v>308</v>
      </c>
      <c r="D14" s="341" t="s">
        <v>9</v>
      </c>
      <c r="E14" s="350" t="s">
        <v>46</v>
      </c>
      <c r="F14" s="350"/>
      <c r="G14" s="350"/>
      <c r="H14" s="350"/>
      <c r="I14" s="350"/>
      <c r="J14" s="350"/>
      <c r="K14" s="350"/>
      <c r="L14" s="350"/>
      <c r="M14" s="350"/>
      <c r="N14" s="350"/>
      <c r="O14" s="350"/>
      <c r="P14" s="350"/>
      <c r="Q14" s="272"/>
      <c r="R14" s="272"/>
      <c r="S14" s="272"/>
      <c r="T14" s="272"/>
      <c r="U14" s="272"/>
      <c r="V14" s="272"/>
      <c r="W14" s="274"/>
      <c r="X14" s="351" t="s">
        <v>47</v>
      </c>
      <c r="Y14" s="351"/>
      <c r="Z14" s="351"/>
      <c r="AA14" s="351" t="s">
        <v>48</v>
      </c>
      <c r="AB14" s="351"/>
      <c r="AC14" s="351"/>
      <c r="AD14" s="350" t="s">
        <v>10</v>
      </c>
      <c r="AE14" s="350" t="s">
        <v>11</v>
      </c>
      <c r="AF14" s="341" t="s">
        <v>355</v>
      </c>
      <c r="AG14" s="341" t="s">
        <v>356</v>
      </c>
      <c r="AH14" s="350" t="s">
        <v>12</v>
      </c>
      <c r="AI14" s="350" t="s">
        <v>13</v>
      </c>
      <c r="AJ14" s="350" t="s">
        <v>14</v>
      </c>
      <c r="AK14" s="341" t="s">
        <v>50</v>
      </c>
      <c r="AL14" s="350" t="s">
        <v>51</v>
      </c>
      <c r="AM14" s="151"/>
      <c r="AN14" s="151"/>
      <c r="AO14" s="151"/>
      <c r="AP14" s="151"/>
    </row>
    <row r="15" spans="1:42" s="152" customFormat="1" ht="28.5">
      <c r="A15" s="350"/>
      <c r="B15" s="350"/>
      <c r="C15" s="342"/>
      <c r="D15" s="342"/>
      <c r="E15" s="341" t="s">
        <v>49</v>
      </c>
      <c r="F15" s="344" t="s">
        <v>15</v>
      </c>
      <c r="G15" s="351" t="s">
        <v>16</v>
      </c>
      <c r="H15" s="351"/>
      <c r="I15" s="351"/>
      <c r="J15" s="274" t="s">
        <v>17</v>
      </c>
      <c r="K15" s="272" t="s">
        <v>18</v>
      </c>
      <c r="L15" s="274"/>
      <c r="M15" s="274" t="s">
        <v>17</v>
      </c>
      <c r="N15" s="274" t="s">
        <v>17</v>
      </c>
      <c r="O15" s="274" t="s">
        <v>17</v>
      </c>
      <c r="P15" s="274" t="s">
        <v>19</v>
      </c>
      <c r="Q15" s="274" t="s">
        <v>19</v>
      </c>
      <c r="R15" s="274" t="s">
        <v>19</v>
      </c>
      <c r="S15" s="274" t="s">
        <v>19</v>
      </c>
      <c r="T15" s="274" t="s">
        <v>19</v>
      </c>
      <c r="U15" s="274" t="s">
        <v>19</v>
      </c>
      <c r="V15" s="274" t="s">
        <v>20</v>
      </c>
      <c r="W15" s="274"/>
      <c r="X15" s="341" t="s">
        <v>49</v>
      </c>
      <c r="Y15" s="344" t="s">
        <v>21</v>
      </c>
      <c r="Z15" s="344" t="s">
        <v>22</v>
      </c>
      <c r="AA15" s="353" t="s">
        <v>49</v>
      </c>
      <c r="AB15" s="344" t="s">
        <v>21</v>
      </c>
      <c r="AC15" s="344" t="s">
        <v>23</v>
      </c>
      <c r="AD15" s="350"/>
      <c r="AE15" s="350"/>
      <c r="AF15" s="342"/>
      <c r="AG15" s="342"/>
      <c r="AH15" s="352"/>
      <c r="AI15" s="352"/>
      <c r="AJ15" s="350"/>
      <c r="AK15" s="342"/>
      <c r="AL15" s="352"/>
      <c r="AM15" s="151"/>
      <c r="AN15" s="151"/>
      <c r="AO15" s="151"/>
      <c r="AP15" s="151"/>
    </row>
    <row r="16" spans="1:42" s="152" customFormat="1" ht="15.75" customHeight="1">
      <c r="A16" s="350"/>
      <c r="B16" s="350"/>
      <c r="C16" s="342"/>
      <c r="D16" s="342"/>
      <c r="E16" s="342"/>
      <c r="F16" s="345"/>
      <c r="G16" s="344" t="s">
        <v>24</v>
      </c>
      <c r="H16" s="351" t="s">
        <v>25</v>
      </c>
      <c r="I16" s="351"/>
      <c r="J16" s="274" t="s">
        <v>26</v>
      </c>
      <c r="K16" s="272" t="s">
        <v>27</v>
      </c>
      <c r="L16" s="274" t="s">
        <v>28</v>
      </c>
      <c r="M16" s="274" t="s">
        <v>26</v>
      </c>
      <c r="N16" s="274" t="s">
        <v>26</v>
      </c>
      <c r="O16" s="274" t="s">
        <v>26</v>
      </c>
      <c r="P16" s="274" t="s">
        <v>29</v>
      </c>
      <c r="Q16" s="274" t="s">
        <v>29</v>
      </c>
      <c r="R16" s="274" t="s">
        <v>29</v>
      </c>
      <c r="S16" s="274" t="s">
        <v>29</v>
      </c>
      <c r="T16" s="274" t="s">
        <v>29</v>
      </c>
      <c r="U16" s="274" t="s">
        <v>29</v>
      </c>
      <c r="V16" s="274" t="s">
        <v>26</v>
      </c>
      <c r="W16" s="274" t="s">
        <v>30</v>
      </c>
      <c r="X16" s="342"/>
      <c r="Y16" s="345"/>
      <c r="Z16" s="345"/>
      <c r="AA16" s="354"/>
      <c r="AB16" s="345"/>
      <c r="AC16" s="345"/>
      <c r="AD16" s="350"/>
      <c r="AE16" s="350"/>
      <c r="AF16" s="343"/>
      <c r="AG16" s="343"/>
      <c r="AH16" s="352"/>
      <c r="AI16" s="352"/>
      <c r="AJ16" s="350"/>
      <c r="AK16" s="342"/>
      <c r="AL16" s="352"/>
      <c r="AM16" s="151"/>
      <c r="AN16" s="151"/>
      <c r="AO16" s="151"/>
      <c r="AP16" s="151"/>
    </row>
    <row r="17" spans="1:42" s="147" customFormat="1" ht="71.25" hidden="1">
      <c r="A17" s="350"/>
      <c r="B17" s="350"/>
      <c r="C17" s="343"/>
      <c r="D17" s="343"/>
      <c r="E17" s="343"/>
      <c r="F17" s="346"/>
      <c r="G17" s="346"/>
      <c r="H17" s="153" t="s">
        <v>31</v>
      </c>
      <c r="I17" s="274" t="s">
        <v>32</v>
      </c>
      <c r="J17" s="274" t="s">
        <v>33</v>
      </c>
      <c r="K17" s="272" t="s">
        <v>34</v>
      </c>
      <c r="L17" s="274" t="s">
        <v>35</v>
      </c>
      <c r="M17" s="274" t="s">
        <v>33</v>
      </c>
      <c r="N17" s="274" t="s">
        <v>36</v>
      </c>
      <c r="O17" s="274" t="s">
        <v>36</v>
      </c>
      <c r="P17" s="274" t="s">
        <v>36</v>
      </c>
      <c r="Q17" s="274" t="s">
        <v>36</v>
      </c>
      <c r="R17" s="274" t="s">
        <v>36</v>
      </c>
      <c r="S17" s="274" t="s">
        <v>36</v>
      </c>
      <c r="T17" s="274" t="s">
        <v>36</v>
      </c>
      <c r="U17" s="274" t="s">
        <v>36</v>
      </c>
      <c r="V17" s="274" t="s">
        <v>36</v>
      </c>
      <c r="W17" s="274" t="s">
        <v>37</v>
      </c>
      <c r="X17" s="343"/>
      <c r="Y17" s="346"/>
      <c r="Z17" s="346"/>
      <c r="AA17" s="355"/>
      <c r="AB17" s="346"/>
      <c r="AC17" s="346"/>
      <c r="AD17" s="350"/>
      <c r="AE17" s="350"/>
      <c r="AF17" s="221"/>
      <c r="AG17" s="221"/>
      <c r="AH17" s="352"/>
      <c r="AI17" s="352"/>
      <c r="AJ17" s="350"/>
      <c r="AK17" s="343"/>
      <c r="AL17" s="352"/>
      <c r="AM17" s="154"/>
      <c r="AN17" s="154"/>
      <c r="AO17" s="154"/>
      <c r="AP17" s="154"/>
    </row>
    <row r="18" spans="1:42" s="147" customFormat="1" ht="15.75">
      <c r="A18" s="272" t="s">
        <v>38</v>
      </c>
      <c r="B18" s="272" t="s">
        <v>39</v>
      </c>
      <c r="C18" s="272" t="s">
        <v>40</v>
      </c>
      <c r="D18" s="272" t="s">
        <v>41</v>
      </c>
      <c r="E18" s="272">
        <v>1</v>
      </c>
      <c r="F18" s="274">
        <v>2</v>
      </c>
      <c r="G18" s="153">
        <v>3</v>
      </c>
      <c r="H18" s="153">
        <v>4</v>
      </c>
      <c r="I18" s="274">
        <v>5</v>
      </c>
      <c r="J18" s="153">
        <v>7</v>
      </c>
      <c r="K18" s="274">
        <v>8</v>
      </c>
      <c r="L18" s="153">
        <v>9</v>
      </c>
      <c r="M18" s="274">
        <v>10</v>
      </c>
      <c r="N18" s="274"/>
      <c r="O18" s="153">
        <v>6</v>
      </c>
      <c r="P18" s="153"/>
      <c r="Q18" s="153"/>
      <c r="R18" s="153"/>
      <c r="S18" s="153"/>
      <c r="T18" s="153"/>
      <c r="U18" s="153"/>
      <c r="V18" s="153"/>
      <c r="W18" s="153">
        <v>5</v>
      </c>
      <c r="X18" s="272">
        <v>2</v>
      </c>
      <c r="Y18" s="274">
        <v>7</v>
      </c>
      <c r="Z18" s="274">
        <v>8</v>
      </c>
      <c r="AA18" s="177">
        <v>3</v>
      </c>
      <c r="AB18" s="272">
        <v>10</v>
      </c>
      <c r="AC18" s="153">
        <v>11</v>
      </c>
      <c r="AD18" s="272"/>
      <c r="AE18" s="272"/>
      <c r="AF18" s="221"/>
      <c r="AG18" s="221"/>
      <c r="AH18" s="272">
        <v>4</v>
      </c>
      <c r="AI18" s="272">
        <v>5</v>
      </c>
      <c r="AJ18" s="272">
        <v>6</v>
      </c>
      <c r="AK18" s="272">
        <v>7</v>
      </c>
      <c r="AL18" s="272">
        <v>8</v>
      </c>
      <c r="AM18" s="155"/>
      <c r="AN18" s="155"/>
      <c r="AO18" s="155"/>
      <c r="AP18" s="155"/>
    </row>
    <row r="19" spans="1:42" s="147" customFormat="1" ht="15.75">
      <c r="A19" s="272" t="s">
        <v>38</v>
      </c>
      <c r="B19" s="271" t="s">
        <v>361</v>
      </c>
      <c r="C19" s="178"/>
      <c r="D19" s="178"/>
      <c r="E19" s="178"/>
      <c r="F19" s="179"/>
      <c r="G19" s="180"/>
      <c r="H19" s="180"/>
      <c r="I19" s="179"/>
      <c r="J19" s="180"/>
      <c r="K19" s="179"/>
      <c r="L19" s="180"/>
      <c r="M19" s="179"/>
      <c r="N19" s="179"/>
      <c r="O19" s="180"/>
      <c r="P19" s="180"/>
      <c r="Q19" s="180"/>
      <c r="R19" s="180"/>
      <c r="S19" s="180"/>
      <c r="T19" s="180"/>
      <c r="U19" s="180"/>
      <c r="V19" s="180"/>
      <c r="W19" s="180"/>
      <c r="X19" s="178"/>
      <c r="Y19" s="179"/>
      <c r="Z19" s="179"/>
      <c r="AA19" s="181"/>
      <c r="AB19" s="178"/>
      <c r="AC19" s="180"/>
      <c r="AD19" s="178"/>
      <c r="AE19" s="178"/>
      <c r="AF19" s="222"/>
      <c r="AG19" s="222"/>
      <c r="AH19" s="178"/>
      <c r="AI19" s="178"/>
      <c r="AJ19" s="178"/>
      <c r="AK19" s="178"/>
      <c r="AL19" s="182"/>
      <c r="AM19" s="155"/>
      <c r="AN19" s="155"/>
      <c r="AO19" s="155"/>
      <c r="AP19" s="155"/>
    </row>
    <row r="20" spans="1:42" s="147" customFormat="1" ht="86.25" customHeight="1">
      <c r="A20" s="278">
        <v>1</v>
      </c>
      <c r="B20" s="165" t="s">
        <v>312</v>
      </c>
      <c r="C20" s="278"/>
      <c r="D20" s="278">
        <v>2018</v>
      </c>
      <c r="E20" s="278">
        <v>1</v>
      </c>
      <c r="F20" s="278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>
        <v>0</v>
      </c>
      <c r="Y20" s="157"/>
      <c r="Z20" s="157"/>
      <c r="AA20" s="183" t="s">
        <v>411</v>
      </c>
      <c r="AB20" s="157"/>
      <c r="AC20" s="157"/>
      <c r="AD20" s="164"/>
      <c r="AE20" s="278"/>
      <c r="AF20" s="198">
        <v>8600000</v>
      </c>
      <c r="AG20" s="198">
        <v>8600000</v>
      </c>
      <c r="AH20" s="278" t="s">
        <v>283</v>
      </c>
      <c r="AI20" s="278" t="s">
        <v>283</v>
      </c>
      <c r="AJ20" s="278" t="s">
        <v>296</v>
      </c>
      <c r="AK20" s="278"/>
      <c r="AL20" s="278" t="s">
        <v>429</v>
      </c>
      <c r="AM20" s="155"/>
      <c r="AN20" s="155"/>
      <c r="AO20" s="155"/>
      <c r="AP20" s="155"/>
    </row>
    <row r="21" spans="1:42" s="138" customFormat="1" ht="54" customHeight="1">
      <c r="A21" s="184">
        <v>2</v>
      </c>
      <c r="B21" s="280" t="s">
        <v>432</v>
      </c>
      <c r="C21" s="281"/>
      <c r="D21" s="282"/>
      <c r="E21" s="184">
        <v>1</v>
      </c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>
        <v>0</v>
      </c>
      <c r="Y21" s="185"/>
      <c r="Z21" s="185"/>
      <c r="AA21" s="184">
        <v>-1</v>
      </c>
      <c r="AB21" s="185"/>
      <c r="AC21" s="185"/>
      <c r="AD21" s="185"/>
      <c r="AE21" s="185"/>
      <c r="AF21" s="283">
        <v>16183700</v>
      </c>
      <c r="AG21" s="283">
        <v>16183700</v>
      </c>
      <c r="AH21" s="278" t="s">
        <v>283</v>
      </c>
      <c r="AI21" s="278" t="s">
        <v>283</v>
      </c>
      <c r="AJ21" s="184" t="s">
        <v>54</v>
      </c>
      <c r="AK21" s="184"/>
      <c r="AL21" s="186" t="s">
        <v>433</v>
      </c>
      <c r="AM21" s="284"/>
    </row>
    <row r="22" spans="1:42" s="138" customFormat="1" ht="54" customHeight="1">
      <c r="A22" s="184">
        <v>3</v>
      </c>
      <c r="B22" s="280" t="s">
        <v>432</v>
      </c>
      <c r="C22" s="281"/>
      <c r="D22" s="282"/>
      <c r="E22" s="184">
        <v>1</v>
      </c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>
        <v>0</v>
      </c>
      <c r="Y22" s="185"/>
      <c r="Z22" s="185"/>
      <c r="AA22" s="184">
        <v>-1</v>
      </c>
      <c r="AB22" s="185"/>
      <c r="AC22" s="185"/>
      <c r="AD22" s="185"/>
      <c r="AE22" s="185"/>
      <c r="AF22" s="283">
        <v>15430000</v>
      </c>
      <c r="AG22" s="283">
        <v>15430000</v>
      </c>
      <c r="AH22" s="278" t="s">
        <v>283</v>
      </c>
      <c r="AI22" s="278" t="s">
        <v>283</v>
      </c>
      <c r="AJ22" s="184" t="s">
        <v>54</v>
      </c>
      <c r="AK22" s="184"/>
      <c r="AL22" s="186" t="s">
        <v>433</v>
      </c>
      <c r="AM22" s="284"/>
    </row>
    <row r="23" spans="1:42" s="147" customFormat="1" ht="30" customHeight="1">
      <c r="A23" s="272" t="s">
        <v>39</v>
      </c>
      <c r="B23" s="187" t="s">
        <v>362</v>
      </c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223"/>
      <c r="AG23" s="223"/>
      <c r="AH23" s="188"/>
      <c r="AI23" s="188"/>
      <c r="AJ23" s="188"/>
      <c r="AK23" s="188"/>
      <c r="AL23" s="189"/>
      <c r="AM23" s="155"/>
      <c r="AN23" s="155"/>
      <c r="AO23" s="155"/>
      <c r="AP23" s="155"/>
    </row>
    <row r="24" spans="1:42" s="147" customFormat="1" ht="30" customHeight="1">
      <c r="A24" s="190">
        <v>1</v>
      </c>
      <c r="B24" s="285" t="s">
        <v>414</v>
      </c>
      <c r="C24" s="286" t="s">
        <v>418</v>
      </c>
      <c r="D24" s="286">
        <v>2016</v>
      </c>
      <c r="E24" s="278">
        <v>1</v>
      </c>
      <c r="F24" s="278">
        <v>1</v>
      </c>
      <c r="G24" s="278">
        <v>1</v>
      </c>
      <c r="H24" s="278">
        <v>1</v>
      </c>
      <c r="I24" s="278">
        <v>1</v>
      </c>
      <c r="J24" s="278">
        <v>1</v>
      </c>
      <c r="K24" s="278">
        <v>1</v>
      </c>
      <c r="L24" s="278">
        <v>1</v>
      </c>
      <c r="M24" s="278">
        <v>1</v>
      </c>
      <c r="N24" s="278">
        <v>1</v>
      </c>
      <c r="O24" s="278">
        <v>1</v>
      </c>
      <c r="P24" s="278">
        <v>1</v>
      </c>
      <c r="Q24" s="278">
        <v>1</v>
      </c>
      <c r="R24" s="278">
        <v>1</v>
      </c>
      <c r="S24" s="278">
        <v>1</v>
      </c>
      <c r="T24" s="278">
        <v>1</v>
      </c>
      <c r="U24" s="278">
        <v>1</v>
      </c>
      <c r="V24" s="278">
        <v>1</v>
      </c>
      <c r="W24" s="278">
        <v>1</v>
      </c>
      <c r="X24" s="278">
        <v>1</v>
      </c>
      <c r="Y24" s="157"/>
      <c r="Z24" s="157"/>
      <c r="AA24" s="183" t="s">
        <v>357</v>
      </c>
      <c r="AB24" s="157"/>
      <c r="AC24" s="157"/>
      <c r="AD24" s="164"/>
      <c r="AE24" s="278"/>
      <c r="AF24" s="191">
        <v>17563000</v>
      </c>
      <c r="AG24" s="191">
        <v>17563000</v>
      </c>
      <c r="AH24" s="278" t="s">
        <v>283</v>
      </c>
      <c r="AI24" s="278"/>
      <c r="AJ24" s="278"/>
      <c r="AK24" s="278" t="s">
        <v>407</v>
      </c>
      <c r="AL24" s="278" t="s">
        <v>422</v>
      </c>
      <c r="AM24" s="155"/>
      <c r="AN24" s="155"/>
      <c r="AO24" s="155"/>
      <c r="AP24" s="155"/>
    </row>
    <row r="25" spans="1:42" s="235" customFormat="1" ht="30" customHeight="1">
      <c r="A25" s="264">
        <v>2</v>
      </c>
      <c r="B25" s="266" t="s">
        <v>413</v>
      </c>
      <c r="C25" s="267" t="s">
        <v>417</v>
      </c>
      <c r="D25" s="268">
        <v>2023</v>
      </c>
      <c r="E25" s="231">
        <v>1</v>
      </c>
      <c r="F25" s="231">
        <v>1</v>
      </c>
      <c r="G25" s="231">
        <v>1</v>
      </c>
      <c r="H25" s="231">
        <v>1</v>
      </c>
      <c r="I25" s="231">
        <v>1</v>
      </c>
      <c r="J25" s="231">
        <v>1</v>
      </c>
      <c r="K25" s="231">
        <v>1</v>
      </c>
      <c r="L25" s="231">
        <v>1</v>
      </c>
      <c r="M25" s="231">
        <v>1</v>
      </c>
      <c r="N25" s="231">
        <v>1</v>
      </c>
      <c r="O25" s="231">
        <v>1</v>
      </c>
      <c r="P25" s="231">
        <v>1</v>
      </c>
      <c r="Q25" s="231">
        <v>1</v>
      </c>
      <c r="R25" s="231">
        <v>1</v>
      </c>
      <c r="S25" s="231">
        <v>1</v>
      </c>
      <c r="T25" s="231">
        <v>1</v>
      </c>
      <c r="U25" s="231">
        <v>1</v>
      </c>
      <c r="V25" s="231">
        <v>1</v>
      </c>
      <c r="W25" s="231">
        <v>1</v>
      </c>
      <c r="X25" s="231">
        <v>1</v>
      </c>
      <c r="Y25" s="232"/>
      <c r="Z25" s="232"/>
      <c r="AA25" s="265" t="s">
        <v>357</v>
      </c>
      <c r="AB25" s="232"/>
      <c r="AC25" s="232"/>
      <c r="AD25" s="233"/>
      <c r="AE25" s="231"/>
      <c r="AF25" s="269">
        <v>79990000</v>
      </c>
      <c r="AG25" s="269">
        <v>79990000</v>
      </c>
      <c r="AH25" s="231" t="s">
        <v>283</v>
      </c>
      <c r="AI25" s="231"/>
      <c r="AJ25" s="231"/>
      <c r="AK25" s="231" t="s">
        <v>407</v>
      </c>
      <c r="AL25" s="270" t="s">
        <v>412</v>
      </c>
      <c r="AM25" s="234"/>
      <c r="AN25" s="234"/>
      <c r="AO25" s="234"/>
      <c r="AP25" s="234"/>
    </row>
    <row r="26" spans="1:42" s="147" customFormat="1" ht="30" customHeight="1">
      <c r="A26" s="190">
        <v>3</v>
      </c>
      <c r="B26" s="287" t="s">
        <v>415</v>
      </c>
      <c r="C26" s="288" t="s">
        <v>419</v>
      </c>
      <c r="D26" s="288" t="s">
        <v>420</v>
      </c>
      <c r="E26" s="278">
        <v>1</v>
      </c>
      <c r="F26" s="278">
        <v>1</v>
      </c>
      <c r="G26" s="278">
        <v>1</v>
      </c>
      <c r="H26" s="278">
        <v>1</v>
      </c>
      <c r="I26" s="278">
        <v>1</v>
      </c>
      <c r="J26" s="278">
        <v>1</v>
      </c>
      <c r="K26" s="278">
        <v>1</v>
      </c>
      <c r="L26" s="278">
        <v>1</v>
      </c>
      <c r="M26" s="278">
        <v>1</v>
      </c>
      <c r="N26" s="278">
        <v>1</v>
      </c>
      <c r="O26" s="278">
        <v>1</v>
      </c>
      <c r="P26" s="278">
        <v>1</v>
      </c>
      <c r="Q26" s="278">
        <v>1</v>
      </c>
      <c r="R26" s="278">
        <v>1</v>
      </c>
      <c r="S26" s="278">
        <v>1</v>
      </c>
      <c r="T26" s="278">
        <v>1</v>
      </c>
      <c r="U26" s="278">
        <v>1</v>
      </c>
      <c r="V26" s="278">
        <v>1</v>
      </c>
      <c r="W26" s="278">
        <v>1</v>
      </c>
      <c r="X26" s="278">
        <v>1</v>
      </c>
      <c r="Y26" s="157"/>
      <c r="Z26" s="157"/>
      <c r="AA26" s="183" t="s">
        <v>357</v>
      </c>
      <c r="AB26" s="157"/>
      <c r="AC26" s="157"/>
      <c r="AD26" s="164"/>
      <c r="AE26" s="278"/>
      <c r="AF26" s="289">
        <v>22600000</v>
      </c>
      <c r="AG26" s="289">
        <v>22600000</v>
      </c>
      <c r="AH26" s="278" t="s">
        <v>283</v>
      </c>
      <c r="AI26" s="278"/>
      <c r="AJ26" s="278"/>
      <c r="AK26" s="278" t="s">
        <v>407</v>
      </c>
      <c r="AL26" s="192" t="s">
        <v>412</v>
      </c>
      <c r="AM26" s="155"/>
      <c r="AN26" s="155"/>
      <c r="AO26" s="155"/>
      <c r="AP26" s="155"/>
    </row>
    <row r="27" spans="1:42" s="147" customFormat="1" ht="30" customHeight="1">
      <c r="A27" s="190">
        <v>4</v>
      </c>
      <c r="B27" s="287" t="s">
        <v>416</v>
      </c>
      <c r="C27" s="288" t="s">
        <v>421</v>
      </c>
      <c r="D27" s="288" t="s">
        <v>420</v>
      </c>
      <c r="E27" s="278">
        <v>1</v>
      </c>
      <c r="F27" s="278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>
        <v>1</v>
      </c>
      <c r="Y27" s="157"/>
      <c r="Z27" s="157"/>
      <c r="AA27" s="183" t="s">
        <v>357</v>
      </c>
      <c r="AB27" s="157"/>
      <c r="AC27" s="157"/>
      <c r="AD27" s="164"/>
      <c r="AE27" s="278"/>
      <c r="AF27" s="289">
        <v>33000000</v>
      </c>
      <c r="AG27" s="289">
        <v>33000000</v>
      </c>
      <c r="AH27" s="278" t="s">
        <v>283</v>
      </c>
      <c r="AI27" s="278"/>
      <c r="AJ27" s="278"/>
      <c r="AK27" s="278" t="s">
        <v>407</v>
      </c>
      <c r="AL27" s="278" t="s">
        <v>412</v>
      </c>
      <c r="AM27" s="155"/>
      <c r="AN27" s="155"/>
      <c r="AO27" s="155"/>
      <c r="AP27" s="155"/>
    </row>
    <row r="28" spans="1:42" s="138" customFormat="1" ht="34.5" customHeight="1">
      <c r="A28" s="184"/>
      <c r="B28" s="193" t="s">
        <v>430</v>
      </c>
      <c r="C28" s="194"/>
      <c r="D28" s="19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5"/>
      <c r="Z28" s="185"/>
      <c r="AA28" s="195"/>
      <c r="AB28" s="185"/>
      <c r="AC28" s="185"/>
      <c r="AD28" s="185"/>
      <c r="AE28" s="185"/>
      <c r="AF28" s="191"/>
      <c r="AG28" s="224">
        <f>SUM(AG20:AG27)</f>
        <v>193366700</v>
      </c>
      <c r="AH28" s="184"/>
      <c r="AI28" s="184"/>
      <c r="AJ28" s="184"/>
      <c r="AK28" s="184"/>
      <c r="AL28" s="186"/>
    </row>
    <row r="29" spans="1:42" s="138" customFormat="1" ht="34.5" customHeight="1">
      <c r="A29" s="184"/>
      <c r="B29" s="193" t="s">
        <v>431</v>
      </c>
      <c r="C29" s="194"/>
      <c r="D29" s="19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5"/>
      <c r="Z29" s="185"/>
      <c r="AA29" s="195"/>
      <c r="AB29" s="185"/>
      <c r="AC29" s="185"/>
      <c r="AD29" s="185"/>
      <c r="AE29" s="185"/>
      <c r="AF29" s="191"/>
      <c r="AG29" s="191"/>
      <c r="AH29" s="184"/>
      <c r="AI29" s="184"/>
      <c r="AJ29" s="184"/>
      <c r="AK29" s="184"/>
      <c r="AL29" s="186"/>
    </row>
    <row r="30" spans="1:42" s="147" customFormat="1" ht="15.75">
      <c r="A30" s="272" t="s">
        <v>38</v>
      </c>
      <c r="B30" s="271" t="s">
        <v>361</v>
      </c>
      <c r="C30" s="178"/>
      <c r="D30" s="178"/>
      <c r="E30" s="178"/>
      <c r="F30" s="179"/>
      <c r="G30" s="180"/>
      <c r="H30" s="180"/>
      <c r="I30" s="179"/>
      <c r="J30" s="180"/>
      <c r="K30" s="179"/>
      <c r="L30" s="180"/>
      <c r="M30" s="179"/>
      <c r="N30" s="179"/>
      <c r="O30" s="180"/>
      <c r="P30" s="180"/>
      <c r="Q30" s="180"/>
      <c r="R30" s="180"/>
      <c r="S30" s="180"/>
      <c r="T30" s="180"/>
      <c r="U30" s="180"/>
      <c r="V30" s="180"/>
      <c r="W30" s="180"/>
      <c r="X30" s="178"/>
      <c r="Y30" s="179"/>
      <c r="Z30" s="179"/>
      <c r="AA30" s="181"/>
      <c r="AB30" s="178"/>
      <c r="AC30" s="180"/>
      <c r="AD30" s="178"/>
      <c r="AE30" s="178"/>
      <c r="AF30" s="222"/>
      <c r="AG30" s="222"/>
      <c r="AH30" s="178"/>
      <c r="AI30" s="178"/>
      <c r="AJ30" s="178"/>
      <c r="AK30" s="178"/>
      <c r="AL30" s="182"/>
      <c r="AM30" s="155"/>
      <c r="AN30" s="155"/>
      <c r="AO30" s="155"/>
      <c r="AP30" s="155"/>
    </row>
    <row r="31" spans="1:42" s="147" customFormat="1" ht="22.5" customHeight="1">
      <c r="A31" s="272" t="s">
        <v>277</v>
      </c>
      <c r="B31" s="240" t="s">
        <v>278</v>
      </c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  <c r="AD31" s="240"/>
      <c r="AE31" s="240"/>
      <c r="AF31" s="240"/>
      <c r="AG31" s="240"/>
      <c r="AH31" s="240"/>
      <c r="AI31" s="240"/>
      <c r="AJ31" s="240"/>
      <c r="AK31" s="240"/>
      <c r="AL31" s="241"/>
      <c r="AM31" s="155"/>
      <c r="AN31" s="155"/>
      <c r="AO31" s="155"/>
      <c r="AP31" s="155"/>
    </row>
    <row r="32" spans="1:42" s="147" customFormat="1" ht="93.75" customHeight="1">
      <c r="A32" s="278">
        <v>1</v>
      </c>
      <c r="B32" s="156" t="s">
        <v>279</v>
      </c>
      <c r="C32" s="278" t="s">
        <v>350</v>
      </c>
      <c r="D32" s="278">
        <v>2022</v>
      </c>
      <c r="E32" s="278">
        <v>9</v>
      </c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278">
        <v>5</v>
      </c>
      <c r="Y32" s="157"/>
      <c r="Z32" s="157"/>
      <c r="AA32" s="196" t="s">
        <v>351</v>
      </c>
      <c r="AB32" s="157"/>
      <c r="AC32" s="157"/>
      <c r="AD32" s="158"/>
      <c r="AE32" s="278"/>
      <c r="AF32" s="225">
        <v>2500000</v>
      </c>
      <c r="AG32" s="226">
        <f>+X32*AF32</f>
        <v>12500000</v>
      </c>
      <c r="AH32" s="278" t="s">
        <v>283</v>
      </c>
      <c r="AI32" s="278" t="s">
        <v>284</v>
      </c>
      <c r="AJ32" s="278" t="s">
        <v>285</v>
      </c>
      <c r="AK32" s="157"/>
      <c r="AL32" s="278" t="s">
        <v>358</v>
      </c>
      <c r="AM32" s="155"/>
      <c r="AN32" s="155"/>
      <c r="AO32" s="155"/>
      <c r="AP32" s="155"/>
    </row>
    <row r="33" spans="1:42" s="147" customFormat="1" ht="65.25" customHeight="1">
      <c r="A33" s="278">
        <v>2</v>
      </c>
      <c r="B33" s="156" t="s">
        <v>280</v>
      </c>
      <c r="C33" s="278" t="s">
        <v>256</v>
      </c>
      <c r="D33" s="278">
        <v>2022</v>
      </c>
      <c r="E33" s="278">
        <v>1</v>
      </c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278">
        <v>1</v>
      </c>
      <c r="Y33" s="157"/>
      <c r="Z33" s="157"/>
      <c r="AA33" s="197">
        <v>0</v>
      </c>
      <c r="AB33" s="157"/>
      <c r="AC33" s="157"/>
      <c r="AD33" s="158"/>
      <c r="AE33" s="278"/>
      <c r="AF33" s="225">
        <v>7900000</v>
      </c>
      <c r="AG33" s="225">
        <v>7900000</v>
      </c>
      <c r="AH33" s="278" t="s">
        <v>283</v>
      </c>
      <c r="AI33" s="278" t="s">
        <v>284</v>
      </c>
      <c r="AJ33" s="278" t="s">
        <v>285</v>
      </c>
      <c r="AK33" s="157"/>
      <c r="AL33" s="278"/>
      <c r="AM33" s="155"/>
      <c r="AN33" s="155"/>
      <c r="AO33" s="155"/>
      <c r="AP33" s="155"/>
    </row>
    <row r="34" spans="1:42" s="147" customFormat="1" ht="68.25" customHeight="1">
      <c r="A34" s="278">
        <v>3</v>
      </c>
      <c r="B34" s="156" t="s">
        <v>281</v>
      </c>
      <c r="C34" s="278" t="s">
        <v>359</v>
      </c>
      <c r="D34" s="278">
        <v>2022</v>
      </c>
      <c r="E34" s="278">
        <v>10</v>
      </c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278">
        <v>6</v>
      </c>
      <c r="Y34" s="157"/>
      <c r="Z34" s="157"/>
      <c r="AA34" s="196" t="s">
        <v>351</v>
      </c>
      <c r="AB34" s="157"/>
      <c r="AC34" s="157"/>
      <c r="AD34" s="158"/>
      <c r="AE34" s="278"/>
      <c r="AF34" s="198">
        <v>660000</v>
      </c>
      <c r="AG34" s="198">
        <f>+X34*AF34</f>
        <v>3960000</v>
      </c>
      <c r="AH34" s="278" t="s">
        <v>283</v>
      </c>
      <c r="AI34" s="278" t="s">
        <v>284</v>
      </c>
      <c r="AJ34" s="278" t="s">
        <v>285</v>
      </c>
      <c r="AK34" s="157"/>
      <c r="AL34" s="278" t="s">
        <v>360</v>
      </c>
      <c r="AM34" s="155"/>
      <c r="AN34" s="155"/>
      <c r="AO34" s="155"/>
      <c r="AP34" s="155"/>
    </row>
    <row r="35" spans="1:42" s="147" customFormat="1" ht="90">
      <c r="A35" s="278">
        <v>4</v>
      </c>
      <c r="B35" s="156" t="s">
        <v>282</v>
      </c>
      <c r="C35" s="278" t="s">
        <v>286</v>
      </c>
      <c r="D35" s="278">
        <v>2022</v>
      </c>
      <c r="E35" s="278">
        <v>5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278">
        <v>5</v>
      </c>
      <c r="Y35" s="157"/>
      <c r="Z35" s="157"/>
      <c r="AA35" s="197">
        <v>0</v>
      </c>
      <c r="AB35" s="157"/>
      <c r="AC35" s="157"/>
      <c r="AD35" s="158"/>
      <c r="AE35" s="278"/>
      <c r="AF35" s="225">
        <v>3280000</v>
      </c>
      <c r="AG35" s="226">
        <f>+X35*AF35</f>
        <v>16400000</v>
      </c>
      <c r="AH35" s="278" t="s">
        <v>283</v>
      </c>
      <c r="AI35" s="278" t="s">
        <v>284</v>
      </c>
      <c r="AJ35" s="278" t="s">
        <v>285</v>
      </c>
      <c r="AK35" s="157"/>
      <c r="AL35" s="278"/>
      <c r="AM35" s="155"/>
      <c r="AN35" s="155"/>
      <c r="AO35" s="155"/>
      <c r="AP35" s="155"/>
    </row>
    <row r="36" spans="1:42" s="147" customFormat="1" ht="25.5" customHeight="1">
      <c r="A36" s="278">
        <v>5</v>
      </c>
      <c r="B36" s="156" t="s">
        <v>110</v>
      </c>
      <c r="C36" s="278"/>
      <c r="D36" s="278">
        <v>2004</v>
      </c>
      <c r="E36" s="278">
        <v>1</v>
      </c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278">
        <v>1</v>
      </c>
      <c r="Y36" s="157"/>
      <c r="Z36" s="157"/>
      <c r="AA36" s="197">
        <v>0</v>
      </c>
      <c r="AB36" s="157"/>
      <c r="AC36" s="157"/>
      <c r="AD36" s="158"/>
      <c r="AE36" s="278"/>
      <c r="AF36" s="242">
        <v>2118640</v>
      </c>
      <c r="AG36" s="242">
        <v>2118640</v>
      </c>
      <c r="AH36" s="278" t="s">
        <v>283</v>
      </c>
      <c r="AI36" s="278" t="s">
        <v>284</v>
      </c>
      <c r="AJ36" s="278" t="s">
        <v>285</v>
      </c>
      <c r="AK36" s="157" t="s">
        <v>287</v>
      </c>
      <c r="AL36" s="278"/>
      <c r="AM36" s="155"/>
      <c r="AN36" s="155"/>
      <c r="AO36" s="155"/>
      <c r="AP36" s="155"/>
    </row>
    <row r="37" spans="1:42" s="147" customFormat="1" ht="30.75" customHeight="1">
      <c r="A37" s="278">
        <v>6</v>
      </c>
      <c r="B37" s="156" t="s">
        <v>259</v>
      </c>
      <c r="C37" s="278"/>
      <c r="D37" s="278">
        <v>2007</v>
      </c>
      <c r="E37" s="278">
        <v>1</v>
      </c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278">
        <v>1</v>
      </c>
      <c r="Y37" s="157"/>
      <c r="Z37" s="157"/>
      <c r="AA37" s="197">
        <v>0</v>
      </c>
      <c r="AB37" s="157"/>
      <c r="AC37" s="157"/>
      <c r="AD37" s="159"/>
      <c r="AE37" s="278"/>
      <c r="AF37" s="227"/>
      <c r="AG37" s="227"/>
      <c r="AH37" s="278" t="s">
        <v>283</v>
      </c>
      <c r="AI37" s="278" t="s">
        <v>284</v>
      </c>
      <c r="AJ37" s="278" t="s">
        <v>285</v>
      </c>
      <c r="AK37" s="157" t="s">
        <v>288</v>
      </c>
      <c r="AL37" s="278"/>
      <c r="AM37" s="155"/>
      <c r="AN37" s="155"/>
      <c r="AO37" s="155"/>
      <c r="AP37" s="155"/>
    </row>
    <row r="38" spans="1:42" s="147" customFormat="1" ht="28.5" customHeight="1">
      <c r="A38" s="278">
        <v>7</v>
      </c>
      <c r="B38" s="156" t="s">
        <v>132</v>
      </c>
      <c r="C38" s="278" t="s">
        <v>289</v>
      </c>
      <c r="D38" s="278">
        <v>2008</v>
      </c>
      <c r="E38" s="278">
        <v>1</v>
      </c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278">
        <v>1</v>
      </c>
      <c r="Y38" s="157"/>
      <c r="Z38" s="157"/>
      <c r="AA38" s="197">
        <v>0</v>
      </c>
      <c r="AB38" s="157"/>
      <c r="AC38" s="157"/>
      <c r="AD38" s="159"/>
      <c r="AE38" s="278"/>
      <c r="AF38" s="227"/>
      <c r="AG38" s="227"/>
      <c r="AH38" s="278" t="s">
        <v>283</v>
      </c>
      <c r="AI38" s="278" t="s">
        <v>284</v>
      </c>
      <c r="AJ38" s="278" t="s">
        <v>57</v>
      </c>
      <c r="AK38" s="157" t="s">
        <v>288</v>
      </c>
      <c r="AL38" s="278" t="s">
        <v>349</v>
      </c>
      <c r="AM38" s="155"/>
      <c r="AN38" s="155"/>
      <c r="AO38" s="155"/>
      <c r="AP38" s="155"/>
    </row>
    <row r="39" spans="1:42" s="147" customFormat="1" ht="25.5" customHeight="1">
      <c r="A39" s="278">
        <v>8</v>
      </c>
      <c r="B39" s="156" t="s">
        <v>61</v>
      </c>
      <c r="C39" s="278"/>
      <c r="D39" s="278">
        <v>2012</v>
      </c>
      <c r="E39" s="278">
        <v>1</v>
      </c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278">
        <v>1</v>
      </c>
      <c r="Y39" s="157"/>
      <c r="Z39" s="157"/>
      <c r="AA39" s="196">
        <v>0</v>
      </c>
      <c r="AB39" s="157"/>
      <c r="AC39" s="157"/>
      <c r="AD39" s="159"/>
      <c r="AE39" s="278"/>
      <c r="AF39" s="198">
        <v>2900000</v>
      </c>
      <c r="AG39" s="198">
        <v>2900000</v>
      </c>
      <c r="AH39" s="278" t="s">
        <v>283</v>
      </c>
      <c r="AI39" s="278" t="s">
        <v>284</v>
      </c>
      <c r="AJ39" s="278" t="s">
        <v>285</v>
      </c>
      <c r="AK39" s="157"/>
      <c r="AL39" s="278"/>
      <c r="AM39" s="155"/>
      <c r="AN39" s="155"/>
      <c r="AO39" s="155"/>
      <c r="AP39" s="155"/>
    </row>
    <row r="40" spans="1:42" s="147" customFormat="1" ht="25.5" customHeight="1">
      <c r="A40" s="278"/>
      <c r="B40" s="156" t="s">
        <v>352</v>
      </c>
      <c r="C40" s="278"/>
      <c r="D40" s="278"/>
      <c r="E40" s="278">
        <v>0</v>
      </c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278">
        <v>1</v>
      </c>
      <c r="Y40" s="157"/>
      <c r="Z40" s="157"/>
      <c r="AA40" s="196" t="s">
        <v>232</v>
      </c>
      <c r="AB40" s="157"/>
      <c r="AC40" s="157"/>
      <c r="AD40" s="159"/>
      <c r="AE40" s="278"/>
      <c r="AF40" s="198">
        <v>4800000</v>
      </c>
      <c r="AG40" s="198">
        <v>4800000</v>
      </c>
      <c r="AH40" s="278"/>
      <c r="AI40" s="278" t="s">
        <v>284</v>
      </c>
      <c r="AJ40" s="278" t="s">
        <v>285</v>
      </c>
      <c r="AK40" s="157"/>
      <c r="AL40" s="278" t="s">
        <v>353</v>
      </c>
      <c r="AM40" s="155"/>
      <c r="AN40" s="155"/>
      <c r="AO40" s="155"/>
      <c r="AP40" s="155"/>
    </row>
    <row r="41" spans="1:42" s="147" customFormat="1" ht="24" customHeight="1">
      <c r="A41" s="272" t="s">
        <v>290</v>
      </c>
      <c r="B41" s="239" t="s">
        <v>291</v>
      </c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0"/>
      <c r="AC41" s="240"/>
      <c r="AD41" s="240"/>
      <c r="AE41" s="240"/>
      <c r="AF41" s="240"/>
      <c r="AG41" s="240"/>
      <c r="AH41" s="240"/>
      <c r="AI41" s="240"/>
      <c r="AJ41" s="240"/>
      <c r="AK41" s="240"/>
      <c r="AL41" s="241"/>
      <c r="AM41" s="155"/>
      <c r="AN41" s="155"/>
      <c r="AO41" s="155"/>
      <c r="AP41" s="155"/>
    </row>
    <row r="42" spans="1:42" s="147" customFormat="1" ht="62.25" customHeight="1">
      <c r="A42" s="278">
        <v>1</v>
      </c>
      <c r="B42" s="186" t="s">
        <v>292</v>
      </c>
      <c r="C42" s="278" t="s">
        <v>257</v>
      </c>
      <c r="D42" s="278">
        <v>2022</v>
      </c>
      <c r="E42" s="278">
        <v>1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278">
        <v>1</v>
      </c>
      <c r="Y42" s="157"/>
      <c r="Z42" s="157"/>
      <c r="AA42" s="197">
        <v>0</v>
      </c>
      <c r="AB42" s="160"/>
      <c r="AC42" s="160"/>
      <c r="AD42" s="161"/>
      <c r="AE42" s="156"/>
      <c r="AF42" s="225">
        <v>6800000</v>
      </c>
      <c r="AG42" s="225">
        <v>6800000</v>
      </c>
      <c r="AH42" s="278" t="s">
        <v>283</v>
      </c>
      <c r="AI42" s="278" t="s">
        <v>258</v>
      </c>
      <c r="AJ42" s="278" t="s">
        <v>285</v>
      </c>
      <c r="AK42" s="278"/>
      <c r="AL42" s="278"/>
      <c r="AM42" s="155"/>
      <c r="AN42" s="155"/>
      <c r="AO42" s="155"/>
      <c r="AP42" s="155"/>
    </row>
    <row r="43" spans="1:42" s="147" customFormat="1" ht="62.25" customHeight="1">
      <c r="A43" s="278">
        <v>2</v>
      </c>
      <c r="B43" s="186" t="s">
        <v>293</v>
      </c>
      <c r="C43" s="278" t="s">
        <v>294</v>
      </c>
      <c r="D43" s="278">
        <v>2022</v>
      </c>
      <c r="E43" s="278">
        <v>19</v>
      </c>
      <c r="F43" s="199"/>
      <c r="G43" s="199"/>
      <c r="H43" s="160"/>
      <c r="I43" s="160"/>
      <c r="J43" s="160"/>
      <c r="K43" s="157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278">
        <v>19</v>
      </c>
      <c r="Y43" s="160"/>
      <c r="Z43" s="199"/>
      <c r="AA43" s="197">
        <v>0</v>
      </c>
      <c r="AB43" s="160"/>
      <c r="AC43" s="160"/>
      <c r="AD43" s="161"/>
      <c r="AE43" s="156"/>
      <c r="AF43" s="225">
        <v>960000</v>
      </c>
      <c r="AG43" s="226">
        <f>+X43*AF43</f>
        <v>18240000</v>
      </c>
      <c r="AH43" s="278" t="s">
        <v>283</v>
      </c>
      <c r="AI43" s="278" t="s">
        <v>258</v>
      </c>
      <c r="AJ43" s="278" t="s">
        <v>285</v>
      </c>
      <c r="AK43" s="278"/>
      <c r="AL43" s="278"/>
      <c r="AM43" s="155"/>
      <c r="AN43" s="155"/>
      <c r="AO43" s="155"/>
      <c r="AP43" s="155"/>
    </row>
    <row r="44" spans="1:42" s="147" customFormat="1" ht="26.25" customHeight="1">
      <c r="A44" s="278">
        <v>3</v>
      </c>
      <c r="B44" s="156" t="s">
        <v>144</v>
      </c>
      <c r="C44" s="278"/>
      <c r="D44" s="278">
        <v>2004</v>
      </c>
      <c r="E44" s="278">
        <v>1</v>
      </c>
      <c r="F44" s="200"/>
      <c r="G44" s="162"/>
      <c r="H44" s="162"/>
      <c r="I44" s="162"/>
      <c r="J44" s="162"/>
      <c r="K44" s="27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278">
        <v>1</v>
      </c>
      <c r="Y44" s="162"/>
      <c r="Z44" s="162"/>
      <c r="AA44" s="201">
        <v>0</v>
      </c>
      <c r="AB44" s="163"/>
      <c r="AC44" s="162"/>
      <c r="AD44" s="162"/>
      <c r="AE44" s="162"/>
      <c r="AF44" s="242">
        <v>700000</v>
      </c>
      <c r="AG44" s="242">
        <v>700000</v>
      </c>
      <c r="AH44" s="278" t="s">
        <v>283</v>
      </c>
      <c r="AI44" s="278" t="s">
        <v>258</v>
      </c>
      <c r="AJ44" s="278" t="s">
        <v>285</v>
      </c>
      <c r="AK44" s="278" t="s">
        <v>295</v>
      </c>
      <c r="AL44" s="278"/>
      <c r="AM44" s="155"/>
      <c r="AN44" s="155"/>
      <c r="AO44" s="155"/>
      <c r="AP44" s="155"/>
    </row>
    <row r="45" spans="1:42" s="147" customFormat="1" ht="26.25" customHeight="1">
      <c r="A45" s="278">
        <v>4</v>
      </c>
      <c r="B45" s="156" t="s">
        <v>145</v>
      </c>
      <c r="C45" s="278"/>
      <c r="D45" s="278">
        <v>2014</v>
      </c>
      <c r="E45" s="278">
        <v>1</v>
      </c>
      <c r="F45" s="200"/>
      <c r="G45" s="162"/>
      <c r="H45" s="162"/>
      <c r="I45" s="162"/>
      <c r="J45" s="162"/>
      <c r="K45" s="27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278">
        <v>1</v>
      </c>
      <c r="Y45" s="162"/>
      <c r="Z45" s="162"/>
      <c r="AA45" s="201">
        <v>0</v>
      </c>
      <c r="AB45" s="163"/>
      <c r="AC45" s="162"/>
      <c r="AD45" s="162"/>
      <c r="AE45" s="162"/>
      <c r="AF45" s="198">
        <v>2915000</v>
      </c>
      <c r="AG45" s="198">
        <v>2915000</v>
      </c>
      <c r="AH45" s="278" t="s">
        <v>283</v>
      </c>
      <c r="AI45" s="278" t="s">
        <v>258</v>
      </c>
      <c r="AJ45" s="278" t="s">
        <v>285</v>
      </c>
      <c r="AK45" s="278" t="s">
        <v>295</v>
      </c>
      <c r="AL45" s="278"/>
      <c r="AM45" s="155"/>
      <c r="AN45" s="155"/>
      <c r="AO45" s="155"/>
      <c r="AP45" s="155"/>
    </row>
    <row r="46" spans="1:42" s="147" customFormat="1" ht="34.5" customHeight="1">
      <c r="A46" s="278">
        <v>5</v>
      </c>
      <c r="B46" s="156" t="s">
        <v>82</v>
      </c>
      <c r="C46" s="278"/>
      <c r="D46" s="278">
        <v>2016</v>
      </c>
      <c r="E46" s="278">
        <v>1</v>
      </c>
      <c r="F46" s="200"/>
      <c r="G46" s="162"/>
      <c r="H46" s="162"/>
      <c r="I46" s="162"/>
      <c r="J46" s="162"/>
      <c r="K46" s="27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278">
        <v>1</v>
      </c>
      <c r="Y46" s="162"/>
      <c r="Z46" s="162"/>
      <c r="AA46" s="201">
        <v>0</v>
      </c>
      <c r="AB46" s="163"/>
      <c r="AC46" s="162"/>
      <c r="AD46" s="162"/>
      <c r="AE46" s="162"/>
      <c r="AF46" s="198">
        <v>2900000</v>
      </c>
      <c r="AG46" s="198">
        <v>2900000</v>
      </c>
      <c r="AH46" s="278" t="s">
        <v>283</v>
      </c>
      <c r="AI46" s="278" t="s">
        <v>258</v>
      </c>
      <c r="AJ46" s="278" t="s">
        <v>285</v>
      </c>
      <c r="AK46" s="278" t="s">
        <v>288</v>
      </c>
      <c r="AL46" s="278"/>
      <c r="AM46" s="155"/>
      <c r="AN46" s="155"/>
      <c r="AO46" s="155"/>
      <c r="AP46" s="155"/>
    </row>
    <row r="47" spans="1:42" s="147" customFormat="1" ht="30" customHeight="1">
      <c r="A47" s="202" t="s">
        <v>297</v>
      </c>
      <c r="B47" s="239" t="s">
        <v>190</v>
      </c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  <c r="AI47" s="240"/>
      <c r="AJ47" s="240"/>
      <c r="AK47" s="240"/>
      <c r="AL47" s="241"/>
      <c r="AM47" s="155"/>
      <c r="AN47" s="155"/>
      <c r="AO47" s="155"/>
      <c r="AP47" s="155"/>
    </row>
    <row r="48" spans="1:42" s="147" customFormat="1" ht="24" customHeight="1">
      <c r="A48" s="272" t="s">
        <v>298</v>
      </c>
      <c r="B48" s="239" t="s">
        <v>76</v>
      </c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  <c r="AA48" s="240"/>
      <c r="AB48" s="240"/>
      <c r="AC48" s="240"/>
      <c r="AD48" s="240"/>
      <c r="AE48" s="240"/>
      <c r="AF48" s="240"/>
      <c r="AG48" s="240"/>
      <c r="AH48" s="240"/>
      <c r="AI48" s="240"/>
      <c r="AJ48" s="240"/>
      <c r="AK48" s="240"/>
      <c r="AL48" s="241"/>
      <c r="AM48" s="154"/>
      <c r="AN48" s="154"/>
      <c r="AO48" s="154"/>
      <c r="AP48" s="154"/>
    </row>
    <row r="49" spans="1:42" s="147" customFormat="1" ht="27" customHeight="1">
      <c r="A49" s="278">
        <v>1</v>
      </c>
      <c r="B49" s="156" t="s">
        <v>80</v>
      </c>
      <c r="C49" s="278"/>
      <c r="D49" s="278">
        <v>2009</v>
      </c>
      <c r="E49" s="278">
        <v>1</v>
      </c>
      <c r="F49" s="278" t="s">
        <v>68</v>
      </c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>
        <v>1</v>
      </c>
      <c r="Y49" s="157"/>
      <c r="Z49" s="157"/>
      <c r="AA49" s="201">
        <v>0</v>
      </c>
      <c r="AB49" s="157"/>
      <c r="AC49" s="157"/>
      <c r="AD49" s="203"/>
      <c r="AE49" s="278"/>
      <c r="AF49" s="290">
        <v>7400000</v>
      </c>
      <c r="AG49" s="290">
        <v>7400000</v>
      </c>
      <c r="AH49" s="278" t="s">
        <v>283</v>
      </c>
      <c r="AI49" s="278" t="s">
        <v>81</v>
      </c>
      <c r="AJ49" s="278" t="s">
        <v>54</v>
      </c>
      <c r="AK49" s="278"/>
      <c r="AL49" s="278"/>
      <c r="AM49" s="154"/>
      <c r="AN49" s="154"/>
      <c r="AO49" s="154"/>
      <c r="AP49" s="154"/>
    </row>
    <row r="50" spans="1:42" s="147" customFormat="1" ht="27" customHeight="1">
      <c r="A50" s="278">
        <v>2</v>
      </c>
      <c r="B50" s="156" t="s">
        <v>70</v>
      </c>
      <c r="C50" s="278"/>
      <c r="D50" s="278">
        <v>2016</v>
      </c>
      <c r="E50" s="278">
        <v>2</v>
      </c>
      <c r="F50" s="278" t="s">
        <v>68</v>
      </c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>
        <v>2</v>
      </c>
      <c r="Y50" s="157"/>
      <c r="Z50" s="157"/>
      <c r="AA50" s="201">
        <v>0</v>
      </c>
      <c r="AB50" s="157"/>
      <c r="AC50" s="157"/>
      <c r="AD50" s="204"/>
      <c r="AE50" s="278"/>
      <c r="AF50" s="291">
        <v>800000</v>
      </c>
      <c r="AG50" s="291">
        <v>1600000</v>
      </c>
      <c r="AH50" s="278" t="s">
        <v>283</v>
      </c>
      <c r="AI50" s="278" t="s">
        <v>81</v>
      </c>
      <c r="AJ50" s="278" t="s">
        <v>54</v>
      </c>
      <c r="AK50" s="278"/>
      <c r="AL50" s="278"/>
      <c r="AM50" s="154"/>
      <c r="AN50" s="154"/>
      <c r="AO50" s="154"/>
      <c r="AP50" s="154"/>
    </row>
    <row r="51" spans="1:42" s="147" customFormat="1" ht="27" customHeight="1">
      <c r="A51" s="278">
        <v>3</v>
      </c>
      <c r="B51" s="156" t="s">
        <v>59</v>
      </c>
      <c r="C51" s="278"/>
      <c r="D51" s="278">
        <v>2016</v>
      </c>
      <c r="E51" s="278">
        <v>6</v>
      </c>
      <c r="F51" s="278" t="s">
        <v>68</v>
      </c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>
        <v>6</v>
      </c>
      <c r="Y51" s="157"/>
      <c r="Z51" s="157"/>
      <c r="AA51" s="196">
        <v>0</v>
      </c>
      <c r="AB51" s="157"/>
      <c r="AC51" s="157"/>
      <c r="AD51" s="203"/>
      <c r="AE51" s="278"/>
      <c r="AF51" s="290">
        <v>700000</v>
      </c>
      <c r="AG51" s="290">
        <f>700000*6</f>
        <v>4200000</v>
      </c>
      <c r="AH51" s="278" t="s">
        <v>283</v>
      </c>
      <c r="AI51" s="278" t="s">
        <v>81</v>
      </c>
      <c r="AJ51" s="278" t="s">
        <v>54</v>
      </c>
      <c r="AK51" s="278"/>
      <c r="AL51" s="278"/>
      <c r="AM51" s="154"/>
      <c r="AN51" s="154"/>
      <c r="AO51" s="154"/>
      <c r="AP51" s="154"/>
    </row>
    <row r="52" spans="1:42" s="147" customFormat="1" ht="26.25" customHeight="1">
      <c r="A52" s="278">
        <v>4</v>
      </c>
      <c r="B52" s="156" t="s">
        <v>53</v>
      </c>
      <c r="C52" s="278"/>
      <c r="D52" s="278">
        <v>2016</v>
      </c>
      <c r="E52" s="278">
        <v>1</v>
      </c>
      <c r="F52" s="278" t="s">
        <v>68</v>
      </c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>
        <v>1</v>
      </c>
      <c r="Y52" s="157"/>
      <c r="Z52" s="157"/>
      <c r="AA52" s="196">
        <v>0</v>
      </c>
      <c r="AB52" s="157"/>
      <c r="AC52" s="157"/>
      <c r="AD52" s="203"/>
      <c r="AE52" s="278"/>
      <c r="AF52" s="227"/>
      <c r="AG52" s="227"/>
      <c r="AH52" s="278" t="s">
        <v>283</v>
      </c>
      <c r="AI52" s="278" t="s">
        <v>81</v>
      </c>
      <c r="AJ52" s="278" t="s">
        <v>57</v>
      </c>
      <c r="AK52" s="278"/>
      <c r="AL52" s="278" t="s">
        <v>349</v>
      </c>
      <c r="AM52" s="154"/>
      <c r="AN52" s="154"/>
      <c r="AO52" s="154"/>
      <c r="AP52" s="154"/>
    </row>
    <row r="53" spans="1:42" s="147" customFormat="1" ht="26.25" customHeight="1">
      <c r="A53" s="278">
        <v>5</v>
      </c>
      <c r="B53" s="156" t="s">
        <v>82</v>
      </c>
      <c r="C53" s="278"/>
      <c r="D53" s="278">
        <v>2016</v>
      </c>
      <c r="E53" s="278">
        <v>1</v>
      </c>
      <c r="F53" s="278" t="s">
        <v>68</v>
      </c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>
        <v>1</v>
      </c>
      <c r="Y53" s="157"/>
      <c r="Z53" s="157"/>
      <c r="AA53" s="196">
        <v>0</v>
      </c>
      <c r="AB53" s="157"/>
      <c r="AC53" s="157"/>
      <c r="AD53" s="203"/>
      <c r="AE53" s="278"/>
      <c r="AF53" s="198">
        <v>2900000</v>
      </c>
      <c r="AG53" s="198">
        <v>2900000</v>
      </c>
      <c r="AH53" s="278" t="s">
        <v>283</v>
      </c>
      <c r="AI53" s="278" t="s">
        <v>81</v>
      </c>
      <c r="AJ53" s="278" t="s">
        <v>54</v>
      </c>
      <c r="AK53" s="278"/>
      <c r="AL53" s="278"/>
      <c r="AM53" s="154"/>
      <c r="AN53" s="154"/>
      <c r="AO53" s="154"/>
      <c r="AP53" s="154"/>
    </row>
    <row r="54" spans="1:42" s="147" customFormat="1" ht="26.25" customHeight="1">
      <c r="A54" s="278">
        <v>6</v>
      </c>
      <c r="B54" s="156" t="s">
        <v>83</v>
      </c>
      <c r="C54" s="278"/>
      <c r="D54" s="278">
        <v>2018</v>
      </c>
      <c r="E54" s="278">
        <v>1</v>
      </c>
      <c r="F54" s="278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>
        <v>1</v>
      </c>
      <c r="Y54" s="157"/>
      <c r="Z54" s="157"/>
      <c r="AA54" s="196">
        <v>0</v>
      </c>
      <c r="AB54" s="157"/>
      <c r="AC54" s="157"/>
      <c r="AD54" s="203"/>
      <c r="AE54" s="278"/>
      <c r="AF54" s="242">
        <v>9200000</v>
      </c>
      <c r="AG54" s="242">
        <v>9200000</v>
      </c>
      <c r="AH54" s="278" t="s">
        <v>283</v>
      </c>
      <c r="AI54" s="278" t="s">
        <v>81</v>
      </c>
      <c r="AJ54" s="278" t="s">
        <v>54</v>
      </c>
      <c r="AK54" s="278"/>
      <c r="AL54" s="278"/>
      <c r="AM54" s="154"/>
      <c r="AN54" s="154"/>
      <c r="AO54" s="154"/>
      <c r="AP54" s="154"/>
    </row>
    <row r="55" spans="1:42" s="147" customFormat="1" ht="26.25" customHeight="1">
      <c r="A55" s="278">
        <v>7</v>
      </c>
      <c r="B55" s="156" t="s">
        <v>299</v>
      </c>
      <c r="C55" s="278" t="s">
        <v>84</v>
      </c>
      <c r="D55" s="278">
        <v>2017</v>
      </c>
      <c r="E55" s="278">
        <v>1</v>
      </c>
      <c r="F55" s="278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>
        <v>1</v>
      </c>
      <c r="Y55" s="157"/>
      <c r="Z55" s="157"/>
      <c r="AA55" s="196">
        <v>0</v>
      </c>
      <c r="AB55" s="157"/>
      <c r="AC55" s="157"/>
      <c r="AD55" s="203"/>
      <c r="AE55" s="278"/>
      <c r="AF55" s="227"/>
      <c r="AG55" s="227"/>
      <c r="AH55" s="278" t="s">
        <v>283</v>
      </c>
      <c r="AI55" s="278" t="s">
        <v>81</v>
      </c>
      <c r="AJ55" s="278" t="s">
        <v>54</v>
      </c>
      <c r="AK55" s="278"/>
      <c r="AL55" s="278"/>
      <c r="AM55" s="154"/>
      <c r="AN55" s="154"/>
      <c r="AO55" s="154"/>
      <c r="AP55" s="154"/>
    </row>
    <row r="56" spans="1:42" s="147" customFormat="1" ht="30" customHeight="1">
      <c r="A56" s="278">
        <v>8</v>
      </c>
      <c r="B56" s="156" t="s">
        <v>61</v>
      </c>
      <c r="C56" s="278"/>
      <c r="D56" s="278">
        <v>2012</v>
      </c>
      <c r="E56" s="278">
        <v>1</v>
      </c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278">
        <v>1</v>
      </c>
      <c r="Y56" s="157"/>
      <c r="Z56" s="157"/>
      <c r="AA56" s="196">
        <v>0</v>
      </c>
      <c r="AB56" s="157"/>
      <c r="AC56" s="157"/>
      <c r="AD56" s="164"/>
      <c r="AE56" s="278"/>
      <c r="AF56" s="198">
        <v>2900000</v>
      </c>
      <c r="AG56" s="198">
        <v>2900000</v>
      </c>
      <c r="AH56" s="278" t="s">
        <v>283</v>
      </c>
      <c r="AI56" s="278" t="s">
        <v>81</v>
      </c>
      <c r="AJ56" s="278" t="s">
        <v>54</v>
      </c>
      <c r="AK56" s="278"/>
      <c r="AL56" s="278"/>
      <c r="AM56" s="155"/>
      <c r="AN56" s="155"/>
      <c r="AO56" s="155"/>
      <c r="AP56" s="155"/>
    </row>
    <row r="57" spans="1:42" s="147" customFormat="1" ht="27" customHeight="1">
      <c r="A57" s="278">
        <v>9</v>
      </c>
      <c r="B57" s="156" t="s">
        <v>85</v>
      </c>
      <c r="C57" s="278"/>
      <c r="D57" s="278">
        <v>2008</v>
      </c>
      <c r="E57" s="278">
        <v>6</v>
      </c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278">
        <v>6</v>
      </c>
      <c r="Y57" s="157"/>
      <c r="Z57" s="157"/>
      <c r="AA57" s="197">
        <v>0</v>
      </c>
      <c r="AB57" s="157"/>
      <c r="AC57" s="157"/>
      <c r="AD57" s="164"/>
      <c r="AE57" s="278"/>
      <c r="AF57" s="227"/>
      <c r="AG57" s="227"/>
      <c r="AH57" s="278" t="s">
        <v>283</v>
      </c>
      <c r="AI57" s="278" t="s">
        <v>81</v>
      </c>
      <c r="AJ57" s="278" t="s">
        <v>54</v>
      </c>
      <c r="AK57" s="278"/>
      <c r="AL57" s="278"/>
      <c r="AM57" s="155"/>
      <c r="AN57" s="155"/>
      <c r="AO57" s="155"/>
      <c r="AP57" s="155"/>
    </row>
    <row r="58" spans="1:42" s="147" customFormat="1" ht="29.25" customHeight="1">
      <c r="A58" s="278">
        <v>10</v>
      </c>
      <c r="B58" s="156" t="s">
        <v>86</v>
      </c>
      <c r="C58" s="278"/>
      <c r="D58" s="278">
        <v>2017</v>
      </c>
      <c r="E58" s="278">
        <v>1</v>
      </c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278">
        <v>1</v>
      </c>
      <c r="Y58" s="157"/>
      <c r="Z58" s="157"/>
      <c r="AA58" s="196">
        <v>0</v>
      </c>
      <c r="AB58" s="157"/>
      <c r="AC58" s="157"/>
      <c r="AD58" s="164"/>
      <c r="AE58" s="278"/>
      <c r="AF58" s="227"/>
      <c r="AG58" s="227"/>
      <c r="AH58" s="278" t="s">
        <v>283</v>
      </c>
      <c r="AI58" s="278" t="s">
        <v>81</v>
      </c>
      <c r="AJ58" s="278" t="s">
        <v>54</v>
      </c>
      <c r="AK58" s="278"/>
      <c r="AL58" s="278"/>
      <c r="AM58" s="155"/>
      <c r="AN58" s="155"/>
      <c r="AO58" s="155"/>
      <c r="AP58" s="155"/>
    </row>
    <row r="59" spans="1:42" s="147" customFormat="1" ht="23.25" customHeight="1">
      <c r="A59" s="278">
        <v>11</v>
      </c>
      <c r="B59" s="156" t="s">
        <v>88</v>
      </c>
      <c r="C59" s="278"/>
      <c r="D59" s="278">
        <v>2003</v>
      </c>
      <c r="E59" s="278">
        <v>1</v>
      </c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>
        <v>1</v>
      </c>
      <c r="Y59" s="157"/>
      <c r="Z59" s="157"/>
      <c r="AA59" s="197">
        <v>0</v>
      </c>
      <c r="AB59" s="157"/>
      <c r="AC59" s="157"/>
      <c r="AD59" s="164"/>
      <c r="AE59" s="278"/>
      <c r="AF59" s="227"/>
      <c r="AG59" s="227"/>
      <c r="AH59" s="278" t="s">
        <v>283</v>
      </c>
      <c r="AI59" s="278" t="s">
        <v>81</v>
      </c>
      <c r="AJ59" s="278" t="s">
        <v>54</v>
      </c>
      <c r="AK59" s="278"/>
      <c r="AL59" s="278"/>
      <c r="AM59" s="154"/>
      <c r="AN59" s="154"/>
      <c r="AO59" s="154"/>
      <c r="AP59" s="154"/>
    </row>
    <row r="60" spans="1:42" s="147" customFormat="1" ht="23.25" customHeight="1">
      <c r="A60" s="278">
        <v>12</v>
      </c>
      <c r="B60" s="156" t="s">
        <v>89</v>
      </c>
      <c r="C60" s="278"/>
      <c r="D60" s="278">
        <v>2015</v>
      </c>
      <c r="E60" s="278">
        <v>1</v>
      </c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278">
        <v>1</v>
      </c>
      <c r="Y60" s="157"/>
      <c r="Z60" s="157"/>
      <c r="AA60" s="197">
        <v>0</v>
      </c>
      <c r="AB60" s="157"/>
      <c r="AC60" s="157"/>
      <c r="AD60" s="164"/>
      <c r="AE60" s="278"/>
      <c r="AF60" s="242">
        <v>850000</v>
      </c>
      <c r="AG60" s="242">
        <v>850000</v>
      </c>
      <c r="AH60" s="278" t="s">
        <v>283</v>
      </c>
      <c r="AI60" s="278" t="s">
        <v>81</v>
      </c>
      <c r="AJ60" s="278" t="s">
        <v>54</v>
      </c>
      <c r="AK60" s="278"/>
      <c r="AL60" s="278"/>
      <c r="AM60" s="155"/>
      <c r="AN60" s="155"/>
      <c r="AO60" s="155"/>
      <c r="AP60" s="155"/>
    </row>
    <row r="61" spans="1:42" s="147" customFormat="1" ht="24" customHeight="1">
      <c r="A61" s="278">
        <v>13</v>
      </c>
      <c r="B61" s="156" t="s">
        <v>96</v>
      </c>
      <c r="C61" s="278"/>
      <c r="D61" s="278">
        <v>2017</v>
      </c>
      <c r="E61" s="278">
        <v>7</v>
      </c>
      <c r="F61" s="278" t="s">
        <v>68</v>
      </c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>
        <v>7</v>
      </c>
      <c r="Y61" s="157"/>
      <c r="Z61" s="157"/>
      <c r="AA61" s="183">
        <v>0</v>
      </c>
      <c r="AB61" s="157"/>
      <c r="AC61" s="157"/>
      <c r="AD61" s="164"/>
      <c r="AE61" s="278"/>
      <c r="AF61" s="227"/>
      <c r="AG61" s="227"/>
      <c r="AH61" s="278" t="s">
        <v>283</v>
      </c>
      <c r="AI61" s="278" t="s">
        <v>81</v>
      </c>
      <c r="AJ61" s="278" t="s">
        <v>54</v>
      </c>
      <c r="AK61" s="278"/>
      <c r="AL61" s="278"/>
      <c r="AM61" s="155"/>
      <c r="AN61" s="155"/>
      <c r="AO61" s="155"/>
      <c r="AP61" s="155"/>
    </row>
    <row r="62" spans="1:42" s="147" customFormat="1" ht="33" customHeight="1">
      <c r="A62" s="192">
        <v>14</v>
      </c>
      <c r="B62" s="243" t="s">
        <v>198</v>
      </c>
      <c r="C62" s="192"/>
      <c r="D62" s="192">
        <v>2021</v>
      </c>
      <c r="E62" s="192">
        <v>4</v>
      </c>
      <c r="F62" s="192"/>
      <c r="G62" s="244"/>
      <c r="H62" s="244"/>
      <c r="I62" s="244"/>
      <c r="J62" s="244"/>
      <c r="K62" s="244"/>
      <c r="L62" s="244"/>
      <c r="M62" s="244"/>
      <c r="N62" s="244"/>
      <c r="O62" s="244"/>
      <c r="P62" s="244"/>
      <c r="Q62" s="244"/>
      <c r="R62" s="244"/>
      <c r="S62" s="244"/>
      <c r="T62" s="244"/>
      <c r="U62" s="244"/>
      <c r="V62" s="244"/>
      <c r="W62" s="244"/>
      <c r="X62" s="244">
        <v>4</v>
      </c>
      <c r="Y62" s="244"/>
      <c r="Z62" s="244"/>
      <c r="AA62" s="245">
        <v>0</v>
      </c>
      <c r="AB62" s="244"/>
      <c r="AC62" s="244"/>
      <c r="AD62" s="246"/>
      <c r="AE62" s="244"/>
      <c r="AF62" s="242">
        <v>750000</v>
      </c>
      <c r="AG62" s="242">
        <f>+AF62*X62</f>
        <v>3000000</v>
      </c>
      <c r="AH62" s="192" t="s">
        <v>283</v>
      </c>
      <c r="AI62" s="192" t="s">
        <v>90</v>
      </c>
      <c r="AJ62" s="192" t="s">
        <v>285</v>
      </c>
      <c r="AK62" s="244"/>
      <c r="AL62" s="244"/>
      <c r="AM62" s="154"/>
      <c r="AN62" s="154"/>
      <c r="AO62" s="154"/>
      <c r="AP62" s="154"/>
    </row>
    <row r="63" spans="1:42" s="147" customFormat="1" ht="33" customHeight="1">
      <c r="A63" s="278">
        <v>15</v>
      </c>
      <c r="B63" s="156" t="s">
        <v>354</v>
      </c>
      <c r="C63" s="278"/>
      <c r="D63" s="278"/>
      <c r="E63" s="278">
        <v>2</v>
      </c>
      <c r="F63" s="278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>
        <v>2</v>
      </c>
      <c r="Y63" s="157"/>
      <c r="Z63" s="157"/>
      <c r="AA63" s="196" t="s">
        <v>357</v>
      </c>
      <c r="AB63" s="157"/>
      <c r="AC63" s="157"/>
      <c r="AD63" s="205"/>
      <c r="AE63" s="157"/>
      <c r="AF63" s="290">
        <v>6500000</v>
      </c>
      <c r="AG63" s="290">
        <v>13000000</v>
      </c>
      <c r="AH63" s="278" t="s">
        <v>283</v>
      </c>
      <c r="AI63" s="278" t="s">
        <v>90</v>
      </c>
      <c r="AJ63" s="278" t="s">
        <v>285</v>
      </c>
      <c r="AK63" s="157"/>
      <c r="AL63" s="157"/>
      <c r="AM63" s="154"/>
      <c r="AN63" s="154"/>
      <c r="AO63" s="154"/>
      <c r="AP63" s="154"/>
    </row>
    <row r="64" spans="1:42" s="147" customFormat="1" ht="29.25" customHeight="1">
      <c r="A64" s="273" t="s">
        <v>302</v>
      </c>
      <c r="B64" s="236" t="s">
        <v>103</v>
      </c>
      <c r="C64" s="237"/>
      <c r="D64" s="237"/>
      <c r="E64" s="237"/>
      <c r="F64" s="237"/>
      <c r="G64" s="237"/>
      <c r="H64" s="237"/>
      <c r="I64" s="237"/>
      <c r="J64" s="237"/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  <c r="AA64" s="237"/>
      <c r="AB64" s="237"/>
      <c r="AC64" s="237"/>
      <c r="AD64" s="237"/>
      <c r="AE64" s="237"/>
      <c r="AF64" s="237"/>
      <c r="AG64" s="237"/>
      <c r="AH64" s="237"/>
      <c r="AI64" s="237"/>
      <c r="AJ64" s="237"/>
      <c r="AK64" s="237"/>
      <c r="AL64" s="238"/>
      <c r="AM64" s="154"/>
      <c r="AN64" s="154"/>
      <c r="AO64" s="154"/>
      <c r="AP64" s="154"/>
    </row>
    <row r="65" spans="1:42" s="147" customFormat="1" ht="30" customHeight="1">
      <c r="A65" s="278">
        <v>1</v>
      </c>
      <c r="B65" s="156" t="s">
        <v>65</v>
      </c>
      <c r="C65" s="278"/>
      <c r="D65" s="278">
        <v>2006</v>
      </c>
      <c r="E65" s="278">
        <v>1</v>
      </c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>
        <v>1</v>
      </c>
      <c r="Y65" s="157"/>
      <c r="Z65" s="157"/>
      <c r="AA65" s="197">
        <v>0</v>
      </c>
      <c r="AB65" s="157"/>
      <c r="AC65" s="157"/>
      <c r="AD65" s="203"/>
      <c r="AE65" s="278"/>
      <c r="AF65" s="227"/>
      <c r="AG65" s="227"/>
      <c r="AH65" s="278" t="s">
        <v>283</v>
      </c>
      <c r="AI65" s="157" t="s">
        <v>104</v>
      </c>
      <c r="AJ65" s="278" t="s">
        <v>57</v>
      </c>
      <c r="AK65" s="278"/>
      <c r="AL65" s="278" t="s">
        <v>349</v>
      </c>
      <c r="AM65" s="155"/>
      <c r="AN65" s="155"/>
      <c r="AO65" s="155"/>
      <c r="AP65" s="155"/>
    </row>
    <row r="66" spans="1:42" s="147" customFormat="1" ht="30" customHeight="1">
      <c r="A66" s="278">
        <v>2</v>
      </c>
      <c r="B66" s="156" t="s">
        <v>66</v>
      </c>
      <c r="C66" s="278"/>
      <c r="D66" s="278">
        <v>2014</v>
      </c>
      <c r="E66" s="278">
        <v>1</v>
      </c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278">
        <v>1</v>
      </c>
      <c r="Y66" s="157"/>
      <c r="Z66" s="157"/>
      <c r="AA66" s="197">
        <v>0</v>
      </c>
      <c r="AB66" s="157"/>
      <c r="AC66" s="157"/>
      <c r="AD66" s="159"/>
      <c r="AE66" s="278"/>
      <c r="AF66" s="227"/>
      <c r="AG66" s="227"/>
      <c r="AH66" s="278" t="s">
        <v>283</v>
      </c>
      <c r="AI66" s="157" t="s">
        <v>104</v>
      </c>
      <c r="AJ66" s="278" t="s">
        <v>57</v>
      </c>
      <c r="AK66" s="278"/>
      <c r="AL66" s="278" t="s">
        <v>349</v>
      </c>
      <c r="AM66" s="155"/>
      <c r="AN66" s="155"/>
      <c r="AO66" s="155"/>
      <c r="AP66" s="155"/>
    </row>
    <row r="67" spans="1:42" s="147" customFormat="1" ht="30" customHeight="1">
      <c r="A67" s="272" t="s">
        <v>303</v>
      </c>
      <c r="B67" s="162" t="s">
        <v>324</v>
      </c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  <c r="AM67" s="155"/>
      <c r="AN67" s="155"/>
      <c r="AO67" s="155"/>
      <c r="AP67" s="155"/>
    </row>
    <row r="68" spans="1:42" s="147" customFormat="1" ht="86.25" customHeight="1">
      <c r="A68" s="278">
        <v>1</v>
      </c>
      <c r="B68" s="165" t="s">
        <v>310</v>
      </c>
      <c r="C68" s="278"/>
      <c r="D68" s="278">
        <v>2013</v>
      </c>
      <c r="E68" s="278">
        <v>1</v>
      </c>
      <c r="F68" s="278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>
        <v>0</v>
      </c>
      <c r="Y68" s="157"/>
      <c r="Z68" s="157"/>
      <c r="AA68" s="183" t="s">
        <v>411</v>
      </c>
      <c r="AB68" s="157"/>
      <c r="AC68" s="157"/>
      <c r="AD68" s="164"/>
      <c r="AE68" s="278"/>
      <c r="AF68" s="227"/>
      <c r="AG68" s="227"/>
      <c r="AH68" s="278" t="s">
        <v>283</v>
      </c>
      <c r="AI68" s="278" t="s">
        <v>283</v>
      </c>
      <c r="AJ68" s="278" t="s">
        <v>296</v>
      </c>
      <c r="AK68" s="278"/>
      <c r="AL68" s="278" t="s">
        <v>429</v>
      </c>
      <c r="AM68" s="155"/>
      <c r="AN68" s="155"/>
      <c r="AO68" s="155"/>
      <c r="AP68" s="155"/>
    </row>
    <row r="69" spans="1:42" s="147" customFormat="1" ht="86.25" customHeight="1">
      <c r="A69" s="278">
        <v>2</v>
      </c>
      <c r="B69" s="165" t="s">
        <v>311</v>
      </c>
      <c r="C69" s="278"/>
      <c r="D69" s="278">
        <v>2013</v>
      </c>
      <c r="E69" s="278">
        <v>1</v>
      </c>
      <c r="F69" s="278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>
        <v>0</v>
      </c>
      <c r="Y69" s="157"/>
      <c r="Z69" s="157"/>
      <c r="AA69" s="183" t="s">
        <v>411</v>
      </c>
      <c r="AB69" s="157"/>
      <c r="AC69" s="157"/>
      <c r="AD69" s="164"/>
      <c r="AE69" s="278"/>
      <c r="AF69" s="227"/>
      <c r="AG69" s="227"/>
      <c r="AH69" s="278" t="s">
        <v>283</v>
      </c>
      <c r="AI69" s="278" t="s">
        <v>283</v>
      </c>
      <c r="AJ69" s="278" t="s">
        <v>296</v>
      </c>
      <c r="AK69" s="278"/>
      <c r="AL69" s="278" t="s">
        <v>429</v>
      </c>
      <c r="AM69" s="155"/>
      <c r="AN69" s="155"/>
      <c r="AO69" s="155"/>
      <c r="AP69" s="155"/>
    </row>
    <row r="70" spans="1:42" s="147" customFormat="1" ht="86.25" customHeight="1">
      <c r="A70" s="278">
        <v>3</v>
      </c>
      <c r="B70" s="165" t="s">
        <v>122</v>
      </c>
      <c r="C70" s="278"/>
      <c r="D70" s="278">
        <v>2006</v>
      </c>
      <c r="E70" s="278">
        <v>1</v>
      </c>
      <c r="F70" s="278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>
        <v>0</v>
      </c>
      <c r="Y70" s="157"/>
      <c r="Z70" s="157"/>
      <c r="AA70" s="183" t="s">
        <v>411</v>
      </c>
      <c r="AB70" s="157"/>
      <c r="AC70" s="157"/>
      <c r="AD70" s="164"/>
      <c r="AE70" s="278"/>
      <c r="AF70" s="227"/>
      <c r="AG70" s="227"/>
      <c r="AH70" s="278" t="s">
        <v>283</v>
      </c>
      <c r="AI70" s="278" t="s">
        <v>283</v>
      </c>
      <c r="AJ70" s="278" t="s">
        <v>296</v>
      </c>
      <c r="AK70" s="278"/>
      <c r="AL70" s="278" t="s">
        <v>429</v>
      </c>
      <c r="AM70" s="155"/>
      <c r="AN70" s="155"/>
      <c r="AO70" s="155"/>
      <c r="AP70" s="155"/>
    </row>
    <row r="71" spans="1:42" s="147" customFormat="1" ht="86.25" customHeight="1">
      <c r="A71" s="278">
        <v>4</v>
      </c>
      <c r="B71" s="165" t="s">
        <v>312</v>
      </c>
      <c r="C71" s="278"/>
      <c r="D71" s="278">
        <v>2018</v>
      </c>
      <c r="E71" s="278">
        <v>1</v>
      </c>
      <c r="F71" s="278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>
        <v>0</v>
      </c>
      <c r="Y71" s="157"/>
      <c r="Z71" s="157"/>
      <c r="AA71" s="183" t="s">
        <v>411</v>
      </c>
      <c r="AB71" s="157"/>
      <c r="AC71" s="157"/>
      <c r="AD71" s="164"/>
      <c r="AE71" s="278"/>
      <c r="AF71" s="227"/>
      <c r="AG71" s="227"/>
      <c r="AH71" s="278" t="s">
        <v>283</v>
      </c>
      <c r="AI71" s="278" t="s">
        <v>283</v>
      </c>
      <c r="AJ71" s="278" t="s">
        <v>296</v>
      </c>
      <c r="AK71" s="278"/>
      <c r="AL71" s="278" t="s">
        <v>429</v>
      </c>
      <c r="AM71" s="155"/>
      <c r="AN71" s="155"/>
      <c r="AO71" s="155"/>
      <c r="AP71" s="155"/>
    </row>
    <row r="72" spans="1:42" s="147" customFormat="1" ht="30" customHeight="1">
      <c r="A72" s="272" t="s">
        <v>39</v>
      </c>
      <c r="B72" s="187" t="s">
        <v>362</v>
      </c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9"/>
      <c r="AM72" s="155"/>
      <c r="AN72" s="155"/>
      <c r="AO72" s="155"/>
      <c r="AP72" s="155"/>
    </row>
    <row r="73" spans="1:42" s="147" customFormat="1" ht="38.25" customHeight="1">
      <c r="A73" s="190">
        <v>1</v>
      </c>
      <c r="B73" s="206" t="s">
        <v>363</v>
      </c>
      <c r="C73" s="190" t="s">
        <v>364</v>
      </c>
      <c r="D73" s="190">
        <v>2017</v>
      </c>
      <c r="E73" s="278">
        <v>1</v>
      </c>
      <c r="F73" s="278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>
        <v>1</v>
      </c>
      <c r="Y73" s="157"/>
      <c r="Z73" s="157"/>
      <c r="AA73" s="183">
        <v>0</v>
      </c>
      <c r="AB73" s="157"/>
      <c r="AC73" s="157"/>
      <c r="AD73" s="164"/>
      <c r="AE73" s="278"/>
      <c r="AF73" s="198">
        <v>3540000</v>
      </c>
      <c r="AG73" s="198">
        <v>3540000</v>
      </c>
      <c r="AH73" s="278" t="s">
        <v>283</v>
      </c>
      <c r="AI73" s="278"/>
      <c r="AJ73" s="278"/>
      <c r="AK73" s="278" t="s">
        <v>407</v>
      </c>
      <c r="AL73" s="278" t="s">
        <v>408</v>
      </c>
      <c r="AM73" s="155"/>
      <c r="AN73" s="155"/>
      <c r="AO73" s="155"/>
      <c r="AP73" s="155"/>
    </row>
    <row r="74" spans="1:42" s="147" customFormat="1" ht="38.25" customHeight="1">
      <c r="A74" s="190">
        <v>2</v>
      </c>
      <c r="B74" s="206" t="s">
        <v>365</v>
      </c>
      <c r="C74" s="190" t="s">
        <v>366</v>
      </c>
      <c r="D74" s="190">
        <v>2017</v>
      </c>
      <c r="E74" s="278">
        <v>1</v>
      </c>
      <c r="F74" s="278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>
        <v>1</v>
      </c>
      <c r="Y74" s="157"/>
      <c r="Z74" s="157"/>
      <c r="AA74" s="183">
        <v>0</v>
      </c>
      <c r="AB74" s="157"/>
      <c r="AC74" s="157"/>
      <c r="AD74" s="164"/>
      <c r="AE74" s="278"/>
      <c r="AF74" s="198">
        <v>2150000</v>
      </c>
      <c r="AG74" s="198">
        <v>2150000</v>
      </c>
      <c r="AH74" s="278" t="s">
        <v>283</v>
      </c>
      <c r="AI74" s="278"/>
      <c r="AJ74" s="278"/>
      <c r="AK74" s="278" t="s">
        <v>407</v>
      </c>
      <c r="AL74" s="278" t="s">
        <v>408</v>
      </c>
      <c r="AM74" s="155"/>
      <c r="AN74" s="155"/>
      <c r="AO74" s="155"/>
      <c r="AP74" s="155"/>
    </row>
    <row r="75" spans="1:42" s="147" customFormat="1" ht="38.25" customHeight="1">
      <c r="A75" s="190">
        <v>3</v>
      </c>
      <c r="B75" s="206" t="s">
        <v>365</v>
      </c>
      <c r="C75" s="190" t="s">
        <v>367</v>
      </c>
      <c r="D75" s="190">
        <v>2017</v>
      </c>
      <c r="E75" s="278">
        <v>1</v>
      </c>
      <c r="F75" s="278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>
        <v>1</v>
      </c>
      <c r="Y75" s="157"/>
      <c r="Z75" s="157"/>
      <c r="AA75" s="183">
        <v>0</v>
      </c>
      <c r="AB75" s="157"/>
      <c r="AC75" s="157"/>
      <c r="AD75" s="164"/>
      <c r="AE75" s="278"/>
      <c r="AF75" s="198">
        <v>2150000</v>
      </c>
      <c r="AG75" s="198">
        <v>2150000</v>
      </c>
      <c r="AH75" s="278" t="s">
        <v>283</v>
      </c>
      <c r="AI75" s="278"/>
      <c r="AJ75" s="278"/>
      <c r="AK75" s="278" t="s">
        <v>407</v>
      </c>
      <c r="AL75" s="278" t="s">
        <v>408</v>
      </c>
      <c r="AM75" s="155"/>
      <c r="AN75" s="155"/>
      <c r="AO75" s="155"/>
      <c r="AP75" s="155"/>
    </row>
    <row r="76" spans="1:42" s="147" customFormat="1" ht="38.25" customHeight="1">
      <c r="A76" s="190">
        <v>4</v>
      </c>
      <c r="B76" s="206" t="s">
        <v>365</v>
      </c>
      <c r="C76" s="190" t="s">
        <v>368</v>
      </c>
      <c r="D76" s="190">
        <v>2017</v>
      </c>
      <c r="E76" s="278">
        <v>1</v>
      </c>
      <c r="F76" s="278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>
        <v>1</v>
      </c>
      <c r="Y76" s="157"/>
      <c r="Z76" s="157"/>
      <c r="AA76" s="183">
        <v>0</v>
      </c>
      <c r="AB76" s="157"/>
      <c r="AC76" s="157"/>
      <c r="AD76" s="164"/>
      <c r="AE76" s="278"/>
      <c r="AF76" s="198">
        <v>2150000</v>
      </c>
      <c r="AG76" s="198">
        <v>2150000</v>
      </c>
      <c r="AH76" s="278" t="s">
        <v>283</v>
      </c>
      <c r="AI76" s="278"/>
      <c r="AJ76" s="278"/>
      <c r="AK76" s="278" t="s">
        <v>407</v>
      </c>
      <c r="AL76" s="278" t="s">
        <v>408</v>
      </c>
      <c r="AM76" s="155"/>
      <c r="AN76" s="155"/>
      <c r="AO76" s="155"/>
      <c r="AP76" s="155"/>
    </row>
    <row r="77" spans="1:42" s="147" customFormat="1" ht="38.25" customHeight="1">
      <c r="A77" s="190">
        <v>5</v>
      </c>
      <c r="B77" s="206" t="s">
        <v>369</v>
      </c>
      <c r="C77" s="190" t="s">
        <v>370</v>
      </c>
      <c r="D77" s="190">
        <v>2017</v>
      </c>
      <c r="E77" s="278">
        <v>1</v>
      </c>
      <c r="F77" s="278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>
        <v>1</v>
      </c>
      <c r="Y77" s="157"/>
      <c r="Z77" s="157"/>
      <c r="AA77" s="183">
        <v>0</v>
      </c>
      <c r="AB77" s="157"/>
      <c r="AC77" s="157"/>
      <c r="AD77" s="164"/>
      <c r="AE77" s="278"/>
      <c r="AF77" s="198">
        <v>3950000</v>
      </c>
      <c r="AG77" s="198">
        <v>3950000</v>
      </c>
      <c r="AH77" s="278" t="s">
        <v>283</v>
      </c>
      <c r="AI77" s="278"/>
      <c r="AJ77" s="278"/>
      <c r="AK77" s="278" t="s">
        <v>407</v>
      </c>
      <c r="AL77" s="278" t="s">
        <v>408</v>
      </c>
      <c r="AM77" s="155"/>
      <c r="AN77" s="155"/>
      <c r="AO77" s="155"/>
      <c r="AP77" s="155"/>
    </row>
    <row r="78" spans="1:42" s="147" customFormat="1" ht="54" customHeight="1">
      <c r="A78" s="190">
        <v>6</v>
      </c>
      <c r="B78" s="206" t="s">
        <v>371</v>
      </c>
      <c r="C78" s="190" t="s">
        <v>372</v>
      </c>
      <c r="D78" s="190">
        <v>2017</v>
      </c>
      <c r="E78" s="278">
        <v>1</v>
      </c>
      <c r="F78" s="278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>
        <v>1</v>
      </c>
      <c r="Y78" s="157"/>
      <c r="Z78" s="157"/>
      <c r="AA78" s="183">
        <v>0</v>
      </c>
      <c r="AB78" s="157"/>
      <c r="AC78" s="157"/>
      <c r="AD78" s="164"/>
      <c r="AE78" s="278"/>
      <c r="AF78" s="198">
        <v>2220000</v>
      </c>
      <c r="AG78" s="198">
        <v>2220000</v>
      </c>
      <c r="AH78" s="278" t="s">
        <v>283</v>
      </c>
      <c r="AI78" s="278"/>
      <c r="AJ78" s="278" t="s">
        <v>57</v>
      </c>
      <c r="AK78" s="278" t="s">
        <v>407</v>
      </c>
      <c r="AL78" s="278" t="s">
        <v>434</v>
      </c>
      <c r="AM78" s="155"/>
      <c r="AN78" s="155"/>
      <c r="AO78" s="155"/>
      <c r="AP78" s="155"/>
    </row>
    <row r="79" spans="1:42" s="147" customFormat="1" ht="38.25" customHeight="1">
      <c r="A79" s="190">
        <v>8</v>
      </c>
      <c r="B79" s="206" t="s">
        <v>375</v>
      </c>
      <c r="C79" s="190" t="s">
        <v>376</v>
      </c>
      <c r="D79" s="190">
        <v>2017</v>
      </c>
      <c r="E79" s="278">
        <v>1</v>
      </c>
      <c r="F79" s="278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>
        <v>1</v>
      </c>
      <c r="Y79" s="157"/>
      <c r="Z79" s="157"/>
      <c r="AA79" s="183">
        <v>0</v>
      </c>
      <c r="AB79" s="157"/>
      <c r="AC79" s="157"/>
      <c r="AD79" s="164"/>
      <c r="AE79" s="278"/>
      <c r="AF79" s="198">
        <v>4050000</v>
      </c>
      <c r="AG79" s="198">
        <v>4050000</v>
      </c>
      <c r="AH79" s="278" t="s">
        <v>283</v>
      </c>
      <c r="AI79" s="278"/>
      <c r="AJ79" s="278"/>
      <c r="AK79" s="278" t="s">
        <v>407</v>
      </c>
      <c r="AL79" s="278" t="s">
        <v>408</v>
      </c>
      <c r="AM79" s="155"/>
      <c r="AN79" s="155"/>
      <c r="AO79" s="155"/>
      <c r="AP79" s="155"/>
    </row>
    <row r="80" spans="1:42" s="147" customFormat="1" ht="38.25" customHeight="1">
      <c r="A80" s="190">
        <v>9</v>
      </c>
      <c r="B80" s="206" t="s">
        <v>377</v>
      </c>
      <c r="C80" s="190" t="s">
        <v>378</v>
      </c>
      <c r="D80" s="190">
        <v>2017</v>
      </c>
      <c r="E80" s="278">
        <v>2</v>
      </c>
      <c r="F80" s="278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>
        <v>2</v>
      </c>
      <c r="Y80" s="157"/>
      <c r="Z80" s="157"/>
      <c r="AA80" s="183" t="s">
        <v>357</v>
      </c>
      <c r="AB80" s="157"/>
      <c r="AC80" s="157"/>
      <c r="AD80" s="164"/>
      <c r="AE80" s="278"/>
      <c r="AF80" s="198">
        <v>850000</v>
      </c>
      <c r="AG80" s="198">
        <v>1700000</v>
      </c>
      <c r="AH80" s="278" t="s">
        <v>283</v>
      </c>
      <c r="AI80" s="278"/>
      <c r="AJ80" s="278"/>
      <c r="AK80" s="278" t="s">
        <v>407</v>
      </c>
      <c r="AL80" s="278" t="s">
        <v>408</v>
      </c>
      <c r="AM80" s="155"/>
      <c r="AN80" s="155"/>
      <c r="AO80" s="155"/>
      <c r="AP80" s="155"/>
    </row>
    <row r="81" spans="1:42" s="147" customFormat="1" ht="38.25" customHeight="1">
      <c r="A81" s="190">
        <v>10</v>
      </c>
      <c r="B81" s="206" t="s">
        <v>62</v>
      </c>
      <c r="C81" s="190" t="s">
        <v>379</v>
      </c>
      <c r="D81" s="190"/>
      <c r="E81" s="278">
        <v>1</v>
      </c>
      <c r="F81" s="278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>
        <v>1</v>
      </c>
      <c r="Y81" s="157"/>
      <c r="Z81" s="157"/>
      <c r="AA81" s="183">
        <v>0</v>
      </c>
      <c r="AB81" s="157"/>
      <c r="AC81" s="157"/>
      <c r="AD81" s="164"/>
      <c r="AE81" s="278"/>
      <c r="AF81" s="198">
        <v>210000</v>
      </c>
      <c r="AG81" s="198">
        <v>210000</v>
      </c>
      <c r="AH81" s="278" t="s">
        <v>283</v>
      </c>
      <c r="AI81" s="278"/>
      <c r="AJ81" s="278"/>
      <c r="AK81" s="278" t="s">
        <v>407</v>
      </c>
      <c r="AL81" s="278" t="s">
        <v>408</v>
      </c>
      <c r="AM81" s="155"/>
      <c r="AN81" s="155"/>
      <c r="AO81" s="155"/>
      <c r="AP81" s="155"/>
    </row>
    <row r="82" spans="1:42" s="147" customFormat="1" ht="38.25" customHeight="1">
      <c r="A82" s="190">
        <v>11</v>
      </c>
      <c r="B82" s="206" t="s">
        <v>62</v>
      </c>
      <c r="C82" s="190" t="s">
        <v>380</v>
      </c>
      <c r="D82" s="190"/>
      <c r="E82" s="278">
        <v>1</v>
      </c>
      <c r="F82" s="278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>
        <v>1</v>
      </c>
      <c r="Y82" s="157"/>
      <c r="Z82" s="157"/>
      <c r="AA82" s="183">
        <v>0</v>
      </c>
      <c r="AB82" s="157"/>
      <c r="AC82" s="157"/>
      <c r="AD82" s="164"/>
      <c r="AE82" s="278"/>
      <c r="AF82" s="198">
        <v>480000</v>
      </c>
      <c r="AG82" s="198">
        <v>480000</v>
      </c>
      <c r="AH82" s="278" t="s">
        <v>283</v>
      </c>
      <c r="AI82" s="278"/>
      <c r="AJ82" s="278"/>
      <c r="AK82" s="278" t="s">
        <v>407</v>
      </c>
      <c r="AL82" s="278" t="s">
        <v>408</v>
      </c>
      <c r="AM82" s="155"/>
      <c r="AN82" s="155"/>
      <c r="AO82" s="155"/>
      <c r="AP82" s="155"/>
    </row>
    <row r="83" spans="1:42" s="147" customFormat="1" ht="30" customHeight="1">
      <c r="A83" s="190">
        <v>12</v>
      </c>
      <c r="B83" s="206" t="s">
        <v>381</v>
      </c>
      <c r="C83" s="190" t="s">
        <v>382</v>
      </c>
      <c r="D83" s="190"/>
      <c r="E83" s="278">
        <v>1</v>
      </c>
      <c r="F83" s="278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>
        <v>1</v>
      </c>
      <c r="Y83" s="157"/>
      <c r="Z83" s="157"/>
      <c r="AA83" s="183">
        <v>0</v>
      </c>
      <c r="AB83" s="157"/>
      <c r="AC83" s="157"/>
      <c r="AD83" s="164"/>
      <c r="AE83" s="278"/>
      <c r="AF83" s="198">
        <v>350000</v>
      </c>
      <c r="AG83" s="198">
        <v>350000</v>
      </c>
      <c r="AH83" s="278" t="s">
        <v>283</v>
      </c>
      <c r="AI83" s="278"/>
      <c r="AJ83" s="278"/>
      <c r="AK83" s="278" t="s">
        <v>407</v>
      </c>
      <c r="AL83" s="278" t="s">
        <v>408</v>
      </c>
      <c r="AM83" s="155"/>
      <c r="AN83" s="155"/>
      <c r="AO83" s="155"/>
      <c r="AP83" s="155"/>
    </row>
    <row r="84" spans="1:42" s="147" customFormat="1" ht="30" customHeight="1">
      <c r="A84" s="190">
        <v>13</v>
      </c>
      <c r="B84" s="206" t="s">
        <v>383</v>
      </c>
      <c r="C84" s="190" t="s">
        <v>384</v>
      </c>
      <c r="D84" s="190">
        <v>2000</v>
      </c>
      <c r="E84" s="278">
        <v>1</v>
      </c>
      <c r="F84" s="278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>
        <v>1</v>
      </c>
      <c r="Y84" s="157"/>
      <c r="Z84" s="157"/>
      <c r="AA84" s="183">
        <v>0</v>
      </c>
      <c r="AB84" s="157"/>
      <c r="AC84" s="157"/>
      <c r="AD84" s="164"/>
      <c r="AE84" s="278"/>
      <c r="AF84" s="198">
        <v>2200000</v>
      </c>
      <c r="AG84" s="198">
        <v>2200000</v>
      </c>
      <c r="AH84" s="278" t="s">
        <v>283</v>
      </c>
      <c r="AI84" s="278"/>
      <c r="AJ84" s="278"/>
      <c r="AK84" s="278" t="s">
        <v>407</v>
      </c>
      <c r="AL84" s="278" t="s">
        <v>408</v>
      </c>
      <c r="AM84" s="155"/>
      <c r="AN84" s="155"/>
      <c r="AO84" s="155"/>
      <c r="AP84" s="155"/>
    </row>
    <row r="85" spans="1:42" s="147" customFormat="1" ht="30" customHeight="1">
      <c r="A85" s="190">
        <v>15</v>
      </c>
      <c r="B85" s="167" t="s">
        <v>387</v>
      </c>
      <c r="C85" s="190" t="s">
        <v>388</v>
      </c>
      <c r="D85" s="278"/>
      <c r="E85" s="278">
        <v>1</v>
      </c>
      <c r="F85" s="278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>
        <v>1</v>
      </c>
      <c r="Y85" s="157"/>
      <c r="Z85" s="157"/>
      <c r="AA85" s="183">
        <v>0</v>
      </c>
      <c r="AB85" s="157"/>
      <c r="AC85" s="157"/>
      <c r="AD85" s="164"/>
      <c r="AE85" s="278"/>
      <c r="AF85" s="198">
        <v>350000</v>
      </c>
      <c r="AG85" s="198">
        <v>350000</v>
      </c>
      <c r="AH85" s="278" t="s">
        <v>283</v>
      </c>
      <c r="AI85" s="278"/>
      <c r="AJ85" s="278"/>
      <c r="AK85" s="278" t="s">
        <v>407</v>
      </c>
      <c r="AL85" s="278" t="s">
        <v>408</v>
      </c>
      <c r="AM85" s="155"/>
      <c r="AN85" s="155"/>
      <c r="AO85" s="155"/>
      <c r="AP85" s="155"/>
    </row>
    <row r="86" spans="1:42" s="147" customFormat="1" ht="30" customHeight="1">
      <c r="A86" s="190">
        <v>17</v>
      </c>
      <c r="B86" s="207" t="s">
        <v>389</v>
      </c>
      <c r="C86" s="190" t="s">
        <v>390</v>
      </c>
      <c r="D86" s="278"/>
      <c r="E86" s="278">
        <v>1</v>
      </c>
      <c r="F86" s="278">
        <v>1</v>
      </c>
      <c r="G86" s="278">
        <v>1</v>
      </c>
      <c r="H86" s="278">
        <v>1</v>
      </c>
      <c r="I86" s="278">
        <v>1</v>
      </c>
      <c r="J86" s="278">
        <v>1</v>
      </c>
      <c r="K86" s="278">
        <v>1</v>
      </c>
      <c r="L86" s="278">
        <v>1</v>
      </c>
      <c r="M86" s="278">
        <v>1</v>
      </c>
      <c r="N86" s="278">
        <v>1</v>
      </c>
      <c r="O86" s="278">
        <v>1</v>
      </c>
      <c r="P86" s="278">
        <v>1</v>
      </c>
      <c r="Q86" s="278">
        <v>1</v>
      </c>
      <c r="R86" s="278">
        <v>1</v>
      </c>
      <c r="S86" s="278">
        <v>1</v>
      </c>
      <c r="T86" s="278">
        <v>1</v>
      </c>
      <c r="U86" s="278">
        <v>1</v>
      </c>
      <c r="V86" s="278">
        <v>1</v>
      </c>
      <c r="W86" s="278">
        <v>1</v>
      </c>
      <c r="X86" s="278">
        <v>1</v>
      </c>
      <c r="Y86" s="157"/>
      <c r="Z86" s="157"/>
      <c r="AA86" s="183" t="s">
        <v>357</v>
      </c>
      <c r="AB86" s="157"/>
      <c r="AC86" s="157"/>
      <c r="AD86" s="164"/>
      <c r="AE86" s="278"/>
      <c r="AF86" s="199">
        <v>798400</v>
      </c>
      <c r="AG86" s="292">
        <v>798400</v>
      </c>
      <c r="AH86" s="278" t="s">
        <v>283</v>
      </c>
      <c r="AI86" s="278"/>
      <c r="AJ86" s="278"/>
      <c r="AK86" s="278" t="s">
        <v>407</v>
      </c>
      <c r="AL86" s="278" t="s">
        <v>412</v>
      </c>
      <c r="AM86" s="155"/>
      <c r="AN86" s="155"/>
      <c r="AO86" s="155"/>
      <c r="AP86" s="155"/>
    </row>
    <row r="87" spans="1:42" s="147" customFormat="1" ht="30" customHeight="1">
      <c r="A87" s="190">
        <v>18</v>
      </c>
      <c r="B87" s="207" t="s">
        <v>62</v>
      </c>
      <c r="C87" s="190" t="s">
        <v>391</v>
      </c>
      <c r="D87" s="278"/>
      <c r="E87" s="278">
        <v>2</v>
      </c>
      <c r="F87" s="278">
        <v>2</v>
      </c>
      <c r="G87" s="278">
        <v>2</v>
      </c>
      <c r="H87" s="278">
        <v>2</v>
      </c>
      <c r="I87" s="278">
        <v>2</v>
      </c>
      <c r="J87" s="278">
        <v>2</v>
      </c>
      <c r="K87" s="278">
        <v>2</v>
      </c>
      <c r="L87" s="278">
        <v>2</v>
      </c>
      <c r="M87" s="278">
        <v>2</v>
      </c>
      <c r="N87" s="278">
        <v>2</v>
      </c>
      <c r="O87" s="278">
        <v>2</v>
      </c>
      <c r="P87" s="278">
        <v>2</v>
      </c>
      <c r="Q87" s="278">
        <v>2</v>
      </c>
      <c r="R87" s="278">
        <v>2</v>
      </c>
      <c r="S87" s="278">
        <v>2</v>
      </c>
      <c r="T87" s="278">
        <v>2</v>
      </c>
      <c r="U87" s="278">
        <v>2</v>
      </c>
      <c r="V87" s="278">
        <v>2</v>
      </c>
      <c r="W87" s="278">
        <v>2</v>
      </c>
      <c r="X87" s="278">
        <v>2</v>
      </c>
      <c r="Y87" s="157"/>
      <c r="Z87" s="157"/>
      <c r="AA87" s="183" t="s">
        <v>357</v>
      </c>
      <c r="AB87" s="157"/>
      <c r="AC87" s="157"/>
      <c r="AD87" s="164"/>
      <c r="AE87" s="278"/>
      <c r="AF87" s="199">
        <v>389220</v>
      </c>
      <c r="AG87" s="292">
        <v>778440</v>
      </c>
      <c r="AH87" s="278" t="s">
        <v>283</v>
      </c>
      <c r="AI87" s="278"/>
      <c r="AJ87" s="278"/>
      <c r="AK87" s="278" t="s">
        <v>407</v>
      </c>
      <c r="AL87" s="278" t="s">
        <v>412</v>
      </c>
      <c r="AM87" s="155"/>
      <c r="AN87" s="155"/>
      <c r="AO87" s="155"/>
      <c r="AP87" s="155"/>
    </row>
    <row r="88" spans="1:42" s="147" customFormat="1" ht="30" customHeight="1">
      <c r="A88" s="190">
        <v>19</v>
      </c>
      <c r="B88" s="207" t="s">
        <v>392</v>
      </c>
      <c r="C88" s="190" t="s">
        <v>393</v>
      </c>
      <c r="D88" s="278"/>
      <c r="E88" s="278">
        <v>2</v>
      </c>
      <c r="F88" s="278">
        <v>2</v>
      </c>
      <c r="G88" s="278">
        <v>2</v>
      </c>
      <c r="H88" s="278">
        <v>2</v>
      </c>
      <c r="I88" s="278">
        <v>2</v>
      </c>
      <c r="J88" s="278">
        <v>2</v>
      </c>
      <c r="K88" s="278">
        <v>2</v>
      </c>
      <c r="L88" s="278">
        <v>2</v>
      </c>
      <c r="M88" s="278">
        <v>2</v>
      </c>
      <c r="N88" s="278">
        <v>2</v>
      </c>
      <c r="O88" s="278">
        <v>2</v>
      </c>
      <c r="P88" s="278">
        <v>2</v>
      </c>
      <c r="Q88" s="278">
        <v>2</v>
      </c>
      <c r="R88" s="278">
        <v>2</v>
      </c>
      <c r="S88" s="278">
        <v>2</v>
      </c>
      <c r="T88" s="278">
        <v>2</v>
      </c>
      <c r="U88" s="278">
        <v>2</v>
      </c>
      <c r="V88" s="278">
        <v>2</v>
      </c>
      <c r="W88" s="278">
        <v>2</v>
      </c>
      <c r="X88" s="278">
        <v>2</v>
      </c>
      <c r="Y88" s="157"/>
      <c r="Z88" s="157"/>
      <c r="AA88" s="183" t="s">
        <v>357</v>
      </c>
      <c r="AB88" s="157"/>
      <c r="AC88" s="157"/>
      <c r="AD88" s="164"/>
      <c r="AE88" s="278"/>
      <c r="AF88" s="199">
        <v>5000000</v>
      </c>
      <c r="AG88" s="292">
        <v>10000000</v>
      </c>
      <c r="AH88" s="278" t="s">
        <v>283</v>
      </c>
      <c r="AI88" s="278"/>
      <c r="AJ88" s="278"/>
      <c r="AK88" s="278" t="s">
        <v>407</v>
      </c>
      <c r="AL88" s="278" t="s">
        <v>412</v>
      </c>
      <c r="AM88" s="155"/>
      <c r="AN88" s="155"/>
      <c r="AO88" s="155"/>
      <c r="AP88" s="155"/>
    </row>
    <row r="89" spans="1:42" s="147" customFormat="1" ht="30" customHeight="1">
      <c r="A89" s="190">
        <v>20</v>
      </c>
      <c r="B89" s="207" t="s">
        <v>394</v>
      </c>
      <c r="C89" s="190" t="s">
        <v>395</v>
      </c>
      <c r="D89" s="278"/>
      <c r="E89" s="278">
        <v>2</v>
      </c>
      <c r="F89" s="278">
        <v>2</v>
      </c>
      <c r="G89" s="278">
        <v>2</v>
      </c>
      <c r="H89" s="278">
        <v>2</v>
      </c>
      <c r="I89" s="278">
        <v>2</v>
      </c>
      <c r="J89" s="278">
        <v>2</v>
      </c>
      <c r="K89" s="278">
        <v>2</v>
      </c>
      <c r="L89" s="278">
        <v>2</v>
      </c>
      <c r="M89" s="278">
        <v>2</v>
      </c>
      <c r="N89" s="278">
        <v>2</v>
      </c>
      <c r="O89" s="278">
        <v>2</v>
      </c>
      <c r="P89" s="278">
        <v>2</v>
      </c>
      <c r="Q89" s="278">
        <v>2</v>
      </c>
      <c r="R89" s="278">
        <v>2</v>
      </c>
      <c r="S89" s="278">
        <v>2</v>
      </c>
      <c r="T89" s="278">
        <v>2</v>
      </c>
      <c r="U89" s="278">
        <v>2</v>
      </c>
      <c r="V89" s="278">
        <v>2</v>
      </c>
      <c r="W89" s="278">
        <v>2</v>
      </c>
      <c r="X89" s="278">
        <v>2</v>
      </c>
      <c r="Y89" s="157"/>
      <c r="Z89" s="157"/>
      <c r="AA89" s="183" t="s">
        <v>357</v>
      </c>
      <c r="AB89" s="157"/>
      <c r="AC89" s="157"/>
      <c r="AD89" s="164"/>
      <c r="AE89" s="278"/>
      <c r="AF89" s="199">
        <v>2345300</v>
      </c>
      <c r="AG89" s="292">
        <v>4690600</v>
      </c>
      <c r="AH89" s="278" t="s">
        <v>283</v>
      </c>
      <c r="AI89" s="278"/>
      <c r="AJ89" s="278"/>
      <c r="AK89" s="278" t="s">
        <v>407</v>
      </c>
      <c r="AL89" s="278" t="s">
        <v>412</v>
      </c>
      <c r="AM89" s="155"/>
      <c r="AN89" s="155"/>
      <c r="AO89" s="155"/>
      <c r="AP89" s="155"/>
    </row>
    <row r="90" spans="1:42" s="147" customFormat="1" ht="30" customHeight="1">
      <c r="A90" s="190">
        <v>21</v>
      </c>
      <c r="B90" s="207" t="s">
        <v>396</v>
      </c>
      <c r="C90" s="190" t="s">
        <v>397</v>
      </c>
      <c r="D90" s="278"/>
      <c r="E90" s="278">
        <v>2</v>
      </c>
      <c r="F90" s="278">
        <v>2</v>
      </c>
      <c r="G90" s="278">
        <v>2</v>
      </c>
      <c r="H90" s="278">
        <v>2</v>
      </c>
      <c r="I90" s="278">
        <v>2</v>
      </c>
      <c r="J90" s="278">
        <v>2</v>
      </c>
      <c r="K90" s="278">
        <v>2</v>
      </c>
      <c r="L90" s="278">
        <v>2</v>
      </c>
      <c r="M90" s="278">
        <v>2</v>
      </c>
      <c r="N90" s="278">
        <v>2</v>
      </c>
      <c r="O90" s="278">
        <v>2</v>
      </c>
      <c r="P90" s="278">
        <v>2</v>
      </c>
      <c r="Q90" s="278">
        <v>2</v>
      </c>
      <c r="R90" s="278">
        <v>2</v>
      </c>
      <c r="S90" s="278">
        <v>2</v>
      </c>
      <c r="T90" s="278">
        <v>2</v>
      </c>
      <c r="U90" s="278">
        <v>2</v>
      </c>
      <c r="V90" s="278">
        <v>2</v>
      </c>
      <c r="W90" s="278">
        <v>2</v>
      </c>
      <c r="X90" s="278">
        <v>2</v>
      </c>
      <c r="Y90" s="157"/>
      <c r="Z90" s="157"/>
      <c r="AA90" s="183" t="s">
        <v>357</v>
      </c>
      <c r="AB90" s="157"/>
      <c r="AC90" s="157"/>
      <c r="AD90" s="164"/>
      <c r="AE90" s="278"/>
      <c r="AF90" s="199">
        <v>5000000</v>
      </c>
      <c r="AG90" s="292">
        <v>10000000</v>
      </c>
      <c r="AH90" s="278" t="s">
        <v>283</v>
      </c>
      <c r="AI90" s="278"/>
      <c r="AJ90" s="278"/>
      <c r="AK90" s="278" t="s">
        <v>407</v>
      </c>
      <c r="AL90" s="278" t="s">
        <v>412</v>
      </c>
      <c r="AM90" s="155"/>
      <c r="AN90" s="155"/>
      <c r="AO90" s="155"/>
      <c r="AP90" s="155"/>
    </row>
    <row r="91" spans="1:42" s="147" customFormat="1" ht="30" customHeight="1">
      <c r="A91" s="190">
        <v>22</v>
      </c>
      <c r="B91" s="207" t="s">
        <v>398</v>
      </c>
      <c r="C91" s="190" t="s">
        <v>399</v>
      </c>
      <c r="D91" s="190"/>
      <c r="E91" s="278">
        <v>1</v>
      </c>
      <c r="F91" s="278">
        <v>1</v>
      </c>
      <c r="G91" s="278">
        <v>1</v>
      </c>
      <c r="H91" s="278">
        <v>1</v>
      </c>
      <c r="I91" s="278">
        <v>1</v>
      </c>
      <c r="J91" s="278">
        <v>1</v>
      </c>
      <c r="K91" s="278">
        <v>1</v>
      </c>
      <c r="L91" s="278">
        <v>1</v>
      </c>
      <c r="M91" s="278">
        <v>1</v>
      </c>
      <c r="N91" s="278">
        <v>1</v>
      </c>
      <c r="O91" s="278">
        <v>1</v>
      </c>
      <c r="P91" s="278">
        <v>1</v>
      </c>
      <c r="Q91" s="278">
        <v>1</v>
      </c>
      <c r="R91" s="278">
        <v>1</v>
      </c>
      <c r="S91" s="278">
        <v>1</v>
      </c>
      <c r="T91" s="278">
        <v>1</v>
      </c>
      <c r="U91" s="278">
        <v>1</v>
      </c>
      <c r="V91" s="278">
        <v>1</v>
      </c>
      <c r="W91" s="278">
        <v>1</v>
      </c>
      <c r="X91" s="278">
        <v>1</v>
      </c>
      <c r="Y91" s="157"/>
      <c r="Z91" s="157"/>
      <c r="AA91" s="183" t="s">
        <v>357</v>
      </c>
      <c r="AB91" s="157"/>
      <c r="AC91" s="157"/>
      <c r="AD91" s="164"/>
      <c r="AE91" s="278"/>
      <c r="AF91" s="198">
        <v>2000000</v>
      </c>
      <c r="AG91" s="198">
        <v>2000000</v>
      </c>
      <c r="AH91" s="278" t="s">
        <v>283</v>
      </c>
      <c r="AI91" s="278"/>
      <c r="AJ91" s="278"/>
      <c r="AK91" s="278" t="s">
        <v>407</v>
      </c>
      <c r="AL91" s="278" t="s">
        <v>412</v>
      </c>
      <c r="AM91" s="155"/>
      <c r="AN91" s="155"/>
      <c r="AO91" s="155"/>
      <c r="AP91" s="155"/>
    </row>
    <row r="92" spans="1:42" s="147" customFormat="1" ht="30" customHeight="1">
      <c r="A92" s="190">
        <v>23</v>
      </c>
      <c r="B92" s="207" t="s">
        <v>400</v>
      </c>
      <c r="C92" s="190" t="s">
        <v>401</v>
      </c>
      <c r="D92" s="190"/>
      <c r="E92" s="278">
        <v>1</v>
      </c>
      <c r="F92" s="278">
        <v>1</v>
      </c>
      <c r="G92" s="278">
        <v>1</v>
      </c>
      <c r="H92" s="278">
        <v>1</v>
      </c>
      <c r="I92" s="278">
        <v>1</v>
      </c>
      <c r="J92" s="278">
        <v>1</v>
      </c>
      <c r="K92" s="278">
        <v>1</v>
      </c>
      <c r="L92" s="278">
        <v>1</v>
      </c>
      <c r="M92" s="278">
        <v>1</v>
      </c>
      <c r="N92" s="278">
        <v>1</v>
      </c>
      <c r="O92" s="278">
        <v>1</v>
      </c>
      <c r="P92" s="278">
        <v>1</v>
      </c>
      <c r="Q92" s="278">
        <v>1</v>
      </c>
      <c r="R92" s="278">
        <v>1</v>
      </c>
      <c r="S92" s="278">
        <v>1</v>
      </c>
      <c r="T92" s="278">
        <v>1</v>
      </c>
      <c r="U92" s="278">
        <v>1</v>
      </c>
      <c r="V92" s="278">
        <v>1</v>
      </c>
      <c r="W92" s="278">
        <v>1</v>
      </c>
      <c r="X92" s="278">
        <v>1</v>
      </c>
      <c r="Y92" s="157"/>
      <c r="Z92" s="157"/>
      <c r="AA92" s="183" t="s">
        <v>357</v>
      </c>
      <c r="AB92" s="157"/>
      <c r="AC92" s="157"/>
      <c r="AD92" s="164"/>
      <c r="AE92" s="278"/>
      <c r="AF92" s="198">
        <v>2400000</v>
      </c>
      <c r="AG92" s="198">
        <v>2400000</v>
      </c>
      <c r="AH92" s="278" t="s">
        <v>283</v>
      </c>
      <c r="AI92" s="278"/>
      <c r="AJ92" s="278"/>
      <c r="AK92" s="278" t="s">
        <v>407</v>
      </c>
      <c r="AL92" s="278" t="s">
        <v>412</v>
      </c>
      <c r="AM92" s="155"/>
      <c r="AN92" s="155"/>
      <c r="AO92" s="155"/>
      <c r="AP92" s="155"/>
    </row>
    <row r="93" spans="1:42" s="147" customFormat="1" ht="30" customHeight="1">
      <c r="A93" s="190">
        <v>24</v>
      </c>
      <c r="B93" s="207" t="s">
        <v>402</v>
      </c>
      <c r="C93" s="190" t="s">
        <v>403</v>
      </c>
      <c r="D93" s="190"/>
      <c r="E93" s="278">
        <v>1</v>
      </c>
      <c r="F93" s="278">
        <v>1</v>
      </c>
      <c r="G93" s="278">
        <v>1</v>
      </c>
      <c r="H93" s="278">
        <v>1</v>
      </c>
      <c r="I93" s="278">
        <v>1</v>
      </c>
      <c r="J93" s="278">
        <v>1</v>
      </c>
      <c r="K93" s="278">
        <v>1</v>
      </c>
      <c r="L93" s="278">
        <v>1</v>
      </c>
      <c r="M93" s="278">
        <v>1</v>
      </c>
      <c r="N93" s="278">
        <v>1</v>
      </c>
      <c r="O93" s="278">
        <v>1</v>
      </c>
      <c r="P93" s="278">
        <v>1</v>
      </c>
      <c r="Q93" s="278">
        <v>1</v>
      </c>
      <c r="R93" s="278">
        <v>1</v>
      </c>
      <c r="S93" s="278">
        <v>1</v>
      </c>
      <c r="T93" s="278">
        <v>1</v>
      </c>
      <c r="U93" s="278">
        <v>1</v>
      </c>
      <c r="V93" s="278">
        <v>1</v>
      </c>
      <c r="W93" s="278">
        <v>1</v>
      </c>
      <c r="X93" s="278">
        <v>1</v>
      </c>
      <c r="Y93" s="157"/>
      <c r="Z93" s="157"/>
      <c r="AA93" s="183" t="s">
        <v>357</v>
      </c>
      <c r="AB93" s="157"/>
      <c r="AC93" s="157"/>
      <c r="AD93" s="164"/>
      <c r="AE93" s="278"/>
      <c r="AF93" s="198">
        <v>1050000</v>
      </c>
      <c r="AG93" s="198">
        <v>1050000</v>
      </c>
      <c r="AH93" s="278" t="s">
        <v>283</v>
      </c>
      <c r="AI93" s="278"/>
      <c r="AJ93" s="278"/>
      <c r="AK93" s="278" t="s">
        <v>407</v>
      </c>
      <c r="AL93" s="278" t="s">
        <v>412</v>
      </c>
      <c r="AM93" s="155"/>
      <c r="AN93" s="155"/>
      <c r="AO93" s="155"/>
      <c r="AP93" s="155"/>
    </row>
    <row r="94" spans="1:42" s="147" customFormat="1" ht="30" customHeight="1">
      <c r="A94" s="190">
        <v>25</v>
      </c>
      <c r="B94" s="167" t="s">
        <v>404</v>
      </c>
      <c r="C94" s="190" t="s">
        <v>405</v>
      </c>
      <c r="D94" s="278"/>
      <c r="E94" s="278">
        <v>1</v>
      </c>
      <c r="F94" s="278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>
        <v>1</v>
      </c>
      <c r="Y94" s="157"/>
      <c r="Z94" s="157"/>
      <c r="AA94" s="183" t="s">
        <v>357</v>
      </c>
      <c r="AB94" s="157"/>
      <c r="AC94" s="157"/>
      <c r="AD94" s="164"/>
      <c r="AE94" s="278"/>
      <c r="AF94" s="228" t="s">
        <v>406</v>
      </c>
      <c r="AG94" s="228" t="s">
        <v>406</v>
      </c>
      <c r="AH94" s="278" t="s">
        <v>283</v>
      </c>
      <c r="AI94" s="278"/>
      <c r="AJ94" s="278"/>
      <c r="AK94" s="278" t="s">
        <v>407</v>
      </c>
      <c r="AL94" s="192" t="s">
        <v>412</v>
      </c>
      <c r="AM94" s="155"/>
      <c r="AN94" s="155"/>
      <c r="AO94" s="155"/>
      <c r="AP94" s="155"/>
    </row>
    <row r="95" spans="1:42" s="263" customFormat="1">
      <c r="A95" s="247"/>
      <c r="B95" s="248" t="s">
        <v>430</v>
      </c>
      <c r="C95" s="249"/>
      <c r="D95" s="248"/>
      <c r="E95" s="247"/>
      <c r="F95" s="247"/>
      <c r="G95" s="250"/>
      <c r="H95" s="250"/>
      <c r="I95" s="250"/>
      <c r="J95" s="251"/>
      <c r="K95" s="251"/>
      <c r="L95" s="252"/>
      <c r="M95" s="251"/>
      <c r="N95" s="251"/>
      <c r="O95" s="251"/>
      <c r="P95" s="251"/>
      <c r="Q95" s="251"/>
      <c r="R95" s="251"/>
      <c r="S95" s="251"/>
      <c r="T95" s="251"/>
      <c r="U95" s="251"/>
      <c r="V95" s="251"/>
      <c r="W95" s="251"/>
      <c r="X95" s="251"/>
      <c r="Y95" s="247"/>
      <c r="Z95" s="251"/>
      <c r="AA95" s="250"/>
      <c r="AB95" s="253"/>
      <c r="AC95" s="251"/>
      <c r="AD95" s="251"/>
      <c r="AE95" s="254"/>
      <c r="AF95" s="255"/>
      <c r="AG95" s="256">
        <f>SUM(AG32:AG94)</f>
        <v>184401080</v>
      </c>
      <c r="AH95" s="257">
        <f>SUM(AH36:AH94)</f>
        <v>0</v>
      </c>
      <c r="AI95" s="247"/>
      <c r="AJ95" s="247"/>
      <c r="AK95" s="258"/>
      <c r="AL95" s="259"/>
      <c r="AM95" s="260"/>
      <c r="AN95" s="261"/>
      <c r="AO95" s="262"/>
      <c r="AP95" s="261"/>
    </row>
    <row r="96" spans="1:42" s="147" customFormat="1" ht="17.25" customHeight="1">
      <c r="A96" s="279"/>
      <c r="B96" s="208"/>
      <c r="C96" s="279"/>
      <c r="D96" s="279"/>
      <c r="E96" s="279"/>
      <c r="F96" s="27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  <c r="AA96" s="210"/>
      <c r="AB96" s="209"/>
      <c r="AC96" s="209"/>
      <c r="AD96" s="211"/>
      <c r="AE96" s="279"/>
      <c r="AF96" s="229"/>
      <c r="AG96" s="229"/>
      <c r="AH96" s="279"/>
      <c r="AI96" s="279"/>
      <c r="AJ96" s="279"/>
      <c r="AK96" s="279"/>
      <c r="AL96" s="212"/>
      <c r="AM96" s="155"/>
      <c r="AN96" s="155"/>
      <c r="AO96" s="155"/>
      <c r="AP96" s="155"/>
    </row>
    <row r="97" spans="1:42" s="135" customFormat="1" ht="15.75">
      <c r="A97" s="276"/>
      <c r="E97" s="276"/>
      <c r="F97" s="136"/>
      <c r="K97" s="276"/>
      <c r="X97" s="276"/>
      <c r="AA97" s="174"/>
      <c r="AB97" s="137"/>
      <c r="AF97" s="149"/>
      <c r="AG97" s="347" t="s">
        <v>426</v>
      </c>
      <c r="AH97" s="347"/>
      <c r="AI97" s="347"/>
      <c r="AJ97" s="347"/>
      <c r="AK97" s="347"/>
      <c r="AL97" s="347"/>
    </row>
    <row r="98" spans="1:42" s="135" customFormat="1" ht="16.5" customHeight="1">
      <c r="A98" s="276"/>
      <c r="B98" s="135" t="s">
        <v>151</v>
      </c>
      <c r="D98" s="347" t="s">
        <v>170</v>
      </c>
      <c r="E98" s="347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  <c r="AA98" s="347"/>
      <c r="AB98" s="347"/>
      <c r="AC98" s="347"/>
      <c r="AD98" s="347"/>
      <c r="AE98" s="347"/>
      <c r="AF98" s="347"/>
      <c r="AG98" s="347" t="s">
        <v>152</v>
      </c>
      <c r="AH98" s="347"/>
      <c r="AI98" s="347" t="s">
        <v>153</v>
      </c>
      <c r="AJ98" s="347"/>
      <c r="AK98" s="347"/>
      <c r="AL98" s="347"/>
    </row>
    <row r="99" spans="1:42" s="135" customFormat="1" ht="19.5" customHeight="1">
      <c r="A99" s="276" t="s">
        <v>154</v>
      </c>
      <c r="B99" s="135" t="s">
        <v>335</v>
      </c>
      <c r="C99" s="138"/>
      <c r="E99" s="276"/>
      <c r="F99" s="136"/>
      <c r="K99" s="276"/>
      <c r="X99" s="276"/>
      <c r="AA99" s="174"/>
      <c r="AB99" s="137"/>
      <c r="AF99" s="149"/>
      <c r="AG99" s="149"/>
      <c r="AL99" s="213"/>
    </row>
    <row r="100" spans="1:42" s="135" customFormat="1" ht="19.5" customHeight="1">
      <c r="A100" s="276" t="s">
        <v>154</v>
      </c>
      <c r="B100" s="135" t="s">
        <v>334</v>
      </c>
      <c r="C100" s="138"/>
      <c r="E100" s="276"/>
      <c r="F100" s="136"/>
      <c r="K100" s="276"/>
      <c r="X100" s="276"/>
      <c r="AA100" s="174"/>
      <c r="AB100" s="137"/>
      <c r="AF100" s="149"/>
      <c r="AG100" s="149"/>
      <c r="AL100" s="213"/>
    </row>
    <row r="101" spans="1:42" s="135" customFormat="1" ht="19.5" customHeight="1">
      <c r="A101" s="276" t="s">
        <v>154</v>
      </c>
      <c r="B101" s="135" t="s">
        <v>348</v>
      </c>
      <c r="C101" s="143"/>
      <c r="E101" s="276"/>
      <c r="F101" s="136"/>
      <c r="K101" s="276"/>
      <c r="X101" s="276"/>
      <c r="AA101" s="174"/>
      <c r="AB101" s="137"/>
      <c r="AF101" s="149"/>
      <c r="AG101" s="149"/>
      <c r="AL101" s="213"/>
    </row>
    <row r="102" spans="1:42" s="135" customFormat="1" ht="21.75" customHeight="1">
      <c r="A102" s="276" t="s">
        <v>154</v>
      </c>
      <c r="B102" s="135" t="s">
        <v>428</v>
      </c>
      <c r="C102" s="138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149"/>
      <c r="AG102" s="347" t="s">
        <v>427</v>
      </c>
      <c r="AH102" s="347"/>
      <c r="AI102" s="347" t="s">
        <v>343</v>
      </c>
      <c r="AJ102" s="347"/>
      <c r="AK102" s="347"/>
      <c r="AL102" s="347"/>
    </row>
    <row r="103" spans="1:42" ht="21.75" customHeight="1"/>
    <row r="104" spans="1:42" s="147" customFormat="1" ht="82.5" customHeight="1">
      <c r="A104" s="190">
        <v>7</v>
      </c>
      <c r="B104" s="206" t="s">
        <v>373</v>
      </c>
      <c r="C104" s="190" t="s">
        <v>374</v>
      </c>
      <c r="D104" s="190">
        <v>2017</v>
      </c>
      <c r="E104" s="278">
        <v>1</v>
      </c>
      <c r="F104" s="278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>
        <v>0</v>
      </c>
      <c r="Y104" s="157"/>
      <c r="Z104" s="157"/>
      <c r="AA104" s="183" t="s">
        <v>411</v>
      </c>
      <c r="AB104" s="157"/>
      <c r="AC104" s="157"/>
      <c r="AD104" s="164"/>
      <c r="AE104" s="278"/>
      <c r="AF104" s="198">
        <v>1230000</v>
      </c>
      <c r="AG104" s="198">
        <v>1230000</v>
      </c>
      <c r="AH104" s="278" t="s">
        <v>283</v>
      </c>
      <c r="AI104" s="278"/>
      <c r="AJ104" s="278"/>
      <c r="AK104" s="278" t="s">
        <v>407</v>
      </c>
      <c r="AL104" s="278" t="s">
        <v>409</v>
      </c>
      <c r="AM104" s="155"/>
      <c r="AN104" s="155"/>
      <c r="AO104" s="155"/>
      <c r="AP104" s="155"/>
    </row>
    <row r="105" spans="1:42" s="147" customFormat="1" ht="96" customHeight="1">
      <c r="A105" s="190">
        <v>14</v>
      </c>
      <c r="B105" s="206" t="s">
        <v>385</v>
      </c>
      <c r="C105" s="190" t="s">
        <v>386</v>
      </c>
      <c r="D105" s="190">
        <v>2017</v>
      </c>
      <c r="E105" s="278">
        <v>1</v>
      </c>
      <c r="F105" s="278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>
        <v>0</v>
      </c>
      <c r="Y105" s="157"/>
      <c r="Z105" s="157"/>
      <c r="AA105" s="183" t="s">
        <v>411</v>
      </c>
      <c r="AB105" s="157"/>
      <c r="AC105" s="157"/>
      <c r="AD105" s="164"/>
      <c r="AE105" s="278"/>
      <c r="AF105" s="198">
        <v>1200000</v>
      </c>
      <c r="AG105" s="198">
        <v>1200000</v>
      </c>
      <c r="AH105" s="278" t="s">
        <v>283</v>
      </c>
      <c r="AI105" s="278"/>
      <c r="AJ105" s="278" t="s">
        <v>57</v>
      </c>
      <c r="AK105" s="278" t="s">
        <v>407</v>
      </c>
      <c r="AL105" s="278" t="s">
        <v>410</v>
      </c>
      <c r="AM105" s="155"/>
      <c r="AN105" s="155"/>
      <c r="AO105" s="155"/>
      <c r="AP105" s="155"/>
    </row>
    <row r="110" spans="1:42" ht="18" customHeight="1">
      <c r="A110" s="348" t="s">
        <v>336</v>
      </c>
      <c r="B110" s="348"/>
      <c r="C110" s="348"/>
      <c r="D110" s="348"/>
      <c r="E110" s="348"/>
      <c r="F110" s="348"/>
      <c r="G110" s="348"/>
      <c r="H110" s="348"/>
      <c r="I110" s="348"/>
      <c r="J110" s="348"/>
      <c r="K110" s="348"/>
      <c r="L110" s="348"/>
      <c r="M110" s="348"/>
      <c r="N110" s="348"/>
      <c r="O110" s="348"/>
      <c r="P110" s="348"/>
      <c r="Q110" s="348"/>
      <c r="R110" s="348"/>
      <c r="S110" s="348"/>
      <c r="T110" s="348"/>
      <c r="U110" s="348"/>
      <c r="V110" s="348"/>
      <c r="W110" s="348"/>
      <c r="X110" s="348"/>
      <c r="Y110" s="348"/>
      <c r="Z110" s="348"/>
      <c r="AA110" s="348"/>
      <c r="AB110" s="348"/>
      <c r="AC110" s="348"/>
      <c r="AD110" s="348"/>
      <c r="AE110" s="348"/>
      <c r="AF110" s="348"/>
      <c r="AG110" s="348"/>
      <c r="AH110" s="348"/>
      <c r="AI110" s="348"/>
      <c r="AJ110" s="348"/>
      <c r="AK110" s="348"/>
      <c r="AL110" s="348"/>
    </row>
    <row r="111" spans="1:42" ht="18" customHeight="1">
      <c r="A111" s="348"/>
      <c r="B111" s="348"/>
      <c r="C111" s="348"/>
      <c r="D111" s="348"/>
      <c r="E111" s="348"/>
      <c r="F111" s="348"/>
      <c r="G111" s="348"/>
      <c r="H111" s="348"/>
      <c r="I111" s="348"/>
      <c r="J111" s="348"/>
      <c r="K111" s="348"/>
      <c r="L111" s="348"/>
      <c r="M111" s="348"/>
      <c r="N111" s="348"/>
      <c r="O111" s="348"/>
      <c r="P111" s="348"/>
      <c r="Q111" s="348"/>
      <c r="R111" s="348"/>
      <c r="S111" s="348"/>
      <c r="T111" s="348"/>
      <c r="U111" s="348"/>
      <c r="V111" s="348"/>
      <c r="W111" s="348"/>
      <c r="X111" s="348"/>
      <c r="Y111" s="348"/>
      <c r="Z111" s="348"/>
      <c r="AA111" s="348"/>
      <c r="AB111" s="348"/>
      <c r="AC111" s="348"/>
      <c r="AD111" s="348"/>
      <c r="AE111" s="348"/>
      <c r="AF111" s="348"/>
      <c r="AG111" s="348"/>
      <c r="AH111" s="348"/>
      <c r="AI111" s="348"/>
      <c r="AJ111" s="348"/>
      <c r="AK111" s="348"/>
      <c r="AL111" s="348"/>
    </row>
    <row r="112" spans="1:42" ht="18" customHeight="1">
      <c r="A112" s="348"/>
      <c r="B112" s="348"/>
      <c r="C112" s="348"/>
      <c r="D112" s="348"/>
      <c r="E112" s="348"/>
      <c r="F112" s="348"/>
      <c r="G112" s="348"/>
      <c r="H112" s="348"/>
      <c r="I112" s="348"/>
      <c r="J112" s="348"/>
      <c r="K112" s="348"/>
      <c r="L112" s="348"/>
      <c r="M112" s="348"/>
      <c r="N112" s="348"/>
      <c r="O112" s="348"/>
      <c r="P112" s="348"/>
      <c r="Q112" s="348"/>
      <c r="R112" s="348"/>
      <c r="S112" s="348"/>
      <c r="T112" s="348"/>
      <c r="U112" s="348"/>
      <c r="V112" s="348"/>
      <c r="W112" s="348"/>
      <c r="X112" s="348"/>
      <c r="Y112" s="348"/>
      <c r="Z112" s="348"/>
      <c r="AA112" s="348"/>
      <c r="AB112" s="348"/>
      <c r="AC112" s="348"/>
      <c r="AD112" s="348"/>
      <c r="AE112" s="348"/>
      <c r="AF112" s="348"/>
      <c r="AG112" s="348"/>
      <c r="AH112" s="348"/>
      <c r="AI112" s="348"/>
      <c r="AJ112" s="348"/>
      <c r="AK112" s="348"/>
      <c r="AL112" s="348"/>
    </row>
    <row r="113" spans="1:38" ht="18" customHeight="1">
      <c r="A113" s="348"/>
      <c r="B113" s="348"/>
      <c r="C113" s="348"/>
      <c r="D113" s="348"/>
      <c r="E113" s="348"/>
      <c r="F113" s="348"/>
      <c r="G113" s="348"/>
      <c r="H113" s="348"/>
      <c r="I113" s="348"/>
      <c r="J113" s="348"/>
      <c r="K113" s="348"/>
      <c r="L113" s="348"/>
      <c r="M113" s="348"/>
      <c r="N113" s="348"/>
      <c r="O113" s="348"/>
      <c r="P113" s="348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/>
      <c r="AA113" s="348"/>
      <c r="AB113" s="348"/>
      <c r="AC113" s="348"/>
      <c r="AD113" s="348"/>
      <c r="AE113" s="348"/>
      <c r="AF113" s="348"/>
      <c r="AG113" s="348"/>
      <c r="AH113" s="348"/>
      <c r="AI113" s="348"/>
      <c r="AJ113" s="348"/>
      <c r="AK113" s="348"/>
      <c r="AL113" s="348"/>
    </row>
    <row r="114" spans="1:38" ht="18" customHeight="1">
      <c r="A114" s="348"/>
      <c r="B114" s="348"/>
      <c r="C114" s="348"/>
      <c r="D114" s="348"/>
      <c r="E114" s="348"/>
      <c r="F114" s="348"/>
      <c r="G114" s="348"/>
      <c r="H114" s="348"/>
      <c r="I114" s="348"/>
      <c r="J114" s="348"/>
      <c r="K114" s="348"/>
      <c r="L114" s="348"/>
      <c r="M114" s="348"/>
      <c r="N114" s="348"/>
      <c r="O114" s="348"/>
      <c r="P114" s="348"/>
      <c r="Q114" s="348"/>
      <c r="R114" s="348"/>
      <c r="S114" s="348"/>
      <c r="T114" s="348"/>
      <c r="U114" s="348"/>
      <c r="V114" s="348"/>
      <c r="W114" s="348"/>
      <c r="X114" s="348"/>
      <c r="Y114" s="348"/>
      <c r="Z114" s="348"/>
      <c r="AA114" s="348"/>
      <c r="AB114" s="348"/>
      <c r="AC114" s="348"/>
      <c r="AD114" s="348"/>
      <c r="AE114" s="348"/>
      <c r="AF114" s="348"/>
      <c r="AG114" s="348"/>
      <c r="AH114" s="348"/>
      <c r="AI114" s="348"/>
      <c r="AJ114" s="348"/>
      <c r="AK114" s="348"/>
      <c r="AL114" s="348"/>
    </row>
    <row r="115" spans="1:38" ht="18" customHeight="1">
      <c r="A115" s="348"/>
      <c r="B115" s="348"/>
      <c r="C115" s="348"/>
      <c r="D115" s="348"/>
      <c r="E115" s="348"/>
      <c r="F115" s="348"/>
      <c r="G115" s="348"/>
      <c r="H115" s="348"/>
      <c r="I115" s="348"/>
      <c r="J115" s="348"/>
      <c r="K115" s="348"/>
      <c r="L115" s="348"/>
      <c r="M115" s="348"/>
      <c r="N115" s="348"/>
      <c r="O115" s="348"/>
      <c r="P115" s="348"/>
      <c r="Q115" s="348"/>
      <c r="R115" s="348"/>
      <c r="S115" s="348"/>
      <c r="T115" s="348"/>
      <c r="U115" s="348"/>
      <c r="V115" s="348"/>
      <c r="W115" s="348"/>
      <c r="X115" s="348"/>
      <c r="Y115" s="348"/>
      <c r="Z115" s="348"/>
      <c r="AA115" s="348"/>
      <c r="AB115" s="348"/>
      <c r="AC115" s="348"/>
      <c r="AD115" s="348"/>
      <c r="AE115" s="348"/>
      <c r="AF115" s="348"/>
      <c r="AG115" s="348"/>
      <c r="AH115" s="348"/>
      <c r="AI115" s="348"/>
      <c r="AJ115" s="348"/>
      <c r="AK115" s="348"/>
      <c r="AL115" s="348"/>
    </row>
    <row r="116" spans="1:38" ht="18" customHeight="1">
      <c r="A116" s="348"/>
      <c r="B116" s="348"/>
      <c r="C116" s="348"/>
      <c r="D116" s="348"/>
      <c r="E116" s="348"/>
      <c r="F116" s="348"/>
      <c r="G116" s="348"/>
      <c r="H116" s="348"/>
      <c r="I116" s="348"/>
      <c r="J116" s="348"/>
      <c r="K116" s="348"/>
      <c r="L116" s="348"/>
      <c r="M116" s="348"/>
      <c r="N116" s="348"/>
      <c r="O116" s="348"/>
      <c r="P116" s="348"/>
      <c r="Q116" s="348"/>
      <c r="R116" s="348"/>
      <c r="S116" s="348"/>
      <c r="T116" s="348"/>
      <c r="U116" s="348"/>
      <c r="V116" s="348"/>
      <c r="W116" s="348"/>
      <c r="X116" s="348"/>
      <c r="Y116" s="348"/>
      <c r="Z116" s="348"/>
      <c r="AA116" s="348"/>
      <c r="AB116" s="348"/>
      <c r="AC116" s="348"/>
      <c r="AD116" s="348"/>
      <c r="AE116" s="348"/>
      <c r="AF116" s="348"/>
      <c r="AG116" s="348"/>
      <c r="AH116" s="348"/>
      <c r="AI116" s="348"/>
      <c r="AJ116" s="348"/>
      <c r="AK116" s="348"/>
      <c r="AL116" s="348"/>
    </row>
    <row r="117" spans="1:38" ht="18" customHeight="1">
      <c r="A117" s="348"/>
      <c r="B117" s="348"/>
      <c r="C117" s="348"/>
      <c r="D117" s="348"/>
      <c r="E117" s="348"/>
      <c r="F117" s="348"/>
      <c r="G117" s="348"/>
      <c r="H117" s="348"/>
      <c r="I117" s="348"/>
      <c r="J117" s="348"/>
      <c r="K117" s="348"/>
      <c r="L117" s="348"/>
      <c r="M117" s="348"/>
      <c r="N117" s="348"/>
      <c r="O117" s="348"/>
      <c r="P117" s="348"/>
      <c r="Q117" s="348"/>
      <c r="R117" s="348"/>
      <c r="S117" s="348"/>
      <c r="T117" s="348"/>
      <c r="U117" s="348"/>
      <c r="V117" s="348"/>
      <c r="W117" s="348"/>
      <c r="X117" s="348"/>
      <c r="Y117" s="348"/>
      <c r="Z117" s="348"/>
      <c r="AA117" s="348"/>
      <c r="AB117" s="348"/>
      <c r="AC117" s="348"/>
      <c r="AD117" s="348"/>
      <c r="AE117" s="348"/>
      <c r="AF117" s="348"/>
      <c r="AG117" s="348"/>
      <c r="AH117" s="348"/>
      <c r="AI117" s="348"/>
      <c r="AJ117" s="348"/>
      <c r="AK117" s="348"/>
      <c r="AL117" s="348"/>
    </row>
    <row r="118" spans="1:38" ht="18" customHeight="1">
      <c r="A118" s="348"/>
      <c r="B118" s="348"/>
      <c r="C118" s="348"/>
      <c r="D118" s="348"/>
      <c r="E118" s="348"/>
      <c r="F118" s="348"/>
      <c r="G118" s="348"/>
      <c r="H118" s="348"/>
      <c r="I118" s="348"/>
      <c r="J118" s="348"/>
      <c r="K118" s="348"/>
      <c r="L118" s="348"/>
      <c r="M118" s="348"/>
      <c r="N118" s="348"/>
      <c r="O118" s="348"/>
      <c r="P118" s="348"/>
      <c r="Q118" s="348"/>
      <c r="R118" s="348"/>
      <c r="S118" s="348"/>
      <c r="T118" s="348"/>
      <c r="U118" s="348"/>
      <c r="V118" s="348"/>
      <c r="W118" s="348"/>
      <c r="X118" s="348"/>
      <c r="Y118" s="348"/>
      <c r="Z118" s="348"/>
      <c r="AA118" s="348"/>
      <c r="AB118" s="348"/>
      <c r="AC118" s="348"/>
      <c r="AD118" s="348"/>
      <c r="AE118" s="348"/>
      <c r="AF118" s="348"/>
      <c r="AG118" s="348"/>
      <c r="AH118" s="348"/>
      <c r="AI118" s="348"/>
      <c r="AJ118" s="348"/>
      <c r="AK118" s="348"/>
      <c r="AL118" s="348"/>
    </row>
    <row r="119" spans="1:38" ht="18" customHeight="1">
      <c r="A119" s="348"/>
      <c r="B119" s="348"/>
      <c r="C119" s="348"/>
      <c r="D119" s="348"/>
      <c r="E119" s="348"/>
      <c r="F119" s="348"/>
      <c r="G119" s="348"/>
      <c r="H119" s="348"/>
      <c r="I119" s="348"/>
      <c r="J119" s="348"/>
      <c r="K119" s="348"/>
      <c r="L119" s="348"/>
      <c r="M119" s="348"/>
      <c r="N119" s="348"/>
      <c r="O119" s="348"/>
      <c r="P119" s="348"/>
      <c r="Q119" s="348"/>
      <c r="R119" s="348"/>
      <c r="S119" s="348"/>
      <c r="T119" s="348"/>
      <c r="U119" s="348"/>
      <c r="V119" s="348"/>
      <c r="W119" s="348"/>
      <c r="X119" s="348"/>
      <c r="Y119" s="348"/>
      <c r="Z119" s="348"/>
      <c r="AA119" s="348"/>
      <c r="AB119" s="348"/>
      <c r="AC119" s="348"/>
      <c r="AD119" s="348"/>
      <c r="AE119" s="348"/>
      <c r="AF119" s="348"/>
      <c r="AG119" s="348"/>
      <c r="AH119" s="348"/>
      <c r="AI119" s="348"/>
      <c r="AJ119" s="348"/>
      <c r="AK119" s="348"/>
      <c r="AL119" s="348"/>
    </row>
    <row r="120" spans="1:38" ht="18" customHeight="1">
      <c r="A120" s="348"/>
      <c r="B120" s="348"/>
      <c r="C120" s="348"/>
      <c r="D120" s="348"/>
      <c r="E120" s="348"/>
      <c r="F120" s="348"/>
      <c r="G120" s="348"/>
      <c r="H120" s="348"/>
      <c r="I120" s="348"/>
      <c r="J120" s="348"/>
      <c r="K120" s="348"/>
      <c r="L120" s="348"/>
      <c r="M120" s="348"/>
      <c r="N120" s="348"/>
      <c r="O120" s="348"/>
      <c r="P120" s="348"/>
      <c r="Q120" s="348"/>
      <c r="R120" s="348"/>
      <c r="S120" s="348"/>
      <c r="T120" s="348"/>
      <c r="U120" s="348"/>
      <c r="V120" s="348"/>
      <c r="W120" s="348"/>
      <c r="X120" s="348"/>
      <c r="Y120" s="348"/>
      <c r="Z120" s="348"/>
      <c r="AA120" s="348"/>
      <c r="AB120" s="348"/>
      <c r="AC120" s="348"/>
      <c r="AD120" s="348"/>
      <c r="AE120" s="348"/>
      <c r="AF120" s="348"/>
      <c r="AG120" s="348"/>
      <c r="AH120" s="348"/>
      <c r="AI120" s="348"/>
      <c r="AJ120" s="348"/>
      <c r="AK120" s="348"/>
      <c r="AL120" s="348"/>
    </row>
    <row r="121" spans="1:38" ht="18" customHeight="1">
      <c r="A121" s="348"/>
      <c r="B121" s="348"/>
      <c r="C121" s="348"/>
      <c r="D121" s="348"/>
      <c r="E121" s="348"/>
      <c r="F121" s="348"/>
      <c r="G121" s="348"/>
      <c r="H121" s="348"/>
      <c r="I121" s="348"/>
      <c r="J121" s="348"/>
      <c r="K121" s="348"/>
      <c r="L121" s="348"/>
      <c r="M121" s="348"/>
      <c r="N121" s="348"/>
      <c r="O121" s="348"/>
      <c r="P121" s="348"/>
      <c r="Q121" s="348"/>
      <c r="R121" s="348"/>
      <c r="S121" s="348"/>
      <c r="T121" s="348"/>
      <c r="U121" s="348"/>
      <c r="V121" s="348"/>
      <c r="W121" s="348"/>
      <c r="X121" s="348"/>
      <c r="Y121" s="348"/>
      <c r="Z121" s="348"/>
      <c r="AA121" s="348"/>
      <c r="AB121" s="348"/>
      <c r="AC121" s="348"/>
      <c r="AD121" s="348"/>
      <c r="AE121" s="348"/>
      <c r="AF121" s="348"/>
      <c r="AG121" s="348"/>
      <c r="AH121" s="348"/>
      <c r="AI121" s="348"/>
      <c r="AJ121" s="348"/>
      <c r="AK121" s="348"/>
      <c r="AL121" s="348"/>
    </row>
    <row r="122" spans="1:38" ht="18" customHeight="1">
      <c r="A122" s="348"/>
      <c r="B122" s="348"/>
      <c r="C122" s="348"/>
      <c r="D122" s="348"/>
      <c r="E122" s="348"/>
      <c r="F122" s="348"/>
      <c r="G122" s="348"/>
      <c r="H122" s="348"/>
      <c r="I122" s="348"/>
      <c r="J122" s="348"/>
      <c r="K122" s="348"/>
      <c r="L122" s="348"/>
      <c r="M122" s="348"/>
      <c r="N122" s="348"/>
      <c r="O122" s="348"/>
      <c r="P122" s="348"/>
      <c r="Q122" s="348"/>
      <c r="R122" s="348"/>
      <c r="S122" s="348"/>
      <c r="T122" s="348"/>
      <c r="U122" s="348"/>
      <c r="V122" s="348"/>
      <c r="W122" s="348"/>
      <c r="X122" s="348"/>
      <c r="Y122" s="348"/>
      <c r="Z122" s="348"/>
      <c r="AA122" s="348"/>
      <c r="AB122" s="348"/>
      <c r="AC122" s="348"/>
      <c r="AD122" s="348"/>
      <c r="AE122" s="348"/>
      <c r="AF122" s="348"/>
      <c r="AG122" s="348"/>
      <c r="AH122" s="348"/>
      <c r="AI122" s="348"/>
      <c r="AJ122" s="348"/>
      <c r="AK122" s="348"/>
      <c r="AL122" s="348"/>
    </row>
    <row r="123" spans="1:38" ht="18" customHeight="1">
      <c r="A123" s="348"/>
      <c r="B123" s="348"/>
      <c r="C123" s="348"/>
      <c r="D123" s="348"/>
      <c r="E123" s="348"/>
      <c r="F123" s="348"/>
      <c r="G123" s="348"/>
      <c r="H123" s="348"/>
      <c r="I123" s="348"/>
      <c r="J123" s="348"/>
      <c r="K123" s="348"/>
      <c r="L123" s="348"/>
      <c r="M123" s="348"/>
      <c r="N123" s="348"/>
      <c r="O123" s="348"/>
      <c r="P123" s="348"/>
      <c r="Q123" s="348"/>
      <c r="R123" s="348"/>
      <c r="S123" s="348"/>
      <c r="T123" s="348"/>
      <c r="U123" s="348"/>
      <c r="V123" s="348"/>
      <c r="W123" s="348"/>
      <c r="X123" s="348"/>
      <c r="Y123" s="348"/>
      <c r="Z123" s="348"/>
      <c r="AA123" s="348"/>
      <c r="AB123" s="348"/>
      <c r="AC123" s="348"/>
      <c r="AD123" s="348"/>
      <c r="AE123" s="348"/>
      <c r="AF123" s="348"/>
      <c r="AG123" s="348"/>
      <c r="AH123" s="348"/>
      <c r="AI123" s="348"/>
      <c r="AJ123" s="348"/>
      <c r="AK123" s="348"/>
      <c r="AL123" s="348"/>
    </row>
    <row r="124" spans="1:38" ht="18" customHeight="1">
      <c r="A124" s="348"/>
      <c r="B124" s="348"/>
      <c r="C124" s="348"/>
      <c r="D124" s="348"/>
      <c r="E124" s="348"/>
      <c r="F124" s="348"/>
      <c r="G124" s="348"/>
      <c r="H124" s="348"/>
      <c r="I124" s="348"/>
      <c r="J124" s="348"/>
      <c r="K124" s="348"/>
      <c r="L124" s="348"/>
      <c r="M124" s="348"/>
      <c r="N124" s="348"/>
      <c r="O124" s="348"/>
      <c r="P124" s="348"/>
      <c r="Q124" s="348"/>
      <c r="R124" s="348"/>
      <c r="S124" s="348"/>
      <c r="T124" s="348"/>
      <c r="U124" s="348"/>
      <c r="V124" s="348"/>
      <c r="W124" s="348"/>
      <c r="X124" s="348"/>
      <c r="Y124" s="348"/>
      <c r="Z124" s="348"/>
      <c r="AA124" s="348"/>
      <c r="AB124" s="348"/>
      <c r="AC124" s="348"/>
      <c r="AD124" s="348"/>
      <c r="AE124" s="348"/>
      <c r="AF124" s="348"/>
      <c r="AG124" s="348"/>
      <c r="AH124" s="348"/>
      <c r="AI124" s="348"/>
      <c r="AJ124" s="348"/>
      <c r="AK124" s="348"/>
      <c r="AL124" s="348"/>
    </row>
    <row r="125" spans="1:38" ht="18" customHeight="1">
      <c r="A125" s="348"/>
      <c r="B125" s="348"/>
      <c r="C125" s="348"/>
      <c r="D125" s="348"/>
      <c r="E125" s="348"/>
      <c r="F125" s="348"/>
      <c r="G125" s="348"/>
      <c r="H125" s="348"/>
      <c r="I125" s="348"/>
      <c r="J125" s="348"/>
      <c r="K125" s="348"/>
      <c r="L125" s="348"/>
      <c r="M125" s="348"/>
      <c r="N125" s="348"/>
      <c r="O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</row>
    <row r="126" spans="1:38" ht="18" customHeight="1">
      <c r="A126" s="348"/>
      <c r="B126" s="348"/>
      <c r="C126" s="348"/>
      <c r="D126" s="348"/>
      <c r="E126" s="348"/>
      <c r="F126" s="348"/>
      <c r="G126" s="348"/>
      <c r="H126" s="348"/>
      <c r="I126" s="348"/>
      <c r="J126" s="348"/>
      <c r="K126" s="348"/>
      <c r="L126" s="348"/>
      <c r="M126" s="348"/>
      <c r="N126" s="348"/>
      <c r="O126" s="348"/>
      <c r="P126" s="348"/>
      <c r="Q126" s="348"/>
      <c r="R126" s="348"/>
      <c r="S126" s="348"/>
      <c r="T126" s="348"/>
      <c r="U126" s="348"/>
      <c r="V126" s="348"/>
      <c r="W126" s="348"/>
      <c r="X126" s="348"/>
      <c r="Y126" s="348"/>
      <c r="Z126" s="348"/>
      <c r="AA126" s="348"/>
      <c r="AB126" s="348"/>
      <c r="AC126" s="348"/>
      <c r="AD126" s="348"/>
      <c r="AE126" s="348"/>
      <c r="AF126" s="348"/>
      <c r="AG126" s="348"/>
      <c r="AH126" s="348"/>
      <c r="AI126" s="348"/>
      <c r="AJ126" s="348"/>
      <c r="AK126" s="348"/>
      <c r="AL126" s="348"/>
    </row>
    <row r="127" spans="1:38" ht="18" customHeight="1">
      <c r="A127" s="348"/>
      <c r="B127" s="348"/>
      <c r="C127" s="348"/>
      <c r="D127" s="348"/>
      <c r="E127" s="348"/>
      <c r="F127" s="348"/>
      <c r="G127" s="348"/>
      <c r="H127" s="348"/>
      <c r="I127" s="348"/>
      <c r="J127" s="348"/>
      <c r="K127" s="348"/>
      <c r="L127" s="348"/>
      <c r="M127" s="348"/>
      <c r="N127" s="348"/>
      <c r="O127" s="348"/>
      <c r="P127" s="348"/>
      <c r="Q127" s="348"/>
      <c r="R127" s="348"/>
      <c r="S127" s="348"/>
      <c r="T127" s="348"/>
      <c r="U127" s="348"/>
      <c r="V127" s="348"/>
      <c r="W127" s="348"/>
      <c r="X127" s="348"/>
      <c r="Y127" s="348"/>
      <c r="Z127" s="348"/>
      <c r="AA127" s="348"/>
      <c r="AB127" s="348"/>
      <c r="AC127" s="348"/>
      <c r="AD127" s="348"/>
      <c r="AE127" s="348"/>
      <c r="AF127" s="348"/>
      <c r="AG127" s="348"/>
      <c r="AH127" s="348"/>
      <c r="AI127" s="348"/>
      <c r="AJ127" s="348"/>
      <c r="AK127" s="348"/>
      <c r="AL127" s="348"/>
    </row>
    <row r="128" spans="1:38" ht="18" customHeight="1">
      <c r="A128" s="348"/>
      <c r="B128" s="348"/>
      <c r="C128" s="348"/>
      <c r="D128" s="348"/>
      <c r="E128" s="348"/>
      <c r="F128" s="348"/>
      <c r="G128" s="348"/>
      <c r="H128" s="348"/>
      <c r="I128" s="348"/>
      <c r="J128" s="348"/>
      <c r="K128" s="348"/>
      <c r="L128" s="348"/>
      <c r="M128" s="348"/>
      <c r="N128" s="348"/>
      <c r="O128" s="348"/>
      <c r="P128" s="348"/>
      <c r="Q128" s="348"/>
      <c r="R128" s="348"/>
      <c r="S128" s="348"/>
      <c r="T128" s="348"/>
      <c r="U128" s="348"/>
      <c r="V128" s="348"/>
      <c r="W128" s="348"/>
      <c r="X128" s="348"/>
      <c r="Y128" s="348"/>
      <c r="Z128" s="348"/>
      <c r="AA128" s="348"/>
      <c r="AB128" s="348"/>
      <c r="AC128" s="348"/>
      <c r="AD128" s="348"/>
      <c r="AE128" s="348"/>
      <c r="AF128" s="348"/>
      <c r="AG128" s="348"/>
      <c r="AH128" s="348"/>
      <c r="AI128" s="348"/>
      <c r="AJ128" s="348"/>
      <c r="AK128" s="348"/>
      <c r="AL128" s="348"/>
    </row>
    <row r="129" spans="1:42" ht="18" customHeight="1">
      <c r="A129" s="348"/>
      <c r="B129" s="348"/>
      <c r="C129" s="348"/>
      <c r="D129" s="348"/>
      <c r="E129" s="348"/>
      <c r="F129" s="348"/>
      <c r="G129" s="348"/>
      <c r="H129" s="348"/>
      <c r="I129" s="348"/>
      <c r="J129" s="348"/>
      <c r="K129" s="348"/>
      <c r="L129" s="348"/>
      <c r="M129" s="348"/>
      <c r="N129" s="348"/>
      <c r="O129" s="348"/>
      <c r="P129" s="348"/>
      <c r="Q129" s="348"/>
      <c r="R129" s="348"/>
      <c r="S129" s="348"/>
      <c r="T129" s="348"/>
      <c r="U129" s="348"/>
      <c r="V129" s="348"/>
      <c r="W129" s="348"/>
      <c r="X129" s="348"/>
      <c r="Y129" s="348"/>
      <c r="Z129" s="348"/>
      <c r="AA129" s="348"/>
      <c r="AB129" s="348"/>
      <c r="AC129" s="348"/>
      <c r="AD129" s="348"/>
      <c r="AE129" s="348"/>
      <c r="AF129" s="348"/>
      <c r="AG129" s="348"/>
      <c r="AH129" s="348"/>
      <c r="AI129" s="348"/>
      <c r="AJ129" s="348"/>
      <c r="AK129" s="348"/>
      <c r="AL129" s="348"/>
    </row>
    <row r="132" spans="1:42" s="152" customFormat="1" ht="42" customHeight="1">
      <c r="A132" s="350" t="s">
        <v>7</v>
      </c>
      <c r="B132" s="350" t="s">
        <v>8</v>
      </c>
      <c r="C132" s="341" t="s">
        <v>308</v>
      </c>
      <c r="D132" s="341" t="s">
        <v>9</v>
      </c>
      <c r="E132" s="350" t="s">
        <v>46</v>
      </c>
      <c r="F132" s="350"/>
      <c r="G132" s="350"/>
      <c r="H132" s="350"/>
      <c r="I132" s="350"/>
      <c r="J132" s="350"/>
      <c r="K132" s="350"/>
      <c r="L132" s="350"/>
      <c r="M132" s="350"/>
      <c r="N132" s="350"/>
      <c r="O132" s="350"/>
      <c r="P132" s="350"/>
      <c r="Q132" s="272"/>
      <c r="R132" s="272"/>
      <c r="S132" s="272"/>
      <c r="T132" s="272"/>
      <c r="U132" s="272"/>
      <c r="V132" s="272"/>
      <c r="W132" s="274"/>
      <c r="X132" s="351" t="s">
        <v>47</v>
      </c>
      <c r="Y132" s="351"/>
      <c r="Z132" s="351"/>
      <c r="AA132" s="351" t="s">
        <v>48</v>
      </c>
      <c r="AB132" s="351"/>
      <c r="AC132" s="351"/>
      <c r="AD132" s="350" t="s">
        <v>10</v>
      </c>
      <c r="AE132" s="350" t="s">
        <v>11</v>
      </c>
      <c r="AF132" s="221"/>
      <c r="AG132" s="221"/>
      <c r="AH132" s="350" t="s">
        <v>12</v>
      </c>
      <c r="AI132" s="350" t="s">
        <v>13</v>
      </c>
      <c r="AJ132" s="350" t="s">
        <v>14</v>
      </c>
      <c r="AK132" s="341" t="s">
        <v>50</v>
      </c>
      <c r="AL132" s="350" t="s">
        <v>51</v>
      </c>
      <c r="AM132" s="151"/>
      <c r="AN132" s="151"/>
      <c r="AO132" s="151"/>
      <c r="AP132" s="151"/>
    </row>
    <row r="133" spans="1:42" s="152" customFormat="1" ht="28.5">
      <c r="A133" s="350"/>
      <c r="B133" s="350"/>
      <c r="C133" s="342"/>
      <c r="D133" s="342"/>
      <c r="E133" s="341" t="s">
        <v>49</v>
      </c>
      <c r="F133" s="344" t="s">
        <v>15</v>
      </c>
      <c r="G133" s="351" t="s">
        <v>16</v>
      </c>
      <c r="H133" s="351"/>
      <c r="I133" s="351"/>
      <c r="J133" s="274" t="s">
        <v>17</v>
      </c>
      <c r="K133" s="272" t="s">
        <v>18</v>
      </c>
      <c r="L133" s="274"/>
      <c r="M133" s="274" t="s">
        <v>17</v>
      </c>
      <c r="N133" s="274" t="s">
        <v>17</v>
      </c>
      <c r="O133" s="274" t="s">
        <v>17</v>
      </c>
      <c r="P133" s="274" t="s">
        <v>19</v>
      </c>
      <c r="Q133" s="274" t="s">
        <v>19</v>
      </c>
      <c r="R133" s="274" t="s">
        <v>19</v>
      </c>
      <c r="S133" s="274" t="s">
        <v>19</v>
      </c>
      <c r="T133" s="274" t="s">
        <v>19</v>
      </c>
      <c r="U133" s="274" t="s">
        <v>19</v>
      </c>
      <c r="V133" s="274" t="s">
        <v>20</v>
      </c>
      <c r="W133" s="274"/>
      <c r="X133" s="341" t="s">
        <v>49</v>
      </c>
      <c r="Y133" s="344" t="s">
        <v>21</v>
      </c>
      <c r="Z133" s="344" t="s">
        <v>22</v>
      </c>
      <c r="AA133" s="353" t="s">
        <v>49</v>
      </c>
      <c r="AB133" s="344" t="s">
        <v>21</v>
      </c>
      <c r="AC133" s="344" t="s">
        <v>23</v>
      </c>
      <c r="AD133" s="350"/>
      <c r="AE133" s="350"/>
      <c r="AF133" s="221"/>
      <c r="AG133" s="221"/>
      <c r="AH133" s="352"/>
      <c r="AI133" s="352"/>
      <c r="AJ133" s="350"/>
      <c r="AK133" s="342"/>
      <c r="AL133" s="352"/>
      <c r="AM133" s="151"/>
      <c r="AN133" s="151"/>
      <c r="AO133" s="151"/>
      <c r="AP133" s="151"/>
    </row>
    <row r="134" spans="1:42" s="152" customFormat="1" ht="15.75" customHeight="1">
      <c r="A134" s="350"/>
      <c r="B134" s="350"/>
      <c r="C134" s="342"/>
      <c r="D134" s="342"/>
      <c r="E134" s="342"/>
      <c r="F134" s="345"/>
      <c r="G134" s="344" t="s">
        <v>24</v>
      </c>
      <c r="H134" s="351" t="s">
        <v>25</v>
      </c>
      <c r="I134" s="351"/>
      <c r="J134" s="274" t="s">
        <v>26</v>
      </c>
      <c r="K134" s="272" t="s">
        <v>27</v>
      </c>
      <c r="L134" s="274" t="s">
        <v>28</v>
      </c>
      <c r="M134" s="274" t="s">
        <v>26</v>
      </c>
      <c r="N134" s="274" t="s">
        <v>26</v>
      </c>
      <c r="O134" s="274" t="s">
        <v>26</v>
      </c>
      <c r="P134" s="274" t="s">
        <v>29</v>
      </c>
      <c r="Q134" s="274" t="s">
        <v>29</v>
      </c>
      <c r="R134" s="274" t="s">
        <v>29</v>
      </c>
      <c r="S134" s="274" t="s">
        <v>29</v>
      </c>
      <c r="T134" s="274" t="s">
        <v>29</v>
      </c>
      <c r="U134" s="274" t="s">
        <v>29</v>
      </c>
      <c r="V134" s="274" t="s">
        <v>26</v>
      </c>
      <c r="W134" s="274" t="s">
        <v>30</v>
      </c>
      <c r="X134" s="342"/>
      <c r="Y134" s="345"/>
      <c r="Z134" s="345"/>
      <c r="AA134" s="354"/>
      <c r="AB134" s="345"/>
      <c r="AC134" s="345"/>
      <c r="AD134" s="350"/>
      <c r="AE134" s="350"/>
      <c r="AF134" s="221"/>
      <c r="AG134" s="221"/>
      <c r="AH134" s="352"/>
      <c r="AI134" s="352"/>
      <c r="AJ134" s="350"/>
      <c r="AK134" s="342"/>
      <c r="AL134" s="352"/>
      <c r="AM134" s="151"/>
      <c r="AN134" s="151"/>
      <c r="AO134" s="151"/>
      <c r="AP134" s="151"/>
    </row>
    <row r="135" spans="1:42" s="147" customFormat="1" ht="71.25" hidden="1">
      <c r="A135" s="350"/>
      <c r="B135" s="350"/>
      <c r="C135" s="343"/>
      <c r="D135" s="343"/>
      <c r="E135" s="343"/>
      <c r="F135" s="346"/>
      <c r="G135" s="346"/>
      <c r="H135" s="153" t="s">
        <v>31</v>
      </c>
      <c r="I135" s="274" t="s">
        <v>32</v>
      </c>
      <c r="J135" s="274" t="s">
        <v>33</v>
      </c>
      <c r="K135" s="272" t="s">
        <v>34</v>
      </c>
      <c r="L135" s="274" t="s">
        <v>35</v>
      </c>
      <c r="M135" s="274" t="s">
        <v>33</v>
      </c>
      <c r="N135" s="274" t="s">
        <v>36</v>
      </c>
      <c r="O135" s="274" t="s">
        <v>36</v>
      </c>
      <c r="P135" s="274" t="s">
        <v>36</v>
      </c>
      <c r="Q135" s="274" t="s">
        <v>36</v>
      </c>
      <c r="R135" s="274" t="s">
        <v>36</v>
      </c>
      <c r="S135" s="274" t="s">
        <v>36</v>
      </c>
      <c r="T135" s="274" t="s">
        <v>36</v>
      </c>
      <c r="U135" s="274" t="s">
        <v>36</v>
      </c>
      <c r="V135" s="274" t="s">
        <v>36</v>
      </c>
      <c r="W135" s="274" t="s">
        <v>37</v>
      </c>
      <c r="X135" s="343"/>
      <c r="Y135" s="346"/>
      <c r="Z135" s="346"/>
      <c r="AA135" s="355"/>
      <c r="AB135" s="346"/>
      <c r="AC135" s="346"/>
      <c r="AD135" s="350"/>
      <c r="AE135" s="350"/>
      <c r="AF135" s="221"/>
      <c r="AG135" s="221"/>
      <c r="AH135" s="352"/>
      <c r="AI135" s="352"/>
      <c r="AJ135" s="350"/>
      <c r="AK135" s="343"/>
      <c r="AL135" s="352"/>
      <c r="AM135" s="154"/>
      <c r="AN135" s="154"/>
      <c r="AO135" s="154"/>
      <c r="AP135" s="154"/>
    </row>
    <row r="136" spans="1:42" s="147" customFormat="1" ht="15.75">
      <c r="A136" s="272" t="s">
        <v>38</v>
      </c>
      <c r="B136" s="272" t="s">
        <v>39</v>
      </c>
      <c r="C136" s="272" t="s">
        <v>40</v>
      </c>
      <c r="D136" s="272" t="s">
        <v>41</v>
      </c>
      <c r="E136" s="272">
        <v>1</v>
      </c>
      <c r="F136" s="274">
        <v>2</v>
      </c>
      <c r="G136" s="153">
        <v>3</v>
      </c>
      <c r="H136" s="153">
        <v>4</v>
      </c>
      <c r="I136" s="274">
        <v>5</v>
      </c>
      <c r="J136" s="153">
        <v>7</v>
      </c>
      <c r="K136" s="274">
        <v>8</v>
      </c>
      <c r="L136" s="153">
        <v>9</v>
      </c>
      <c r="M136" s="274">
        <v>10</v>
      </c>
      <c r="N136" s="274"/>
      <c r="O136" s="153">
        <v>6</v>
      </c>
      <c r="P136" s="153"/>
      <c r="Q136" s="153"/>
      <c r="R136" s="153"/>
      <c r="S136" s="153"/>
      <c r="T136" s="153"/>
      <c r="U136" s="153"/>
      <c r="V136" s="153"/>
      <c r="W136" s="153">
        <v>5</v>
      </c>
      <c r="X136" s="272">
        <v>2</v>
      </c>
      <c r="Y136" s="274">
        <v>7</v>
      </c>
      <c r="Z136" s="274">
        <v>8</v>
      </c>
      <c r="AA136" s="177">
        <v>3</v>
      </c>
      <c r="AB136" s="272">
        <v>10</v>
      </c>
      <c r="AC136" s="153">
        <v>11</v>
      </c>
      <c r="AD136" s="272"/>
      <c r="AE136" s="272"/>
      <c r="AF136" s="221"/>
      <c r="AG136" s="221"/>
      <c r="AH136" s="272">
        <v>4</v>
      </c>
      <c r="AI136" s="272">
        <v>5</v>
      </c>
      <c r="AJ136" s="272">
        <v>6</v>
      </c>
      <c r="AK136" s="272">
        <v>7</v>
      </c>
      <c r="AL136" s="272">
        <v>8</v>
      </c>
      <c r="AM136" s="155"/>
      <c r="AN136" s="155"/>
      <c r="AO136" s="155"/>
      <c r="AP136" s="155"/>
    </row>
    <row r="137" spans="1:42" s="147" customFormat="1" ht="22.5" customHeight="1">
      <c r="A137" s="272" t="s">
        <v>277</v>
      </c>
      <c r="B137" s="356" t="s">
        <v>278</v>
      </c>
      <c r="C137" s="356"/>
      <c r="D137" s="356"/>
      <c r="E137" s="356"/>
      <c r="F137" s="356"/>
      <c r="G137" s="356"/>
      <c r="H137" s="356"/>
      <c r="I137" s="356"/>
      <c r="J137" s="356"/>
      <c r="K137" s="356"/>
      <c r="L137" s="356"/>
      <c r="M137" s="356"/>
      <c r="N137" s="356"/>
      <c r="O137" s="356"/>
      <c r="P137" s="356"/>
      <c r="Q137" s="356"/>
      <c r="R137" s="356"/>
      <c r="S137" s="356"/>
      <c r="T137" s="356"/>
      <c r="U137" s="356"/>
      <c r="V137" s="356"/>
      <c r="W137" s="356"/>
      <c r="X137" s="356"/>
      <c r="Y137" s="356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7"/>
      <c r="AM137" s="155"/>
      <c r="AN137" s="155"/>
      <c r="AO137" s="155"/>
      <c r="AP137" s="155"/>
    </row>
    <row r="138" spans="1:42" s="147" customFormat="1" ht="25.5" customHeight="1">
      <c r="A138" s="278">
        <v>5</v>
      </c>
      <c r="B138" s="156" t="s">
        <v>187</v>
      </c>
      <c r="C138" s="278"/>
      <c r="D138" s="278">
        <v>2020</v>
      </c>
      <c r="E138" s="278">
        <v>2</v>
      </c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278">
        <v>2</v>
      </c>
      <c r="Y138" s="157"/>
      <c r="Z138" s="157"/>
      <c r="AA138" s="196">
        <v>0</v>
      </c>
      <c r="AB138" s="157"/>
      <c r="AC138" s="157"/>
      <c r="AD138" s="158"/>
      <c r="AE138" s="278"/>
      <c r="AF138" s="227"/>
      <c r="AG138" s="227"/>
      <c r="AH138" s="278" t="s">
        <v>283</v>
      </c>
      <c r="AI138" s="278" t="s">
        <v>284</v>
      </c>
      <c r="AJ138" s="278" t="s">
        <v>285</v>
      </c>
      <c r="AK138" s="157" t="s">
        <v>183</v>
      </c>
      <c r="AL138" s="278" t="s">
        <v>301</v>
      </c>
      <c r="AM138" s="155"/>
      <c r="AN138" s="155"/>
      <c r="AO138" s="155"/>
      <c r="AP138" s="155"/>
    </row>
    <row r="139" spans="1:42" s="147" customFormat="1" ht="24" customHeight="1">
      <c r="A139" s="272" t="s">
        <v>290</v>
      </c>
      <c r="B139" s="358" t="s">
        <v>291</v>
      </c>
      <c r="C139" s="356"/>
      <c r="D139" s="356"/>
      <c r="E139" s="356"/>
      <c r="F139" s="356"/>
      <c r="G139" s="356"/>
      <c r="H139" s="356"/>
      <c r="I139" s="356"/>
      <c r="J139" s="356"/>
      <c r="K139" s="356"/>
      <c r="L139" s="356"/>
      <c r="M139" s="356"/>
      <c r="N139" s="356"/>
      <c r="O139" s="356"/>
      <c r="P139" s="356"/>
      <c r="Q139" s="356"/>
      <c r="R139" s="356"/>
      <c r="S139" s="356"/>
      <c r="T139" s="356"/>
      <c r="U139" s="356"/>
      <c r="V139" s="356"/>
      <c r="W139" s="356"/>
      <c r="X139" s="356"/>
      <c r="Y139" s="356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7"/>
      <c r="AM139" s="155"/>
      <c r="AN139" s="155"/>
      <c r="AO139" s="155"/>
      <c r="AP139" s="155"/>
    </row>
    <row r="140" spans="1:42" s="147" customFormat="1" ht="22.5" customHeight="1">
      <c r="A140" s="278">
        <v>6</v>
      </c>
      <c r="B140" s="156" t="s">
        <v>59</v>
      </c>
      <c r="C140" s="278"/>
      <c r="D140" s="278">
        <v>2016</v>
      </c>
      <c r="E140" s="278">
        <v>10</v>
      </c>
      <c r="F140" s="200"/>
      <c r="G140" s="162"/>
      <c r="H140" s="162"/>
      <c r="I140" s="162"/>
      <c r="J140" s="162"/>
      <c r="K140" s="27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278">
        <v>10</v>
      </c>
      <c r="Y140" s="162"/>
      <c r="Z140" s="162"/>
      <c r="AA140" s="201">
        <v>0</v>
      </c>
      <c r="AB140" s="163"/>
      <c r="AC140" s="162"/>
      <c r="AD140" s="162"/>
      <c r="AE140" s="162"/>
      <c r="AF140" s="221"/>
      <c r="AG140" s="221"/>
      <c r="AH140" s="278" t="s">
        <v>283</v>
      </c>
      <c r="AI140" s="278" t="s">
        <v>258</v>
      </c>
      <c r="AJ140" s="278" t="s">
        <v>296</v>
      </c>
      <c r="AK140" s="156" t="s">
        <v>295</v>
      </c>
      <c r="AL140" s="278" t="s">
        <v>208</v>
      </c>
      <c r="AM140" s="155"/>
      <c r="AN140" s="155"/>
      <c r="AO140" s="155"/>
      <c r="AP140" s="155"/>
    </row>
    <row r="141" spans="1:42" s="147" customFormat="1" ht="36.75" customHeight="1">
      <c r="A141" s="278">
        <v>7</v>
      </c>
      <c r="B141" s="156" t="s">
        <v>138</v>
      </c>
      <c r="C141" s="278"/>
      <c r="D141" s="278">
        <v>2016</v>
      </c>
      <c r="E141" s="278">
        <v>1</v>
      </c>
      <c r="F141" s="200"/>
      <c r="G141" s="162"/>
      <c r="H141" s="162"/>
      <c r="I141" s="162"/>
      <c r="J141" s="162"/>
      <c r="K141" s="27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278">
        <v>1</v>
      </c>
      <c r="Y141" s="162"/>
      <c r="Z141" s="162"/>
      <c r="AA141" s="201">
        <v>0</v>
      </c>
      <c r="AB141" s="163"/>
      <c r="AC141" s="162"/>
      <c r="AD141" s="162"/>
      <c r="AE141" s="162"/>
      <c r="AF141" s="221"/>
      <c r="AG141" s="221"/>
      <c r="AH141" s="278" t="s">
        <v>283</v>
      </c>
      <c r="AI141" s="278" t="s">
        <v>258</v>
      </c>
      <c r="AJ141" s="278" t="s">
        <v>296</v>
      </c>
      <c r="AK141" s="278" t="s">
        <v>288</v>
      </c>
      <c r="AL141" s="278" t="s">
        <v>208</v>
      </c>
      <c r="AM141" s="155"/>
      <c r="AN141" s="155"/>
      <c r="AO141" s="155"/>
      <c r="AP141" s="155"/>
    </row>
    <row r="142" spans="1:42" s="147" customFormat="1" ht="48" customHeight="1">
      <c r="A142" s="278">
        <v>8</v>
      </c>
      <c r="B142" s="156" t="s">
        <v>346</v>
      </c>
      <c r="C142" s="278"/>
      <c r="D142" s="278">
        <v>2016</v>
      </c>
      <c r="E142" s="278">
        <v>4</v>
      </c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278">
        <v>6</v>
      </c>
      <c r="Y142" s="157"/>
      <c r="Z142" s="157"/>
      <c r="AA142" s="196" t="s">
        <v>260</v>
      </c>
      <c r="AB142" s="157"/>
      <c r="AC142" s="157"/>
      <c r="AD142" s="159"/>
      <c r="AE142" s="278"/>
      <c r="AF142" s="227"/>
      <c r="AG142" s="227"/>
      <c r="AH142" s="278" t="s">
        <v>283</v>
      </c>
      <c r="AI142" s="278" t="s">
        <v>258</v>
      </c>
      <c r="AJ142" s="278" t="s">
        <v>296</v>
      </c>
      <c r="AK142" s="156" t="s">
        <v>287</v>
      </c>
      <c r="AL142" s="278" t="s">
        <v>261</v>
      </c>
      <c r="AM142" s="155"/>
      <c r="AN142" s="155"/>
      <c r="AO142" s="155"/>
      <c r="AP142" s="155"/>
    </row>
    <row r="143" spans="1:42" s="147" customFormat="1" ht="39" customHeight="1">
      <c r="A143" s="278">
        <v>9</v>
      </c>
      <c r="B143" s="165" t="s">
        <v>117</v>
      </c>
      <c r="C143" s="278"/>
      <c r="D143" s="278">
        <v>2015</v>
      </c>
      <c r="E143" s="278">
        <v>1</v>
      </c>
      <c r="F143" s="278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>
        <v>1</v>
      </c>
      <c r="Y143" s="157"/>
      <c r="Z143" s="157"/>
      <c r="AA143" s="183">
        <v>0</v>
      </c>
      <c r="AB143" s="157"/>
      <c r="AC143" s="157"/>
      <c r="AD143" s="164"/>
      <c r="AE143" s="278"/>
      <c r="AF143" s="227"/>
      <c r="AG143" s="227"/>
      <c r="AH143" s="278" t="s">
        <v>283</v>
      </c>
      <c r="AI143" s="278" t="s">
        <v>258</v>
      </c>
      <c r="AJ143" s="278" t="s">
        <v>296</v>
      </c>
      <c r="AK143" s="156" t="s">
        <v>288</v>
      </c>
      <c r="AL143" s="278" t="s">
        <v>208</v>
      </c>
      <c r="AM143" s="155"/>
      <c r="AN143" s="155"/>
      <c r="AO143" s="155"/>
      <c r="AP143" s="155"/>
    </row>
    <row r="144" spans="1:42" s="147" customFormat="1" ht="27.75" customHeight="1">
      <c r="A144" s="217">
        <v>10</v>
      </c>
      <c r="B144" s="218" t="s">
        <v>64</v>
      </c>
      <c r="C144" s="278"/>
      <c r="D144" s="278">
        <v>2014</v>
      </c>
      <c r="E144" s="278">
        <v>1</v>
      </c>
      <c r="F144" s="278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>
        <v>1</v>
      </c>
      <c r="Y144" s="157"/>
      <c r="Z144" s="157"/>
      <c r="AA144" s="183">
        <v>0</v>
      </c>
      <c r="AB144" s="157"/>
      <c r="AC144" s="157"/>
      <c r="AD144" s="164"/>
      <c r="AE144" s="278"/>
      <c r="AF144" s="227"/>
      <c r="AG144" s="227"/>
      <c r="AH144" s="278" t="s">
        <v>283</v>
      </c>
      <c r="AI144" s="278" t="s">
        <v>258</v>
      </c>
      <c r="AJ144" s="278" t="s">
        <v>296</v>
      </c>
      <c r="AK144" s="156" t="s">
        <v>295</v>
      </c>
      <c r="AL144" s="278" t="s">
        <v>208</v>
      </c>
      <c r="AM144" s="155"/>
      <c r="AN144" s="155"/>
      <c r="AO144" s="155"/>
      <c r="AP144" s="155"/>
    </row>
    <row r="145" spans="1:42" s="147" customFormat="1" ht="27.75" customHeight="1">
      <c r="A145" s="217">
        <v>11</v>
      </c>
      <c r="B145" s="165" t="s">
        <v>117</v>
      </c>
      <c r="C145" s="278"/>
      <c r="D145" s="278">
        <v>2015</v>
      </c>
      <c r="E145" s="278">
        <v>1</v>
      </c>
      <c r="F145" s="278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>
        <v>1</v>
      </c>
      <c r="Y145" s="157"/>
      <c r="Z145" s="157"/>
      <c r="AA145" s="183">
        <v>0</v>
      </c>
      <c r="AB145" s="157"/>
      <c r="AC145" s="157"/>
      <c r="AD145" s="164"/>
      <c r="AE145" s="278"/>
      <c r="AF145" s="227"/>
      <c r="AG145" s="227"/>
      <c r="AH145" s="278" t="s">
        <v>283</v>
      </c>
      <c r="AI145" s="278" t="s">
        <v>258</v>
      </c>
      <c r="AJ145" s="278" t="s">
        <v>296</v>
      </c>
      <c r="AK145" s="156" t="s">
        <v>309</v>
      </c>
      <c r="AL145" s="278" t="s">
        <v>208</v>
      </c>
      <c r="AM145" s="155"/>
      <c r="AN145" s="155"/>
      <c r="AO145" s="155"/>
      <c r="AP145" s="155"/>
    </row>
    <row r="146" spans="1:42" s="147" customFormat="1" ht="30.75" customHeight="1">
      <c r="A146" s="278">
        <v>12</v>
      </c>
      <c r="B146" s="165" t="s">
        <v>63</v>
      </c>
      <c r="C146" s="278"/>
      <c r="D146" s="278">
        <v>2005</v>
      </c>
      <c r="E146" s="278">
        <v>1</v>
      </c>
      <c r="F146" s="278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>
        <v>1</v>
      </c>
      <c r="Y146" s="157"/>
      <c r="Z146" s="157"/>
      <c r="AA146" s="183">
        <v>0</v>
      </c>
      <c r="AB146" s="157"/>
      <c r="AC146" s="157"/>
      <c r="AD146" s="164"/>
      <c r="AE146" s="278"/>
      <c r="AF146" s="227"/>
      <c r="AG146" s="227"/>
      <c r="AH146" s="278" t="s">
        <v>283</v>
      </c>
      <c r="AI146" s="278" t="s">
        <v>258</v>
      </c>
      <c r="AJ146" s="278" t="s">
        <v>296</v>
      </c>
      <c r="AK146" s="278" t="s">
        <v>288</v>
      </c>
      <c r="AL146" s="278" t="s">
        <v>330</v>
      </c>
      <c r="AM146" s="155"/>
      <c r="AN146" s="155"/>
      <c r="AO146" s="155"/>
      <c r="AP146" s="155"/>
    </row>
    <row r="147" spans="1:42" s="147" customFormat="1" ht="30" customHeight="1">
      <c r="A147" s="202" t="s">
        <v>297</v>
      </c>
      <c r="B147" s="358" t="s">
        <v>190</v>
      </c>
      <c r="C147" s="356"/>
      <c r="D147" s="356"/>
      <c r="E147" s="356"/>
      <c r="F147" s="356"/>
      <c r="G147" s="356"/>
      <c r="H147" s="356"/>
      <c r="I147" s="356"/>
      <c r="J147" s="356"/>
      <c r="K147" s="356"/>
      <c r="L147" s="356"/>
      <c r="M147" s="356"/>
      <c r="N147" s="356"/>
      <c r="O147" s="356"/>
      <c r="P147" s="356"/>
      <c r="Q147" s="356"/>
      <c r="R147" s="356"/>
      <c r="S147" s="356"/>
      <c r="T147" s="356"/>
      <c r="U147" s="356"/>
      <c r="V147" s="356"/>
      <c r="W147" s="356"/>
      <c r="X147" s="356"/>
      <c r="Y147" s="356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7"/>
      <c r="AM147" s="155"/>
      <c r="AN147" s="155"/>
      <c r="AO147" s="155"/>
      <c r="AP147" s="155"/>
    </row>
    <row r="148" spans="1:42" s="147" customFormat="1" ht="32.25" customHeight="1">
      <c r="A148" s="278">
        <v>1</v>
      </c>
      <c r="B148" s="207" t="s">
        <v>72</v>
      </c>
      <c r="C148" s="207"/>
      <c r="D148" s="207">
        <v>2016</v>
      </c>
      <c r="E148" s="278">
        <v>2</v>
      </c>
      <c r="F148" s="278"/>
      <c r="G148" s="278"/>
      <c r="H148" s="278"/>
      <c r="I148" s="278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>
        <v>2</v>
      </c>
      <c r="Y148" s="278"/>
      <c r="Z148" s="278"/>
      <c r="AA148" s="201">
        <v>0</v>
      </c>
      <c r="AB148" s="207"/>
      <c r="AC148" s="207"/>
      <c r="AD148" s="207"/>
      <c r="AE148" s="207"/>
      <c r="AF148" s="227"/>
      <c r="AG148" s="227"/>
      <c r="AH148" s="278" t="s">
        <v>283</v>
      </c>
      <c r="AI148" s="278" t="s">
        <v>74</v>
      </c>
      <c r="AJ148" s="278" t="s">
        <v>57</v>
      </c>
      <c r="AK148" s="207"/>
      <c r="AL148" s="278" t="s">
        <v>317</v>
      </c>
      <c r="AM148" s="155"/>
      <c r="AN148" s="155"/>
      <c r="AO148" s="155"/>
      <c r="AP148" s="155"/>
    </row>
    <row r="149" spans="1:42" s="147" customFormat="1" ht="24" customHeight="1">
      <c r="A149" s="272" t="s">
        <v>298</v>
      </c>
      <c r="B149" s="358" t="s">
        <v>76</v>
      </c>
      <c r="C149" s="356"/>
      <c r="D149" s="356"/>
      <c r="E149" s="356"/>
      <c r="F149" s="356"/>
      <c r="G149" s="356"/>
      <c r="H149" s="356"/>
      <c r="I149" s="356"/>
      <c r="J149" s="356"/>
      <c r="K149" s="356"/>
      <c r="L149" s="356"/>
      <c r="M149" s="356"/>
      <c r="N149" s="356"/>
      <c r="O149" s="356"/>
      <c r="P149" s="356"/>
      <c r="Q149" s="356"/>
      <c r="R149" s="356"/>
      <c r="S149" s="356"/>
      <c r="T149" s="356"/>
      <c r="U149" s="356"/>
      <c r="V149" s="356"/>
      <c r="W149" s="356"/>
      <c r="X149" s="356"/>
      <c r="Y149" s="356"/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7"/>
      <c r="AM149" s="154"/>
      <c r="AN149" s="154"/>
      <c r="AO149" s="154"/>
      <c r="AP149" s="154"/>
    </row>
    <row r="150" spans="1:42" s="147" customFormat="1" ht="47.25" customHeight="1">
      <c r="A150" s="278">
        <v>12</v>
      </c>
      <c r="B150" s="156" t="s">
        <v>86</v>
      </c>
      <c r="C150" s="278"/>
      <c r="D150" s="278">
        <v>2017</v>
      </c>
      <c r="E150" s="278">
        <v>1</v>
      </c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278">
        <v>1</v>
      </c>
      <c r="Y150" s="157"/>
      <c r="Z150" s="157"/>
      <c r="AA150" s="196">
        <v>0</v>
      </c>
      <c r="AB150" s="157"/>
      <c r="AC150" s="157"/>
      <c r="AD150" s="164"/>
      <c r="AE150" s="278"/>
      <c r="AF150" s="227"/>
      <c r="AG150" s="227"/>
      <c r="AH150" s="278" t="s">
        <v>283</v>
      </c>
      <c r="AI150" s="278" t="s">
        <v>337</v>
      </c>
      <c r="AJ150" s="278" t="s">
        <v>338</v>
      </c>
      <c r="AK150" s="278"/>
      <c r="AL150" s="278" t="s">
        <v>332</v>
      </c>
      <c r="AM150" s="155"/>
      <c r="AN150" s="155"/>
      <c r="AO150" s="155"/>
      <c r="AP150" s="155"/>
    </row>
    <row r="151" spans="1:42" s="147" customFormat="1" ht="23.25" customHeight="1">
      <c r="A151" s="278">
        <v>17</v>
      </c>
      <c r="B151" s="156" t="s">
        <v>58</v>
      </c>
      <c r="C151" s="278" t="s">
        <v>94</v>
      </c>
      <c r="D151" s="278">
        <v>2003</v>
      </c>
      <c r="E151" s="278">
        <v>1</v>
      </c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278">
        <v>1</v>
      </c>
      <c r="Y151" s="157"/>
      <c r="Z151" s="157"/>
      <c r="AA151" s="197">
        <v>0</v>
      </c>
      <c r="AB151" s="157"/>
      <c r="AC151" s="157"/>
      <c r="AD151" s="164"/>
      <c r="AE151" s="278"/>
      <c r="AF151" s="227"/>
      <c r="AG151" s="227"/>
      <c r="AH151" s="278" t="s">
        <v>283</v>
      </c>
      <c r="AI151" s="278" t="s">
        <v>92</v>
      </c>
      <c r="AJ151" s="278" t="s">
        <v>285</v>
      </c>
      <c r="AK151" s="278"/>
      <c r="AL151" s="278"/>
      <c r="AM151" s="155"/>
      <c r="AN151" s="155"/>
      <c r="AO151" s="155"/>
      <c r="AP151" s="155"/>
    </row>
    <row r="152" spans="1:42" s="147" customFormat="1" ht="54.75" customHeight="1">
      <c r="A152" s="278">
        <v>19</v>
      </c>
      <c r="B152" s="156" t="s">
        <v>96</v>
      </c>
      <c r="C152" s="278"/>
      <c r="D152" s="278">
        <v>2017</v>
      </c>
      <c r="E152" s="278">
        <v>3</v>
      </c>
      <c r="F152" s="278" t="s">
        <v>68</v>
      </c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>
        <v>3</v>
      </c>
      <c r="Y152" s="157"/>
      <c r="Z152" s="157"/>
      <c r="AA152" s="183">
        <v>0</v>
      </c>
      <c r="AB152" s="157"/>
      <c r="AC152" s="157"/>
      <c r="AD152" s="164"/>
      <c r="AE152" s="278"/>
      <c r="AF152" s="227"/>
      <c r="AG152" s="227"/>
      <c r="AH152" s="278" t="s">
        <v>283</v>
      </c>
      <c r="AI152" s="278" t="s">
        <v>339</v>
      </c>
      <c r="AJ152" s="278" t="s">
        <v>340</v>
      </c>
      <c r="AK152" s="278"/>
      <c r="AL152" s="278" t="s">
        <v>331</v>
      </c>
      <c r="AM152" s="155"/>
      <c r="AN152" s="155"/>
      <c r="AO152" s="155"/>
      <c r="AP152" s="155"/>
    </row>
    <row r="153" spans="1:42" s="147" customFormat="1" ht="30.75" customHeight="1">
      <c r="A153" s="278">
        <v>20</v>
      </c>
      <c r="B153" s="156" t="s">
        <v>97</v>
      </c>
      <c r="C153" s="278"/>
      <c r="D153" s="278">
        <v>2015</v>
      </c>
      <c r="E153" s="278">
        <v>1</v>
      </c>
      <c r="F153" s="278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>
        <v>1</v>
      </c>
      <c r="Y153" s="157"/>
      <c r="Z153" s="157"/>
      <c r="AA153" s="183">
        <v>0</v>
      </c>
      <c r="AB153" s="157"/>
      <c r="AC153" s="157"/>
      <c r="AD153" s="164"/>
      <c r="AE153" s="278"/>
      <c r="AF153" s="227"/>
      <c r="AG153" s="227"/>
      <c r="AH153" s="278" t="s">
        <v>283</v>
      </c>
      <c r="AI153" s="278" t="s">
        <v>92</v>
      </c>
      <c r="AJ153" s="278" t="s">
        <v>296</v>
      </c>
      <c r="AK153" s="278"/>
      <c r="AL153" s="278" t="s">
        <v>262</v>
      </c>
      <c r="AM153" s="155"/>
      <c r="AN153" s="155"/>
      <c r="AO153" s="155"/>
      <c r="AP153" s="155"/>
    </row>
    <row r="154" spans="1:42" s="147" customFormat="1" ht="45.75" customHeight="1">
      <c r="A154" s="278">
        <v>21</v>
      </c>
      <c r="B154" s="156" t="s">
        <v>67</v>
      </c>
      <c r="C154" s="278"/>
      <c r="D154" s="278">
        <v>2012</v>
      </c>
      <c r="E154" s="278">
        <v>2</v>
      </c>
      <c r="F154" s="278" t="s">
        <v>68</v>
      </c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>
        <v>2</v>
      </c>
      <c r="Y154" s="157"/>
      <c r="Z154" s="157"/>
      <c r="AA154" s="201">
        <v>0</v>
      </c>
      <c r="AB154" s="157"/>
      <c r="AC154" s="157"/>
      <c r="AD154" s="164"/>
      <c r="AE154" s="278"/>
      <c r="AF154" s="227"/>
      <c r="AG154" s="227"/>
      <c r="AH154" s="278" t="s">
        <v>283</v>
      </c>
      <c r="AI154" s="278" t="s">
        <v>328</v>
      </c>
      <c r="AJ154" s="278" t="s">
        <v>329</v>
      </c>
      <c r="AK154" s="278"/>
      <c r="AL154" s="278" t="s">
        <v>314</v>
      </c>
      <c r="AM154" s="155"/>
      <c r="AN154" s="155"/>
      <c r="AO154" s="155"/>
      <c r="AP154" s="155"/>
    </row>
    <row r="155" spans="1:42" s="147" customFormat="1" ht="45.75" customHeight="1">
      <c r="A155" s="278">
        <v>22</v>
      </c>
      <c r="B155" s="156" t="s">
        <v>100</v>
      </c>
      <c r="C155" s="278"/>
      <c r="D155" s="278">
        <v>2012</v>
      </c>
      <c r="E155" s="278">
        <v>3</v>
      </c>
      <c r="F155" s="278" t="s">
        <v>68</v>
      </c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>
        <v>3</v>
      </c>
      <c r="Y155" s="157"/>
      <c r="Z155" s="157"/>
      <c r="AA155" s="201">
        <v>0</v>
      </c>
      <c r="AB155" s="157"/>
      <c r="AC155" s="157"/>
      <c r="AD155" s="164"/>
      <c r="AE155" s="278"/>
      <c r="AF155" s="227"/>
      <c r="AG155" s="227"/>
      <c r="AH155" s="278" t="s">
        <v>283</v>
      </c>
      <c r="AI155" s="278" t="s">
        <v>300</v>
      </c>
      <c r="AJ155" s="278" t="s">
        <v>285</v>
      </c>
      <c r="AK155" s="278"/>
      <c r="AL155" s="278" t="s">
        <v>320</v>
      </c>
      <c r="AM155" s="155"/>
      <c r="AN155" s="155"/>
      <c r="AO155" s="155"/>
      <c r="AP155" s="155"/>
    </row>
    <row r="156" spans="1:42" s="147" customFormat="1" ht="54.75" customHeight="1">
      <c r="A156" s="278">
        <v>25</v>
      </c>
      <c r="B156" s="156" t="s">
        <v>187</v>
      </c>
      <c r="C156" s="278"/>
      <c r="D156" s="278">
        <v>2020</v>
      </c>
      <c r="E156" s="278">
        <v>5</v>
      </c>
      <c r="F156" s="278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>
        <v>3</v>
      </c>
      <c r="Y156" s="157"/>
      <c r="Z156" s="157"/>
      <c r="AA156" s="196">
        <v>-2</v>
      </c>
      <c r="AB156" s="157"/>
      <c r="AC156" s="157"/>
      <c r="AD156" s="205"/>
      <c r="AE156" s="157"/>
      <c r="AF156" s="199"/>
      <c r="AG156" s="199"/>
      <c r="AH156" s="278" t="s">
        <v>283</v>
      </c>
      <c r="AI156" s="207" t="s">
        <v>326</v>
      </c>
      <c r="AJ156" s="278" t="s">
        <v>327</v>
      </c>
      <c r="AK156" s="157"/>
      <c r="AL156" s="157" t="s">
        <v>333</v>
      </c>
      <c r="AM156" s="154"/>
      <c r="AN156" s="154"/>
      <c r="AO156" s="154"/>
      <c r="AP156" s="154"/>
    </row>
    <row r="157" spans="1:42" s="147" customFormat="1" ht="29.25" customHeight="1">
      <c r="A157" s="272" t="s">
        <v>302</v>
      </c>
      <c r="B157" s="358" t="s">
        <v>103</v>
      </c>
      <c r="C157" s="356"/>
      <c r="D157" s="356"/>
      <c r="E157" s="356"/>
      <c r="F157" s="356"/>
      <c r="G157" s="356"/>
      <c r="H157" s="356"/>
      <c r="I157" s="356"/>
      <c r="J157" s="356"/>
      <c r="K157" s="356"/>
      <c r="L157" s="356"/>
      <c r="M157" s="356"/>
      <c r="N157" s="356"/>
      <c r="O157" s="356"/>
      <c r="P157" s="356"/>
      <c r="Q157" s="356"/>
      <c r="R157" s="356"/>
      <c r="S157" s="356"/>
      <c r="T157" s="356"/>
      <c r="U157" s="356"/>
      <c r="V157" s="356"/>
      <c r="W157" s="356"/>
      <c r="X157" s="356"/>
      <c r="Y157" s="356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7"/>
      <c r="AM157" s="154"/>
      <c r="AN157" s="154"/>
      <c r="AO157" s="154"/>
      <c r="AP157" s="154"/>
    </row>
    <row r="158" spans="1:42" s="147" customFormat="1" ht="30" customHeight="1">
      <c r="A158" s="278">
        <v>3</v>
      </c>
      <c r="B158" s="156" t="s">
        <v>71</v>
      </c>
      <c r="C158" s="278"/>
      <c r="D158" s="278">
        <v>2014</v>
      </c>
      <c r="E158" s="278">
        <v>4</v>
      </c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>
        <v>4</v>
      </c>
      <c r="Y158" s="157"/>
      <c r="Z158" s="157"/>
      <c r="AA158" s="197">
        <v>0</v>
      </c>
      <c r="AB158" s="157"/>
      <c r="AC158" s="157"/>
      <c r="AD158" s="203"/>
      <c r="AE158" s="278"/>
      <c r="AF158" s="227"/>
      <c r="AG158" s="227"/>
      <c r="AH158" s="278" t="s">
        <v>283</v>
      </c>
      <c r="AI158" s="157" t="s">
        <v>104</v>
      </c>
      <c r="AJ158" s="278" t="s">
        <v>57</v>
      </c>
      <c r="AK158" s="278"/>
      <c r="AL158" s="278" t="s">
        <v>208</v>
      </c>
      <c r="AM158" s="155"/>
      <c r="AN158" s="155"/>
      <c r="AO158" s="155"/>
      <c r="AP158" s="155"/>
    </row>
    <row r="159" spans="1:42" s="147" customFormat="1" ht="30" customHeight="1">
      <c r="A159" s="278">
        <v>5</v>
      </c>
      <c r="B159" s="156" t="s">
        <v>62</v>
      </c>
      <c r="C159" s="278"/>
      <c r="D159" s="278">
        <v>2017</v>
      </c>
      <c r="E159" s="278">
        <v>1</v>
      </c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278">
        <v>1</v>
      </c>
      <c r="Y159" s="157"/>
      <c r="Z159" s="157"/>
      <c r="AA159" s="197">
        <v>0</v>
      </c>
      <c r="AB159" s="157"/>
      <c r="AC159" s="157"/>
      <c r="AD159" s="159"/>
      <c r="AE159" s="278"/>
      <c r="AF159" s="227"/>
      <c r="AG159" s="227"/>
      <c r="AH159" s="278" t="s">
        <v>283</v>
      </c>
      <c r="AI159" s="157" t="s">
        <v>104</v>
      </c>
      <c r="AJ159" s="278" t="s">
        <v>57</v>
      </c>
      <c r="AK159" s="278"/>
      <c r="AL159" s="278" t="s">
        <v>208</v>
      </c>
      <c r="AM159" s="155"/>
      <c r="AN159" s="155"/>
      <c r="AO159" s="155"/>
      <c r="AP159" s="155"/>
    </row>
    <row r="160" spans="1:42" s="147" customFormat="1" ht="30" customHeight="1">
      <c r="A160" s="278">
        <v>6</v>
      </c>
      <c r="B160" s="156" t="s">
        <v>105</v>
      </c>
      <c r="C160" s="278"/>
      <c r="D160" s="278">
        <v>2014</v>
      </c>
      <c r="E160" s="278">
        <v>1</v>
      </c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278">
        <v>1</v>
      </c>
      <c r="Y160" s="157"/>
      <c r="Z160" s="157"/>
      <c r="AA160" s="197">
        <v>0</v>
      </c>
      <c r="AB160" s="157"/>
      <c r="AC160" s="157"/>
      <c r="AD160" s="159"/>
      <c r="AE160" s="278"/>
      <c r="AF160" s="227"/>
      <c r="AG160" s="227"/>
      <c r="AH160" s="278" t="s">
        <v>283</v>
      </c>
      <c r="AI160" s="157" t="s">
        <v>104</v>
      </c>
      <c r="AJ160" s="278" t="s">
        <v>57</v>
      </c>
      <c r="AK160" s="278"/>
      <c r="AL160" s="278" t="s">
        <v>208</v>
      </c>
      <c r="AM160" s="155"/>
      <c r="AN160" s="155"/>
      <c r="AO160" s="155"/>
      <c r="AP160" s="155"/>
    </row>
    <row r="161" spans="1:42" s="147" customFormat="1" ht="30" customHeight="1">
      <c r="A161" s="272" t="s">
        <v>304</v>
      </c>
      <c r="B161" s="359" t="s">
        <v>324</v>
      </c>
      <c r="C161" s="359"/>
      <c r="D161" s="359"/>
      <c r="E161" s="359"/>
      <c r="F161" s="359"/>
      <c r="G161" s="359"/>
      <c r="H161" s="359"/>
      <c r="I161" s="359"/>
      <c r="J161" s="359"/>
      <c r="K161" s="359"/>
      <c r="L161" s="359"/>
      <c r="M161" s="359"/>
      <c r="N161" s="359"/>
      <c r="O161" s="359"/>
      <c r="P161" s="359"/>
      <c r="Q161" s="359"/>
      <c r="R161" s="359"/>
      <c r="S161" s="359"/>
      <c r="T161" s="359"/>
      <c r="U161" s="359"/>
      <c r="V161" s="359"/>
      <c r="W161" s="359"/>
      <c r="X161" s="359"/>
      <c r="Y161" s="359"/>
      <c r="Z161" s="359"/>
      <c r="AA161" s="359"/>
      <c r="AB161" s="359"/>
      <c r="AC161" s="359"/>
      <c r="AD161" s="359"/>
      <c r="AE161" s="359"/>
      <c r="AF161" s="359"/>
      <c r="AG161" s="359"/>
      <c r="AH161" s="359"/>
      <c r="AI161" s="359"/>
      <c r="AJ161" s="359"/>
      <c r="AK161" s="359"/>
      <c r="AL161" s="359"/>
      <c r="AM161" s="155"/>
      <c r="AN161" s="155"/>
      <c r="AO161" s="155"/>
      <c r="AP161" s="155"/>
    </row>
    <row r="162" spans="1:42" s="147" customFormat="1" ht="30" customHeight="1">
      <c r="A162" s="278">
        <v>1</v>
      </c>
      <c r="B162" s="165" t="s">
        <v>120</v>
      </c>
      <c r="C162" s="278"/>
      <c r="D162" s="278">
        <v>2005</v>
      </c>
      <c r="E162" s="278">
        <v>1</v>
      </c>
      <c r="F162" s="278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>
        <v>1</v>
      </c>
      <c r="Y162" s="157"/>
      <c r="Z162" s="157"/>
      <c r="AA162" s="183">
        <v>0</v>
      </c>
      <c r="AB162" s="157"/>
      <c r="AC162" s="157"/>
      <c r="AD162" s="164"/>
      <c r="AE162" s="278"/>
      <c r="AF162" s="227"/>
      <c r="AG162" s="227"/>
      <c r="AH162" s="278" t="s">
        <v>283</v>
      </c>
      <c r="AI162" s="278" t="s">
        <v>283</v>
      </c>
      <c r="AJ162" s="278" t="s">
        <v>296</v>
      </c>
      <c r="AK162" s="278"/>
      <c r="AL162" s="278" t="s">
        <v>287</v>
      </c>
      <c r="AM162" s="155"/>
      <c r="AN162" s="155"/>
      <c r="AO162" s="155"/>
      <c r="AP162" s="155"/>
    </row>
    <row r="163" spans="1:42" s="147" customFormat="1" ht="30" customHeight="1">
      <c r="A163" s="278">
        <v>2</v>
      </c>
      <c r="B163" s="165" t="s">
        <v>121</v>
      </c>
      <c r="C163" s="278"/>
      <c r="D163" s="278">
        <v>2005</v>
      </c>
      <c r="E163" s="278">
        <v>1</v>
      </c>
      <c r="F163" s="278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>
        <v>1</v>
      </c>
      <c r="Y163" s="157"/>
      <c r="Z163" s="157"/>
      <c r="AA163" s="183">
        <v>0</v>
      </c>
      <c r="AB163" s="157"/>
      <c r="AC163" s="157"/>
      <c r="AD163" s="164"/>
      <c r="AE163" s="278"/>
      <c r="AF163" s="227"/>
      <c r="AG163" s="227"/>
      <c r="AH163" s="278" t="s">
        <v>283</v>
      </c>
      <c r="AI163" s="278" t="s">
        <v>283</v>
      </c>
      <c r="AJ163" s="278" t="s">
        <v>296</v>
      </c>
      <c r="AK163" s="278"/>
      <c r="AL163" s="278" t="s">
        <v>287</v>
      </c>
      <c r="AM163" s="155"/>
      <c r="AN163" s="155"/>
      <c r="AO163" s="155"/>
      <c r="AP163" s="155"/>
    </row>
    <row r="164" spans="1:42" s="147" customFormat="1" ht="30" customHeight="1">
      <c r="A164" s="278">
        <v>3</v>
      </c>
      <c r="B164" s="165" t="s">
        <v>123</v>
      </c>
      <c r="C164" s="278"/>
      <c r="D164" s="278">
        <v>2008</v>
      </c>
      <c r="E164" s="278">
        <v>1</v>
      </c>
      <c r="F164" s="278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>
        <v>1</v>
      </c>
      <c r="Y164" s="157"/>
      <c r="Z164" s="157"/>
      <c r="AA164" s="183">
        <v>0</v>
      </c>
      <c r="AB164" s="157"/>
      <c r="AC164" s="157"/>
      <c r="AD164" s="164"/>
      <c r="AE164" s="278"/>
      <c r="AF164" s="227"/>
      <c r="AG164" s="227"/>
      <c r="AH164" s="278" t="s">
        <v>283</v>
      </c>
      <c r="AI164" s="278" t="s">
        <v>283</v>
      </c>
      <c r="AJ164" s="278" t="s">
        <v>296</v>
      </c>
      <c r="AK164" s="278"/>
      <c r="AL164" s="278" t="s">
        <v>287</v>
      </c>
      <c r="AM164" s="155"/>
      <c r="AN164" s="155"/>
      <c r="AO164" s="155"/>
      <c r="AP164" s="155"/>
    </row>
    <row r="165" spans="1:42" s="147" customFormat="1" ht="30" customHeight="1">
      <c r="A165" s="278">
        <v>8</v>
      </c>
      <c r="B165" s="165" t="s">
        <v>316</v>
      </c>
      <c r="C165" s="278"/>
      <c r="D165" s="278"/>
      <c r="E165" s="278">
        <v>0</v>
      </c>
      <c r="F165" s="278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>
        <v>2</v>
      </c>
      <c r="Y165" s="157"/>
      <c r="Z165" s="157"/>
      <c r="AA165" s="183" t="s">
        <v>260</v>
      </c>
      <c r="AB165" s="157"/>
      <c r="AC165" s="157"/>
      <c r="AD165" s="164"/>
      <c r="AE165" s="278"/>
      <c r="AF165" s="227"/>
      <c r="AG165" s="227"/>
      <c r="AH165" s="278" t="s">
        <v>283</v>
      </c>
      <c r="AI165" s="278" t="s">
        <v>283</v>
      </c>
      <c r="AJ165" s="278" t="s">
        <v>296</v>
      </c>
      <c r="AK165" s="278"/>
      <c r="AL165" s="278" t="s">
        <v>287</v>
      </c>
      <c r="AM165" s="155"/>
      <c r="AN165" s="155"/>
      <c r="AO165" s="155"/>
      <c r="AP165" s="155"/>
    </row>
    <row r="166" spans="1:42" s="147" customFormat="1" ht="30" customHeight="1">
      <c r="A166" s="272" t="s">
        <v>303</v>
      </c>
      <c r="B166" s="358" t="s">
        <v>341</v>
      </c>
      <c r="C166" s="356"/>
      <c r="D166" s="356"/>
      <c r="E166" s="356"/>
      <c r="F166" s="356"/>
      <c r="G166" s="356"/>
      <c r="H166" s="356"/>
      <c r="I166" s="356"/>
      <c r="J166" s="356"/>
      <c r="K166" s="356"/>
      <c r="L166" s="356"/>
      <c r="M166" s="356"/>
      <c r="N166" s="356"/>
      <c r="O166" s="356"/>
      <c r="P166" s="356"/>
      <c r="Q166" s="356"/>
      <c r="R166" s="356"/>
      <c r="S166" s="356"/>
      <c r="T166" s="356"/>
      <c r="U166" s="356"/>
      <c r="V166" s="356"/>
      <c r="W166" s="356"/>
      <c r="X166" s="356"/>
      <c r="Y166" s="356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7"/>
      <c r="AM166" s="154"/>
      <c r="AN166" s="154"/>
      <c r="AO166" s="154"/>
      <c r="AP166" s="154"/>
    </row>
    <row r="167" spans="1:42" s="147" customFormat="1" ht="43.5" customHeight="1">
      <c r="A167" s="278">
        <v>1</v>
      </c>
      <c r="B167" s="156" t="s">
        <v>77</v>
      </c>
      <c r="C167" s="278"/>
      <c r="D167" s="278">
        <v>2015</v>
      </c>
      <c r="E167" s="278">
        <v>1</v>
      </c>
      <c r="F167" s="278" t="s">
        <v>68</v>
      </c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>
        <v>1</v>
      </c>
      <c r="Y167" s="157"/>
      <c r="Z167" s="157"/>
      <c r="AA167" s="201">
        <v>0</v>
      </c>
      <c r="AB167" s="157"/>
      <c r="AC167" s="157"/>
      <c r="AD167" s="204"/>
      <c r="AE167" s="278"/>
      <c r="AF167" s="227"/>
      <c r="AG167" s="227"/>
      <c r="AH167" s="278" t="s">
        <v>283</v>
      </c>
      <c r="AI167" s="278" t="s">
        <v>305</v>
      </c>
      <c r="AJ167" s="278" t="s">
        <v>296</v>
      </c>
      <c r="AK167" s="278" t="s">
        <v>183</v>
      </c>
      <c r="AL167" s="278" t="s">
        <v>318</v>
      </c>
      <c r="AM167" s="154"/>
      <c r="AN167" s="154"/>
      <c r="AO167" s="154"/>
      <c r="AP167" s="154"/>
    </row>
    <row r="168" spans="1:42" s="147" customFormat="1" ht="51.75" customHeight="1">
      <c r="A168" s="278">
        <v>2</v>
      </c>
      <c r="B168" s="156" t="s">
        <v>77</v>
      </c>
      <c r="C168" s="278"/>
      <c r="D168" s="278">
        <v>2017</v>
      </c>
      <c r="E168" s="278">
        <v>2</v>
      </c>
      <c r="F168" s="278" t="s">
        <v>68</v>
      </c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>
        <v>2</v>
      </c>
      <c r="Y168" s="157"/>
      <c r="Z168" s="157"/>
      <c r="AA168" s="201">
        <v>0</v>
      </c>
      <c r="AB168" s="157"/>
      <c r="AC168" s="157"/>
      <c r="AD168" s="204"/>
      <c r="AE168" s="278"/>
      <c r="AF168" s="227"/>
      <c r="AG168" s="227"/>
      <c r="AH168" s="278" t="s">
        <v>283</v>
      </c>
      <c r="AI168" s="278" t="s">
        <v>305</v>
      </c>
      <c r="AJ168" s="278" t="s">
        <v>296</v>
      </c>
      <c r="AK168" s="278" t="s">
        <v>183</v>
      </c>
      <c r="AL168" s="278" t="s">
        <v>319</v>
      </c>
      <c r="AM168" s="154"/>
      <c r="AN168" s="154"/>
      <c r="AO168" s="154"/>
      <c r="AP168" s="154"/>
    </row>
    <row r="169" spans="1:42" s="147" customFormat="1" ht="30" customHeight="1">
      <c r="A169" s="278">
        <v>9</v>
      </c>
      <c r="B169" s="156" t="s">
        <v>64</v>
      </c>
      <c r="C169" s="278"/>
      <c r="D169" s="278"/>
      <c r="E169" s="278">
        <v>0</v>
      </c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>
        <v>1</v>
      </c>
      <c r="Y169" s="157"/>
      <c r="Z169" s="157"/>
      <c r="AA169" s="196" t="s">
        <v>232</v>
      </c>
      <c r="AB169" s="157"/>
      <c r="AC169" s="157"/>
      <c r="AD169" s="204"/>
      <c r="AE169" s="157"/>
      <c r="AF169" s="199"/>
      <c r="AG169" s="199"/>
      <c r="AH169" s="278" t="s">
        <v>283</v>
      </c>
      <c r="AI169" s="278" t="s">
        <v>305</v>
      </c>
      <c r="AJ169" s="278" t="s">
        <v>57</v>
      </c>
      <c r="AK169" s="157" t="s">
        <v>306</v>
      </c>
      <c r="AL169" s="278" t="s">
        <v>208</v>
      </c>
      <c r="AM169" s="154"/>
      <c r="AN169" s="154"/>
      <c r="AO169" s="154"/>
      <c r="AP169" s="154"/>
    </row>
    <row r="170" spans="1:42" s="147" customFormat="1" ht="33" customHeight="1">
      <c r="A170" s="278">
        <v>15</v>
      </c>
      <c r="B170" s="156" t="s">
        <v>91</v>
      </c>
      <c r="C170" s="278"/>
      <c r="D170" s="278">
        <v>2017</v>
      </c>
      <c r="E170" s="278">
        <v>1</v>
      </c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278">
        <v>1</v>
      </c>
      <c r="Y170" s="157"/>
      <c r="Z170" s="157"/>
      <c r="AA170" s="197">
        <v>0</v>
      </c>
      <c r="AB170" s="157"/>
      <c r="AC170" s="157"/>
      <c r="AD170" s="164"/>
      <c r="AE170" s="278"/>
      <c r="AF170" s="227"/>
      <c r="AG170" s="227"/>
      <c r="AH170" s="278" t="s">
        <v>283</v>
      </c>
      <c r="AI170" s="278" t="s">
        <v>305</v>
      </c>
      <c r="AJ170" s="278" t="s">
        <v>57</v>
      </c>
      <c r="AK170" s="278"/>
      <c r="AL170" s="278" t="s">
        <v>321</v>
      </c>
      <c r="AM170" s="155"/>
      <c r="AN170" s="155"/>
      <c r="AO170" s="155"/>
      <c r="AP170" s="155"/>
    </row>
    <row r="171" spans="1:42" s="147" customFormat="1" ht="33" customHeight="1">
      <c r="A171" s="278">
        <v>16</v>
      </c>
      <c r="B171" s="156" t="s">
        <v>93</v>
      </c>
      <c r="C171" s="278"/>
      <c r="D171" s="278">
        <v>2010</v>
      </c>
      <c r="E171" s="278">
        <v>1</v>
      </c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278">
        <v>1</v>
      </c>
      <c r="Y171" s="157"/>
      <c r="Z171" s="157"/>
      <c r="AA171" s="197">
        <v>0</v>
      </c>
      <c r="AB171" s="157"/>
      <c r="AC171" s="157"/>
      <c r="AD171" s="164"/>
      <c r="AE171" s="278"/>
      <c r="AF171" s="227"/>
      <c r="AG171" s="227"/>
      <c r="AH171" s="278" t="s">
        <v>283</v>
      </c>
      <c r="AI171" s="278" t="s">
        <v>305</v>
      </c>
      <c r="AJ171" s="278" t="s">
        <v>57</v>
      </c>
      <c r="AK171" s="278"/>
      <c r="AL171" s="278" t="s">
        <v>321</v>
      </c>
      <c r="AM171" s="155"/>
      <c r="AN171" s="155"/>
      <c r="AO171" s="155"/>
      <c r="AP171" s="155"/>
    </row>
    <row r="172" spans="1:42" s="147" customFormat="1" ht="33.75" customHeight="1">
      <c r="A172" s="278">
        <v>18</v>
      </c>
      <c r="B172" s="156" t="s">
        <v>95</v>
      </c>
      <c r="C172" s="278"/>
      <c r="D172" s="278">
        <v>2003</v>
      </c>
      <c r="E172" s="278">
        <v>1</v>
      </c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278">
        <v>1</v>
      </c>
      <c r="Y172" s="157"/>
      <c r="Z172" s="157"/>
      <c r="AA172" s="197">
        <v>0</v>
      </c>
      <c r="AB172" s="157"/>
      <c r="AC172" s="157"/>
      <c r="AD172" s="164"/>
      <c r="AE172" s="278"/>
      <c r="AF172" s="227"/>
      <c r="AG172" s="227"/>
      <c r="AH172" s="278" t="s">
        <v>283</v>
      </c>
      <c r="AI172" s="278" t="s">
        <v>305</v>
      </c>
      <c r="AJ172" s="278" t="s">
        <v>296</v>
      </c>
      <c r="AK172" s="278"/>
      <c r="AL172" s="278" t="s">
        <v>321</v>
      </c>
      <c r="AM172" s="155"/>
      <c r="AN172" s="155"/>
      <c r="AO172" s="155"/>
      <c r="AP172" s="155"/>
    </row>
    <row r="173" spans="1:42" s="147" customFormat="1" ht="40.5" customHeight="1">
      <c r="A173" s="278">
        <v>23</v>
      </c>
      <c r="B173" s="156" t="s">
        <v>102</v>
      </c>
      <c r="C173" s="278"/>
      <c r="D173" s="278">
        <v>2010</v>
      </c>
      <c r="E173" s="278">
        <v>2</v>
      </c>
      <c r="F173" s="278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>
        <v>2</v>
      </c>
      <c r="Y173" s="157"/>
      <c r="Z173" s="157"/>
      <c r="AA173" s="201">
        <v>0</v>
      </c>
      <c r="AB173" s="157"/>
      <c r="AC173" s="157"/>
      <c r="AD173" s="164"/>
      <c r="AE173" s="278"/>
      <c r="AF173" s="227"/>
      <c r="AG173" s="227"/>
      <c r="AH173" s="278" t="s">
        <v>283</v>
      </c>
      <c r="AI173" s="278" t="s">
        <v>305</v>
      </c>
      <c r="AJ173" s="278" t="s">
        <v>296</v>
      </c>
      <c r="AK173" s="278"/>
      <c r="AL173" s="278" t="s">
        <v>322</v>
      </c>
      <c r="AM173" s="155"/>
      <c r="AN173" s="155"/>
      <c r="AO173" s="155"/>
      <c r="AP173" s="155"/>
    </row>
    <row r="174" spans="1:42" s="147" customFormat="1" ht="30" customHeight="1">
      <c r="A174" s="278">
        <v>10</v>
      </c>
      <c r="B174" s="156" t="s">
        <v>307</v>
      </c>
      <c r="C174" s="278"/>
      <c r="D174" s="278">
        <v>2011</v>
      </c>
      <c r="E174" s="278">
        <v>3</v>
      </c>
      <c r="F174" s="278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>
        <v>3</v>
      </c>
      <c r="Y174" s="157"/>
      <c r="Z174" s="157"/>
      <c r="AA174" s="183">
        <v>0</v>
      </c>
      <c r="AB174" s="157"/>
      <c r="AC174" s="157"/>
      <c r="AD174" s="164"/>
      <c r="AE174" s="278"/>
      <c r="AF174" s="227"/>
      <c r="AG174" s="227"/>
      <c r="AH174" s="278" t="s">
        <v>283</v>
      </c>
      <c r="AI174" s="278" t="s">
        <v>305</v>
      </c>
      <c r="AJ174" s="278" t="s">
        <v>296</v>
      </c>
      <c r="AK174" s="278" t="s">
        <v>287</v>
      </c>
      <c r="AL174" s="278"/>
      <c r="AM174" s="155"/>
      <c r="AN174" s="155"/>
      <c r="AO174" s="155"/>
      <c r="AP174" s="155"/>
    </row>
    <row r="175" spans="1:42" s="147" customFormat="1" ht="30" customHeight="1">
      <c r="A175" s="278">
        <v>11</v>
      </c>
      <c r="B175" s="156" t="s">
        <v>70</v>
      </c>
      <c r="C175" s="278"/>
      <c r="D175" s="278">
        <v>2016</v>
      </c>
      <c r="E175" s="278">
        <v>5</v>
      </c>
      <c r="F175" s="278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>
        <v>5</v>
      </c>
      <c r="Y175" s="157"/>
      <c r="Z175" s="157"/>
      <c r="AA175" s="183">
        <v>0</v>
      </c>
      <c r="AB175" s="157"/>
      <c r="AC175" s="157"/>
      <c r="AD175" s="164"/>
      <c r="AE175" s="278"/>
      <c r="AF175" s="227"/>
      <c r="AG175" s="227"/>
      <c r="AH175" s="278" t="s">
        <v>283</v>
      </c>
      <c r="AI175" s="278" t="s">
        <v>305</v>
      </c>
      <c r="AJ175" s="278" t="s">
        <v>296</v>
      </c>
      <c r="AK175" s="278" t="s">
        <v>287</v>
      </c>
      <c r="AL175" s="278"/>
      <c r="AM175" s="155"/>
      <c r="AN175" s="155"/>
      <c r="AO175" s="155"/>
      <c r="AP175" s="155"/>
    </row>
    <row r="176" spans="1:42" s="147" customFormat="1" ht="30" customHeight="1">
      <c r="A176" s="278">
        <v>12</v>
      </c>
      <c r="B176" s="156" t="s">
        <v>108</v>
      </c>
      <c r="C176" s="278"/>
      <c r="D176" s="278">
        <v>2018</v>
      </c>
      <c r="E176" s="278">
        <v>1</v>
      </c>
      <c r="F176" s="278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>
        <v>1</v>
      </c>
      <c r="Y176" s="157"/>
      <c r="Z176" s="157"/>
      <c r="AA176" s="183">
        <v>0</v>
      </c>
      <c r="AB176" s="157"/>
      <c r="AC176" s="157"/>
      <c r="AD176" s="164"/>
      <c r="AE176" s="278"/>
      <c r="AF176" s="227"/>
      <c r="AG176" s="227"/>
      <c r="AH176" s="278" t="s">
        <v>283</v>
      </c>
      <c r="AI176" s="278" t="s">
        <v>305</v>
      </c>
      <c r="AJ176" s="278" t="s">
        <v>296</v>
      </c>
      <c r="AK176" s="278" t="s">
        <v>287</v>
      </c>
      <c r="AL176" s="278"/>
      <c r="AM176" s="155"/>
      <c r="AN176" s="155"/>
      <c r="AO176" s="155"/>
      <c r="AP176" s="155"/>
    </row>
    <row r="177" spans="1:42" s="216" customFormat="1" ht="30" customHeight="1">
      <c r="A177" s="278">
        <v>17</v>
      </c>
      <c r="B177" s="165" t="s">
        <v>117</v>
      </c>
      <c r="C177" s="278"/>
      <c r="D177" s="278">
        <v>2015</v>
      </c>
      <c r="E177" s="278">
        <v>1</v>
      </c>
      <c r="F177" s="278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>
        <v>1</v>
      </c>
      <c r="Y177" s="157"/>
      <c r="Z177" s="157"/>
      <c r="AA177" s="183">
        <v>0</v>
      </c>
      <c r="AB177" s="157"/>
      <c r="AC177" s="157"/>
      <c r="AD177" s="164"/>
      <c r="AE177" s="278"/>
      <c r="AF177" s="227"/>
      <c r="AG177" s="227"/>
      <c r="AH177" s="278" t="s">
        <v>283</v>
      </c>
      <c r="AI177" s="278" t="s">
        <v>315</v>
      </c>
      <c r="AJ177" s="278" t="s">
        <v>296</v>
      </c>
      <c r="AK177" s="278" t="s">
        <v>287</v>
      </c>
      <c r="AL177" s="278" t="s">
        <v>323</v>
      </c>
      <c r="AM177" s="219"/>
      <c r="AN177" s="219"/>
      <c r="AO177" s="219"/>
      <c r="AP177" s="219"/>
    </row>
    <row r="178" spans="1:42" s="216" customFormat="1" ht="30" customHeight="1">
      <c r="A178" s="278">
        <v>18</v>
      </c>
      <c r="B178" s="165" t="s">
        <v>118</v>
      </c>
      <c r="C178" s="278"/>
      <c r="D178" s="278">
        <v>2016</v>
      </c>
      <c r="E178" s="278">
        <v>1</v>
      </c>
      <c r="F178" s="278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>
        <v>1</v>
      </c>
      <c r="Y178" s="157"/>
      <c r="Z178" s="157"/>
      <c r="AA178" s="183">
        <v>0</v>
      </c>
      <c r="AB178" s="157"/>
      <c r="AC178" s="157"/>
      <c r="AD178" s="164"/>
      <c r="AE178" s="278"/>
      <c r="AF178" s="227"/>
      <c r="AG178" s="227"/>
      <c r="AH178" s="278" t="s">
        <v>283</v>
      </c>
      <c r="AI178" s="278" t="s">
        <v>315</v>
      </c>
      <c r="AJ178" s="278" t="s">
        <v>296</v>
      </c>
      <c r="AK178" s="278" t="s">
        <v>287</v>
      </c>
      <c r="AL178" s="278" t="s">
        <v>325</v>
      </c>
      <c r="AM178" s="219"/>
      <c r="AN178" s="219"/>
      <c r="AO178" s="219"/>
      <c r="AP178" s="219"/>
    </row>
    <row r="179" spans="1:42" s="147" customFormat="1" ht="30" customHeight="1">
      <c r="A179" s="278">
        <v>24</v>
      </c>
      <c r="B179" s="165" t="s">
        <v>124</v>
      </c>
      <c r="C179" s="278"/>
      <c r="D179" s="278">
        <v>2003</v>
      </c>
      <c r="E179" s="278">
        <v>1</v>
      </c>
      <c r="F179" s="278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>
        <v>1</v>
      </c>
      <c r="Y179" s="157"/>
      <c r="Z179" s="157"/>
      <c r="AA179" s="183">
        <v>0</v>
      </c>
      <c r="AB179" s="157"/>
      <c r="AC179" s="157"/>
      <c r="AD179" s="164"/>
      <c r="AE179" s="278"/>
      <c r="AF179" s="227"/>
      <c r="AG179" s="227"/>
      <c r="AH179" s="278" t="s">
        <v>283</v>
      </c>
      <c r="AI179" s="278" t="s">
        <v>305</v>
      </c>
      <c r="AJ179" s="278" t="s">
        <v>296</v>
      </c>
      <c r="AK179" s="278" t="s">
        <v>287</v>
      </c>
      <c r="AL179" s="278"/>
      <c r="AM179" s="155"/>
      <c r="AN179" s="155"/>
      <c r="AO179" s="155"/>
      <c r="AP179" s="155"/>
    </row>
    <row r="180" spans="1:42" s="147" customFormat="1" ht="30" customHeight="1">
      <c r="A180" s="278">
        <v>25</v>
      </c>
      <c r="B180" s="165" t="s">
        <v>125</v>
      </c>
      <c r="C180" s="278"/>
      <c r="D180" s="278">
        <v>2015</v>
      </c>
      <c r="E180" s="278">
        <v>1</v>
      </c>
      <c r="F180" s="278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>
        <v>1</v>
      </c>
      <c r="Y180" s="157"/>
      <c r="Z180" s="157"/>
      <c r="AA180" s="183">
        <v>0</v>
      </c>
      <c r="AB180" s="157"/>
      <c r="AC180" s="157"/>
      <c r="AD180" s="164"/>
      <c r="AE180" s="278"/>
      <c r="AF180" s="227"/>
      <c r="AG180" s="227"/>
      <c r="AH180" s="278" t="s">
        <v>283</v>
      </c>
      <c r="AI180" s="278" t="s">
        <v>305</v>
      </c>
      <c r="AJ180" s="278" t="s">
        <v>296</v>
      </c>
      <c r="AK180" s="278" t="s">
        <v>287</v>
      </c>
      <c r="AL180" s="278"/>
      <c r="AM180" s="155"/>
      <c r="AN180" s="155"/>
      <c r="AO180" s="155"/>
      <c r="AP180" s="155"/>
    </row>
    <row r="181" spans="1:42" s="147" customFormat="1" ht="30" customHeight="1">
      <c r="A181" s="278">
        <v>30</v>
      </c>
      <c r="B181" s="165" t="s">
        <v>147</v>
      </c>
      <c r="C181" s="278"/>
      <c r="D181" s="278">
        <v>2014</v>
      </c>
      <c r="E181" s="278">
        <v>1</v>
      </c>
      <c r="F181" s="278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>
        <v>1</v>
      </c>
      <c r="Y181" s="157"/>
      <c r="Z181" s="157"/>
      <c r="AA181" s="183">
        <v>0</v>
      </c>
      <c r="AB181" s="157"/>
      <c r="AC181" s="157"/>
      <c r="AD181" s="164"/>
      <c r="AE181" s="278"/>
      <c r="AF181" s="227"/>
      <c r="AG181" s="227"/>
      <c r="AH181" s="278" t="s">
        <v>283</v>
      </c>
      <c r="AI181" s="278" t="s">
        <v>305</v>
      </c>
      <c r="AJ181" s="278" t="s">
        <v>57</v>
      </c>
      <c r="AK181" s="278" t="s">
        <v>295</v>
      </c>
      <c r="AL181" s="278" t="s">
        <v>208</v>
      </c>
      <c r="AM181" s="155"/>
      <c r="AN181" s="155"/>
      <c r="AO181" s="155"/>
      <c r="AP181" s="155"/>
    </row>
  </sheetData>
  <mergeCells count="70">
    <mergeCell ref="B166:AL166"/>
    <mergeCell ref="B139:AL139"/>
    <mergeCell ref="B147:AL147"/>
    <mergeCell ref="B149:AL149"/>
    <mergeCell ref="B157:AL157"/>
    <mergeCell ref="B161:AL161"/>
    <mergeCell ref="A132:A135"/>
    <mergeCell ref="B132:B135"/>
    <mergeCell ref="C132:C135"/>
    <mergeCell ref="D132:D135"/>
    <mergeCell ref="AD132:AD135"/>
    <mergeCell ref="G134:G135"/>
    <mergeCell ref="E133:E135"/>
    <mergeCell ref="F133:F135"/>
    <mergeCell ref="X133:X135"/>
    <mergeCell ref="Y133:Y135"/>
    <mergeCell ref="Z133:Z135"/>
    <mergeCell ref="AA133:AA135"/>
    <mergeCell ref="B137:AL137"/>
    <mergeCell ref="E132:P132"/>
    <mergeCell ref="X132:Z132"/>
    <mergeCell ref="AA132:AC132"/>
    <mergeCell ref="G133:I133"/>
    <mergeCell ref="AB133:AB135"/>
    <mergeCell ref="H134:I134"/>
    <mergeCell ref="AH132:AH135"/>
    <mergeCell ref="AI132:AI135"/>
    <mergeCell ref="AC133:AC135"/>
    <mergeCell ref="AE132:AE135"/>
    <mergeCell ref="AL132:AL135"/>
    <mergeCell ref="AJ132:AJ135"/>
    <mergeCell ref="AK132:AK135"/>
    <mergeCell ref="A110:AL129"/>
    <mergeCell ref="AC15:AC17"/>
    <mergeCell ref="AH14:AH17"/>
    <mergeCell ref="AE14:AE17"/>
    <mergeCell ref="AJ14:AJ17"/>
    <mergeCell ref="AA15:AA17"/>
    <mergeCell ref="D14:D17"/>
    <mergeCell ref="AL14:AL17"/>
    <mergeCell ref="E15:E17"/>
    <mergeCell ref="AK14:AK17"/>
    <mergeCell ref="F15:F17"/>
    <mergeCell ref="E14:P14"/>
    <mergeCell ref="AG102:AH102"/>
    <mergeCell ref="AI102:AL102"/>
    <mergeCell ref="AF14:AF16"/>
    <mergeCell ref="AG14:AG16"/>
    <mergeCell ref="Z1:AL1"/>
    <mergeCell ref="Z2:AL2"/>
    <mergeCell ref="A4:AL4"/>
    <mergeCell ref="A14:A17"/>
    <mergeCell ref="B14:B17"/>
    <mergeCell ref="A5:AL5"/>
    <mergeCell ref="G16:G17"/>
    <mergeCell ref="H16:I16"/>
    <mergeCell ref="C14:C17"/>
    <mergeCell ref="AD14:AD17"/>
    <mergeCell ref="G15:I15"/>
    <mergeCell ref="AB15:AB17"/>
    <mergeCell ref="AA14:AC14"/>
    <mergeCell ref="X14:Z14"/>
    <mergeCell ref="AI14:AI17"/>
    <mergeCell ref="Z15:Z17"/>
    <mergeCell ref="X15:X17"/>
    <mergeCell ref="Y15:Y17"/>
    <mergeCell ref="AG97:AL97"/>
    <mergeCell ref="D98:AF98"/>
    <mergeCell ref="AG98:AH98"/>
    <mergeCell ref="AI98:AL98"/>
  </mergeCells>
  <phoneticPr fontId="42" type="noConversion"/>
  <pageMargins left="0.43307086614173229" right="0.19685039370078741" top="0.48" bottom="0.35" header="0.19685039370078741" footer="0.19685039370078741"/>
  <pageSetup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46"/>
  <sheetViews>
    <sheetView tabSelected="1" topLeftCell="A30" zoomScale="85" zoomScaleNormal="85" workbookViewId="0">
      <selection activeCell="AI49" sqref="AI49"/>
    </sheetView>
  </sheetViews>
  <sheetFormatPr defaultColWidth="9" defaultRowHeight="12.75"/>
  <cols>
    <col min="1" max="1" width="5.140625" style="143" customWidth="1"/>
    <col min="2" max="2" width="41.28515625" style="143" customWidth="1"/>
    <col min="3" max="3" width="7.85546875" style="143" customWidth="1"/>
    <col min="4" max="4" width="9" style="143" customWidth="1"/>
    <col min="5" max="5" width="7.28515625" style="143" customWidth="1"/>
    <col min="6" max="22" width="0" style="143" hidden="1" customWidth="1"/>
    <col min="23" max="23" width="3" style="143" hidden="1" customWidth="1"/>
    <col min="24" max="24" width="6.85546875" style="143" customWidth="1"/>
    <col min="25" max="26" width="0" style="143" hidden="1" customWidth="1"/>
    <col min="27" max="27" width="7.140625" style="143" customWidth="1"/>
    <col min="28" max="30" width="0" style="143" hidden="1" customWidth="1"/>
    <col min="31" max="31" width="0.5703125" style="143" hidden="1" customWidth="1"/>
    <col min="32" max="32" width="15.5703125" style="143" customWidth="1"/>
    <col min="33" max="33" width="15" style="143" customWidth="1"/>
    <col min="34" max="34" width="12.140625" style="143" customWidth="1"/>
    <col min="35" max="35" width="13.85546875" style="143" customWidth="1"/>
    <col min="36" max="36" width="11.5703125" style="143" customWidth="1"/>
    <col min="37" max="38" width="13" style="143" customWidth="1"/>
    <col min="39" max="39" width="24" style="143" customWidth="1"/>
    <col min="40" max="16384" width="9" style="143"/>
  </cols>
  <sheetData>
    <row r="1" spans="1:43" ht="15.75">
      <c r="A1" s="141" t="s">
        <v>44</v>
      </c>
      <c r="B1" s="139"/>
      <c r="C1" s="139"/>
      <c r="D1" s="138"/>
      <c r="E1" s="295"/>
      <c r="F1" s="142"/>
      <c r="G1" s="138"/>
      <c r="H1" s="135"/>
      <c r="I1" s="135"/>
      <c r="J1" s="296" t="s">
        <v>0</v>
      </c>
      <c r="K1" s="135"/>
      <c r="L1" s="135"/>
      <c r="M1" s="135"/>
      <c r="N1" s="135"/>
      <c r="O1" s="138"/>
      <c r="P1" s="296"/>
      <c r="Q1" s="296"/>
      <c r="R1" s="296"/>
      <c r="S1" s="296"/>
      <c r="T1" s="296"/>
      <c r="U1" s="296"/>
      <c r="V1" s="296"/>
      <c r="W1" s="296"/>
      <c r="X1" s="295"/>
      <c r="Y1" s="138"/>
      <c r="Z1" s="347" t="s">
        <v>0</v>
      </c>
      <c r="AA1" s="347"/>
      <c r="AB1" s="347"/>
      <c r="AC1" s="347"/>
      <c r="AD1" s="347"/>
      <c r="AE1" s="347"/>
      <c r="AF1" s="347"/>
      <c r="AG1" s="347"/>
      <c r="AH1" s="347"/>
      <c r="AI1" s="347"/>
      <c r="AJ1" s="347"/>
      <c r="AK1" s="347"/>
      <c r="AL1" s="347"/>
      <c r="AM1" s="138"/>
      <c r="AN1" s="138"/>
      <c r="AO1" s="138"/>
      <c r="AP1" s="138"/>
      <c r="AQ1" s="138"/>
    </row>
    <row r="2" spans="1:43" ht="15.75">
      <c r="A2" s="144" t="s">
        <v>45</v>
      </c>
      <c r="B2" s="138"/>
      <c r="C2" s="138"/>
      <c r="D2" s="138"/>
      <c r="E2" s="295"/>
      <c r="F2" s="142"/>
      <c r="G2" s="138"/>
      <c r="H2" s="138"/>
      <c r="I2" s="138"/>
      <c r="J2" s="138"/>
      <c r="K2" s="138"/>
      <c r="L2" s="138"/>
      <c r="M2" s="138"/>
      <c r="N2" s="138"/>
      <c r="O2" s="145"/>
      <c r="P2" s="145"/>
      <c r="Q2" s="145"/>
      <c r="R2" s="145"/>
      <c r="S2" s="145"/>
      <c r="T2" s="145"/>
      <c r="U2" s="145"/>
      <c r="V2" s="145"/>
      <c r="W2" s="145"/>
      <c r="X2" s="295"/>
      <c r="Y2" s="13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138"/>
      <c r="AN2" s="138"/>
      <c r="AO2" s="138"/>
      <c r="AP2" s="138"/>
      <c r="AQ2" s="138"/>
    </row>
    <row r="3" spans="1:43" ht="15.75">
      <c r="A3" s="144"/>
      <c r="B3" s="138"/>
      <c r="C3" s="138"/>
      <c r="D3" s="138"/>
      <c r="E3" s="295"/>
      <c r="F3" s="142"/>
      <c r="G3" s="138"/>
      <c r="H3" s="138"/>
      <c r="I3" s="138"/>
      <c r="J3" s="138"/>
      <c r="K3" s="138"/>
      <c r="L3" s="138"/>
      <c r="M3" s="138"/>
      <c r="N3" s="138"/>
      <c r="O3" s="145"/>
      <c r="P3" s="145"/>
      <c r="Q3" s="145"/>
      <c r="R3" s="145"/>
      <c r="S3" s="145"/>
      <c r="T3" s="145"/>
      <c r="U3" s="145"/>
      <c r="V3" s="145"/>
      <c r="W3" s="145"/>
      <c r="X3" s="295"/>
      <c r="Y3" s="138"/>
      <c r="Z3" s="295"/>
      <c r="AA3" s="295"/>
      <c r="AB3" s="295"/>
      <c r="AC3" s="295"/>
      <c r="AD3" s="295"/>
      <c r="AE3" s="295"/>
      <c r="AF3" s="300"/>
      <c r="AG3" s="300"/>
      <c r="AH3" s="295"/>
      <c r="AI3" s="295"/>
      <c r="AJ3" s="295"/>
      <c r="AK3" s="295"/>
      <c r="AL3" s="295"/>
      <c r="AM3" s="138"/>
      <c r="AN3" s="138"/>
      <c r="AO3" s="138"/>
      <c r="AP3" s="138"/>
      <c r="AQ3" s="138"/>
    </row>
    <row r="4" spans="1:43" ht="18.75">
      <c r="A4" s="349" t="s">
        <v>435</v>
      </c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49"/>
      <c r="AH4" s="349"/>
      <c r="AI4" s="349"/>
      <c r="AJ4" s="349"/>
      <c r="AK4" s="349"/>
      <c r="AL4" s="349"/>
      <c r="AM4" s="138"/>
      <c r="AN4" s="138"/>
      <c r="AO4" s="138"/>
      <c r="AP4" s="138"/>
      <c r="AQ4" s="138"/>
    </row>
    <row r="5" spans="1:43" ht="18.75">
      <c r="A5" s="349" t="s">
        <v>313</v>
      </c>
      <c r="B5" s="349"/>
      <c r="C5" s="349"/>
      <c r="D5" s="349"/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349"/>
      <c r="AJ5" s="349"/>
      <c r="AK5" s="349"/>
      <c r="AL5" s="349"/>
      <c r="AM5" s="138"/>
      <c r="AN5" s="138"/>
      <c r="AO5" s="138"/>
      <c r="AP5" s="138"/>
      <c r="AQ5" s="138"/>
    </row>
    <row r="6" spans="1:43" ht="18.75">
      <c r="A6" s="297"/>
      <c r="B6" s="297"/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297"/>
      <c r="S6" s="297"/>
      <c r="T6" s="297"/>
      <c r="U6" s="297"/>
      <c r="V6" s="297"/>
      <c r="W6" s="297"/>
      <c r="X6" s="297"/>
      <c r="Y6" s="297"/>
      <c r="Z6" s="297"/>
      <c r="AA6" s="297"/>
      <c r="AB6" s="297"/>
      <c r="AC6" s="297"/>
      <c r="AD6" s="297"/>
      <c r="AE6" s="297"/>
      <c r="AF6" s="301"/>
      <c r="AG6" s="301"/>
      <c r="AH6" s="297"/>
      <c r="AI6" s="297"/>
      <c r="AJ6" s="297"/>
      <c r="AK6" s="297"/>
      <c r="AL6" s="297"/>
      <c r="AM6" s="138"/>
      <c r="AN6" s="138"/>
      <c r="AO6" s="138"/>
      <c r="AP6" s="138"/>
      <c r="AQ6" s="138"/>
    </row>
    <row r="7" spans="1:43" s="147" customFormat="1" ht="15.75">
      <c r="A7" s="139" t="s">
        <v>436</v>
      </c>
      <c r="B7" s="295"/>
      <c r="C7" s="295"/>
      <c r="D7" s="295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146"/>
      <c r="AB7" s="296"/>
      <c r="AC7" s="296"/>
      <c r="AD7" s="296"/>
      <c r="AE7" s="296"/>
      <c r="AF7" s="299"/>
      <c r="AG7" s="299"/>
      <c r="AH7" s="296"/>
      <c r="AI7" s="138"/>
      <c r="AJ7" s="138"/>
      <c r="AK7" s="138"/>
      <c r="AL7" s="138"/>
      <c r="AM7" s="138"/>
      <c r="AN7" s="138"/>
      <c r="AO7" s="138"/>
      <c r="AP7" s="138"/>
      <c r="AQ7" s="138"/>
    </row>
    <row r="8" spans="1:43" s="147" customFormat="1" ht="15.75">
      <c r="A8" s="140" t="s">
        <v>345</v>
      </c>
      <c r="B8" s="295"/>
      <c r="C8" s="138"/>
      <c r="D8" s="138" t="s">
        <v>162</v>
      </c>
      <c r="E8" s="296"/>
      <c r="F8" s="138"/>
      <c r="G8" s="138"/>
      <c r="H8" s="140"/>
      <c r="I8" s="296"/>
      <c r="J8" s="138"/>
      <c r="K8" s="140" t="s">
        <v>4</v>
      </c>
      <c r="L8" s="296"/>
      <c r="M8" s="148"/>
      <c r="N8" s="138"/>
      <c r="O8" s="138"/>
      <c r="P8" s="138"/>
      <c r="Q8" s="138"/>
      <c r="R8" s="138"/>
      <c r="S8" s="140"/>
      <c r="T8" s="149"/>
      <c r="U8" s="138"/>
      <c r="V8" s="138"/>
      <c r="W8" s="146"/>
      <c r="X8" s="296"/>
      <c r="Y8" s="138"/>
      <c r="Z8" s="296"/>
      <c r="AA8" s="296"/>
      <c r="AB8" s="140"/>
      <c r="AC8" s="138"/>
      <c r="AD8" s="138"/>
      <c r="AE8" s="138"/>
      <c r="AF8" s="138"/>
      <c r="AG8" s="138"/>
      <c r="AH8" s="138"/>
      <c r="AI8" s="140" t="s">
        <v>153</v>
      </c>
      <c r="AJ8" s="138"/>
      <c r="AK8" s="138"/>
      <c r="AL8" s="138"/>
      <c r="AM8" s="138"/>
      <c r="AN8" s="138"/>
      <c r="AO8" s="138"/>
      <c r="AP8" s="138"/>
      <c r="AQ8" s="138"/>
    </row>
    <row r="9" spans="1:43" s="147" customFormat="1" ht="15.75">
      <c r="A9" s="140" t="s">
        <v>424</v>
      </c>
      <c r="B9" s="295"/>
      <c r="C9" s="138"/>
      <c r="D9" s="138" t="s">
        <v>152</v>
      </c>
      <c r="E9" s="295"/>
      <c r="F9" s="138"/>
      <c r="G9" s="138"/>
      <c r="H9" s="140"/>
      <c r="I9" s="296"/>
      <c r="J9" s="138"/>
      <c r="K9" s="140"/>
      <c r="L9" s="296"/>
      <c r="M9" s="148"/>
      <c r="N9" s="138"/>
      <c r="O9" s="138"/>
      <c r="P9" s="138"/>
      <c r="Q9" s="138"/>
      <c r="R9" s="138"/>
      <c r="S9" s="140"/>
      <c r="T9" s="149"/>
      <c r="U9" s="138"/>
      <c r="V9" s="138"/>
      <c r="W9" s="146"/>
      <c r="X9" s="296"/>
      <c r="Y9" s="138"/>
      <c r="Z9" s="296"/>
      <c r="AA9" s="296"/>
      <c r="AB9" s="140"/>
      <c r="AC9" s="138"/>
      <c r="AD9" s="138"/>
      <c r="AE9" s="138"/>
      <c r="AF9" s="138"/>
      <c r="AG9" s="138"/>
      <c r="AH9" s="138"/>
      <c r="AI9" s="138" t="s">
        <v>164</v>
      </c>
      <c r="AJ9" s="138"/>
      <c r="AK9" s="138"/>
      <c r="AL9" s="138"/>
      <c r="AM9" s="138"/>
      <c r="AN9" s="138"/>
      <c r="AO9" s="138"/>
      <c r="AP9" s="138"/>
      <c r="AQ9" s="138"/>
    </row>
    <row r="10" spans="1:43" s="147" customFormat="1" ht="15.75">
      <c r="A10" s="140" t="s">
        <v>165</v>
      </c>
      <c r="B10" s="295"/>
      <c r="C10" s="138"/>
      <c r="D10" s="138" t="s">
        <v>166</v>
      </c>
      <c r="E10" s="296"/>
      <c r="F10" s="138"/>
      <c r="G10" s="138"/>
      <c r="H10" s="140"/>
      <c r="I10" s="296"/>
      <c r="J10" s="138"/>
      <c r="K10" s="140" t="s">
        <v>5</v>
      </c>
      <c r="L10" s="296"/>
      <c r="M10" s="148"/>
      <c r="N10" s="138"/>
      <c r="O10" s="138"/>
      <c r="P10" s="138"/>
      <c r="Q10" s="138"/>
      <c r="R10" s="138"/>
      <c r="S10" s="140"/>
      <c r="T10" s="149"/>
      <c r="U10" s="138"/>
      <c r="V10" s="138"/>
      <c r="W10" s="146"/>
      <c r="X10" s="296"/>
      <c r="Y10" s="138"/>
      <c r="Z10" s="296"/>
      <c r="AA10" s="296"/>
      <c r="AB10" s="140"/>
      <c r="AC10" s="138"/>
      <c r="AD10" s="138"/>
      <c r="AE10" s="138"/>
      <c r="AF10" s="138"/>
      <c r="AG10" s="138"/>
      <c r="AH10" s="138"/>
      <c r="AI10" s="138" t="s">
        <v>167</v>
      </c>
      <c r="AJ10" s="138"/>
      <c r="AK10" s="138"/>
      <c r="AL10" s="138"/>
      <c r="AM10" s="138"/>
      <c r="AN10" s="138"/>
      <c r="AO10" s="138"/>
      <c r="AP10" s="138"/>
      <c r="AQ10" s="138"/>
    </row>
    <row r="11" spans="1:43" s="147" customFormat="1" ht="15.75">
      <c r="A11" s="140" t="s">
        <v>437</v>
      </c>
      <c r="B11" s="295"/>
      <c r="C11" s="138"/>
      <c r="D11" s="138" t="s">
        <v>170</v>
      </c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 t="s">
        <v>168</v>
      </c>
      <c r="AJ11" s="138"/>
      <c r="AK11" s="138"/>
      <c r="AL11" s="138"/>
      <c r="AM11" s="138"/>
      <c r="AN11" s="138"/>
      <c r="AO11" s="138"/>
      <c r="AP11" s="138"/>
      <c r="AQ11" s="138"/>
    </row>
    <row r="12" spans="1:43" s="147" customFormat="1" ht="15.75">
      <c r="A12" s="140" t="s">
        <v>169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</row>
    <row r="13" spans="1:43" s="147" customFormat="1" ht="15.75">
      <c r="A13" s="140" t="s">
        <v>6</v>
      </c>
      <c r="B13" s="138"/>
      <c r="C13" s="138"/>
      <c r="D13" s="138"/>
      <c r="E13" s="295"/>
      <c r="F13" s="142"/>
      <c r="G13" s="138"/>
      <c r="H13" s="138"/>
      <c r="I13" s="138"/>
      <c r="J13" s="138"/>
      <c r="K13" s="295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295"/>
      <c r="Y13" s="138"/>
      <c r="Z13" s="138"/>
      <c r="AA13" s="150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</row>
    <row r="14" spans="1:43" s="152" customFormat="1" ht="42" customHeight="1">
      <c r="A14" s="360" t="s">
        <v>7</v>
      </c>
      <c r="B14" s="350" t="s">
        <v>8</v>
      </c>
      <c r="C14" s="341" t="s">
        <v>344</v>
      </c>
      <c r="D14" s="341" t="s">
        <v>9</v>
      </c>
      <c r="E14" s="350" t="s">
        <v>46</v>
      </c>
      <c r="F14" s="350"/>
      <c r="G14" s="350"/>
      <c r="H14" s="350"/>
      <c r="I14" s="350"/>
      <c r="J14" s="350"/>
      <c r="K14" s="350"/>
      <c r="L14" s="350"/>
      <c r="M14" s="350"/>
      <c r="N14" s="350"/>
      <c r="O14" s="350"/>
      <c r="P14" s="350"/>
      <c r="Q14" s="293"/>
      <c r="R14" s="293"/>
      <c r="S14" s="293"/>
      <c r="T14" s="293"/>
      <c r="U14" s="293"/>
      <c r="V14" s="293"/>
      <c r="W14" s="294"/>
      <c r="X14" s="351" t="s">
        <v>47</v>
      </c>
      <c r="Y14" s="351"/>
      <c r="Z14" s="351"/>
      <c r="AA14" s="351" t="s">
        <v>48</v>
      </c>
      <c r="AB14" s="351"/>
      <c r="AC14" s="351"/>
      <c r="AD14" s="350" t="s">
        <v>10</v>
      </c>
      <c r="AE14" s="350" t="s">
        <v>11</v>
      </c>
      <c r="AF14" s="341" t="s">
        <v>446</v>
      </c>
      <c r="AG14" s="341" t="s">
        <v>356</v>
      </c>
      <c r="AH14" s="350" t="s">
        <v>12</v>
      </c>
      <c r="AI14" s="350" t="s">
        <v>13</v>
      </c>
      <c r="AJ14" s="350" t="s">
        <v>14</v>
      </c>
      <c r="AK14" s="341" t="s">
        <v>50</v>
      </c>
      <c r="AL14" s="350" t="s">
        <v>51</v>
      </c>
      <c r="AM14" s="151"/>
      <c r="AN14" s="151"/>
      <c r="AO14" s="151"/>
      <c r="AP14" s="151"/>
      <c r="AQ14" s="151"/>
    </row>
    <row r="15" spans="1:43" s="152" customFormat="1" ht="28.5">
      <c r="A15" s="360"/>
      <c r="B15" s="350"/>
      <c r="C15" s="342"/>
      <c r="D15" s="342"/>
      <c r="E15" s="341" t="s">
        <v>49</v>
      </c>
      <c r="F15" s="344" t="s">
        <v>15</v>
      </c>
      <c r="G15" s="351" t="s">
        <v>16</v>
      </c>
      <c r="H15" s="351"/>
      <c r="I15" s="351"/>
      <c r="J15" s="294" t="s">
        <v>17</v>
      </c>
      <c r="K15" s="293" t="s">
        <v>18</v>
      </c>
      <c r="L15" s="294"/>
      <c r="M15" s="294" t="s">
        <v>17</v>
      </c>
      <c r="N15" s="294" t="s">
        <v>17</v>
      </c>
      <c r="O15" s="294" t="s">
        <v>17</v>
      </c>
      <c r="P15" s="294" t="s">
        <v>19</v>
      </c>
      <c r="Q15" s="294" t="s">
        <v>19</v>
      </c>
      <c r="R15" s="294" t="s">
        <v>19</v>
      </c>
      <c r="S15" s="294" t="s">
        <v>19</v>
      </c>
      <c r="T15" s="294" t="s">
        <v>19</v>
      </c>
      <c r="U15" s="294" t="s">
        <v>19</v>
      </c>
      <c r="V15" s="294" t="s">
        <v>20</v>
      </c>
      <c r="W15" s="294"/>
      <c r="X15" s="341" t="s">
        <v>49</v>
      </c>
      <c r="Y15" s="344" t="s">
        <v>21</v>
      </c>
      <c r="Z15" s="344" t="s">
        <v>22</v>
      </c>
      <c r="AA15" s="341" t="s">
        <v>49</v>
      </c>
      <c r="AB15" s="344" t="s">
        <v>21</v>
      </c>
      <c r="AC15" s="344" t="s">
        <v>23</v>
      </c>
      <c r="AD15" s="350"/>
      <c r="AE15" s="350"/>
      <c r="AF15" s="342"/>
      <c r="AG15" s="342"/>
      <c r="AH15" s="352"/>
      <c r="AI15" s="352"/>
      <c r="AJ15" s="350"/>
      <c r="AK15" s="342"/>
      <c r="AL15" s="352"/>
      <c r="AM15" s="151"/>
      <c r="AN15" s="151"/>
      <c r="AO15" s="151"/>
      <c r="AP15" s="151"/>
      <c r="AQ15" s="151"/>
    </row>
    <row r="16" spans="1:43" s="152" customFormat="1" ht="15.75" customHeight="1">
      <c r="A16" s="360"/>
      <c r="B16" s="350"/>
      <c r="C16" s="342"/>
      <c r="D16" s="342"/>
      <c r="E16" s="342"/>
      <c r="F16" s="345"/>
      <c r="G16" s="344" t="s">
        <v>24</v>
      </c>
      <c r="H16" s="351" t="s">
        <v>25</v>
      </c>
      <c r="I16" s="351"/>
      <c r="J16" s="294" t="s">
        <v>26</v>
      </c>
      <c r="K16" s="293" t="s">
        <v>27</v>
      </c>
      <c r="L16" s="294" t="s">
        <v>28</v>
      </c>
      <c r="M16" s="294" t="s">
        <v>26</v>
      </c>
      <c r="N16" s="294" t="s">
        <v>26</v>
      </c>
      <c r="O16" s="294" t="s">
        <v>26</v>
      </c>
      <c r="P16" s="294" t="s">
        <v>29</v>
      </c>
      <c r="Q16" s="294" t="s">
        <v>29</v>
      </c>
      <c r="R16" s="294" t="s">
        <v>29</v>
      </c>
      <c r="S16" s="294" t="s">
        <v>29</v>
      </c>
      <c r="T16" s="294" t="s">
        <v>29</v>
      </c>
      <c r="U16" s="294" t="s">
        <v>29</v>
      </c>
      <c r="V16" s="294" t="s">
        <v>26</v>
      </c>
      <c r="W16" s="294" t="s">
        <v>30</v>
      </c>
      <c r="X16" s="342"/>
      <c r="Y16" s="345"/>
      <c r="Z16" s="345"/>
      <c r="AA16" s="342"/>
      <c r="AB16" s="345"/>
      <c r="AC16" s="345"/>
      <c r="AD16" s="350"/>
      <c r="AE16" s="350"/>
      <c r="AF16" s="342"/>
      <c r="AG16" s="342"/>
      <c r="AH16" s="352"/>
      <c r="AI16" s="352"/>
      <c r="AJ16" s="350"/>
      <c r="AK16" s="342"/>
      <c r="AL16" s="352"/>
      <c r="AM16" s="151"/>
      <c r="AN16" s="151"/>
      <c r="AO16" s="151"/>
      <c r="AP16" s="151"/>
      <c r="AQ16" s="151"/>
    </row>
    <row r="17" spans="1:43" s="147" customFormat="1" ht="27" customHeight="1">
      <c r="A17" s="360"/>
      <c r="B17" s="350"/>
      <c r="C17" s="343"/>
      <c r="D17" s="343"/>
      <c r="E17" s="343"/>
      <c r="F17" s="346"/>
      <c r="G17" s="346"/>
      <c r="H17" s="153" t="s">
        <v>31</v>
      </c>
      <c r="I17" s="294" t="s">
        <v>32</v>
      </c>
      <c r="J17" s="294" t="s">
        <v>33</v>
      </c>
      <c r="K17" s="293" t="s">
        <v>34</v>
      </c>
      <c r="L17" s="294" t="s">
        <v>35</v>
      </c>
      <c r="M17" s="294" t="s">
        <v>33</v>
      </c>
      <c r="N17" s="294" t="s">
        <v>36</v>
      </c>
      <c r="O17" s="294" t="s">
        <v>36</v>
      </c>
      <c r="P17" s="294" t="s">
        <v>36</v>
      </c>
      <c r="Q17" s="294" t="s">
        <v>36</v>
      </c>
      <c r="R17" s="294" t="s">
        <v>36</v>
      </c>
      <c r="S17" s="294" t="s">
        <v>36</v>
      </c>
      <c r="T17" s="294" t="s">
        <v>36</v>
      </c>
      <c r="U17" s="294" t="s">
        <v>36</v>
      </c>
      <c r="V17" s="294" t="s">
        <v>36</v>
      </c>
      <c r="W17" s="294" t="s">
        <v>37</v>
      </c>
      <c r="X17" s="343"/>
      <c r="Y17" s="346"/>
      <c r="Z17" s="346"/>
      <c r="AA17" s="343"/>
      <c r="AB17" s="346"/>
      <c r="AC17" s="346"/>
      <c r="AD17" s="350"/>
      <c r="AE17" s="350"/>
      <c r="AF17" s="343"/>
      <c r="AG17" s="343"/>
      <c r="AH17" s="352"/>
      <c r="AI17" s="352"/>
      <c r="AJ17" s="350"/>
      <c r="AK17" s="343"/>
      <c r="AL17" s="352"/>
      <c r="AM17" s="154"/>
      <c r="AN17" s="154"/>
      <c r="AO17" s="154"/>
      <c r="AP17" s="154"/>
      <c r="AQ17" s="154"/>
    </row>
    <row r="18" spans="1:43" s="147" customFormat="1" ht="15.75">
      <c r="A18" s="293" t="s">
        <v>38</v>
      </c>
      <c r="B18" s="293" t="s">
        <v>39</v>
      </c>
      <c r="C18" s="293" t="s">
        <v>40</v>
      </c>
      <c r="D18" s="293" t="s">
        <v>41</v>
      </c>
      <c r="E18" s="293">
        <v>1</v>
      </c>
      <c r="F18" s="294">
        <v>2</v>
      </c>
      <c r="G18" s="153">
        <v>3</v>
      </c>
      <c r="H18" s="153">
        <v>4</v>
      </c>
      <c r="I18" s="294">
        <v>5</v>
      </c>
      <c r="J18" s="153">
        <v>7</v>
      </c>
      <c r="K18" s="294">
        <v>8</v>
      </c>
      <c r="L18" s="153">
        <v>9</v>
      </c>
      <c r="M18" s="294">
        <v>10</v>
      </c>
      <c r="N18" s="294"/>
      <c r="O18" s="153">
        <v>6</v>
      </c>
      <c r="P18" s="153"/>
      <c r="Q18" s="153"/>
      <c r="R18" s="153"/>
      <c r="S18" s="153"/>
      <c r="T18" s="153"/>
      <c r="U18" s="153"/>
      <c r="V18" s="153"/>
      <c r="W18" s="153">
        <v>5</v>
      </c>
      <c r="X18" s="293">
        <v>2</v>
      </c>
      <c r="Y18" s="294">
        <v>7</v>
      </c>
      <c r="Z18" s="294">
        <v>8</v>
      </c>
      <c r="AA18" s="294">
        <v>3</v>
      </c>
      <c r="AB18" s="293">
        <v>10</v>
      </c>
      <c r="AC18" s="153">
        <v>11</v>
      </c>
      <c r="AD18" s="293"/>
      <c r="AE18" s="293"/>
      <c r="AF18" s="302"/>
      <c r="AG18" s="302"/>
      <c r="AH18" s="293">
        <v>4</v>
      </c>
      <c r="AI18" s="293">
        <v>5</v>
      </c>
      <c r="AJ18" s="293">
        <v>6</v>
      </c>
      <c r="AK18" s="293">
        <v>7</v>
      </c>
      <c r="AL18" s="293">
        <v>8</v>
      </c>
      <c r="AM18" s="155"/>
      <c r="AN18" s="155"/>
      <c r="AO18" s="155"/>
      <c r="AP18" s="155"/>
      <c r="AQ18" s="155"/>
    </row>
    <row r="19" spans="1:43" s="147" customFormat="1" ht="42.75">
      <c r="A19" s="293" t="s">
        <v>277</v>
      </c>
      <c r="B19" s="162" t="s">
        <v>438</v>
      </c>
      <c r="C19" s="293"/>
      <c r="D19" s="293"/>
      <c r="E19" s="293"/>
      <c r="F19" s="294"/>
      <c r="G19" s="153"/>
      <c r="H19" s="153"/>
      <c r="I19" s="294"/>
      <c r="J19" s="153"/>
      <c r="K19" s="294"/>
      <c r="L19" s="153"/>
      <c r="M19" s="294"/>
      <c r="N19" s="294"/>
      <c r="O19" s="153"/>
      <c r="P19" s="153"/>
      <c r="Q19" s="153"/>
      <c r="R19" s="153"/>
      <c r="S19" s="153"/>
      <c r="T19" s="153"/>
      <c r="U19" s="153"/>
      <c r="V19" s="153"/>
      <c r="W19" s="153"/>
      <c r="X19" s="293"/>
      <c r="Y19" s="294"/>
      <c r="Z19" s="294"/>
      <c r="AA19" s="294"/>
      <c r="AB19" s="293"/>
      <c r="AC19" s="153"/>
      <c r="AD19" s="293"/>
      <c r="AE19" s="293"/>
      <c r="AF19" s="302"/>
      <c r="AG19" s="302"/>
      <c r="AH19" s="293"/>
      <c r="AI19" s="293"/>
      <c r="AJ19" s="293"/>
      <c r="AK19" s="293"/>
      <c r="AL19" s="293"/>
      <c r="AM19" s="155"/>
      <c r="AN19" s="155"/>
      <c r="AO19" s="155"/>
      <c r="AP19" s="155"/>
      <c r="AQ19" s="155"/>
    </row>
    <row r="20" spans="1:43" s="147" customFormat="1" ht="29.25" customHeight="1">
      <c r="A20" s="166">
        <v>1</v>
      </c>
      <c r="B20" s="165" t="s">
        <v>263</v>
      </c>
      <c r="C20" s="166" t="s">
        <v>264</v>
      </c>
      <c r="D20" s="166">
        <v>2022</v>
      </c>
      <c r="E20" s="166">
        <v>11</v>
      </c>
      <c r="F20" s="294"/>
      <c r="G20" s="153"/>
      <c r="H20" s="153"/>
      <c r="I20" s="294"/>
      <c r="J20" s="153"/>
      <c r="K20" s="294"/>
      <c r="L20" s="153"/>
      <c r="M20" s="294"/>
      <c r="N20" s="294"/>
      <c r="O20" s="153"/>
      <c r="P20" s="153"/>
      <c r="Q20" s="153"/>
      <c r="R20" s="153"/>
      <c r="S20" s="153"/>
      <c r="T20" s="153"/>
      <c r="U20" s="153"/>
      <c r="V20" s="153"/>
      <c r="W20" s="153"/>
      <c r="X20" s="166">
        <v>11</v>
      </c>
      <c r="Y20" s="294"/>
      <c r="Z20" s="294"/>
      <c r="AA20" s="294">
        <v>0</v>
      </c>
      <c r="AB20" s="293"/>
      <c r="AC20" s="153"/>
      <c r="AD20" s="293"/>
      <c r="AE20" s="293"/>
      <c r="AF20" s="302"/>
      <c r="AG20" s="302"/>
      <c r="AH20" s="298" t="s">
        <v>283</v>
      </c>
      <c r="AI20" s="298" t="s">
        <v>284</v>
      </c>
      <c r="AJ20" s="298" t="s">
        <v>285</v>
      </c>
      <c r="AK20" s="293"/>
      <c r="AL20" s="293"/>
      <c r="AM20" s="155"/>
      <c r="AN20" s="155"/>
      <c r="AO20" s="155"/>
      <c r="AP20" s="155"/>
      <c r="AQ20" s="155"/>
    </row>
    <row r="21" spans="1:43" s="147" customFormat="1" ht="22.5" customHeight="1">
      <c r="A21" s="166">
        <f t="shared" ref="A21:A28" si="0">A20+1</f>
        <v>2</v>
      </c>
      <c r="B21" s="165" t="s">
        <v>265</v>
      </c>
      <c r="C21" s="166" t="s">
        <v>264</v>
      </c>
      <c r="D21" s="166">
        <v>2022</v>
      </c>
      <c r="E21" s="166">
        <v>1</v>
      </c>
      <c r="F21" s="294"/>
      <c r="G21" s="153"/>
      <c r="H21" s="153"/>
      <c r="I21" s="294"/>
      <c r="J21" s="153"/>
      <c r="K21" s="294"/>
      <c r="L21" s="153"/>
      <c r="M21" s="294"/>
      <c r="N21" s="294"/>
      <c r="O21" s="153"/>
      <c r="P21" s="153"/>
      <c r="Q21" s="153"/>
      <c r="R21" s="153"/>
      <c r="S21" s="153"/>
      <c r="T21" s="153"/>
      <c r="U21" s="153"/>
      <c r="V21" s="153"/>
      <c r="W21" s="153"/>
      <c r="X21" s="166">
        <v>1</v>
      </c>
      <c r="Y21" s="294"/>
      <c r="Z21" s="294"/>
      <c r="AA21" s="294">
        <v>0</v>
      </c>
      <c r="AB21" s="293"/>
      <c r="AC21" s="153"/>
      <c r="AD21" s="293"/>
      <c r="AE21" s="293"/>
      <c r="AF21" s="302"/>
      <c r="AG21" s="302"/>
      <c r="AH21" s="298" t="s">
        <v>283</v>
      </c>
      <c r="AI21" s="298" t="s">
        <v>284</v>
      </c>
      <c r="AJ21" s="298" t="s">
        <v>285</v>
      </c>
      <c r="AK21" s="293"/>
      <c r="AL21" s="293"/>
      <c r="AM21" s="155"/>
      <c r="AN21" s="155"/>
      <c r="AO21" s="155"/>
      <c r="AP21" s="155"/>
      <c r="AQ21" s="155"/>
    </row>
    <row r="22" spans="1:43" s="147" customFormat="1" ht="26.25" customHeight="1">
      <c r="A22" s="166">
        <f t="shared" si="0"/>
        <v>3</v>
      </c>
      <c r="B22" s="165" t="s">
        <v>266</v>
      </c>
      <c r="C22" s="166" t="s">
        <v>264</v>
      </c>
      <c r="D22" s="166">
        <v>2022</v>
      </c>
      <c r="E22" s="166">
        <v>6</v>
      </c>
      <c r="F22" s="294"/>
      <c r="G22" s="153"/>
      <c r="H22" s="153"/>
      <c r="I22" s="294"/>
      <c r="J22" s="153"/>
      <c r="K22" s="294"/>
      <c r="L22" s="153"/>
      <c r="M22" s="294"/>
      <c r="N22" s="294"/>
      <c r="O22" s="153"/>
      <c r="P22" s="153"/>
      <c r="Q22" s="153"/>
      <c r="R22" s="153"/>
      <c r="S22" s="153"/>
      <c r="T22" s="153"/>
      <c r="U22" s="153"/>
      <c r="V22" s="153"/>
      <c r="W22" s="153"/>
      <c r="X22" s="166">
        <v>6</v>
      </c>
      <c r="Y22" s="294"/>
      <c r="Z22" s="294"/>
      <c r="AA22" s="294">
        <v>0</v>
      </c>
      <c r="AB22" s="293"/>
      <c r="AC22" s="153"/>
      <c r="AD22" s="293"/>
      <c r="AE22" s="293"/>
      <c r="AF22" s="302"/>
      <c r="AG22" s="302"/>
      <c r="AH22" s="298" t="s">
        <v>283</v>
      </c>
      <c r="AI22" s="298" t="s">
        <v>284</v>
      </c>
      <c r="AJ22" s="298" t="s">
        <v>285</v>
      </c>
      <c r="AK22" s="293"/>
      <c r="AL22" s="293"/>
      <c r="AM22" s="155"/>
      <c r="AN22" s="155"/>
      <c r="AO22" s="155"/>
      <c r="AP22" s="155"/>
      <c r="AQ22" s="155"/>
    </row>
    <row r="23" spans="1:43" s="147" customFormat="1" ht="22.5" customHeight="1">
      <c r="A23" s="166">
        <f t="shared" si="0"/>
        <v>4</v>
      </c>
      <c r="B23" s="165" t="s">
        <v>267</v>
      </c>
      <c r="C23" s="166" t="s">
        <v>264</v>
      </c>
      <c r="D23" s="166">
        <v>2022</v>
      </c>
      <c r="E23" s="166">
        <v>1</v>
      </c>
      <c r="F23" s="294"/>
      <c r="G23" s="153"/>
      <c r="H23" s="153"/>
      <c r="I23" s="294"/>
      <c r="J23" s="153"/>
      <c r="K23" s="294"/>
      <c r="L23" s="153"/>
      <c r="M23" s="294"/>
      <c r="N23" s="294"/>
      <c r="O23" s="153"/>
      <c r="P23" s="153"/>
      <c r="Q23" s="153"/>
      <c r="R23" s="153"/>
      <c r="S23" s="153"/>
      <c r="T23" s="153"/>
      <c r="U23" s="153"/>
      <c r="V23" s="153"/>
      <c r="W23" s="153"/>
      <c r="X23" s="166">
        <v>1</v>
      </c>
      <c r="Y23" s="294"/>
      <c r="Z23" s="294"/>
      <c r="AA23" s="294">
        <v>0</v>
      </c>
      <c r="AB23" s="293"/>
      <c r="AC23" s="153"/>
      <c r="AD23" s="293"/>
      <c r="AE23" s="293"/>
      <c r="AF23" s="302"/>
      <c r="AG23" s="302"/>
      <c r="AH23" s="298" t="s">
        <v>283</v>
      </c>
      <c r="AI23" s="298" t="s">
        <v>284</v>
      </c>
      <c r="AJ23" s="298" t="s">
        <v>285</v>
      </c>
      <c r="AK23" s="293"/>
      <c r="AL23" s="293"/>
      <c r="AM23" s="155"/>
      <c r="AN23" s="155"/>
      <c r="AO23" s="155"/>
      <c r="AP23" s="155"/>
      <c r="AQ23" s="155"/>
    </row>
    <row r="24" spans="1:43" s="147" customFormat="1" ht="25.5" customHeight="1">
      <c r="A24" s="166">
        <f t="shared" si="0"/>
        <v>5</v>
      </c>
      <c r="B24" s="165" t="s">
        <v>268</v>
      </c>
      <c r="C24" s="166" t="s">
        <v>269</v>
      </c>
      <c r="D24" s="166">
        <v>2022</v>
      </c>
      <c r="E24" s="166">
        <v>1</v>
      </c>
      <c r="F24" s="294"/>
      <c r="G24" s="153"/>
      <c r="H24" s="153"/>
      <c r="I24" s="294"/>
      <c r="J24" s="153"/>
      <c r="K24" s="294"/>
      <c r="L24" s="153"/>
      <c r="M24" s="294"/>
      <c r="N24" s="294"/>
      <c r="O24" s="153"/>
      <c r="P24" s="153"/>
      <c r="Q24" s="153"/>
      <c r="R24" s="153"/>
      <c r="S24" s="153"/>
      <c r="T24" s="153"/>
      <c r="U24" s="153"/>
      <c r="V24" s="153"/>
      <c r="W24" s="153"/>
      <c r="X24" s="166">
        <v>1</v>
      </c>
      <c r="Y24" s="294"/>
      <c r="Z24" s="294"/>
      <c r="AA24" s="294">
        <v>0</v>
      </c>
      <c r="AB24" s="293"/>
      <c r="AC24" s="153"/>
      <c r="AD24" s="293"/>
      <c r="AE24" s="293"/>
      <c r="AF24" s="302"/>
      <c r="AG24" s="302"/>
      <c r="AH24" s="298" t="s">
        <v>283</v>
      </c>
      <c r="AI24" s="298" t="s">
        <v>284</v>
      </c>
      <c r="AJ24" s="298" t="s">
        <v>285</v>
      </c>
      <c r="AK24" s="293"/>
      <c r="AL24" s="293"/>
      <c r="AM24" s="155"/>
      <c r="AN24" s="155"/>
      <c r="AO24" s="155"/>
      <c r="AP24" s="155"/>
      <c r="AQ24" s="155"/>
    </row>
    <row r="25" spans="1:43" s="147" customFormat="1" ht="31.5" customHeight="1">
      <c r="A25" s="166">
        <f t="shared" si="0"/>
        <v>6</v>
      </c>
      <c r="B25" s="303" t="s">
        <v>270</v>
      </c>
      <c r="C25" s="166" t="s">
        <v>269</v>
      </c>
      <c r="D25" s="166">
        <v>2022</v>
      </c>
      <c r="E25" s="166">
        <v>6</v>
      </c>
      <c r="F25" s="294"/>
      <c r="G25" s="153"/>
      <c r="H25" s="153"/>
      <c r="I25" s="294"/>
      <c r="J25" s="153"/>
      <c r="K25" s="294"/>
      <c r="L25" s="153"/>
      <c r="M25" s="294"/>
      <c r="N25" s="294"/>
      <c r="O25" s="153"/>
      <c r="P25" s="153"/>
      <c r="Q25" s="153"/>
      <c r="R25" s="153"/>
      <c r="S25" s="153"/>
      <c r="T25" s="153"/>
      <c r="U25" s="153"/>
      <c r="V25" s="153"/>
      <c r="W25" s="153"/>
      <c r="X25" s="166">
        <v>6</v>
      </c>
      <c r="Y25" s="294"/>
      <c r="Z25" s="294"/>
      <c r="AA25" s="294">
        <v>0</v>
      </c>
      <c r="AB25" s="293"/>
      <c r="AC25" s="153"/>
      <c r="AD25" s="293"/>
      <c r="AE25" s="293"/>
      <c r="AF25" s="302"/>
      <c r="AG25" s="302"/>
      <c r="AH25" s="298" t="s">
        <v>283</v>
      </c>
      <c r="AI25" s="298" t="s">
        <v>284</v>
      </c>
      <c r="AJ25" s="298" t="s">
        <v>285</v>
      </c>
      <c r="AK25" s="293"/>
      <c r="AL25" s="293"/>
      <c r="AM25" s="155"/>
      <c r="AN25" s="155"/>
      <c r="AO25" s="155"/>
      <c r="AP25" s="155"/>
      <c r="AQ25" s="155"/>
    </row>
    <row r="26" spans="1:43" s="147" customFormat="1" ht="25.5" customHeight="1">
      <c r="A26" s="166">
        <f t="shared" si="0"/>
        <v>7</v>
      </c>
      <c r="B26" s="165" t="s">
        <v>275</v>
      </c>
      <c r="C26" s="166" t="s">
        <v>264</v>
      </c>
      <c r="D26" s="166">
        <v>2022</v>
      </c>
      <c r="E26" s="166">
        <v>3</v>
      </c>
      <c r="F26" s="294"/>
      <c r="G26" s="153"/>
      <c r="H26" s="153"/>
      <c r="I26" s="294"/>
      <c r="J26" s="153"/>
      <c r="K26" s="294"/>
      <c r="L26" s="153"/>
      <c r="M26" s="294"/>
      <c r="N26" s="294"/>
      <c r="O26" s="153"/>
      <c r="P26" s="153"/>
      <c r="Q26" s="153"/>
      <c r="R26" s="153"/>
      <c r="S26" s="153"/>
      <c r="T26" s="153"/>
      <c r="U26" s="153"/>
      <c r="V26" s="153"/>
      <c r="W26" s="153"/>
      <c r="X26" s="166">
        <v>3</v>
      </c>
      <c r="Y26" s="294"/>
      <c r="Z26" s="294"/>
      <c r="AA26" s="294">
        <v>0</v>
      </c>
      <c r="AB26" s="293"/>
      <c r="AC26" s="153"/>
      <c r="AD26" s="293"/>
      <c r="AE26" s="293"/>
      <c r="AF26" s="305">
        <v>12669000</v>
      </c>
      <c r="AG26" s="308">
        <f>+X26*AF26</f>
        <v>38007000</v>
      </c>
      <c r="AH26" s="298" t="s">
        <v>283</v>
      </c>
      <c r="AI26" s="298" t="s">
        <v>284</v>
      </c>
      <c r="AJ26" s="298" t="s">
        <v>285</v>
      </c>
      <c r="AK26" s="293"/>
      <c r="AL26" s="293"/>
      <c r="AM26" s="155"/>
      <c r="AN26" s="155"/>
      <c r="AO26" s="155"/>
      <c r="AP26" s="155"/>
      <c r="AQ26" s="155"/>
    </row>
    <row r="27" spans="1:43" s="147" customFormat="1" ht="20.25" customHeight="1">
      <c r="A27" s="166">
        <f t="shared" si="0"/>
        <v>8</v>
      </c>
      <c r="B27" s="165" t="s">
        <v>272</v>
      </c>
      <c r="C27" s="166" t="s">
        <v>264</v>
      </c>
      <c r="D27" s="166">
        <v>2022</v>
      </c>
      <c r="E27" s="166">
        <v>4</v>
      </c>
      <c r="F27" s="294"/>
      <c r="G27" s="153"/>
      <c r="H27" s="153"/>
      <c r="I27" s="294"/>
      <c r="J27" s="153"/>
      <c r="K27" s="294"/>
      <c r="L27" s="153"/>
      <c r="M27" s="294"/>
      <c r="N27" s="294"/>
      <c r="O27" s="153"/>
      <c r="P27" s="153"/>
      <c r="Q27" s="153"/>
      <c r="R27" s="153"/>
      <c r="S27" s="153"/>
      <c r="T27" s="153"/>
      <c r="U27" s="153"/>
      <c r="V27" s="153"/>
      <c r="W27" s="153"/>
      <c r="X27" s="166">
        <v>4</v>
      </c>
      <c r="Y27" s="294"/>
      <c r="Z27" s="294"/>
      <c r="AA27" s="294">
        <v>0</v>
      </c>
      <c r="AB27" s="293"/>
      <c r="AC27" s="153"/>
      <c r="AD27" s="293"/>
      <c r="AE27" s="293"/>
      <c r="AF27" s="302"/>
      <c r="AG27" s="308">
        <f t="shared" ref="AG27:AG38" si="1">+X27*AF27</f>
        <v>0</v>
      </c>
      <c r="AH27" s="298" t="s">
        <v>283</v>
      </c>
      <c r="AI27" s="298" t="s">
        <v>284</v>
      </c>
      <c r="AJ27" s="298" t="s">
        <v>285</v>
      </c>
      <c r="AK27" s="293"/>
      <c r="AL27" s="293"/>
      <c r="AM27" s="155"/>
      <c r="AN27" s="155"/>
      <c r="AO27" s="155"/>
      <c r="AP27" s="155"/>
      <c r="AQ27" s="155"/>
    </row>
    <row r="28" spans="1:43" s="147" customFormat="1" ht="26.25" customHeight="1">
      <c r="A28" s="166">
        <f t="shared" si="0"/>
        <v>9</v>
      </c>
      <c r="B28" s="165" t="s">
        <v>273</v>
      </c>
      <c r="C28" s="166" t="s">
        <v>264</v>
      </c>
      <c r="D28" s="166">
        <v>2022</v>
      </c>
      <c r="E28" s="166">
        <v>1</v>
      </c>
      <c r="F28" s="294"/>
      <c r="G28" s="153"/>
      <c r="H28" s="153"/>
      <c r="I28" s="294"/>
      <c r="J28" s="153"/>
      <c r="K28" s="294"/>
      <c r="L28" s="153"/>
      <c r="M28" s="294"/>
      <c r="N28" s="294"/>
      <c r="O28" s="153"/>
      <c r="P28" s="153"/>
      <c r="Q28" s="153"/>
      <c r="R28" s="153"/>
      <c r="S28" s="153"/>
      <c r="T28" s="153"/>
      <c r="U28" s="153"/>
      <c r="V28" s="153"/>
      <c r="W28" s="153"/>
      <c r="X28" s="166">
        <v>1</v>
      </c>
      <c r="Y28" s="294"/>
      <c r="Z28" s="294"/>
      <c r="AA28" s="294">
        <v>0</v>
      </c>
      <c r="AB28" s="293"/>
      <c r="AC28" s="153"/>
      <c r="AD28" s="293"/>
      <c r="AE28" s="293"/>
      <c r="AF28" s="302"/>
      <c r="AG28" s="308">
        <f t="shared" si="1"/>
        <v>0</v>
      </c>
      <c r="AH28" s="298" t="s">
        <v>283</v>
      </c>
      <c r="AI28" s="298" t="s">
        <v>284</v>
      </c>
      <c r="AJ28" s="298" t="s">
        <v>285</v>
      </c>
      <c r="AK28" s="293"/>
      <c r="AL28" s="293"/>
      <c r="AM28" s="155"/>
      <c r="AN28" s="155"/>
      <c r="AO28" s="155"/>
      <c r="AP28" s="155"/>
      <c r="AQ28" s="155"/>
    </row>
    <row r="29" spans="1:43" s="147" customFormat="1" ht="32.25" customHeight="1">
      <c r="A29" s="293" t="s">
        <v>290</v>
      </c>
      <c r="B29" s="358" t="s">
        <v>439</v>
      </c>
      <c r="C29" s="357"/>
      <c r="D29" s="293"/>
      <c r="E29" s="293"/>
      <c r="F29" s="294"/>
      <c r="G29" s="153"/>
      <c r="H29" s="153"/>
      <c r="I29" s="294"/>
      <c r="J29" s="153"/>
      <c r="K29" s="294"/>
      <c r="L29" s="153"/>
      <c r="M29" s="294"/>
      <c r="N29" s="294"/>
      <c r="O29" s="153"/>
      <c r="P29" s="153"/>
      <c r="Q29" s="153"/>
      <c r="R29" s="153"/>
      <c r="S29" s="153"/>
      <c r="T29" s="153"/>
      <c r="U29" s="153"/>
      <c r="V29" s="153"/>
      <c r="W29" s="153"/>
      <c r="X29" s="293"/>
      <c r="Y29" s="294"/>
      <c r="Z29" s="294"/>
      <c r="AA29" s="294"/>
      <c r="AB29" s="293"/>
      <c r="AC29" s="153"/>
      <c r="AD29" s="293"/>
      <c r="AE29" s="293"/>
      <c r="AF29" s="302"/>
      <c r="AG29" s="308">
        <f t="shared" si="1"/>
        <v>0</v>
      </c>
      <c r="AH29" s="293"/>
      <c r="AI29" s="293"/>
      <c r="AJ29" s="293"/>
      <c r="AK29" s="293"/>
      <c r="AL29" s="293"/>
      <c r="AM29" s="155"/>
      <c r="AN29" s="155"/>
      <c r="AO29" s="155"/>
      <c r="AP29" s="155"/>
      <c r="AQ29" s="155"/>
    </row>
    <row r="30" spans="1:43" s="147" customFormat="1" ht="30">
      <c r="A30" s="166">
        <v>1</v>
      </c>
      <c r="B30" s="165" t="s">
        <v>440</v>
      </c>
      <c r="C30" s="166" t="s">
        <v>264</v>
      </c>
      <c r="D30" s="166">
        <v>2022</v>
      </c>
      <c r="E30" s="166">
        <v>25</v>
      </c>
      <c r="F30" s="294"/>
      <c r="G30" s="153"/>
      <c r="H30" s="153"/>
      <c r="I30" s="294"/>
      <c r="J30" s="153"/>
      <c r="K30" s="294"/>
      <c r="L30" s="153"/>
      <c r="M30" s="294"/>
      <c r="N30" s="294"/>
      <c r="O30" s="153"/>
      <c r="P30" s="153"/>
      <c r="Q30" s="153"/>
      <c r="R30" s="153"/>
      <c r="S30" s="153"/>
      <c r="T30" s="153"/>
      <c r="U30" s="153"/>
      <c r="V30" s="153"/>
      <c r="W30" s="153"/>
      <c r="X30" s="166">
        <v>25</v>
      </c>
      <c r="Y30" s="294"/>
      <c r="Z30" s="294"/>
      <c r="AA30" s="294">
        <v>0</v>
      </c>
      <c r="AB30" s="293"/>
      <c r="AC30" s="153"/>
      <c r="AD30" s="293"/>
      <c r="AE30" s="293"/>
      <c r="AF30" s="302"/>
      <c r="AG30" s="308">
        <f t="shared" si="1"/>
        <v>0</v>
      </c>
      <c r="AH30" s="298" t="s">
        <v>283</v>
      </c>
      <c r="AI30" s="298" t="s">
        <v>258</v>
      </c>
      <c r="AJ30" s="298" t="s">
        <v>285</v>
      </c>
      <c r="AK30" s="293"/>
      <c r="AL30" s="293"/>
      <c r="AM30" s="155"/>
      <c r="AN30" s="155"/>
      <c r="AO30" s="155"/>
      <c r="AP30" s="155"/>
      <c r="AQ30" s="155"/>
    </row>
    <row r="31" spans="1:43" s="147" customFormat="1" ht="30">
      <c r="A31" s="166">
        <f t="shared" ref="A31:A38" si="2">A30+1</f>
        <v>2</v>
      </c>
      <c r="B31" s="165" t="s">
        <v>266</v>
      </c>
      <c r="C31" s="166" t="s">
        <v>264</v>
      </c>
      <c r="D31" s="166">
        <v>2022</v>
      </c>
      <c r="E31" s="166">
        <v>5</v>
      </c>
      <c r="F31" s="294"/>
      <c r="G31" s="153"/>
      <c r="H31" s="153"/>
      <c r="I31" s="294"/>
      <c r="J31" s="153"/>
      <c r="K31" s="294"/>
      <c r="L31" s="153"/>
      <c r="M31" s="294"/>
      <c r="N31" s="294"/>
      <c r="O31" s="153"/>
      <c r="P31" s="153"/>
      <c r="Q31" s="153"/>
      <c r="R31" s="153"/>
      <c r="S31" s="153"/>
      <c r="T31" s="153"/>
      <c r="U31" s="153"/>
      <c r="V31" s="153"/>
      <c r="W31" s="153"/>
      <c r="X31" s="166">
        <v>5</v>
      </c>
      <c r="Y31" s="294"/>
      <c r="Z31" s="294"/>
      <c r="AA31" s="294">
        <v>0</v>
      </c>
      <c r="AB31" s="293"/>
      <c r="AC31" s="153"/>
      <c r="AD31" s="293"/>
      <c r="AE31" s="293"/>
      <c r="AF31" s="302"/>
      <c r="AG31" s="308">
        <f t="shared" si="1"/>
        <v>0</v>
      </c>
      <c r="AH31" s="298" t="s">
        <v>283</v>
      </c>
      <c r="AI31" s="298" t="s">
        <v>258</v>
      </c>
      <c r="AJ31" s="298" t="s">
        <v>285</v>
      </c>
      <c r="AK31" s="293"/>
      <c r="AL31" s="293"/>
      <c r="AM31" s="155"/>
      <c r="AN31" s="155"/>
      <c r="AO31" s="155"/>
      <c r="AP31" s="155"/>
      <c r="AQ31" s="155"/>
    </row>
    <row r="32" spans="1:43" s="147" customFormat="1" ht="30">
      <c r="A32" s="166">
        <f t="shared" si="2"/>
        <v>3</v>
      </c>
      <c r="B32" s="165" t="s">
        <v>441</v>
      </c>
      <c r="C32" s="166" t="s">
        <v>264</v>
      </c>
      <c r="D32" s="166">
        <v>2022</v>
      </c>
      <c r="E32" s="166">
        <v>2</v>
      </c>
      <c r="F32" s="294"/>
      <c r="G32" s="153"/>
      <c r="H32" s="153"/>
      <c r="I32" s="294"/>
      <c r="J32" s="153"/>
      <c r="K32" s="294"/>
      <c r="L32" s="153"/>
      <c r="M32" s="294"/>
      <c r="N32" s="294"/>
      <c r="O32" s="153"/>
      <c r="P32" s="153"/>
      <c r="Q32" s="153"/>
      <c r="R32" s="153"/>
      <c r="S32" s="153"/>
      <c r="T32" s="153"/>
      <c r="U32" s="153"/>
      <c r="V32" s="153"/>
      <c r="W32" s="153"/>
      <c r="X32" s="166">
        <v>2</v>
      </c>
      <c r="Y32" s="294"/>
      <c r="Z32" s="294"/>
      <c r="AA32" s="294">
        <v>0</v>
      </c>
      <c r="AB32" s="293"/>
      <c r="AC32" s="153"/>
      <c r="AD32" s="293"/>
      <c r="AE32" s="293"/>
      <c r="AF32" s="302"/>
      <c r="AG32" s="308">
        <f t="shared" si="1"/>
        <v>0</v>
      </c>
      <c r="AH32" s="298" t="s">
        <v>283</v>
      </c>
      <c r="AI32" s="298" t="s">
        <v>258</v>
      </c>
      <c r="AJ32" s="298" t="s">
        <v>285</v>
      </c>
      <c r="AK32" s="293"/>
      <c r="AL32" s="293"/>
      <c r="AM32" s="155"/>
      <c r="AN32" s="155"/>
      <c r="AO32" s="155"/>
      <c r="AP32" s="155"/>
      <c r="AQ32" s="155"/>
    </row>
    <row r="33" spans="1:43" s="147" customFormat="1" ht="30">
      <c r="A33" s="166">
        <f t="shared" si="2"/>
        <v>4</v>
      </c>
      <c r="B33" s="165" t="s">
        <v>267</v>
      </c>
      <c r="C33" s="166" t="s">
        <v>264</v>
      </c>
      <c r="D33" s="166">
        <v>2022</v>
      </c>
      <c r="E33" s="166">
        <v>1</v>
      </c>
      <c r="F33" s="294"/>
      <c r="G33" s="153"/>
      <c r="H33" s="153"/>
      <c r="I33" s="294"/>
      <c r="J33" s="153"/>
      <c r="K33" s="294"/>
      <c r="L33" s="153"/>
      <c r="M33" s="294"/>
      <c r="N33" s="294"/>
      <c r="O33" s="153"/>
      <c r="P33" s="153"/>
      <c r="Q33" s="153"/>
      <c r="R33" s="153"/>
      <c r="S33" s="153"/>
      <c r="T33" s="153"/>
      <c r="U33" s="153"/>
      <c r="V33" s="153"/>
      <c r="W33" s="153"/>
      <c r="X33" s="166">
        <v>1</v>
      </c>
      <c r="Y33" s="294"/>
      <c r="Z33" s="294"/>
      <c r="AA33" s="294">
        <v>0</v>
      </c>
      <c r="AB33" s="293"/>
      <c r="AC33" s="153"/>
      <c r="AD33" s="293"/>
      <c r="AE33" s="293"/>
      <c r="AF33" s="302"/>
      <c r="AG33" s="308">
        <f t="shared" si="1"/>
        <v>0</v>
      </c>
      <c r="AH33" s="298" t="s">
        <v>283</v>
      </c>
      <c r="AI33" s="298" t="s">
        <v>258</v>
      </c>
      <c r="AJ33" s="298" t="s">
        <v>285</v>
      </c>
      <c r="AK33" s="293"/>
      <c r="AL33" s="293"/>
      <c r="AM33" s="155"/>
      <c r="AN33" s="155"/>
      <c r="AO33" s="155"/>
      <c r="AP33" s="155"/>
      <c r="AQ33" s="155"/>
    </row>
    <row r="34" spans="1:43" s="147" customFormat="1" ht="30">
      <c r="A34" s="166">
        <f t="shared" si="2"/>
        <v>5</v>
      </c>
      <c r="B34" s="165" t="s">
        <v>268</v>
      </c>
      <c r="C34" s="166" t="s">
        <v>269</v>
      </c>
      <c r="D34" s="166">
        <v>2022</v>
      </c>
      <c r="E34" s="166">
        <v>1</v>
      </c>
      <c r="F34" s="294"/>
      <c r="G34" s="153"/>
      <c r="H34" s="153"/>
      <c r="I34" s="294"/>
      <c r="J34" s="153"/>
      <c r="K34" s="294"/>
      <c r="L34" s="153"/>
      <c r="M34" s="294"/>
      <c r="N34" s="294"/>
      <c r="O34" s="153"/>
      <c r="P34" s="153"/>
      <c r="Q34" s="153"/>
      <c r="R34" s="153"/>
      <c r="S34" s="153"/>
      <c r="T34" s="153"/>
      <c r="U34" s="153"/>
      <c r="V34" s="153"/>
      <c r="W34" s="153"/>
      <c r="X34" s="166">
        <v>1</v>
      </c>
      <c r="Y34" s="294"/>
      <c r="Z34" s="294"/>
      <c r="AA34" s="294">
        <v>0</v>
      </c>
      <c r="AB34" s="293"/>
      <c r="AC34" s="153"/>
      <c r="AD34" s="293"/>
      <c r="AE34" s="293"/>
      <c r="AF34" s="302"/>
      <c r="AG34" s="308">
        <f t="shared" si="1"/>
        <v>0</v>
      </c>
      <c r="AH34" s="298" t="s">
        <v>283</v>
      </c>
      <c r="AI34" s="298" t="s">
        <v>258</v>
      </c>
      <c r="AJ34" s="298" t="s">
        <v>285</v>
      </c>
      <c r="AK34" s="293"/>
      <c r="AL34" s="293"/>
      <c r="AM34" s="155"/>
      <c r="AN34" s="155"/>
      <c r="AO34" s="155"/>
      <c r="AP34" s="155"/>
      <c r="AQ34" s="155"/>
    </row>
    <row r="35" spans="1:43" s="147" customFormat="1" ht="30">
      <c r="A35" s="166">
        <f t="shared" si="2"/>
        <v>6</v>
      </c>
      <c r="B35" s="303" t="s">
        <v>274</v>
      </c>
      <c r="C35" s="166" t="s">
        <v>269</v>
      </c>
      <c r="D35" s="166">
        <v>2022</v>
      </c>
      <c r="E35" s="166">
        <v>6</v>
      </c>
      <c r="F35" s="294"/>
      <c r="G35" s="153"/>
      <c r="H35" s="153"/>
      <c r="I35" s="294"/>
      <c r="J35" s="153"/>
      <c r="K35" s="294"/>
      <c r="L35" s="153"/>
      <c r="M35" s="294"/>
      <c r="N35" s="294"/>
      <c r="O35" s="153"/>
      <c r="P35" s="153"/>
      <c r="Q35" s="153"/>
      <c r="R35" s="153"/>
      <c r="S35" s="153"/>
      <c r="T35" s="153"/>
      <c r="U35" s="153"/>
      <c r="V35" s="153"/>
      <c r="W35" s="153"/>
      <c r="X35" s="166">
        <v>6</v>
      </c>
      <c r="Y35" s="294"/>
      <c r="Z35" s="294"/>
      <c r="AA35" s="294">
        <v>0</v>
      </c>
      <c r="AB35" s="293"/>
      <c r="AC35" s="153"/>
      <c r="AD35" s="293"/>
      <c r="AE35" s="293"/>
      <c r="AF35" s="302"/>
      <c r="AG35" s="308">
        <f t="shared" si="1"/>
        <v>0</v>
      </c>
      <c r="AH35" s="298" t="s">
        <v>283</v>
      </c>
      <c r="AI35" s="298" t="s">
        <v>258</v>
      </c>
      <c r="AJ35" s="298" t="s">
        <v>285</v>
      </c>
      <c r="AK35" s="293"/>
      <c r="AL35" s="293"/>
      <c r="AM35" s="155"/>
      <c r="AN35" s="155"/>
      <c r="AO35" s="155"/>
      <c r="AP35" s="155"/>
      <c r="AQ35" s="155"/>
    </row>
    <row r="36" spans="1:43" s="147" customFormat="1" ht="30">
      <c r="A36" s="166">
        <f t="shared" si="2"/>
        <v>7</v>
      </c>
      <c r="B36" s="165" t="s">
        <v>271</v>
      </c>
      <c r="C36" s="166" t="s">
        <v>264</v>
      </c>
      <c r="D36" s="166">
        <v>2022</v>
      </c>
      <c r="E36" s="166">
        <v>1</v>
      </c>
      <c r="F36" s="294"/>
      <c r="G36" s="153"/>
      <c r="H36" s="153"/>
      <c r="I36" s="294"/>
      <c r="J36" s="153"/>
      <c r="K36" s="294"/>
      <c r="L36" s="153"/>
      <c r="M36" s="294"/>
      <c r="N36" s="294"/>
      <c r="O36" s="153"/>
      <c r="P36" s="153"/>
      <c r="Q36" s="153"/>
      <c r="R36" s="153"/>
      <c r="S36" s="153"/>
      <c r="T36" s="153"/>
      <c r="U36" s="153"/>
      <c r="V36" s="153"/>
      <c r="W36" s="153"/>
      <c r="X36" s="166">
        <v>1</v>
      </c>
      <c r="Y36" s="294"/>
      <c r="Z36" s="294"/>
      <c r="AA36" s="294">
        <v>0</v>
      </c>
      <c r="AB36" s="293"/>
      <c r="AC36" s="153"/>
      <c r="AD36" s="293"/>
      <c r="AE36" s="293"/>
      <c r="AF36" s="305">
        <v>15675000</v>
      </c>
      <c r="AG36" s="308">
        <f t="shared" si="1"/>
        <v>15675000</v>
      </c>
      <c r="AH36" s="298" t="s">
        <v>283</v>
      </c>
      <c r="AI36" s="298" t="s">
        <v>258</v>
      </c>
      <c r="AJ36" s="298" t="s">
        <v>285</v>
      </c>
      <c r="AK36" s="293"/>
      <c r="AL36" s="293"/>
      <c r="AM36" s="155"/>
      <c r="AN36" s="155"/>
      <c r="AO36" s="155"/>
      <c r="AP36" s="155"/>
      <c r="AQ36" s="155"/>
    </row>
    <row r="37" spans="1:43" s="147" customFormat="1" ht="30">
      <c r="A37" s="166">
        <f t="shared" si="2"/>
        <v>8</v>
      </c>
      <c r="B37" s="165" t="s">
        <v>275</v>
      </c>
      <c r="C37" s="166" t="s">
        <v>264</v>
      </c>
      <c r="D37" s="166">
        <v>2022</v>
      </c>
      <c r="E37" s="166">
        <v>1</v>
      </c>
      <c r="F37" s="294"/>
      <c r="G37" s="153"/>
      <c r="H37" s="153"/>
      <c r="I37" s="294"/>
      <c r="J37" s="153"/>
      <c r="K37" s="294"/>
      <c r="L37" s="153"/>
      <c r="M37" s="294"/>
      <c r="N37" s="294"/>
      <c r="O37" s="153"/>
      <c r="P37" s="153"/>
      <c r="Q37" s="153"/>
      <c r="R37" s="153"/>
      <c r="S37" s="153"/>
      <c r="T37" s="153"/>
      <c r="U37" s="153"/>
      <c r="V37" s="153"/>
      <c r="W37" s="153"/>
      <c r="X37" s="166">
        <v>1</v>
      </c>
      <c r="Y37" s="294"/>
      <c r="Z37" s="294"/>
      <c r="AA37" s="294">
        <v>0</v>
      </c>
      <c r="AB37" s="293"/>
      <c r="AC37" s="153"/>
      <c r="AD37" s="293"/>
      <c r="AE37" s="293"/>
      <c r="AF37" s="305">
        <v>12669000</v>
      </c>
      <c r="AG37" s="308">
        <f t="shared" si="1"/>
        <v>12669000</v>
      </c>
      <c r="AH37" s="298" t="s">
        <v>283</v>
      </c>
      <c r="AI37" s="298" t="s">
        <v>258</v>
      </c>
      <c r="AJ37" s="298" t="s">
        <v>285</v>
      </c>
      <c r="AK37" s="293"/>
      <c r="AL37" s="293"/>
      <c r="AM37" s="155"/>
      <c r="AN37" s="155"/>
      <c r="AO37" s="155"/>
      <c r="AP37" s="155"/>
      <c r="AQ37" s="155"/>
    </row>
    <row r="38" spans="1:43" s="147" customFormat="1" ht="30">
      <c r="A38" s="166">
        <f t="shared" si="2"/>
        <v>9</v>
      </c>
      <c r="B38" s="165" t="s">
        <v>442</v>
      </c>
      <c r="C38" s="166" t="s">
        <v>264</v>
      </c>
      <c r="D38" s="166">
        <v>2022</v>
      </c>
      <c r="E38" s="166">
        <v>1</v>
      </c>
      <c r="F38" s="294"/>
      <c r="G38" s="153"/>
      <c r="H38" s="153"/>
      <c r="I38" s="294"/>
      <c r="J38" s="153"/>
      <c r="K38" s="294"/>
      <c r="L38" s="153"/>
      <c r="M38" s="294"/>
      <c r="N38" s="294"/>
      <c r="O38" s="153"/>
      <c r="P38" s="153"/>
      <c r="Q38" s="153"/>
      <c r="R38" s="153"/>
      <c r="S38" s="153"/>
      <c r="T38" s="153"/>
      <c r="U38" s="153"/>
      <c r="V38" s="153"/>
      <c r="W38" s="153"/>
      <c r="X38" s="166">
        <v>1</v>
      </c>
      <c r="Y38" s="294"/>
      <c r="Z38" s="294"/>
      <c r="AA38" s="294">
        <v>0</v>
      </c>
      <c r="AB38" s="293"/>
      <c r="AC38" s="153"/>
      <c r="AD38" s="293"/>
      <c r="AE38" s="293"/>
      <c r="AF38" s="302"/>
      <c r="AG38" s="308">
        <f t="shared" si="1"/>
        <v>0</v>
      </c>
      <c r="AH38" s="298" t="s">
        <v>283</v>
      </c>
      <c r="AI38" s="298" t="s">
        <v>258</v>
      </c>
      <c r="AJ38" s="298" t="s">
        <v>285</v>
      </c>
      <c r="AK38" s="293"/>
      <c r="AL38" s="293"/>
      <c r="AM38" s="155"/>
      <c r="AN38" s="155"/>
      <c r="AO38" s="155"/>
      <c r="AP38" s="155"/>
      <c r="AQ38" s="155"/>
    </row>
    <row r="39" spans="1:43" ht="27.75" customHeight="1">
      <c r="A39" s="306"/>
      <c r="B39" s="307" t="s">
        <v>430</v>
      </c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306"/>
      <c r="AB39" s="306"/>
      <c r="AC39" s="306"/>
      <c r="AD39" s="306"/>
      <c r="AE39" s="306"/>
      <c r="AF39" s="306"/>
      <c r="AG39" s="309">
        <f>SUM(AG18:AG38)</f>
        <v>66351000</v>
      </c>
      <c r="AH39" s="306"/>
      <c r="AI39" s="306"/>
      <c r="AJ39" s="306"/>
      <c r="AK39" s="306"/>
      <c r="AL39" s="306"/>
    </row>
    <row r="40" spans="1:43" s="135" customFormat="1" ht="15.75">
      <c r="A40" s="296"/>
      <c r="E40" s="296"/>
      <c r="F40" s="136"/>
      <c r="K40" s="296"/>
      <c r="X40" s="296"/>
      <c r="AA40" s="296"/>
      <c r="AB40" s="137"/>
      <c r="AH40" s="347" t="s">
        <v>443</v>
      </c>
      <c r="AI40" s="347"/>
      <c r="AJ40" s="347"/>
      <c r="AK40" s="347"/>
      <c r="AL40" s="347"/>
    </row>
    <row r="41" spans="1:43" s="135" customFormat="1" ht="16.5" customHeight="1">
      <c r="A41" s="296"/>
      <c r="B41" s="135" t="s">
        <v>151</v>
      </c>
      <c r="C41" s="347" t="s">
        <v>170</v>
      </c>
      <c r="D41" s="347"/>
      <c r="E41" s="347"/>
      <c r="F41" s="347"/>
      <c r="G41" s="347"/>
      <c r="H41" s="347"/>
      <c r="I41" s="347"/>
      <c r="J41" s="347"/>
      <c r="K41" s="347"/>
      <c r="L41" s="347"/>
      <c r="M41" s="347"/>
      <c r="N41" s="347"/>
      <c r="O41" s="347"/>
      <c r="P41" s="347"/>
      <c r="Q41" s="347"/>
      <c r="R41" s="347"/>
      <c r="S41" s="347"/>
      <c r="T41" s="347"/>
      <c r="U41" s="347"/>
      <c r="V41" s="347"/>
      <c r="W41" s="347"/>
      <c r="X41" s="347"/>
      <c r="Y41" s="347"/>
      <c r="Z41" s="347"/>
      <c r="AA41" s="347"/>
      <c r="AB41" s="347"/>
      <c r="AC41" s="347"/>
      <c r="AD41" s="347"/>
      <c r="AE41" s="347"/>
      <c r="AF41" s="347"/>
      <c r="AG41" s="347"/>
      <c r="AH41" s="347"/>
      <c r="AI41" s="347" t="s">
        <v>152</v>
      </c>
      <c r="AJ41" s="347"/>
      <c r="AK41" s="347" t="s">
        <v>153</v>
      </c>
      <c r="AL41" s="347"/>
    </row>
    <row r="42" spans="1:43" s="135" customFormat="1" ht="19.5" customHeight="1">
      <c r="A42" s="296" t="s">
        <v>154</v>
      </c>
      <c r="B42" s="135" t="s">
        <v>335</v>
      </c>
      <c r="C42" s="138"/>
      <c r="E42" s="296"/>
      <c r="F42" s="136"/>
      <c r="K42" s="296"/>
      <c r="X42" s="296"/>
      <c r="AA42" s="296"/>
      <c r="AB42" s="137"/>
    </row>
    <row r="43" spans="1:43" s="135" customFormat="1" ht="19.5" customHeight="1">
      <c r="A43" s="296" t="s">
        <v>154</v>
      </c>
      <c r="B43" s="135" t="s">
        <v>334</v>
      </c>
      <c r="C43" s="138"/>
      <c r="E43" s="296"/>
      <c r="F43" s="136"/>
      <c r="K43" s="296"/>
      <c r="X43" s="296"/>
      <c r="AA43" s="296"/>
      <c r="AB43" s="137"/>
    </row>
    <row r="44" spans="1:43" s="135" customFormat="1" ht="19.5" customHeight="1">
      <c r="A44" s="296" t="s">
        <v>154</v>
      </c>
      <c r="B44" s="135" t="s">
        <v>348</v>
      </c>
      <c r="C44" s="138"/>
      <c r="E44" s="296"/>
      <c r="F44" s="136"/>
      <c r="K44" s="296"/>
      <c r="X44" s="296"/>
      <c r="AA44" s="296"/>
      <c r="AB44" s="137"/>
    </row>
    <row r="45" spans="1:43" s="135" customFormat="1" ht="19.5" customHeight="1">
      <c r="A45" s="296" t="s">
        <v>154</v>
      </c>
      <c r="B45" s="135" t="s">
        <v>428</v>
      </c>
      <c r="C45" s="347" t="s">
        <v>444</v>
      </c>
      <c r="D45" s="347"/>
      <c r="E45" s="347"/>
      <c r="F45" s="347"/>
      <c r="G45" s="347"/>
      <c r="H45" s="347"/>
      <c r="I45" s="347"/>
      <c r="J45" s="347"/>
      <c r="K45" s="347"/>
      <c r="L45" s="347"/>
      <c r="M45" s="347"/>
      <c r="N45" s="347"/>
      <c r="O45" s="347"/>
      <c r="P45" s="347"/>
      <c r="Q45" s="347"/>
      <c r="R45" s="347"/>
      <c r="S45" s="347"/>
      <c r="T45" s="347"/>
      <c r="U45" s="347"/>
      <c r="V45" s="347"/>
      <c r="W45" s="347"/>
      <c r="X45" s="347"/>
      <c r="Y45" s="347"/>
      <c r="Z45" s="347"/>
      <c r="AA45" s="347"/>
      <c r="AB45" s="347"/>
      <c r="AC45" s="347"/>
      <c r="AD45" s="347"/>
      <c r="AE45" s="347"/>
      <c r="AF45" s="347"/>
      <c r="AG45" s="347"/>
      <c r="AH45" s="347"/>
      <c r="AI45" s="347" t="s">
        <v>427</v>
      </c>
      <c r="AJ45" s="347"/>
      <c r="AK45" s="347" t="s">
        <v>343</v>
      </c>
      <c r="AL45" s="347"/>
    </row>
    <row r="46" spans="1:43" ht="19.5" customHeight="1">
      <c r="A46" s="296" t="s">
        <v>154</v>
      </c>
      <c r="B46" s="304" t="s">
        <v>445</v>
      </c>
    </row>
  </sheetData>
  <autoFilter ref="A14:AQ46" xr:uid="{99A0CB3B-B052-4825-BEC0-3B35AAA3CF98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23" showButton="0"/>
    <filterColumn colId="24" showButton="0"/>
    <filterColumn colId="26" showButton="0"/>
    <filterColumn colId="27" showButton="0"/>
  </autoFilter>
  <mergeCells count="39">
    <mergeCell ref="AG14:AG17"/>
    <mergeCell ref="AH40:AL40"/>
    <mergeCell ref="C41:AH41"/>
    <mergeCell ref="AI41:AJ41"/>
    <mergeCell ref="AK41:AL41"/>
    <mergeCell ref="F15:F17"/>
    <mergeCell ref="AE14:AE17"/>
    <mergeCell ref="C45:AH45"/>
    <mergeCell ref="AI45:AJ45"/>
    <mergeCell ref="AK45:AL45"/>
    <mergeCell ref="B29:C29"/>
    <mergeCell ref="C14:C17"/>
    <mergeCell ref="X14:Z14"/>
    <mergeCell ref="AB15:AB17"/>
    <mergeCell ref="AL14:AL17"/>
    <mergeCell ref="G16:G17"/>
    <mergeCell ref="H16:I16"/>
    <mergeCell ref="E15:E17"/>
    <mergeCell ref="AJ14:AJ17"/>
    <mergeCell ref="AI14:AI17"/>
    <mergeCell ref="B14:B17"/>
    <mergeCell ref="Z15:Z17"/>
    <mergeCell ref="AA15:AA17"/>
    <mergeCell ref="Z1:AL1"/>
    <mergeCell ref="Z2:AL2"/>
    <mergeCell ref="A4:AL4"/>
    <mergeCell ref="A5:AL5"/>
    <mergeCell ref="A14:A17"/>
    <mergeCell ref="G15:I15"/>
    <mergeCell ref="X15:X17"/>
    <mergeCell ref="Y15:Y17"/>
    <mergeCell ref="AK14:AK17"/>
    <mergeCell ref="E14:P14"/>
    <mergeCell ref="D14:D17"/>
    <mergeCell ref="AC15:AC17"/>
    <mergeCell ref="AH14:AH17"/>
    <mergeCell ref="AA14:AC14"/>
    <mergeCell ref="AD14:AD17"/>
    <mergeCell ref="AF14:AF17"/>
  </mergeCells>
  <pageMargins left="0.45" right="0.2" top="0.5" bottom="0.2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KDYTQT 2023</vt:lpstr>
      <vt:lpstr>KDYTQT 2022</vt:lpstr>
      <vt:lpstr>1.TBVP 2025 </vt:lpstr>
      <vt:lpstr>2. TB DIEN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2026-05-06T02:32:42Z</cp:lastPrinted>
  <dcterms:created xsi:type="dcterms:W3CDTF">2019-01-08T07:18:38Z</dcterms:created>
  <dcterms:modified xsi:type="dcterms:W3CDTF">2026-06-17T02:02:15Z</dcterms:modified>
</cp:coreProperties>
</file>