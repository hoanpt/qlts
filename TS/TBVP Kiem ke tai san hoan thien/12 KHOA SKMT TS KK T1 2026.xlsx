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DC\Tai san\kiem ke cuoi nam\2026\đã dò\TBVP\"/>
    </mc:Choice>
  </mc:AlternateContent>
  <xr:revisionPtr revIDLastSave="0" documentId="13_ncr:1_{471FFF1E-1086-45A2-9352-D9A8BADAB91B}" xr6:coauthVersionLast="36" xr6:coauthVersionMax="47" xr10:uidLastSave="{00000000-0000-0000-0000-000000000000}"/>
  <bookViews>
    <workbookView xWindow="-120" yWindow="-120" windowWidth="19800" windowHeight="11760" firstSheet="2" activeTab="3" xr2:uid="{00000000-000D-0000-FFFF-FFFF00000000}"/>
  </bookViews>
  <sheets>
    <sheet name="XXXXXXXXX" sheetId="4" state="veryHidden" r:id="rId1"/>
    <sheet name="foxz" sheetId="6" state="veryHidden" r:id="rId2"/>
    <sheet name="TBVP 2025" sheetId="3" r:id="rId3"/>
    <sheet name="KHoa SKMT-2025-TB Điện" sheetId="5" r:id="rId4"/>
  </sheets>
  <definedNames>
    <definedName name="_Fill" localSheetId="3" hidden="1">#REF!</definedName>
    <definedName name="_Fill" localSheetId="2" hidden="1">#REF!</definedName>
    <definedName name="_Fill" hidden="1">#REF!</definedName>
    <definedName name="_xlnm._FilterDatabase" localSheetId="3" hidden="1">'KHoa SKMT-2025-TB Điện'!$A$18:$AM$48</definedName>
    <definedName name="_xlnm._FilterDatabase" localSheetId="2" hidden="1">'TBVP 2025'!$A$17:$AN$49</definedName>
    <definedName name="_xlnm.Print_Area" localSheetId="2">'TBVP 2025'!$A$1:$AL$80</definedName>
    <definedName name="_xlnm.Print_Titles" localSheetId="3">'KHoa SKMT-2025-TB Điện'!$18:$22</definedName>
    <definedName name="_xlnm.Print_Titles" localSheetId="2">'TBVP 2025'!$17:$19</definedName>
    <definedName name="TaxTV">10%</definedName>
    <definedName name="TaxXL">5%</definedName>
  </definedNames>
  <calcPr calcId="191029"/>
</workbook>
</file>

<file path=xl/calcChain.xml><?xml version="1.0" encoding="utf-8"?>
<calcChain xmlns="http://schemas.openxmlformats.org/spreadsheetml/2006/main">
  <c r="AH38" i="5" l="1"/>
  <c r="AH29" i="5"/>
  <c r="AH41" i="5" l="1"/>
  <c r="AG49" i="3"/>
  <c r="AG23" i="3" l="1"/>
  <c r="AG35" i="3"/>
  <c r="AG34" i="3" l="1"/>
  <c r="AG21" i="3"/>
  <c r="AC87" i="3" l="1"/>
  <c r="AB87" i="3"/>
  <c r="AC86" i="3"/>
  <c r="Y86" i="3"/>
  <c r="AB86" i="3" s="1"/>
</calcChain>
</file>

<file path=xl/sharedStrings.xml><?xml version="1.0" encoding="utf-8"?>
<sst xmlns="http://schemas.openxmlformats.org/spreadsheetml/2006/main" count="629" uniqueCount="199">
  <si>
    <t>Mẫu số C53-HD</t>
  </si>
  <si>
    <t>DANH SÁCH KIỂM KÊ TÀI SẢN CỐ ĐỊNH NĂM 2017</t>
  </si>
  <si>
    <t>Chủ tịch HĐ kiểm kê</t>
  </si>
  <si>
    <t>Phó chủ tịch HĐ</t>
  </si>
  <si>
    <t>Cùng tiến hành kiểm kê tài sản, kết quả như sau:</t>
  </si>
  <si>
    <t>S
T
T</t>
  </si>
  <si>
    <t>TÀI SẢN</t>
  </si>
  <si>
    <t>Mã
số</t>
  </si>
  <si>
    <t>Năm
đưa vào sử dụng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</si>
  <si>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</si>
  <si>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</si>
  <si>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</si>
  <si>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</si>
  <si>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</si>
  <si>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Ghi 
chú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</si>
  <si>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</si>
  <si>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</si>
  <si>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</si>
  <si>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</si>
  <si>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</si>
  <si>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</si>
  <si>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</si>
  <si>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</si>
  <si>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</si>
  <si>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</si>
  <si>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</si>
  <si>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</si>
  <si>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</si>
  <si>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</si>
  <si>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</si>
  <si>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</si>
  <si>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</si>
  <si>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</si>
  <si>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</si>
  <si>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</si>
  <si>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</si>
  <si>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</si>
  <si>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</si>
  <si>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</si>
  <si>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</si>
  <si>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</si>
  <si>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</si>
  <si>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Nhật</t>
  </si>
  <si>
    <t>đang sd</t>
  </si>
  <si>
    <t>Đơn vị: Trung tâm Kiểm soát bệnh tật TP Đà Nẵng</t>
  </si>
  <si>
    <t>Mã ĐV SDNS: 1127644</t>
  </si>
  <si>
    <t>Theo sổ sách</t>
  </si>
  <si>
    <t>Thực tế KK</t>
  </si>
  <si>
    <t>Chênh lệch</t>
  </si>
  <si>
    <t>Số lượng</t>
  </si>
  <si>
    <t>Nơi chuyển đến</t>
  </si>
  <si>
    <t>Thành viên tổ kiểm kê</t>
  </si>
  <si>
    <t>Trưởng phòng TC - KT</t>
  </si>
  <si>
    <t>Chủ tịch hội đồng</t>
  </si>
  <si>
    <t>-</t>
  </si>
  <si>
    <t>Ủy viên</t>
  </si>
  <si>
    <t>3. Ông. Trần Liên</t>
  </si>
  <si>
    <t>Trưởng phòng TC - HC</t>
  </si>
  <si>
    <t>Tổ trưởng</t>
  </si>
  <si>
    <t>Đại diện khoa</t>
  </si>
  <si>
    <t>5. Thành viên tổ kiểm kê</t>
  </si>
  <si>
    <t>315 PCT</t>
  </si>
  <si>
    <t>Phòng làm việc</t>
  </si>
  <si>
    <t>Đơn vị tính</t>
  </si>
  <si>
    <t>Nơi tài sản mới chuyển đến</t>
  </si>
  <si>
    <t xml:space="preserve">Ghi chú
</t>
  </si>
  <si>
    <t>Phòng LV</t>
  </si>
  <si>
    <t>đang SD</t>
  </si>
  <si>
    <t>Đèn led panel 45w vuông 0,6x0,6 m</t>
  </si>
  <si>
    <t>Ổ cắm đôi 3 chấu</t>
  </si>
  <si>
    <t>Tủ điện âm tường bao gồm thiết bị</t>
  </si>
  <si>
    <t>Đầu báo khói địa chỉ (kể cả đế)</t>
  </si>
  <si>
    <t xml:space="preserve">Đầu phun sprinkler 68 độ C (loại quay xuống) + đế </t>
  </si>
  <si>
    <t>Quạt trần + hộp số</t>
  </si>
  <si>
    <t>Điều hòa treo tường 24.000 Btu/h + remote</t>
  </si>
  <si>
    <t>Miệng gió 200x200 + OBD</t>
  </si>
  <si>
    <t>Không sd</t>
  </si>
  <si>
    <t>I</t>
  </si>
  <si>
    <t>II</t>
  </si>
  <si>
    <t>III</t>
  </si>
  <si>
    <t>Trần Quốc Việt………………………...</t>
  </si>
  <si>
    <t>Trần Liên…………………………...….</t>
  </si>
  <si>
    <t>TS Tại 315 PCT</t>
  </si>
  <si>
    <t>Trần Liên………………...…………….</t>
  </si>
  <si>
    <t>4. Bà Võ Thị Duy Lệ</t>
  </si>
  <si>
    <t>Trưởng khoa SKMT-YTTH</t>
  </si>
  <si>
    <t>Bàn làm việc - BLV15-1
-Kích thước: (1.500x750x760)mm.
- Gỗ công nghiệp phủ melamine có hộc liền.</t>
  </si>
  <si>
    <t>Bàn làm việc - BLV1809-1
-Kích thước: (1.800x900x760)mm.
-Gỗ công nghiệp phun PU</t>
  </si>
  <si>
    <t>Ghế làm việc
-Kích thước: (550x530x865/990)mm.
- Khung nhựa, đệm tựa bọc vải tay nhựa.</t>
  </si>
  <si>
    <t>Tủ đựng dụng cụ
-Kích thước: (1.000x450x1.830)mm.
- Khung sắt sơn tĩnh điện khoang trên có 03 khoang, có 02 đợt di động. Khung cánh kính mở</t>
  </si>
  <si>
    <t>SKMT-YTTH</t>
  </si>
  <si>
    <t>Khoa SKMT-YTTH</t>
  </si>
  <si>
    <t>Kệ gỗ đen</t>
  </si>
  <si>
    <t>TDC 80</t>
  </si>
  <si>
    <t>BLV 1809/23</t>
  </si>
  <si>
    <t>Bàn làm việc vân gỗ (1,4 x 0,7)</t>
  </si>
  <si>
    <t>Hỏng, đã đề nghị thanh lý</t>
  </si>
  <si>
    <t>Bàn làm việc gỗ (1,2 x 0,6)</t>
  </si>
  <si>
    <t>Ghế nệm xanh</t>
  </si>
  <si>
    <t>Đang sử dụng</t>
  </si>
  <si>
    <t>Bàn làm việc gỗ lớn (1,6 x 2,0)</t>
  </si>
  <si>
    <t>Ghế gỗ trơn</t>
  </si>
  <si>
    <t>Phòng giao ban</t>
  </si>
  <si>
    <t>Bàn meca có gương (1,2 x 0,6)</t>
  </si>
  <si>
    <t>Bàn meca có gương (1,4 x 0,7)</t>
  </si>
  <si>
    <t>Bàn vi tính gỗ (1,2 x 0,6)</t>
  </si>
  <si>
    <t>Điều hoà LG</t>
  </si>
  <si>
    <t>Quạt trần</t>
  </si>
  <si>
    <t>Võ Thị Duy Lệ</t>
  </si>
  <si>
    <t>Hỏng, đề nghị thanh lý</t>
  </si>
  <si>
    <t>Đèn led downlight 16w</t>
  </si>
  <si>
    <t>Đầu phun sprinkler 68 độ C (loại quay xuống) + đế</t>
  </si>
  <si>
    <t>Miệng gió 800x150 + OBD</t>
  </si>
  <si>
    <t>Công tắc 3</t>
  </si>
  <si>
    <t>Phòng GB</t>
  </si>
  <si>
    <t>4. Bà. Võ Thị Duy Lệ</t>
  </si>
  <si>
    <t>PHÒNG GIAO BAN TẦNG 6</t>
  </si>
  <si>
    <t>TẦNG HẦM 118 LÊ ĐÌNH LÝ</t>
  </si>
  <si>
    <t>IV</t>
  </si>
  <si>
    <t>Tầng hầm 118</t>
  </si>
  <si>
    <t>DC-B042/1</t>
  </si>
  <si>
    <t>BALV-004</t>
  </si>
  <si>
    <t xml:space="preserve">TBVP KHOA SỨC KHOẺ MÔT TRƯỜNG - Y TẾ TRƯỜNG HỌC </t>
  </si>
  <si>
    <t xml:space="preserve"> CƠ SỞ CŨ 315 PHAN CHÂU TRINH</t>
  </si>
  <si>
    <t>TS cũ 315 PCT chuyển về</t>
  </si>
  <si>
    <t>P. làm việc (T6.17)</t>
  </si>
  <si>
    <t>P. giao ban (T6.16)</t>
  </si>
  <si>
    <t>bộ</t>
  </si>
  <si>
    <t>cái</t>
  </si>
  <si>
    <t>THIẾT BỊ ĐIỆN KHOA SỨC KHOẺ MÔI TRƯỜNG - Y TẾ TRƯỜNG HỌC</t>
  </si>
  <si>
    <t>TÀI SẢN THANH LÝ THEO QUYẾT ĐỊNH 443/QĐ-TTKSBT NGÀY 13/12/2023</t>
  </si>
  <si>
    <t>TÀI SẢN GẮN LIỀN BÀN GIAO NHÀ ĐÂT 315 PHAN CHÂU TRINH CHO CÔNG AN</t>
  </si>
  <si>
    <t>1. Ông. Nguyễn Đại Vĩnh</t>
  </si>
  <si>
    <t>Giám đốc</t>
  </si>
  <si>
    <t>Nguyễn Đại Vĩnh</t>
  </si>
  <si>
    <t>Lê Thị Bích Trâm……………………….</t>
  </si>
  <si>
    <t>Lê Thị Bích Trâm………………………..</t>
  </si>
  <si>
    <t>PHÒNG LÀM VIỆC 1 (T6)</t>
  </si>
  <si>
    <t>PHÒNG LÀM VIỆC 2 (T6)</t>
  </si>
  <si>
    <t>BLV/ 151-155</t>
  </si>
  <si>
    <t>BLV 156 chuyển PLV 2</t>
  </si>
  <si>
    <t>GLV/ 246-249, 251-252</t>
  </si>
  <si>
    <t>GLV 250 chuyển PLV 2</t>
  </si>
  <si>
    <t>BLV 156</t>
  </si>
  <si>
    <t>GLV 250</t>
  </si>
  <si>
    <t>+1</t>
  </si>
  <si>
    <t>PLV 1 chuyển sang</t>
  </si>
  <si>
    <t>Bàn làm việc 2016:HP1200SHL</t>
  </si>
  <si>
    <t>CS2</t>
  </si>
  <si>
    <t>Cơ sở 2 chuyển ra</t>
  </si>
  <si>
    <t>Bàn để máy tính HP204SHL; hiệu Hoà Phát</t>
  </si>
  <si>
    <t>179-HIV/17</t>
  </si>
  <si>
    <t>Tủ tài liệu 2016:TU09K3</t>
  </si>
  <si>
    <t>181-HIV/17</t>
  </si>
  <si>
    <t>2/YTDP</t>
  </si>
  <si>
    <t>180-HIV/17</t>
  </si>
  <si>
    <t>Ghế xoay HP SG550</t>
  </si>
  <si>
    <t>5/YTDP</t>
  </si>
  <si>
    <t>+2</t>
  </si>
  <si>
    <t>Cơ sở 2 chuyển ra (đem ra 02 cái, 01 cái chuyển Khoa BNN)</t>
  </si>
  <si>
    <t xml:space="preserve">Cơ sở 2 chuyển ra </t>
  </si>
  <si>
    <t xml:space="preserve">Quạt đứng công nghiệp </t>
  </si>
  <si>
    <t>27/SKMMT/2022</t>
  </si>
  <si>
    <t>BIÊN BẢN KIỂM KÊ TÀI SẢN CỐ ĐỊNH NĂM 2026</t>
  </si>
  <si>
    <t>2. Ông. Hồ Phú Quảng</t>
  </si>
  <si>
    <t>- Hôm nay, ngày      tháng    năm 2026, tại Trung tâm Kiểm soát bệnh tât TP Đà Nẵng chúng tôi gồm:</t>
  </si>
  <si>
    <t>Hồ Phú Quảng</t>
  </si>
  <si>
    <t xml:space="preserve">                            Đà Nẵng, ngày     tháng      năm 2026</t>
  </si>
  <si>
    <t>172-HIV/17</t>
  </si>
  <si>
    <t>CƠ SỞ 2</t>
  </si>
  <si>
    <t>Ghế gấp phòng họp GM (Xuân Hòa 083)</t>
  </si>
  <si>
    <t>49-HIV/15</t>
  </si>
  <si>
    <t>50-HIV/15</t>
  </si>
  <si>
    <t>0</t>
  </si>
  <si>
    <t>Bàn làm việc 2016: HP1200SHL</t>
  </si>
  <si>
    <t>213-HIV/17</t>
  </si>
  <si>
    <t>Bàn vi tính gỗ ép màu trắng</t>
  </si>
  <si>
    <t>05-SR/17</t>
  </si>
  <si>
    <t>-1</t>
  </si>
  <si>
    <t>hỏng</t>
  </si>
  <si>
    <t>Máy lạnh Panasonic 900</t>
  </si>
  <si>
    <t>TT-01/05</t>
  </si>
  <si>
    <t>Chuyển khoa HIV</t>
  </si>
  <si>
    <t>15 THĐ</t>
  </si>
  <si>
    <t>15 THĐ -Khoa KDYTQT chuyển sang</t>
  </si>
  <si>
    <t>Nguyễn Thị Hà Vy………………………..</t>
  </si>
  <si>
    <t>173-HIV/17</t>
  </si>
  <si>
    <t>Điện thoại cố định</t>
  </si>
  <si>
    <t>17/SKMT/2021</t>
  </si>
  <si>
    <t>Bàn làm việc HP 1200SHL</t>
  </si>
  <si>
    <t>9/YTDP</t>
  </si>
  <si>
    <t>Đơn giá</t>
  </si>
  <si>
    <t>Thành tiền</t>
  </si>
  <si>
    <t>TỔNG CỘNG</t>
  </si>
  <si>
    <t>- Hôm nay, ngày  16    tháng  01   năm 2026, tại Trung tâm Kiểm soát bệnh tât TP Đà Nẵng chúng tôi gồm:</t>
  </si>
  <si>
    <t>Đà Nẵng, ngày  16     tháng  01     năm 2026</t>
  </si>
  <si>
    <t>Nguyễn Thị Hà Vy……………………….</t>
  </si>
  <si>
    <t>Nguyễn Thị Vũ Cẩm……………………….</t>
  </si>
  <si>
    <t xml:space="preserve">Đơn giá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</si>
</sst>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_(* #,##0.000_);_(* \(#,##0.000\);_(* &quot;-&quot;??_);_(@_)"/>
    <numFmt numFmtId="166" formatCode="#_);\(#\)"/>
    <numFmt numFmtId="167" formatCode="\$#,##0\ ;\(\$#,##0\)"/>
    <numFmt numFmtId="168" formatCode="&quot;VND&quot;#,##0_);[Red]\(&quot;VND&quot;#,##0\)"/>
    <numFmt numFmtId="169" formatCode="&quot;\&quot;#,##0;[Red]&quot;\&quot;&quot;\&quot;\-#,##0"/>
    <numFmt numFmtId="170" formatCode="&quot;\&quot;#,##0.00;[Red]&quot;\&quot;&quot;\&quot;&quot;\&quot;&quot;\&quot;&quot;\&quot;&quot;\&quot;\-#,##0.00"/>
    <numFmt numFmtId="171" formatCode="&quot;\&quot;#,##0.00;[Red]&quot;\&quot;\-#,##0.00"/>
    <numFmt numFmtId="172" formatCode="&quot;\&quot;#,##0;[Red]&quot;\&quot;\-#,##0"/>
    <numFmt numFmtId="173" formatCode="_(* #,##0_);_(* \(#,##0\);_(* &quot;-&quot;??_);_(@_)"/>
    <numFmt numFmtId="174" formatCode="0.0%"/>
    <numFmt numFmtId="175" formatCode="_-* #,##0&quot; &quot;_ _-;\-* #,##0&quot; &quot;_ _-;_-* &quot;-&quot;??&quot; &quot;_ _-;_-@_-"/>
  </numFmts>
  <fonts count="29">
    <font>
      <sz val="10"/>
      <name val="VNtimes new roman"/>
    </font>
    <font>
      <sz val="11"/>
      <color theme="1"/>
      <name val="Calibri"/>
      <family val="2"/>
      <charset val="163"/>
      <scheme val="minor"/>
    </font>
    <font>
      <sz val="10"/>
      <name val="VNtimes new roman"/>
      <family val="2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b/>
      <u/>
      <sz val="12"/>
      <name val="Times New Roman"/>
      <family val="1"/>
    </font>
    <font>
      <sz val="8"/>
      <name val="VNtimes new roman"/>
    </font>
    <font>
      <b/>
      <sz val="10"/>
      <name val="Times New Roman"/>
      <family val="1"/>
    </font>
    <font>
      <sz val="8"/>
      <color indexed="8"/>
      <name val="Arial"/>
      <family val="2"/>
    </font>
    <font>
      <b/>
      <sz val="12"/>
      <name val="Times New Roman"/>
      <family val="1"/>
      <charset val="163"/>
    </font>
    <font>
      <sz val="12"/>
      <name val="Times New Roman"/>
      <family val="1"/>
      <charset val="163"/>
    </font>
    <font>
      <b/>
      <sz val="14"/>
      <name val="Times New Roman"/>
      <family val="1"/>
      <charset val="163"/>
    </font>
    <font>
      <sz val="8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1"/>
      <name val="VNtimes new roman"/>
      <family val="2"/>
      <charset val="163"/>
    </font>
    <font>
      <sz val="11"/>
      <name val="Times New Roman"/>
      <family val="1"/>
      <charset val="163"/>
    </font>
    <font>
      <b/>
      <sz val="12"/>
      <name val="VNtimes new roman"/>
      <family val="2"/>
      <charset val="163"/>
    </font>
    <font>
      <sz val="11"/>
      <name val="Calibri"/>
      <family val="2"/>
      <scheme val="minor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</borders>
  <cellStyleXfs count="31">
    <xf numFmtId="0" fontId="0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168" fontId="2" fillId="0" borderId="0"/>
    <xf numFmtId="0" fontId="14" fillId="0" borderId="0"/>
    <xf numFmtId="9" fontId="4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7" fillId="0" borderId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9" fillId="0" borderId="0"/>
    <xf numFmtId="0" fontId="12" fillId="0" borderId="0" applyAlignment="0">
      <alignment vertical="top" wrapText="1"/>
      <protection locked="0"/>
    </xf>
    <xf numFmtId="0" fontId="18" fillId="0" borderId="0" applyNumberFormat="0" applyFill="0" applyBorder="0" applyAlignment="0" applyProtection="0">
      <alignment vertical="top"/>
    </xf>
    <xf numFmtId="164" fontId="2" fillId="0" borderId="0" applyFont="0" applyFill="0" applyBorder="0" applyAlignment="0" applyProtection="0"/>
    <xf numFmtId="0" fontId="1" fillId="0" borderId="0"/>
  </cellStyleXfs>
  <cellXfs count="206">
    <xf numFmtId="0" fontId="0" fillId="0" borderId="0" xfId="0"/>
    <xf numFmtId="0" fontId="10" fillId="2" borderId="0" xfId="0" applyFont="1" applyFill="1"/>
    <xf numFmtId="3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3" fillId="2" borderId="2" xfId="14" applyFont="1" applyFill="1" applyBorder="1" applyAlignment="1">
      <alignment vertical="center" wrapText="1"/>
    </xf>
    <xf numFmtId="0" fontId="12" fillId="2" borderId="2" xfId="0" applyFont="1" applyFill="1" applyBorder="1" applyAlignment="1">
      <alignment vertical="center"/>
    </xf>
    <xf numFmtId="0" fontId="12" fillId="2" borderId="2" xfId="14" applyFont="1" applyFill="1" applyBorder="1" applyAlignment="1">
      <alignment horizontal="left" vertical="center" wrapText="1"/>
    </xf>
    <xf numFmtId="0" fontId="11" fillId="2" borderId="0" xfId="0" quotePrefix="1" applyFont="1" applyFill="1" applyAlignment="1">
      <alignment horizontal="left"/>
    </xf>
    <xf numFmtId="0" fontId="10" fillId="2" borderId="0" xfId="0" quotePrefix="1" applyFont="1" applyFill="1" applyAlignment="1">
      <alignment horizontal="left"/>
    </xf>
    <xf numFmtId="3" fontId="10" fillId="2" borderId="0" xfId="0" applyNumberFormat="1" applyFont="1" applyFill="1" applyAlignment="1">
      <alignment horizontal="right"/>
    </xf>
    <xf numFmtId="0" fontId="11" fillId="2" borderId="0" xfId="0" applyFont="1" applyFill="1"/>
    <xf numFmtId="0" fontId="11" fillId="2" borderId="0" xfId="0" quotePrefix="1" applyFont="1" applyFill="1"/>
    <xf numFmtId="0" fontId="15" fillId="2" borderId="0" xfId="0" applyFont="1" applyFill="1" applyAlignment="1">
      <alignment horizontal="center"/>
    </xf>
    <xf numFmtId="165" fontId="11" fillId="2" borderId="0" xfId="7" applyNumberFormat="1" applyFont="1" applyFill="1" applyAlignment="1">
      <alignment horizontal="center"/>
    </xf>
    <xf numFmtId="0" fontId="10" fillId="2" borderId="0" xfId="0" applyFont="1" applyFill="1" applyAlignment="1">
      <alignment horizontal="left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5" fontId="10" fillId="2" borderId="0" xfId="7" applyNumberFormat="1" applyFont="1" applyFill="1" applyBorder="1" applyAlignment="1">
      <alignment horizontal="center"/>
    </xf>
    <xf numFmtId="166" fontId="13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vertical="center"/>
    </xf>
    <xf numFmtId="166" fontId="13" fillId="2" borderId="2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1" fillId="2" borderId="2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3" fontId="12" fillId="2" borderId="2" xfId="0" applyNumberFormat="1" applyFont="1" applyFill="1" applyBorder="1" applyAlignment="1">
      <alignment horizontal="center" vertical="center" wrapText="1"/>
    </xf>
    <xf numFmtId="3" fontId="12" fillId="2" borderId="2" xfId="0" applyNumberFormat="1" applyFont="1" applyFill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3" fontId="11" fillId="2" borderId="0" xfId="0" applyNumberFormat="1" applyFont="1" applyFill="1" applyAlignment="1">
      <alignment horizontal="right"/>
    </xf>
    <xf numFmtId="0" fontId="12" fillId="2" borderId="2" xfId="0" applyFont="1" applyFill="1" applyBorder="1" applyAlignment="1">
      <alignment vertical="center" wrapText="1"/>
    </xf>
    <xf numFmtId="0" fontId="12" fillId="2" borderId="2" xfId="0" applyFont="1" applyFill="1" applyBorder="1"/>
    <xf numFmtId="3" fontId="12" fillId="2" borderId="2" xfId="0" applyNumberFormat="1" applyFont="1" applyFill="1" applyBorder="1" applyAlignment="1">
      <alignment horizontal="left" vertical="center"/>
    </xf>
    <xf numFmtId="49" fontId="12" fillId="2" borderId="2" xfId="0" quotePrefix="1" applyNumberFormat="1" applyFont="1" applyFill="1" applyBorder="1" applyAlignment="1">
      <alignment horizontal="center" vertical="center"/>
    </xf>
    <xf numFmtId="3" fontId="12" fillId="2" borderId="2" xfId="0" applyNumberFormat="1" applyFont="1" applyFill="1" applyBorder="1" applyAlignment="1">
      <alignment horizontal="right" vertical="center"/>
    </xf>
    <xf numFmtId="0" fontId="17" fillId="2" borderId="2" xfId="0" applyFont="1" applyFill="1" applyBorder="1" applyAlignment="1">
      <alignment horizontal="center" vertical="center"/>
    </xf>
    <xf numFmtId="0" fontId="17" fillId="3" borderId="2" xfId="28" applyFont="1" applyFill="1" applyBorder="1" applyAlignment="1" applyProtection="1">
      <alignment horizontal="center" vertical="center" wrapText="1" shrinkToFit="1"/>
      <protection locked="0"/>
    </xf>
    <xf numFmtId="0" fontId="17" fillId="2" borderId="2" xfId="0" applyFont="1" applyFill="1" applyBorder="1" applyAlignment="1">
      <alignment horizontal="left" vertical="center"/>
    </xf>
    <xf numFmtId="3" fontId="17" fillId="2" borderId="2" xfId="0" applyNumberFormat="1" applyFont="1" applyFill="1" applyBorder="1" applyAlignment="1">
      <alignment horizontal="right" vertical="center"/>
    </xf>
    <xf numFmtId="3" fontId="17" fillId="2" borderId="2" xfId="0" applyNumberFormat="1" applyFont="1" applyFill="1" applyBorder="1" applyAlignment="1">
      <alignment vertical="center"/>
    </xf>
    <xf numFmtId="3" fontId="17" fillId="2" borderId="2" xfId="0" applyNumberFormat="1" applyFont="1" applyFill="1" applyBorder="1" applyAlignment="1">
      <alignment horizontal="center" vertical="center"/>
    </xf>
    <xf numFmtId="49" fontId="17" fillId="2" borderId="2" xfId="29" applyNumberFormat="1" applyFont="1" applyFill="1" applyBorder="1" applyAlignment="1">
      <alignment vertical="center"/>
    </xf>
    <xf numFmtId="9" fontId="17" fillId="2" borderId="2" xfId="0" applyNumberFormat="1" applyFont="1" applyFill="1" applyBorder="1" applyAlignment="1">
      <alignment horizontal="right" vertical="center"/>
    </xf>
    <xf numFmtId="0" fontId="17" fillId="2" borderId="2" xfId="0" applyFont="1" applyFill="1" applyBorder="1" applyAlignment="1">
      <alignment vertical="center"/>
    </xf>
    <xf numFmtId="175" fontId="17" fillId="2" borderId="2" xfId="0" applyNumberFormat="1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/>
    </xf>
    <xf numFmtId="0" fontId="17" fillId="2" borderId="2" xfId="30" applyFont="1" applyFill="1" applyBorder="1" applyAlignment="1">
      <alignment vertical="center" wrapText="1"/>
    </xf>
    <xf numFmtId="0" fontId="20" fillId="2" borderId="0" xfId="0" applyFont="1" applyFill="1"/>
    <xf numFmtId="49" fontId="20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right"/>
    </xf>
    <xf numFmtId="0" fontId="20" fillId="2" borderId="0" xfId="0" applyFont="1" applyFill="1" applyAlignment="1">
      <alignment horizontal="center" wrapText="1"/>
    </xf>
    <xf numFmtId="49" fontId="21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right"/>
    </xf>
    <xf numFmtId="0" fontId="21" fillId="2" borderId="0" xfId="0" applyFont="1" applyFill="1" applyAlignment="1">
      <alignment horizontal="center" wrapText="1"/>
    </xf>
    <xf numFmtId="0" fontId="20" fillId="2" borderId="0" xfId="0" applyFont="1" applyFill="1" applyAlignment="1">
      <alignment horizontal="right"/>
    </xf>
    <xf numFmtId="0" fontId="19" fillId="2" borderId="0" xfId="0" applyFont="1" applyFill="1" applyAlignment="1">
      <alignment horizontal="right"/>
    </xf>
    <xf numFmtId="165" fontId="19" fillId="2" borderId="0" xfId="7" applyNumberFormat="1" applyFont="1" applyFill="1" applyAlignment="1">
      <alignment horizontal="center"/>
    </xf>
    <xf numFmtId="49" fontId="19" fillId="2" borderId="0" xfId="0" applyNumberFormat="1" applyFont="1" applyFill="1" applyAlignment="1">
      <alignment horizontal="center"/>
    </xf>
    <xf numFmtId="0" fontId="22" fillId="2" borderId="0" xfId="0" applyFont="1" applyFill="1" applyAlignment="1">
      <alignment wrapText="1"/>
    </xf>
    <xf numFmtId="49" fontId="20" fillId="2" borderId="0" xfId="0" applyNumberFormat="1" applyFont="1" applyFill="1"/>
    <xf numFmtId="0" fontId="20" fillId="2" borderId="0" xfId="0" applyFont="1" applyFill="1" applyAlignment="1">
      <alignment wrapText="1"/>
    </xf>
    <xf numFmtId="3" fontId="20" fillId="2" borderId="0" xfId="0" applyNumberFormat="1" applyFont="1" applyFill="1" applyAlignment="1">
      <alignment horizontal="right"/>
    </xf>
    <xf numFmtId="49" fontId="20" fillId="2" borderId="0" xfId="7" applyNumberFormat="1" applyFont="1" applyFill="1" applyBorder="1" applyAlignment="1">
      <alignment horizontal="center"/>
    </xf>
    <xf numFmtId="0" fontId="20" fillId="2" borderId="1" xfId="0" applyFont="1" applyFill="1" applyBorder="1"/>
    <xf numFmtId="3" fontId="23" fillId="2" borderId="3" xfId="0" applyNumberFormat="1" applyFont="1" applyFill="1" applyBorder="1" applyAlignment="1">
      <alignment horizontal="center" vertical="center" wrapText="1"/>
    </xf>
    <xf numFmtId="49" fontId="23" fillId="2" borderId="3" xfId="0" applyNumberFormat="1" applyFont="1" applyFill="1" applyBorder="1" applyAlignment="1">
      <alignment horizontal="center" vertical="center" wrapText="1"/>
    </xf>
    <xf numFmtId="166" fontId="23" fillId="2" borderId="2" xfId="0" applyNumberFormat="1" applyFont="1" applyFill="1" applyBorder="1" applyAlignment="1">
      <alignment horizontal="center" vertical="center"/>
    </xf>
    <xf numFmtId="49" fontId="23" fillId="2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right" vertical="center"/>
    </xf>
    <xf numFmtId="0" fontId="23" fillId="2" borderId="2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3" fontId="25" fillId="2" borderId="2" xfId="0" applyNumberFormat="1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vertical="center" wrapText="1"/>
    </xf>
    <xf numFmtId="3" fontId="25" fillId="2" borderId="2" xfId="0" applyNumberFormat="1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/>
    </xf>
    <xf numFmtId="3" fontId="25" fillId="2" borderId="2" xfId="0" applyNumberFormat="1" applyFont="1" applyFill="1" applyBorder="1" applyAlignment="1">
      <alignment horizontal="left" vertical="center"/>
    </xf>
    <xf numFmtId="49" fontId="25" fillId="2" borderId="2" xfId="0" quotePrefix="1" applyNumberFormat="1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 wrapText="1"/>
    </xf>
    <xf numFmtId="3" fontId="25" fillId="2" borderId="2" xfId="0" applyNumberFormat="1" applyFont="1" applyFill="1" applyBorder="1" applyAlignment="1">
      <alignment horizontal="left" vertical="center" wrapText="1"/>
    </xf>
    <xf numFmtId="173" fontId="12" fillId="2" borderId="2" xfId="27" applyNumberFormat="1" applyFont="1" applyFill="1" applyBorder="1" applyAlignment="1" applyProtection="1">
      <alignment horizontal="right" vertical="center" wrapText="1"/>
    </xf>
    <xf numFmtId="0" fontId="10" fillId="2" borderId="1" xfId="0" applyFont="1" applyFill="1" applyBorder="1"/>
    <xf numFmtId="3" fontId="23" fillId="2" borderId="2" xfId="0" applyNumberFormat="1" applyFont="1" applyFill="1" applyBorder="1" applyAlignment="1">
      <alignment horizontal="left" vertical="center"/>
    </xf>
    <xf numFmtId="3" fontId="13" fillId="2" borderId="2" xfId="0" applyNumberFormat="1" applyFont="1" applyFill="1" applyBorder="1" applyAlignment="1">
      <alignment horizontal="right" vertical="center"/>
    </xf>
    <xf numFmtId="3" fontId="23" fillId="2" borderId="2" xfId="0" applyNumberFormat="1" applyFont="1" applyFill="1" applyBorder="1" applyAlignment="1">
      <alignment horizontal="left" vertical="center" wrapText="1"/>
    </xf>
    <xf numFmtId="0" fontId="19" fillId="2" borderId="1" xfId="0" applyFont="1" applyFill="1" applyBorder="1"/>
    <xf numFmtId="0" fontId="19" fillId="2" borderId="0" xfId="0" applyFont="1" applyFill="1"/>
    <xf numFmtId="49" fontId="12" fillId="2" borderId="2" xfId="0" applyNumberFormat="1" applyFont="1" applyFill="1" applyBorder="1" applyAlignment="1">
      <alignment horizontal="center" vertical="center"/>
    </xf>
    <xf numFmtId="173" fontId="12" fillId="2" borderId="2" xfId="7" applyNumberFormat="1" applyFont="1" applyFill="1" applyBorder="1" applyAlignment="1">
      <alignment horizontal="right" vertical="center"/>
    </xf>
    <xf numFmtId="3" fontId="12" fillId="2" borderId="2" xfId="0" applyNumberFormat="1" applyFont="1" applyFill="1" applyBorder="1" applyAlignment="1">
      <alignment horizontal="left" vertical="center" wrapText="1"/>
    </xf>
    <xf numFmtId="0" fontId="25" fillId="2" borderId="2" xfId="0" applyFont="1" applyFill="1" applyBorder="1"/>
    <xf numFmtId="49" fontId="25" fillId="2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vertical="center" wrapText="1"/>
    </xf>
    <xf numFmtId="0" fontId="12" fillId="2" borderId="2" xfId="14" applyFont="1" applyFill="1" applyBorder="1" applyAlignment="1">
      <alignment horizontal="center" vertical="center" wrapText="1"/>
    </xf>
    <xf numFmtId="173" fontId="12" fillId="2" borderId="2" xfId="7" applyNumberFormat="1" applyFont="1" applyFill="1" applyBorder="1" applyAlignment="1">
      <alignment horizontal="right" vertical="center" wrapText="1"/>
    </xf>
    <xf numFmtId="3" fontId="19" fillId="2" borderId="0" xfId="0" applyNumberFormat="1" applyFont="1" applyFill="1" applyAlignment="1">
      <alignment horizontal="right"/>
    </xf>
    <xf numFmtId="165" fontId="19" fillId="2" borderId="0" xfId="7" applyNumberFormat="1" applyFont="1" applyFill="1" applyBorder="1"/>
    <xf numFmtId="0" fontId="19" fillId="2" borderId="0" xfId="0" applyFont="1" applyFill="1" applyAlignment="1">
      <alignment wrapText="1"/>
    </xf>
    <xf numFmtId="165" fontId="19" fillId="2" borderId="0" xfId="8" applyNumberFormat="1" applyFont="1" applyFill="1" applyBorder="1"/>
    <xf numFmtId="49" fontId="12" fillId="2" borderId="2" xfId="0" quotePrefix="1" applyNumberFormat="1" applyFont="1" applyFill="1" applyBorder="1" applyAlignment="1">
      <alignment horizontal="center" vertical="center" wrapText="1"/>
    </xf>
    <xf numFmtId="174" fontId="12" fillId="2" borderId="2" xfId="0" applyNumberFormat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right" vertical="center" wrapText="1"/>
    </xf>
    <xf numFmtId="0" fontId="23" fillId="2" borderId="2" xfId="0" applyFont="1" applyFill="1" applyBorder="1" applyAlignment="1">
      <alignment vertical="center" wrapText="1"/>
    </xf>
    <xf numFmtId="0" fontId="23" fillId="2" borderId="2" xfId="0" applyFont="1" applyFill="1" applyBorder="1"/>
    <xf numFmtId="49" fontId="23" fillId="2" borderId="2" xfId="0" applyNumberFormat="1" applyFont="1" applyFill="1" applyBorder="1" applyAlignment="1">
      <alignment horizontal="left" vertical="center"/>
    </xf>
    <xf numFmtId="165" fontId="20" fillId="2" borderId="0" xfId="7" applyNumberFormat="1" applyFont="1" applyFill="1" applyBorder="1"/>
    <xf numFmtId="49" fontId="20" fillId="2" borderId="0" xfId="7" applyNumberFormat="1" applyFont="1" applyFill="1" applyAlignment="1">
      <alignment horizontal="center"/>
    </xf>
    <xf numFmtId="166" fontId="19" fillId="2" borderId="2" xfId="0" applyNumberFormat="1" applyFont="1" applyFill="1" applyBorder="1" applyAlignment="1">
      <alignment horizontal="center" vertical="center" wrapText="1"/>
    </xf>
    <xf numFmtId="49" fontId="25" fillId="2" borderId="2" xfId="0" applyNumberFormat="1" applyFont="1" applyFill="1" applyBorder="1" applyAlignment="1">
      <alignment horizontal="left" vertical="center"/>
    </xf>
    <xf numFmtId="0" fontId="19" fillId="2" borderId="2" xfId="0" applyFont="1" applyFill="1" applyBorder="1" applyAlignment="1">
      <alignment horizontal="center" vertical="center"/>
    </xf>
    <xf numFmtId="3" fontId="19" fillId="2" borderId="2" xfId="0" applyNumberFormat="1" applyFont="1" applyFill="1" applyBorder="1" applyAlignment="1">
      <alignment horizontal="center" vertical="center" wrapText="1"/>
    </xf>
    <xf numFmtId="3" fontId="19" fillId="2" borderId="2" xfId="0" applyNumberFormat="1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 wrapText="1"/>
    </xf>
    <xf numFmtId="3" fontId="23" fillId="2" borderId="2" xfId="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23" fillId="2" borderId="3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3" fontId="13" fillId="2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vertical="center"/>
    </xf>
    <xf numFmtId="173" fontId="12" fillId="2" borderId="8" xfId="7" applyNumberFormat="1" applyFont="1" applyFill="1" applyBorder="1" applyAlignment="1">
      <alignment horizontal="right" vertical="center" wrapText="1"/>
    </xf>
    <xf numFmtId="0" fontId="10" fillId="2" borderId="7" xfId="0" applyFont="1" applyFill="1" applyBorder="1" applyAlignment="1">
      <alignment vertical="center"/>
    </xf>
    <xf numFmtId="0" fontId="27" fillId="2" borderId="7" xfId="14" applyFont="1" applyFill="1" applyBorder="1" applyAlignment="1">
      <alignment horizontal="center" vertical="center" wrapText="1"/>
    </xf>
    <xf numFmtId="173" fontId="12" fillId="2" borderId="7" xfId="7" applyNumberFormat="1" applyFont="1" applyFill="1" applyBorder="1" applyAlignment="1">
      <alignment horizontal="right" vertical="center" wrapText="1"/>
    </xf>
    <xf numFmtId="0" fontId="27" fillId="2" borderId="7" xfId="14" applyFont="1" applyFill="1" applyBorder="1" applyAlignment="1">
      <alignment vertical="center" wrapText="1"/>
    </xf>
    <xf numFmtId="0" fontId="12" fillId="2" borderId="2" xfId="14" applyFont="1" applyFill="1" applyBorder="1" applyAlignment="1">
      <alignment vertical="center" wrapText="1"/>
    </xf>
    <xf numFmtId="0" fontId="12" fillId="2" borderId="3" xfId="0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49" fontId="12" fillId="2" borderId="3" xfId="0" quotePrefix="1" applyNumberFormat="1" applyFont="1" applyFill="1" applyBorder="1" applyAlignment="1">
      <alignment horizontal="center" vertical="center" wrapText="1"/>
    </xf>
    <xf numFmtId="174" fontId="1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3" fillId="2" borderId="2" xfId="0" applyFont="1" applyFill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3" fontId="13" fillId="2" borderId="2" xfId="0" applyNumberFormat="1" applyFont="1" applyFill="1" applyBorder="1" applyAlignment="1">
      <alignment horizontal="center" vertical="center" wrapText="1"/>
    </xf>
    <xf numFmtId="165" fontId="10" fillId="2" borderId="0" xfId="29" applyNumberFormat="1" applyFont="1" applyFill="1" applyBorder="1" applyAlignment="1">
      <alignment horizontal="center"/>
    </xf>
    <xf numFmtId="165" fontId="11" fillId="2" borderId="0" xfId="29" applyNumberFormat="1" applyFont="1" applyFill="1" applyBorder="1"/>
    <xf numFmtId="165" fontId="10" fillId="2" borderId="0" xfId="29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3" fontId="13" fillId="2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/>
    </xf>
    <xf numFmtId="173" fontId="28" fillId="0" borderId="2" xfId="7" applyNumberFormat="1" applyFont="1" applyFill="1" applyBorder="1" applyAlignment="1">
      <alignment vertical="center"/>
    </xf>
    <xf numFmtId="0" fontId="21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9" fillId="2" borderId="0" xfId="0" quotePrefix="1" applyFont="1" applyFill="1" applyAlignment="1">
      <alignment horizontal="left"/>
    </xf>
    <xf numFmtId="3" fontId="23" fillId="2" borderId="2" xfId="0" applyNumberFormat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/>
    </xf>
    <xf numFmtId="0" fontId="20" fillId="2" borderId="0" xfId="0" quotePrefix="1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23" fillId="2" borderId="2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/>
    </xf>
    <xf numFmtId="3" fontId="23" fillId="2" borderId="2" xfId="0" applyNumberFormat="1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/>
    </xf>
    <xf numFmtId="0" fontId="23" fillId="2" borderId="4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3" fontId="19" fillId="2" borderId="2" xfId="0" applyNumberFormat="1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3" fontId="19" fillId="2" borderId="3" xfId="0" applyNumberFormat="1" applyFont="1" applyFill="1" applyBorder="1" applyAlignment="1">
      <alignment horizontal="center" vertical="center" wrapText="1"/>
    </xf>
    <xf numFmtId="3" fontId="19" fillId="2" borderId="5" xfId="0" applyNumberFormat="1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wrapText="1"/>
    </xf>
    <xf numFmtId="0" fontId="20" fillId="2" borderId="6" xfId="0" applyFont="1" applyFill="1" applyBorder="1" applyAlignment="1">
      <alignment horizontal="center"/>
    </xf>
    <xf numFmtId="3" fontId="19" fillId="2" borderId="2" xfId="0" applyNumberFormat="1" applyFont="1" applyFill="1" applyBorder="1" applyAlignment="1">
      <alignment horizontal="center" vertical="center" wrapText="1"/>
    </xf>
    <xf numFmtId="3" fontId="19" fillId="2" borderId="4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/>
    </xf>
    <xf numFmtId="49" fontId="19" fillId="2" borderId="3" xfId="0" applyNumberFormat="1" applyFont="1" applyFill="1" applyBorder="1" applyAlignment="1">
      <alignment horizontal="center" vertical="center" wrapText="1"/>
    </xf>
    <xf numFmtId="49" fontId="19" fillId="2" borderId="4" xfId="0" applyNumberFormat="1" applyFont="1" applyFill="1" applyBorder="1" applyAlignment="1">
      <alignment horizontal="center" vertical="center"/>
    </xf>
    <xf numFmtId="49" fontId="19" fillId="2" borderId="5" xfId="0" applyNumberFormat="1" applyFont="1" applyFill="1" applyBorder="1" applyAlignment="1">
      <alignment horizontal="center" vertical="center"/>
    </xf>
    <xf numFmtId="0" fontId="26" fillId="2" borderId="2" xfId="0" applyFont="1" applyFill="1" applyBorder="1"/>
    <xf numFmtId="0" fontId="11" fillId="2" borderId="0" xfId="0" applyFont="1" applyFill="1" applyAlignment="1">
      <alignment horizont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3" fillId="2" borderId="2" xfId="0" applyFont="1" applyFill="1" applyBorder="1"/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 wrapText="1"/>
    </xf>
    <xf numFmtId="3" fontId="13" fillId="2" borderId="2" xfId="0" applyNumberFormat="1" applyFont="1" applyFill="1" applyBorder="1" applyAlignment="1">
      <alignment horizontal="center" vertical="center"/>
    </xf>
    <xf numFmtId="3" fontId="13" fillId="2" borderId="3" xfId="0" applyNumberFormat="1" applyFont="1" applyFill="1" applyBorder="1" applyAlignment="1">
      <alignment horizontal="center" vertical="center" wrapText="1"/>
    </xf>
    <xf numFmtId="3" fontId="13" fillId="2" borderId="5" xfId="0" applyNumberFormat="1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/>
    </xf>
    <xf numFmtId="3" fontId="13" fillId="2" borderId="5" xfId="0" applyNumberFormat="1" applyFont="1" applyFill="1" applyBorder="1" applyAlignment="1">
      <alignment horizontal="center" vertical="center"/>
    </xf>
  </cellXfs>
  <cellStyles count="31">
    <cellStyle name="AeE­ [0]_INQUIRY ¿μ¾÷AßAø " xfId="1" xr:uid="{00000000-0005-0000-0000-000000000000}"/>
    <cellStyle name="AeE­_INQUIRY ¿μ¾÷AßAø " xfId="2" xr:uid="{00000000-0005-0000-0000-000001000000}"/>
    <cellStyle name="AÞ¸¶ [0]_INQUIRY ¿?¾÷AßAø " xfId="3" xr:uid="{00000000-0005-0000-0000-000002000000}"/>
    <cellStyle name="AÞ¸¶_INQUIRY ¿?¾÷AßAø " xfId="4" xr:uid="{00000000-0005-0000-0000-000003000000}"/>
    <cellStyle name="C?AØ_¿?¾÷CoE² " xfId="5" xr:uid="{00000000-0005-0000-0000-000004000000}"/>
    <cellStyle name="C￥AØ_¿μ¾÷CoE² " xfId="6" xr:uid="{00000000-0005-0000-0000-000005000000}"/>
    <cellStyle name="Comma" xfId="7" builtinId="3"/>
    <cellStyle name="Comma 2" xfId="8" xr:uid="{00000000-0005-0000-0000-000007000000}"/>
    <cellStyle name="Comma 2 2" xfId="29" xr:uid="{F3E2D854-E195-4D61-B587-E5838DAE687B}"/>
    <cellStyle name="Comma0" xfId="9" xr:uid="{00000000-0005-0000-0000-000008000000}"/>
    <cellStyle name="Currency0" xfId="10" xr:uid="{00000000-0005-0000-0000-000009000000}"/>
    <cellStyle name="Date" xfId="11" xr:uid="{00000000-0005-0000-0000-00000A000000}"/>
    <cellStyle name="Fixed" xfId="12" xr:uid="{00000000-0005-0000-0000-00000B000000}"/>
    <cellStyle name="Normal" xfId="0" builtinId="0"/>
    <cellStyle name="Normal - Style1" xfId="13" xr:uid="{00000000-0005-0000-0000-00000D000000}"/>
    <cellStyle name="Normal 2" xfId="14" xr:uid="{00000000-0005-0000-0000-00000E000000}"/>
    <cellStyle name="Normal 3 2" xfId="30" xr:uid="{23F76072-5AB0-4721-AF91-59FAC0381028}"/>
    <cellStyle name="Normal 5 2" xfId="28" xr:uid="{B5A56D83-D430-4E4D-A2B5-67D91B28FDCE}"/>
    <cellStyle name="Normal 8 3" xfId="27" xr:uid="{61B0AC82-3005-4116-8DDD-82A47B5AFF6D}"/>
    <cellStyle name="Percent 2" xfId="15" xr:uid="{00000000-0005-0000-0000-00000F000000}"/>
    <cellStyle name="똿뗦먛귟 [0.00]_PRODUCT DETAIL Q1" xfId="16" xr:uid="{00000000-0005-0000-0000-000010000000}"/>
    <cellStyle name="똿뗦먛귟_PRODUCT DETAIL Q1" xfId="17" xr:uid="{00000000-0005-0000-0000-000011000000}"/>
    <cellStyle name="믅됞 [0.00]_PRODUCT DETAIL Q1" xfId="18" xr:uid="{00000000-0005-0000-0000-000012000000}"/>
    <cellStyle name="믅됞_PRODUCT DETAIL Q1" xfId="19" xr:uid="{00000000-0005-0000-0000-000013000000}"/>
    <cellStyle name="백분율_HOBONG" xfId="20" xr:uid="{00000000-0005-0000-0000-000014000000}"/>
    <cellStyle name="뷭?_BOOKSHIP" xfId="21" xr:uid="{00000000-0005-0000-0000-000015000000}"/>
    <cellStyle name="콤마 [0]_1202" xfId="22" xr:uid="{00000000-0005-0000-0000-000016000000}"/>
    <cellStyle name="콤마_1202" xfId="23" xr:uid="{00000000-0005-0000-0000-000017000000}"/>
    <cellStyle name="통화 [0]_1202" xfId="24" xr:uid="{00000000-0005-0000-0000-000018000000}"/>
    <cellStyle name="통화_1202" xfId="25" xr:uid="{00000000-0005-0000-0000-000019000000}"/>
    <cellStyle name="표준_(정보부문)월별인원계획" xfId="26" xr:uid="{00000000-0005-0000-0000-00001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defaultGridColor="0" view="pageBreakPreview" colorId="0" workbookViewId="0">
      <pane activePane="bottomRight" state="frozenSplit"/>
    </sheetView>
  </sheetViews>
  <sheetFormatPr defaultRowHeight="12.75"/>
  <sheetData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AM91"/>
  <sheetViews>
    <sheetView topLeftCell="A20" zoomScale="90" zoomScaleNormal="90" zoomScaleSheetLayoutView="102" workbookViewId="0">
      <selection activeCell="A45" sqref="A1:XFD1048576"/>
    </sheetView>
  </sheetViews>
  <sheetFormatPr defaultRowHeight="15.75"/>
  <cols>
    <col min="1" max="1" width="4.28515625" style="114" customWidth="1"/>
    <col min="2" max="2" width="37.85546875" style="47" customWidth="1"/>
    <col min="3" max="3" width="13" style="47" customWidth="1"/>
    <col min="4" max="4" width="8.7109375" style="47" customWidth="1"/>
    <col min="5" max="5" width="8.28515625" style="114" customWidth="1"/>
    <col min="6" max="6" width="11.5703125" style="61" hidden="1" customWidth="1"/>
    <col min="7" max="7" width="12.140625" style="47" hidden="1" customWidth="1"/>
    <col min="8" max="8" width="11.28515625" style="47" hidden="1" customWidth="1"/>
    <col min="9" max="9" width="12.42578125" style="47" hidden="1" customWidth="1"/>
    <col min="10" max="10" width="10.140625" style="47" hidden="1" customWidth="1"/>
    <col min="11" max="11" width="12.5703125" style="114" hidden="1" customWidth="1"/>
    <col min="12" max="12" width="10.85546875" style="47" hidden="1" customWidth="1"/>
    <col min="13" max="14" width="9.28515625" style="47" hidden="1" customWidth="1"/>
    <col min="15" max="15" width="10" style="47" hidden="1" customWidth="1"/>
    <col min="16" max="16" width="9.5703125" style="47" hidden="1" customWidth="1"/>
    <col min="17" max="17" width="9.42578125" style="47" hidden="1" customWidth="1"/>
    <col min="18" max="18" width="9" style="47" hidden="1" customWidth="1"/>
    <col min="19" max="19" width="11.28515625" style="47" hidden="1" customWidth="1"/>
    <col min="20" max="20" width="11.5703125" style="47" hidden="1" customWidth="1"/>
    <col min="21" max="22" width="10.5703125" style="47" hidden="1" customWidth="1"/>
    <col min="23" max="23" width="0.140625" style="47" hidden="1" customWidth="1"/>
    <col min="24" max="24" width="8.28515625" style="114" customWidth="1"/>
    <col min="25" max="25" width="12" style="47" hidden="1" customWidth="1"/>
    <col min="26" max="26" width="5.5703125" style="47" hidden="1" customWidth="1"/>
    <col min="27" max="27" width="7.7109375" style="106" customWidth="1"/>
    <col min="28" max="28" width="6.140625" style="47" hidden="1" customWidth="1"/>
    <col min="29" max="29" width="5.5703125" style="47" hidden="1" customWidth="1"/>
    <col min="30" max="30" width="7.140625" style="47" hidden="1" customWidth="1"/>
    <col min="31" max="31" width="5.42578125" style="47" hidden="1" customWidth="1"/>
    <col min="32" max="33" width="11.28515625" style="49" customWidth="1"/>
    <col min="34" max="35" width="14.85546875" style="114" customWidth="1"/>
    <col min="36" max="36" width="14.7109375" style="114" customWidth="1"/>
    <col min="37" max="37" width="11.140625" style="114" customWidth="1"/>
    <col min="38" max="38" width="16.42578125" style="60" customWidth="1"/>
    <col min="39" max="39" width="12.85546875" style="63" customWidth="1"/>
    <col min="40" max="40" width="10.85546875" style="47" bestFit="1" customWidth="1"/>
    <col min="41" max="16384" width="9.140625" style="47"/>
  </cols>
  <sheetData>
    <row r="1" spans="1:39">
      <c r="A1" s="154" t="s">
        <v>44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Z1" s="153" t="s">
        <v>0</v>
      </c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47"/>
    </row>
    <row r="2" spans="1:39">
      <c r="A2" s="154" t="s">
        <v>45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47"/>
    </row>
    <row r="3" spans="1:39">
      <c r="A3" s="153" t="s">
        <v>1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47"/>
    </row>
    <row r="4" spans="1:39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47"/>
    </row>
    <row r="5" spans="1:39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4"/>
      <c r="AA5" s="48"/>
      <c r="AB5" s="114"/>
      <c r="AC5" s="114"/>
      <c r="AD5" s="114"/>
      <c r="AE5" s="114"/>
      <c r="AL5" s="50"/>
      <c r="AM5" s="47"/>
    </row>
    <row r="6" spans="1:39" ht="18.75">
      <c r="A6" s="152" t="s">
        <v>163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47"/>
    </row>
    <row r="7" spans="1:39" ht="18.75">
      <c r="A7" s="152" t="s">
        <v>122</v>
      </c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47"/>
    </row>
    <row r="8" spans="1:39" ht="18.75">
      <c r="A8" s="119"/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51"/>
      <c r="AB8" s="119"/>
      <c r="AC8" s="119"/>
      <c r="AD8" s="119"/>
      <c r="AE8" s="119"/>
      <c r="AF8" s="52"/>
      <c r="AG8" s="52"/>
      <c r="AH8" s="119"/>
      <c r="AI8" s="119"/>
      <c r="AJ8" s="119"/>
      <c r="AK8" s="119"/>
      <c r="AL8" s="53"/>
      <c r="AM8" s="47"/>
    </row>
    <row r="9" spans="1:39">
      <c r="A9" s="158" t="s">
        <v>165</v>
      </c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47"/>
    </row>
    <row r="10" spans="1:39">
      <c r="A10" s="159" t="s">
        <v>132</v>
      </c>
      <c r="B10" s="159"/>
      <c r="C10" s="159"/>
      <c r="D10" s="47" t="s">
        <v>133</v>
      </c>
      <c r="E10" s="117"/>
      <c r="F10" s="47"/>
      <c r="H10" s="118"/>
      <c r="I10" s="117"/>
      <c r="K10" s="118" t="s">
        <v>2</v>
      </c>
      <c r="L10" s="117"/>
      <c r="M10" s="54"/>
      <c r="S10" s="118"/>
      <c r="T10" s="55"/>
      <c r="W10" s="56"/>
      <c r="X10" s="117"/>
      <c r="Z10" s="117"/>
      <c r="AA10" s="57"/>
      <c r="AB10" s="118"/>
      <c r="AI10" s="118" t="s">
        <v>53</v>
      </c>
      <c r="AL10" s="58"/>
      <c r="AM10" s="47"/>
    </row>
    <row r="11" spans="1:39">
      <c r="A11" s="159" t="s">
        <v>164</v>
      </c>
      <c r="B11" s="159"/>
      <c r="D11" s="47" t="s">
        <v>52</v>
      </c>
      <c r="F11" s="47"/>
      <c r="H11" s="118"/>
      <c r="I11" s="117"/>
      <c r="K11" s="118"/>
      <c r="L11" s="117"/>
      <c r="M11" s="54"/>
      <c r="S11" s="118"/>
      <c r="T11" s="55"/>
      <c r="W11" s="56"/>
      <c r="X11" s="117"/>
      <c r="Z11" s="117"/>
      <c r="AA11" s="57"/>
      <c r="AB11" s="118"/>
      <c r="AI11" s="118" t="s">
        <v>55</v>
      </c>
      <c r="AL11" s="58"/>
      <c r="AM11" s="47"/>
    </row>
    <row r="12" spans="1:39">
      <c r="A12" s="159" t="s">
        <v>56</v>
      </c>
      <c r="B12" s="159"/>
      <c r="D12" s="47" t="s">
        <v>57</v>
      </c>
      <c r="E12" s="117"/>
      <c r="F12" s="47"/>
      <c r="H12" s="118"/>
      <c r="I12" s="117"/>
      <c r="K12" s="118" t="s">
        <v>3</v>
      </c>
      <c r="L12" s="117"/>
      <c r="M12" s="54"/>
      <c r="S12" s="118"/>
      <c r="T12" s="55"/>
      <c r="W12" s="56"/>
      <c r="X12" s="117"/>
      <c r="Z12" s="117"/>
      <c r="AA12" s="57"/>
      <c r="AB12" s="118"/>
      <c r="AI12" s="118" t="s">
        <v>58</v>
      </c>
      <c r="AL12" s="58"/>
      <c r="AM12" s="47"/>
    </row>
    <row r="13" spans="1:39">
      <c r="A13" s="159" t="s">
        <v>84</v>
      </c>
      <c r="B13" s="159"/>
      <c r="D13" s="47" t="s">
        <v>85</v>
      </c>
      <c r="E13" s="47"/>
      <c r="F13" s="47"/>
      <c r="K13" s="47"/>
      <c r="X13" s="47"/>
      <c r="AA13" s="59"/>
      <c r="AI13" s="118" t="s">
        <v>59</v>
      </c>
      <c r="AM13" s="47"/>
    </row>
    <row r="14" spans="1:39">
      <c r="A14" s="159" t="s">
        <v>60</v>
      </c>
      <c r="B14" s="159"/>
      <c r="E14" s="47"/>
      <c r="F14" s="47"/>
      <c r="K14" s="47"/>
      <c r="X14" s="47"/>
      <c r="AA14" s="59"/>
      <c r="AM14" s="47"/>
    </row>
    <row r="15" spans="1:39">
      <c r="A15" s="47" t="s">
        <v>4</v>
      </c>
      <c r="AA15" s="62"/>
      <c r="AL15" s="58"/>
      <c r="AM15" s="47"/>
    </row>
    <row r="16" spans="1:39">
      <c r="A16" s="118"/>
      <c r="B16" s="118"/>
      <c r="AA16" s="62"/>
      <c r="AL16" s="58"/>
      <c r="AM16" s="47"/>
    </row>
    <row r="17" spans="1:39">
      <c r="A17" s="160" t="s">
        <v>5</v>
      </c>
      <c r="B17" s="161" t="s">
        <v>6</v>
      </c>
      <c r="C17" s="156" t="s">
        <v>7</v>
      </c>
      <c r="D17" s="156" t="s">
        <v>8</v>
      </c>
      <c r="E17" s="160" t="s">
        <v>46</v>
      </c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16"/>
      <c r="R17" s="116"/>
      <c r="S17" s="116"/>
      <c r="T17" s="116"/>
      <c r="U17" s="116"/>
      <c r="V17" s="116"/>
      <c r="W17" s="113"/>
      <c r="X17" s="163" t="s">
        <v>47</v>
      </c>
      <c r="Y17" s="155"/>
      <c r="Z17" s="155"/>
      <c r="AA17" s="163" t="s">
        <v>48</v>
      </c>
      <c r="AB17" s="155"/>
      <c r="AC17" s="155"/>
      <c r="AD17" s="160" t="s">
        <v>9</v>
      </c>
      <c r="AE17" s="160" t="s">
        <v>10</v>
      </c>
      <c r="AF17" s="167" t="s">
        <v>191</v>
      </c>
      <c r="AG17" s="167" t="s">
        <v>192</v>
      </c>
      <c r="AH17" s="160" t="s">
        <v>11</v>
      </c>
      <c r="AI17" s="160" t="s">
        <v>12</v>
      </c>
      <c r="AJ17" s="160" t="s">
        <v>13</v>
      </c>
      <c r="AK17" s="156" t="s">
        <v>50</v>
      </c>
      <c r="AL17" s="160" t="s">
        <v>14</v>
      </c>
    </row>
    <row r="18" spans="1:39" ht="85.5">
      <c r="A18" s="161"/>
      <c r="B18" s="161"/>
      <c r="C18" s="165"/>
      <c r="D18" s="157"/>
      <c r="E18" s="115" t="s">
        <v>49</v>
      </c>
      <c r="F18" s="64" t="s">
        <v>15</v>
      </c>
      <c r="G18" s="155" t="s">
        <v>16</v>
      </c>
      <c r="H18" s="155"/>
      <c r="I18" s="155"/>
      <c r="J18" s="113" t="s">
        <v>17</v>
      </c>
      <c r="K18" s="116" t="s">
        <v>18</v>
      </c>
      <c r="L18" s="113"/>
      <c r="M18" s="113" t="s">
        <v>17</v>
      </c>
      <c r="N18" s="113" t="s">
        <v>17</v>
      </c>
      <c r="O18" s="113" t="s">
        <v>17</v>
      </c>
      <c r="P18" s="113" t="s">
        <v>19</v>
      </c>
      <c r="Q18" s="113" t="s">
        <v>19</v>
      </c>
      <c r="R18" s="113" t="s">
        <v>19</v>
      </c>
      <c r="S18" s="113" t="s">
        <v>19</v>
      </c>
      <c r="T18" s="113" t="s">
        <v>19</v>
      </c>
      <c r="U18" s="113" t="s">
        <v>19</v>
      </c>
      <c r="V18" s="113" t="s">
        <v>20</v>
      </c>
      <c r="W18" s="113"/>
      <c r="X18" s="115" t="s">
        <v>49</v>
      </c>
      <c r="Y18" s="64" t="s">
        <v>21</v>
      </c>
      <c r="Z18" s="64" t="s">
        <v>22</v>
      </c>
      <c r="AA18" s="65" t="s">
        <v>49</v>
      </c>
      <c r="AB18" s="64" t="s">
        <v>21</v>
      </c>
      <c r="AC18" s="64" t="s">
        <v>23</v>
      </c>
      <c r="AD18" s="160"/>
      <c r="AE18" s="160"/>
      <c r="AF18" s="168"/>
      <c r="AG18" s="168"/>
      <c r="AH18" s="162"/>
      <c r="AI18" s="162"/>
      <c r="AJ18" s="161"/>
      <c r="AK18" s="165"/>
      <c r="AL18" s="166"/>
    </row>
    <row r="19" spans="1:39">
      <c r="A19" s="116" t="s">
        <v>38</v>
      </c>
      <c r="B19" s="116" t="s">
        <v>39</v>
      </c>
      <c r="C19" s="116" t="s">
        <v>40</v>
      </c>
      <c r="D19" s="116" t="s">
        <v>41</v>
      </c>
      <c r="E19" s="116">
        <v>1</v>
      </c>
      <c r="F19" s="113">
        <v>2</v>
      </c>
      <c r="G19" s="66">
        <v>3</v>
      </c>
      <c r="H19" s="66">
        <v>4</v>
      </c>
      <c r="I19" s="113">
        <v>5</v>
      </c>
      <c r="J19" s="66">
        <v>7</v>
      </c>
      <c r="K19" s="113">
        <v>8</v>
      </c>
      <c r="L19" s="66">
        <v>9</v>
      </c>
      <c r="M19" s="113">
        <v>10</v>
      </c>
      <c r="N19" s="113"/>
      <c r="O19" s="66">
        <v>6</v>
      </c>
      <c r="P19" s="66"/>
      <c r="Q19" s="66"/>
      <c r="R19" s="66"/>
      <c r="S19" s="66"/>
      <c r="T19" s="66"/>
      <c r="U19" s="66"/>
      <c r="V19" s="66"/>
      <c r="W19" s="66">
        <v>5</v>
      </c>
      <c r="X19" s="116">
        <v>2</v>
      </c>
      <c r="Y19" s="113">
        <v>7</v>
      </c>
      <c r="Z19" s="113">
        <v>8</v>
      </c>
      <c r="AA19" s="67">
        <v>3</v>
      </c>
      <c r="AB19" s="116">
        <v>10</v>
      </c>
      <c r="AC19" s="66">
        <v>11</v>
      </c>
      <c r="AD19" s="116"/>
      <c r="AE19" s="116"/>
      <c r="AF19" s="68"/>
      <c r="AG19" s="68"/>
      <c r="AH19" s="116">
        <v>4</v>
      </c>
      <c r="AI19" s="116">
        <v>5</v>
      </c>
      <c r="AJ19" s="116">
        <v>6</v>
      </c>
      <c r="AK19" s="116">
        <v>7</v>
      </c>
      <c r="AL19" s="112">
        <v>8</v>
      </c>
    </row>
    <row r="20" spans="1:39" s="71" customFormat="1">
      <c r="A20" s="116" t="s">
        <v>77</v>
      </c>
      <c r="B20" s="69" t="s">
        <v>137</v>
      </c>
      <c r="C20" s="116"/>
      <c r="D20" s="116"/>
      <c r="E20" s="116"/>
      <c r="F20" s="113"/>
      <c r="G20" s="66"/>
      <c r="H20" s="66"/>
      <c r="I20" s="113"/>
      <c r="J20" s="66"/>
      <c r="K20" s="113"/>
      <c r="L20" s="66"/>
      <c r="M20" s="113"/>
      <c r="N20" s="113"/>
      <c r="O20" s="66"/>
      <c r="P20" s="66"/>
      <c r="Q20" s="66"/>
      <c r="R20" s="66"/>
      <c r="S20" s="66"/>
      <c r="T20" s="66"/>
      <c r="U20" s="66"/>
      <c r="V20" s="66"/>
      <c r="W20" s="66"/>
      <c r="X20" s="116"/>
      <c r="Y20" s="113"/>
      <c r="Z20" s="113"/>
      <c r="AA20" s="67"/>
      <c r="AB20" s="116"/>
      <c r="AC20" s="66"/>
      <c r="AD20" s="116"/>
      <c r="AE20" s="116"/>
      <c r="AF20" s="68"/>
      <c r="AG20" s="68"/>
      <c r="AH20" s="116"/>
      <c r="AI20" s="116"/>
      <c r="AJ20" s="116"/>
      <c r="AK20" s="116"/>
      <c r="AL20" s="112"/>
      <c r="AM20" s="70"/>
    </row>
    <row r="21" spans="1:39" ht="60">
      <c r="A21" s="72">
        <v>1</v>
      </c>
      <c r="B21" s="73" t="s">
        <v>86</v>
      </c>
      <c r="C21" s="74" t="s">
        <v>139</v>
      </c>
      <c r="D21" s="75">
        <v>2022</v>
      </c>
      <c r="E21" s="72">
        <v>6</v>
      </c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>
        <v>5</v>
      </c>
      <c r="Y21" s="76"/>
      <c r="Z21" s="76"/>
      <c r="AA21" s="77">
        <v>-1</v>
      </c>
      <c r="AB21" s="76"/>
      <c r="AC21" s="76"/>
      <c r="AD21" s="76"/>
      <c r="AE21" s="76"/>
      <c r="AF21" s="33">
        <v>2500000</v>
      </c>
      <c r="AG21" s="33">
        <f>+AF21*X21</f>
        <v>12500000</v>
      </c>
      <c r="AH21" s="78" t="s">
        <v>91</v>
      </c>
      <c r="AI21" s="72" t="s">
        <v>62</v>
      </c>
      <c r="AJ21" s="72" t="s">
        <v>43</v>
      </c>
      <c r="AK21" s="72"/>
      <c r="AL21" s="79" t="s">
        <v>140</v>
      </c>
    </row>
    <row r="22" spans="1:39" ht="45">
      <c r="A22" s="72">
        <v>2</v>
      </c>
      <c r="B22" s="73" t="s">
        <v>87</v>
      </c>
      <c r="C22" s="74" t="s">
        <v>94</v>
      </c>
      <c r="D22" s="75">
        <v>2022</v>
      </c>
      <c r="E22" s="72">
        <v>1</v>
      </c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>
        <v>1</v>
      </c>
      <c r="Y22" s="76"/>
      <c r="Z22" s="76"/>
      <c r="AA22" s="77">
        <v>0</v>
      </c>
      <c r="AB22" s="76"/>
      <c r="AC22" s="76"/>
      <c r="AD22" s="76"/>
      <c r="AE22" s="76"/>
      <c r="AF22" s="80">
        <v>7900000</v>
      </c>
      <c r="AG22" s="80">
        <v>7900000</v>
      </c>
      <c r="AH22" s="78" t="s">
        <v>91</v>
      </c>
      <c r="AI22" s="72" t="s">
        <v>62</v>
      </c>
      <c r="AJ22" s="72" t="s">
        <v>43</v>
      </c>
      <c r="AK22" s="72"/>
      <c r="AL22" s="79"/>
    </row>
    <row r="23" spans="1:39" ht="45">
      <c r="A23" s="72">
        <v>3</v>
      </c>
      <c r="B23" s="73" t="s">
        <v>88</v>
      </c>
      <c r="C23" s="74" t="s">
        <v>141</v>
      </c>
      <c r="D23" s="75">
        <v>2022</v>
      </c>
      <c r="E23" s="72">
        <v>7</v>
      </c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>
        <v>6</v>
      </c>
      <c r="Y23" s="76"/>
      <c r="Z23" s="76"/>
      <c r="AA23" s="77">
        <v>-1</v>
      </c>
      <c r="AB23" s="76"/>
      <c r="AC23" s="76"/>
      <c r="AD23" s="76"/>
      <c r="AE23" s="76"/>
      <c r="AF23" s="33">
        <v>660000</v>
      </c>
      <c r="AG23" s="33">
        <f>+X23*AF23</f>
        <v>3960000</v>
      </c>
      <c r="AH23" s="78" t="s">
        <v>91</v>
      </c>
      <c r="AI23" s="72" t="s">
        <v>62</v>
      </c>
      <c r="AJ23" s="72" t="s">
        <v>43</v>
      </c>
      <c r="AK23" s="72"/>
      <c r="AL23" s="79" t="s">
        <v>142</v>
      </c>
    </row>
    <row r="24" spans="1:39" ht="75">
      <c r="A24" s="72">
        <v>4</v>
      </c>
      <c r="B24" s="73" t="s">
        <v>89</v>
      </c>
      <c r="C24" s="74" t="s">
        <v>93</v>
      </c>
      <c r="D24" s="75">
        <v>2022</v>
      </c>
      <c r="E24" s="72">
        <v>1</v>
      </c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>
        <v>1</v>
      </c>
      <c r="Y24" s="76"/>
      <c r="Z24" s="76"/>
      <c r="AA24" s="77">
        <v>0</v>
      </c>
      <c r="AB24" s="76"/>
      <c r="AC24" s="76"/>
      <c r="AD24" s="76"/>
      <c r="AE24" s="76"/>
      <c r="AF24" s="80">
        <v>3280000</v>
      </c>
      <c r="AG24" s="80">
        <v>3280000</v>
      </c>
      <c r="AH24" s="78" t="s">
        <v>91</v>
      </c>
      <c r="AI24" s="72" t="s">
        <v>62</v>
      </c>
      <c r="AJ24" s="72" t="s">
        <v>43</v>
      </c>
      <c r="AK24" s="72"/>
      <c r="AL24" s="79"/>
    </row>
    <row r="25" spans="1:39" ht="30">
      <c r="A25" s="72">
        <v>5</v>
      </c>
      <c r="B25" s="73" t="s">
        <v>92</v>
      </c>
      <c r="C25" s="72"/>
      <c r="D25" s="75"/>
      <c r="E25" s="72">
        <v>1</v>
      </c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>
        <v>1</v>
      </c>
      <c r="Y25" s="76"/>
      <c r="Z25" s="76"/>
      <c r="AA25" s="77">
        <v>0</v>
      </c>
      <c r="AB25" s="76"/>
      <c r="AC25" s="76"/>
      <c r="AD25" s="76"/>
      <c r="AE25" s="76"/>
      <c r="AF25" s="33"/>
      <c r="AG25" s="33"/>
      <c r="AH25" s="78" t="s">
        <v>91</v>
      </c>
      <c r="AI25" s="72" t="s">
        <v>62</v>
      </c>
      <c r="AJ25" s="72" t="s">
        <v>43</v>
      </c>
      <c r="AK25" s="72" t="s">
        <v>61</v>
      </c>
      <c r="AL25" s="79"/>
    </row>
    <row r="26" spans="1:39" ht="30">
      <c r="A26" s="72">
        <v>6</v>
      </c>
      <c r="B26" s="73" t="s">
        <v>101</v>
      </c>
      <c r="C26" s="72"/>
      <c r="D26" s="75"/>
      <c r="E26" s="72">
        <v>1</v>
      </c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>
        <v>1</v>
      </c>
      <c r="Y26" s="76"/>
      <c r="Z26" s="76"/>
      <c r="AA26" s="77">
        <v>0</v>
      </c>
      <c r="AB26" s="76"/>
      <c r="AC26" s="76"/>
      <c r="AD26" s="76"/>
      <c r="AE26" s="76"/>
      <c r="AF26" s="33"/>
      <c r="AG26" s="33"/>
      <c r="AH26" s="78" t="s">
        <v>91</v>
      </c>
      <c r="AI26" s="72" t="s">
        <v>62</v>
      </c>
      <c r="AJ26" s="72" t="s">
        <v>43</v>
      </c>
      <c r="AK26" s="72" t="s">
        <v>61</v>
      </c>
      <c r="AL26" s="74"/>
    </row>
    <row r="27" spans="1:39" s="1" customFormat="1" ht="30">
      <c r="A27" s="2">
        <v>7</v>
      </c>
      <c r="B27" s="29" t="s">
        <v>150</v>
      </c>
      <c r="C27" s="25" t="s">
        <v>155</v>
      </c>
      <c r="D27" s="3"/>
      <c r="E27" s="2"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>
        <v>1</v>
      </c>
      <c r="Y27" s="31"/>
      <c r="Z27" s="31"/>
      <c r="AA27" s="32" t="s">
        <v>145</v>
      </c>
      <c r="AB27" s="31"/>
      <c r="AC27" s="31"/>
      <c r="AD27" s="31"/>
      <c r="AE27" s="31"/>
      <c r="AF27" s="33">
        <v>1510000</v>
      </c>
      <c r="AG27" s="33">
        <v>1510000</v>
      </c>
      <c r="AH27" s="4"/>
      <c r="AI27" s="2"/>
      <c r="AJ27" s="2"/>
      <c r="AK27" s="2" t="s">
        <v>148</v>
      </c>
      <c r="AL27" s="25" t="s">
        <v>160</v>
      </c>
      <c r="AM27" s="81"/>
    </row>
    <row r="28" spans="1:39" s="22" customFormat="1" ht="75">
      <c r="A28" s="2">
        <v>8</v>
      </c>
      <c r="B28" s="123" t="s">
        <v>161</v>
      </c>
      <c r="C28" s="121" t="s">
        <v>162</v>
      </c>
      <c r="D28" s="122">
        <v>2024</v>
      </c>
      <c r="E28" s="2">
        <v>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>
        <v>1</v>
      </c>
      <c r="Y28" s="31"/>
      <c r="Z28" s="31"/>
      <c r="AA28" s="32" t="s">
        <v>145</v>
      </c>
      <c r="AB28" s="31"/>
      <c r="AC28" s="31"/>
      <c r="AD28" s="31"/>
      <c r="AE28" s="31"/>
      <c r="AF28" s="33">
        <v>678640</v>
      </c>
      <c r="AG28" s="33">
        <v>678640</v>
      </c>
      <c r="AH28" s="4"/>
      <c r="AI28" s="2"/>
      <c r="AJ28" s="2"/>
      <c r="AK28" s="2" t="s">
        <v>148</v>
      </c>
      <c r="AL28" s="25" t="s">
        <v>159</v>
      </c>
      <c r="AM28" s="124"/>
    </row>
    <row r="29" spans="1:39" s="1" customFormat="1" ht="30">
      <c r="A29" s="2">
        <v>9</v>
      </c>
      <c r="B29" s="29" t="s">
        <v>156</v>
      </c>
      <c r="C29" s="2" t="s">
        <v>157</v>
      </c>
      <c r="D29" s="3"/>
      <c r="E29" s="2">
        <v>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>
        <v>2</v>
      </c>
      <c r="Y29" s="31"/>
      <c r="Z29" s="31"/>
      <c r="AA29" s="32" t="s">
        <v>158</v>
      </c>
      <c r="AB29" s="31"/>
      <c r="AC29" s="31"/>
      <c r="AD29" s="31"/>
      <c r="AE29" s="31"/>
      <c r="AF29" s="33">
        <v>380000</v>
      </c>
      <c r="AG29" s="33">
        <v>760000</v>
      </c>
      <c r="AH29" s="4"/>
      <c r="AI29" s="2"/>
      <c r="AJ29" s="2"/>
      <c r="AK29" s="2" t="s">
        <v>148</v>
      </c>
      <c r="AL29" s="25" t="s">
        <v>149</v>
      </c>
      <c r="AM29" s="81"/>
    </row>
    <row r="30" spans="1:39" s="86" customFormat="1">
      <c r="A30" s="113" t="s">
        <v>78</v>
      </c>
      <c r="B30" s="82" t="s">
        <v>138</v>
      </c>
      <c r="C30" s="113"/>
      <c r="D30" s="116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82"/>
      <c r="Z30" s="82"/>
      <c r="AA30" s="67"/>
      <c r="AB30" s="82"/>
      <c r="AC30" s="82"/>
      <c r="AD30" s="82"/>
      <c r="AE30" s="82"/>
      <c r="AF30" s="83"/>
      <c r="AG30" s="83"/>
      <c r="AH30" s="113"/>
      <c r="AI30" s="113"/>
      <c r="AJ30" s="113"/>
      <c r="AK30" s="113"/>
      <c r="AL30" s="84"/>
      <c r="AM30" s="85"/>
    </row>
    <row r="31" spans="1:39" s="1" customFormat="1" ht="30">
      <c r="A31" s="2">
        <v>1</v>
      </c>
      <c r="B31" s="29" t="s">
        <v>98</v>
      </c>
      <c r="C31" s="3"/>
      <c r="D31" s="4">
        <v>2005</v>
      </c>
      <c r="E31" s="4">
        <v>4</v>
      </c>
      <c r="F31" s="4">
        <v>4</v>
      </c>
      <c r="G31" s="30"/>
      <c r="H31" s="29" t="s">
        <v>90</v>
      </c>
      <c r="I31" s="29" t="s">
        <v>90</v>
      </c>
      <c r="J31" s="4" t="s">
        <v>99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4">
        <v>4</v>
      </c>
      <c r="Y31" s="31"/>
      <c r="Z31" s="31"/>
      <c r="AA31" s="87">
        <v>0</v>
      </c>
      <c r="AB31" s="31"/>
      <c r="AC31" s="31"/>
      <c r="AD31" s="31"/>
      <c r="AE31" s="31"/>
      <c r="AF31" s="33">
        <v>75900</v>
      </c>
      <c r="AG31" s="88">
        <v>303600</v>
      </c>
      <c r="AH31" s="4" t="s">
        <v>91</v>
      </c>
      <c r="AI31" s="2" t="s">
        <v>102</v>
      </c>
      <c r="AJ31" s="2" t="s">
        <v>43</v>
      </c>
      <c r="AK31" s="2" t="s">
        <v>61</v>
      </c>
      <c r="AL31" s="89"/>
      <c r="AM31" s="81"/>
    </row>
    <row r="32" spans="1:39" ht="30">
      <c r="A32" s="72">
        <v>2</v>
      </c>
      <c r="B32" s="73" t="s">
        <v>100</v>
      </c>
      <c r="C32" s="75"/>
      <c r="D32" s="78">
        <v>2006</v>
      </c>
      <c r="E32" s="78">
        <v>1</v>
      </c>
      <c r="F32" s="78">
        <v>1</v>
      </c>
      <c r="G32" s="90"/>
      <c r="H32" s="73" t="s">
        <v>90</v>
      </c>
      <c r="I32" s="73" t="s">
        <v>90</v>
      </c>
      <c r="J32" s="78" t="s">
        <v>99</v>
      </c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8">
        <v>1</v>
      </c>
      <c r="Y32" s="76"/>
      <c r="Z32" s="76"/>
      <c r="AA32" s="91">
        <v>0</v>
      </c>
      <c r="AB32" s="76"/>
      <c r="AC32" s="76"/>
      <c r="AD32" s="76"/>
      <c r="AE32" s="76"/>
      <c r="AF32" s="33">
        <v>1230000</v>
      </c>
      <c r="AG32" s="33">
        <v>1230000</v>
      </c>
      <c r="AH32" s="78" t="s">
        <v>91</v>
      </c>
      <c r="AI32" s="72" t="s">
        <v>102</v>
      </c>
      <c r="AJ32" s="72" t="s">
        <v>43</v>
      </c>
      <c r="AK32" s="72" t="s">
        <v>61</v>
      </c>
      <c r="AL32" s="79"/>
    </row>
    <row r="33" spans="1:39" ht="30">
      <c r="A33" s="72">
        <v>3</v>
      </c>
      <c r="B33" s="73" t="s">
        <v>101</v>
      </c>
      <c r="C33" s="75"/>
      <c r="D33" s="78">
        <v>2010</v>
      </c>
      <c r="E33" s="78">
        <v>9</v>
      </c>
      <c r="F33" s="78">
        <v>7</v>
      </c>
      <c r="G33" s="90"/>
      <c r="H33" s="73" t="s">
        <v>90</v>
      </c>
      <c r="I33" s="73" t="s">
        <v>90</v>
      </c>
      <c r="J33" s="78" t="s">
        <v>99</v>
      </c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8">
        <v>9</v>
      </c>
      <c r="Y33" s="76"/>
      <c r="Z33" s="76"/>
      <c r="AA33" s="77">
        <v>0</v>
      </c>
      <c r="AB33" s="76"/>
      <c r="AC33" s="76"/>
      <c r="AD33" s="76"/>
      <c r="AE33" s="76"/>
      <c r="AF33" s="33"/>
      <c r="AG33" s="33"/>
      <c r="AH33" s="78" t="s">
        <v>91</v>
      </c>
      <c r="AI33" s="72" t="s">
        <v>102</v>
      </c>
      <c r="AJ33" s="72" t="s">
        <v>43</v>
      </c>
      <c r="AK33" s="72" t="s">
        <v>61</v>
      </c>
      <c r="AL33" s="74"/>
    </row>
    <row r="34" spans="1:39" ht="60">
      <c r="A34" s="72">
        <v>4</v>
      </c>
      <c r="B34" s="73" t="s">
        <v>86</v>
      </c>
      <c r="C34" s="74" t="s">
        <v>143</v>
      </c>
      <c r="D34" s="75">
        <v>2022</v>
      </c>
      <c r="E34" s="78">
        <v>0</v>
      </c>
      <c r="F34" s="78"/>
      <c r="G34" s="90"/>
      <c r="H34" s="73"/>
      <c r="I34" s="73"/>
      <c r="J34" s="78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8">
        <v>1</v>
      </c>
      <c r="Y34" s="76"/>
      <c r="Z34" s="76"/>
      <c r="AA34" s="77" t="s">
        <v>145</v>
      </c>
      <c r="AB34" s="76"/>
      <c r="AC34" s="76"/>
      <c r="AD34" s="76"/>
      <c r="AE34" s="76"/>
      <c r="AF34" s="33">
        <v>2500000</v>
      </c>
      <c r="AG34" s="33">
        <f>+AF34*X34</f>
        <v>2500000</v>
      </c>
      <c r="AH34" s="78" t="s">
        <v>91</v>
      </c>
      <c r="AI34" s="72" t="s">
        <v>102</v>
      </c>
      <c r="AJ34" s="72" t="s">
        <v>43</v>
      </c>
      <c r="AK34" s="72"/>
      <c r="AL34" s="74" t="s">
        <v>146</v>
      </c>
      <c r="AM34" s="47"/>
    </row>
    <row r="35" spans="1:39" ht="45">
      <c r="A35" s="72">
        <v>5</v>
      </c>
      <c r="B35" s="73" t="s">
        <v>88</v>
      </c>
      <c r="C35" s="74" t="s">
        <v>144</v>
      </c>
      <c r="D35" s="75">
        <v>2022</v>
      </c>
      <c r="E35" s="78">
        <v>0</v>
      </c>
      <c r="F35" s="78"/>
      <c r="G35" s="90"/>
      <c r="H35" s="73"/>
      <c r="I35" s="73"/>
      <c r="J35" s="78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8">
        <v>1</v>
      </c>
      <c r="Y35" s="76"/>
      <c r="Z35" s="76"/>
      <c r="AA35" s="77" t="s">
        <v>145</v>
      </c>
      <c r="AB35" s="76"/>
      <c r="AC35" s="76"/>
      <c r="AD35" s="76"/>
      <c r="AE35" s="76"/>
      <c r="AF35" s="33">
        <v>660000</v>
      </c>
      <c r="AG35" s="33">
        <f>+X35*AF35</f>
        <v>660000</v>
      </c>
      <c r="AH35" s="78" t="s">
        <v>91</v>
      </c>
      <c r="AI35" s="72" t="s">
        <v>102</v>
      </c>
      <c r="AJ35" s="72" t="s">
        <v>43</v>
      </c>
      <c r="AK35" s="72"/>
      <c r="AL35" s="74" t="s">
        <v>146</v>
      </c>
      <c r="AM35" s="47"/>
    </row>
    <row r="36" spans="1:39" s="1" customFormat="1" ht="30">
      <c r="A36" s="2">
        <v>6</v>
      </c>
      <c r="B36" s="29" t="s">
        <v>147</v>
      </c>
      <c r="C36" s="25" t="s">
        <v>168</v>
      </c>
      <c r="D36" s="3"/>
      <c r="E36" s="4">
        <v>0</v>
      </c>
      <c r="F36" s="4"/>
      <c r="G36" s="30"/>
      <c r="H36" s="29"/>
      <c r="I36" s="29"/>
      <c r="J36" s="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4">
        <v>1</v>
      </c>
      <c r="Y36" s="31"/>
      <c r="Z36" s="31"/>
      <c r="AA36" s="32" t="s">
        <v>145</v>
      </c>
      <c r="AB36" s="31"/>
      <c r="AC36" s="31"/>
      <c r="AD36" s="31"/>
      <c r="AE36" s="31"/>
      <c r="AF36" s="33">
        <v>1230000</v>
      </c>
      <c r="AG36" s="33">
        <v>1230000</v>
      </c>
      <c r="AH36" s="4" t="s">
        <v>91</v>
      </c>
      <c r="AI36" s="2" t="s">
        <v>102</v>
      </c>
      <c r="AJ36" s="2" t="s">
        <v>43</v>
      </c>
      <c r="AK36" s="2" t="s">
        <v>148</v>
      </c>
      <c r="AL36" s="25" t="s">
        <v>149</v>
      </c>
    </row>
    <row r="37" spans="1:39" ht="30">
      <c r="A37" s="2">
        <v>7</v>
      </c>
      <c r="B37" s="29" t="s">
        <v>189</v>
      </c>
      <c r="C37" s="25" t="s">
        <v>190</v>
      </c>
      <c r="D37" s="3"/>
      <c r="E37" s="4">
        <v>0</v>
      </c>
      <c r="F37" s="4"/>
      <c r="G37" s="30"/>
      <c r="H37" s="29"/>
      <c r="I37" s="29"/>
      <c r="J37" s="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4">
        <v>1</v>
      </c>
      <c r="Y37" s="31"/>
      <c r="Z37" s="31"/>
      <c r="AA37" s="32" t="s">
        <v>145</v>
      </c>
      <c r="AB37" s="31"/>
      <c r="AC37" s="31"/>
      <c r="AD37" s="31"/>
      <c r="AE37" s="31"/>
      <c r="AF37" s="33">
        <v>1100000</v>
      </c>
      <c r="AG37" s="33">
        <v>1100000</v>
      </c>
      <c r="AH37" s="4" t="s">
        <v>91</v>
      </c>
      <c r="AI37" s="25" t="s">
        <v>102</v>
      </c>
      <c r="AJ37" s="2" t="s">
        <v>43</v>
      </c>
      <c r="AK37" s="2" t="s">
        <v>148</v>
      </c>
      <c r="AL37" s="25" t="s">
        <v>149</v>
      </c>
      <c r="AM37" s="47"/>
    </row>
    <row r="38" spans="1:39" s="1" customFormat="1" ht="30">
      <c r="A38" s="2">
        <v>8</v>
      </c>
      <c r="B38" s="29" t="s">
        <v>150</v>
      </c>
      <c r="C38" s="25" t="s">
        <v>151</v>
      </c>
      <c r="D38" s="3"/>
      <c r="E38" s="4">
        <v>0</v>
      </c>
      <c r="F38" s="4"/>
      <c r="G38" s="30"/>
      <c r="H38" s="29"/>
      <c r="I38" s="29"/>
      <c r="J38" s="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4">
        <v>1</v>
      </c>
      <c r="Y38" s="31"/>
      <c r="Z38" s="31"/>
      <c r="AA38" s="32" t="s">
        <v>145</v>
      </c>
      <c r="AB38" s="31"/>
      <c r="AC38" s="31"/>
      <c r="AD38" s="31"/>
      <c r="AE38" s="31"/>
      <c r="AF38" s="33">
        <v>1510000</v>
      </c>
      <c r="AG38" s="33">
        <v>1510000</v>
      </c>
      <c r="AH38" s="4" t="s">
        <v>91</v>
      </c>
      <c r="AI38" s="2" t="s">
        <v>102</v>
      </c>
      <c r="AJ38" s="2" t="s">
        <v>43</v>
      </c>
      <c r="AK38" s="2" t="s">
        <v>148</v>
      </c>
      <c r="AL38" s="25" t="s">
        <v>149</v>
      </c>
    </row>
    <row r="39" spans="1:39" s="1" customFormat="1" ht="30">
      <c r="A39" s="2">
        <v>9</v>
      </c>
      <c r="B39" s="29" t="s">
        <v>152</v>
      </c>
      <c r="C39" s="25" t="s">
        <v>153</v>
      </c>
      <c r="D39" s="3"/>
      <c r="E39" s="4">
        <v>0</v>
      </c>
      <c r="F39" s="4"/>
      <c r="G39" s="30"/>
      <c r="H39" s="29"/>
      <c r="I39" s="29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4">
        <v>1</v>
      </c>
      <c r="Y39" s="31"/>
      <c r="Z39" s="31"/>
      <c r="AA39" s="32" t="s">
        <v>145</v>
      </c>
      <c r="AB39" s="31"/>
      <c r="AC39" s="31"/>
      <c r="AD39" s="31"/>
      <c r="AE39" s="31"/>
      <c r="AF39" s="33">
        <v>3950000</v>
      </c>
      <c r="AG39" s="33">
        <v>3950000</v>
      </c>
      <c r="AH39" s="4" t="s">
        <v>91</v>
      </c>
      <c r="AI39" s="2" t="s">
        <v>102</v>
      </c>
      <c r="AJ39" s="2" t="s">
        <v>43</v>
      </c>
      <c r="AK39" s="2" t="s">
        <v>148</v>
      </c>
      <c r="AL39" s="25" t="s">
        <v>149</v>
      </c>
    </row>
    <row r="40" spans="1:39" s="1" customFormat="1" ht="30">
      <c r="A40" s="2">
        <v>10</v>
      </c>
      <c r="B40" s="29" t="s">
        <v>152</v>
      </c>
      <c r="C40" s="25" t="s">
        <v>154</v>
      </c>
      <c r="D40" s="3"/>
      <c r="E40" s="4">
        <v>0</v>
      </c>
      <c r="F40" s="4"/>
      <c r="G40" s="30"/>
      <c r="H40" s="29"/>
      <c r="I40" s="29"/>
      <c r="J40" s="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4">
        <v>1</v>
      </c>
      <c r="Y40" s="31"/>
      <c r="Z40" s="31"/>
      <c r="AA40" s="32" t="s">
        <v>145</v>
      </c>
      <c r="AB40" s="31"/>
      <c r="AC40" s="31"/>
      <c r="AD40" s="31"/>
      <c r="AE40" s="31"/>
      <c r="AF40" s="33">
        <v>3300000</v>
      </c>
      <c r="AG40" s="33">
        <v>3300000</v>
      </c>
      <c r="AH40" s="4" t="s">
        <v>91</v>
      </c>
      <c r="AI40" s="2" t="s">
        <v>102</v>
      </c>
      <c r="AJ40" s="2" t="s">
        <v>43</v>
      </c>
      <c r="AK40" s="2" t="s">
        <v>148</v>
      </c>
      <c r="AL40" s="25" t="s">
        <v>149</v>
      </c>
    </row>
    <row r="41" spans="1:39">
      <c r="A41" s="120" t="s">
        <v>39</v>
      </c>
      <c r="B41" s="92" t="s">
        <v>169</v>
      </c>
      <c r="C41" s="74"/>
      <c r="D41" s="75"/>
      <c r="E41" s="78"/>
      <c r="F41" s="78"/>
      <c r="G41" s="90"/>
      <c r="H41" s="73"/>
      <c r="I41" s="73"/>
      <c r="J41" s="78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8"/>
      <c r="Y41" s="76"/>
      <c r="Z41" s="76"/>
      <c r="AA41" s="77"/>
      <c r="AB41" s="76"/>
      <c r="AC41" s="76"/>
      <c r="AD41" s="76"/>
      <c r="AE41" s="76"/>
      <c r="AF41" s="33"/>
      <c r="AG41" s="33"/>
      <c r="AH41" s="78"/>
      <c r="AI41" s="72"/>
      <c r="AJ41" s="72"/>
      <c r="AK41" s="72"/>
      <c r="AL41" s="74"/>
      <c r="AM41" s="47"/>
    </row>
    <row r="42" spans="1:39" s="1" customFormat="1" ht="30">
      <c r="A42" s="2">
        <v>1</v>
      </c>
      <c r="B42" s="7" t="s">
        <v>170</v>
      </c>
      <c r="C42" s="93" t="s">
        <v>171</v>
      </c>
      <c r="D42" s="93">
        <v>2015</v>
      </c>
      <c r="E42" s="4">
        <v>1</v>
      </c>
      <c r="F42" s="4"/>
      <c r="G42" s="30"/>
      <c r="H42" s="29"/>
      <c r="I42" s="29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4">
        <v>1</v>
      </c>
      <c r="Y42" s="31"/>
      <c r="Z42" s="31"/>
      <c r="AA42" s="32" t="s">
        <v>173</v>
      </c>
      <c r="AB42" s="31"/>
      <c r="AC42" s="31"/>
      <c r="AD42" s="31"/>
      <c r="AE42" s="31"/>
      <c r="AF42" s="94">
        <v>352000</v>
      </c>
      <c r="AG42" s="94">
        <v>352000</v>
      </c>
      <c r="AH42" s="4" t="s">
        <v>91</v>
      </c>
      <c r="AI42" s="2"/>
      <c r="AJ42" s="2" t="s">
        <v>43</v>
      </c>
      <c r="AK42" s="2" t="s">
        <v>148</v>
      </c>
      <c r="AL42" s="25" t="s">
        <v>183</v>
      </c>
    </row>
    <row r="43" spans="1:39" s="1" customFormat="1" ht="30">
      <c r="A43" s="2">
        <v>2</v>
      </c>
      <c r="B43" s="7" t="s">
        <v>170</v>
      </c>
      <c r="C43" s="93" t="s">
        <v>172</v>
      </c>
      <c r="D43" s="93">
        <v>2015</v>
      </c>
      <c r="E43" s="4">
        <v>1</v>
      </c>
      <c r="F43" s="4"/>
      <c r="G43" s="30"/>
      <c r="H43" s="29"/>
      <c r="I43" s="29"/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4">
        <v>1</v>
      </c>
      <c r="Y43" s="31"/>
      <c r="Z43" s="31"/>
      <c r="AA43" s="32" t="s">
        <v>173</v>
      </c>
      <c r="AB43" s="31"/>
      <c r="AC43" s="31"/>
      <c r="AD43" s="31"/>
      <c r="AE43" s="31"/>
      <c r="AF43" s="94">
        <v>352000</v>
      </c>
      <c r="AG43" s="94">
        <v>352000</v>
      </c>
      <c r="AH43" s="4" t="s">
        <v>91</v>
      </c>
      <c r="AI43" s="2"/>
      <c r="AJ43" s="2" t="s">
        <v>43</v>
      </c>
      <c r="AK43" s="2" t="s">
        <v>148</v>
      </c>
      <c r="AL43" s="25" t="s">
        <v>183</v>
      </c>
    </row>
    <row r="44" spans="1:39" s="1" customFormat="1" ht="30">
      <c r="A44" s="2">
        <v>3</v>
      </c>
      <c r="B44" s="7" t="s">
        <v>156</v>
      </c>
      <c r="C44" s="93" t="s">
        <v>157</v>
      </c>
      <c r="D44" s="93"/>
      <c r="E44" s="4">
        <v>1</v>
      </c>
      <c r="F44" s="4"/>
      <c r="G44" s="30"/>
      <c r="H44" s="29"/>
      <c r="I44" s="29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4">
        <v>1</v>
      </c>
      <c r="Y44" s="31"/>
      <c r="Z44" s="31"/>
      <c r="AA44" s="32" t="s">
        <v>173</v>
      </c>
      <c r="AB44" s="31"/>
      <c r="AC44" s="31"/>
      <c r="AD44" s="31"/>
      <c r="AE44" s="31"/>
      <c r="AF44" s="125">
        <v>380000</v>
      </c>
      <c r="AG44" s="94">
        <v>380000</v>
      </c>
      <c r="AH44" s="4" t="s">
        <v>91</v>
      </c>
      <c r="AI44" s="2"/>
      <c r="AJ44" s="2" t="s">
        <v>43</v>
      </c>
      <c r="AK44" s="2" t="s">
        <v>148</v>
      </c>
      <c r="AL44" s="25" t="s">
        <v>183</v>
      </c>
    </row>
    <row r="45" spans="1:39" ht="30">
      <c r="A45" s="72">
        <v>4</v>
      </c>
      <c r="B45" s="126" t="s">
        <v>187</v>
      </c>
      <c r="C45" s="127" t="s">
        <v>188</v>
      </c>
      <c r="D45" s="93"/>
      <c r="E45" s="4">
        <v>1</v>
      </c>
      <c r="F45" s="4"/>
      <c r="G45" s="30"/>
      <c r="H45" s="29"/>
      <c r="I45" s="29"/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4">
        <v>1</v>
      </c>
      <c r="Y45" s="31"/>
      <c r="Z45" s="31"/>
      <c r="AA45" s="32" t="s">
        <v>173</v>
      </c>
      <c r="AB45" s="76"/>
      <c r="AC45" s="76"/>
      <c r="AD45" s="76"/>
      <c r="AE45" s="76"/>
      <c r="AF45" s="94">
        <v>535000</v>
      </c>
      <c r="AG45" s="128">
        <v>535000</v>
      </c>
      <c r="AH45" s="78" t="s">
        <v>91</v>
      </c>
      <c r="AI45" s="72"/>
      <c r="AJ45" s="72" t="s">
        <v>179</v>
      </c>
      <c r="AK45" s="72" t="s">
        <v>148</v>
      </c>
      <c r="AL45" s="74" t="s">
        <v>183</v>
      </c>
      <c r="AM45" s="47"/>
    </row>
    <row r="46" spans="1:39" ht="30">
      <c r="A46" s="72">
        <v>5</v>
      </c>
      <c r="B46" s="129" t="s">
        <v>174</v>
      </c>
      <c r="C46" s="127" t="s">
        <v>186</v>
      </c>
      <c r="D46" s="75"/>
      <c r="E46" s="78">
        <v>0</v>
      </c>
      <c r="F46" s="78"/>
      <c r="G46" s="90"/>
      <c r="H46" s="73"/>
      <c r="I46" s="73"/>
      <c r="J46" s="78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8">
        <v>1</v>
      </c>
      <c r="Y46" s="76"/>
      <c r="Z46" s="76"/>
      <c r="AA46" s="77" t="s">
        <v>145</v>
      </c>
      <c r="AB46" s="76"/>
      <c r="AC46" s="76"/>
      <c r="AD46" s="76"/>
      <c r="AE46" s="76"/>
      <c r="AF46" s="33">
        <v>1230000</v>
      </c>
      <c r="AG46" s="33">
        <v>1230000</v>
      </c>
      <c r="AH46" s="78"/>
      <c r="AI46" s="72"/>
      <c r="AJ46" s="72" t="s">
        <v>179</v>
      </c>
      <c r="AK46" s="72" t="s">
        <v>148</v>
      </c>
      <c r="AL46" s="74" t="s">
        <v>149</v>
      </c>
      <c r="AM46" s="47"/>
    </row>
    <row r="47" spans="1:39" s="1" customFormat="1" ht="45">
      <c r="A47" s="2">
        <v>6</v>
      </c>
      <c r="B47" s="130" t="s">
        <v>174</v>
      </c>
      <c r="C47" s="93" t="s">
        <v>175</v>
      </c>
      <c r="D47" s="93">
        <v>2017</v>
      </c>
      <c r="E47" s="4">
        <v>0</v>
      </c>
      <c r="F47" s="4"/>
      <c r="G47" s="30"/>
      <c r="H47" s="29"/>
      <c r="I47" s="29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4">
        <v>1</v>
      </c>
      <c r="Y47" s="31"/>
      <c r="Z47" s="31"/>
      <c r="AA47" s="32" t="s">
        <v>145</v>
      </c>
      <c r="AB47" s="31"/>
      <c r="AC47" s="31"/>
      <c r="AD47" s="31"/>
      <c r="AE47" s="31"/>
      <c r="AF47" s="94">
        <v>1230000</v>
      </c>
      <c r="AG47" s="94">
        <v>1230000</v>
      </c>
      <c r="AH47" s="4" t="s">
        <v>91</v>
      </c>
      <c r="AI47" s="2"/>
      <c r="AJ47" s="2" t="s">
        <v>43</v>
      </c>
      <c r="AK47" s="2" t="s">
        <v>148</v>
      </c>
      <c r="AL47" s="25" t="s">
        <v>184</v>
      </c>
    </row>
    <row r="48" spans="1:39" s="1" customFormat="1" ht="45">
      <c r="A48" s="2">
        <v>7</v>
      </c>
      <c r="B48" s="130" t="s">
        <v>176</v>
      </c>
      <c r="C48" s="93" t="s">
        <v>177</v>
      </c>
      <c r="D48" s="93">
        <v>2017</v>
      </c>
      <c r="E48" s="131">
        <v>0</v>
      </c>
      <c r="F48" s="131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>
        <v>1</v>
      </c>
      <c r="Y48" s="132"/>
      <c r="Z48" s="132"/>
      <c r="AA48" s="133" t="s">
        <v>145</v>
      </c>
      <c r="AB48" s="132"/>
      <c r="AC48" s="132"/>
      <c r="AD48" s="134"/>
      <c r="AE48" s="131"/>
      <c r="AF48" s="94">
        <v>1200000</v>
      </c>
      <c r="AG48" s="94">
        <v>1200000</v>
      </c>
      <c r="AH48" s="4" t="s">
        <v>91</v>
      </c>
      <c r="AI48" s="135"/>
      <c r="AJ48" s="135" t="s">
        <v>179</v>
      </c>
      <c r="AK48" s="135" t="s">
        <v>148</v>
      </c>
      <c r="AL48" s="25" t="s">
        <v>184</v>
      </c>
    </row>
    <row r="49" spans="1:39" s="60" customFormat="1">
      <c r="A49" s="34"/>
      <c r="B49" s="35" t="s">
        <v>193</v>
      </c>
      <c r="C49" s="36"/>
      <c r="D49" s="35"/>
      <c r="E49" s="34"/>
      <c r="F49" s="34"/>
      <c r="G49" s="37"/>
      <c r="H49" s="37"/>
      <c r="I49" s="37"/>
      <c r="J49" s="38"/>
      <c r="K49" s="38"/>
      <c r="L49" s="39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4"/>
      <c r="Z49" s="38"/>
      <c r="AA49" s="37"/>
      <c r="AB49" s="40"/>
      <c r="AC49" s="38"/>
      <c r="AD49" s="38"/>
      <c r="AE49" s="41"/>
      <c r="AF49" s="42"/>
      <c r="AG49" s="120">
        <f>SUM(AG21:AG48)</f>
        <v>51651240</v>
      </c>
      <c r="AH49" s="43"/>
      <c r="AI49" s="34"/>
      <c r="AJ49" s="34"/>
      <c r="AK49" s="44"/>
      <c r="AL49" s="45"/>
      <c r="AM49" s="46"/>
    </row>
    <row r="50" spans="1:39" s="86" customFormat="1">
      <c r="A50" s="117"/>
      <c r="E50" s="117"/>
      <c r="F50" s="95"/>
      <c r="K50" s="117"/>
      <c r="X50" s="117"/>
      <c r="AA50" s="57"/>
      <c r="AB50" s="96"/>
      <c r="AF50" s="52"/>
      <c r="AG50" s="52"/>
      <c r="AH50" s="117"/>
      <c r="AI50" s="153" t="s">
        <v>167</v>
      </c>
      <c r="AJ50" s="153"/>
      <c r="AK50" s="153"/>
      <c r="AL50" s="153"/>
    </row>
    <row r="51" spans="1:39" s="86" customFormat="1">
      <c r="A51" s="117"/>
      <c r="B51" s="86" t="s">
        <v>51</v>
      </c>
      <c r="C51" s="153" t="s">
        <v>85</v>
      </c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AA51" s="153" t="s">
        <v>52</v>
      </c>
      <c r="AB51" s="153"/>
      <c r="AC51" s="153"/>
      <c r="AD51" s="153"/>
      <c r="AE51" s="153"/>
      <c r="AF51" s="153"/>
      <c r="AG51" s="153"/>
      <c r="AH51" s="153"/>
      <c r="AI51" s="153"/>
      <c r="AJ51" s="153" t="s">
        <v>53</v>
      </c>
      <c r="AK51" s="153"/>
      <c r="AL51" s="153"/>
    </row>
    <row r="52" spans="1:39" s="86" customFormat="1">
      <c r="A52" s="55" t="s">
        <v>54</v>
      </c>
      <c r="B52" s="86" t="s">
        <v>83</v>
      </c>
      <c r="C52" s="47"/>
      <c r="E52" s="117"/>
      <c r="F52" s="95"/>
      <c r="K52" s="117"/>
      <c r="X52" s="117"/>
      <c r="AA52" s="57"/>
      <c r="AB52" s="96"/>
      <c r="AF52" s="52"/>
      <c r="AG52" s="52"/>
      <c r="AH52" s="117"/>
      <c r="AI52" s="117"/>
      <c r="AJ52" s="117"/>
      <c r="AK52" s="117"/>
      <c r="AL52" s="97"/>
    </row>
    <row r="53" spans="1:39" s="86" customFormat="1">
      <c r="A53" s="55" t="s">
        <v>54</v>
      </c>
      <c r="B53" s="86" t="s">
        <v>80</v>
      </c>
      <c r="C53" s="47"/>
      <c r="E53" s="117"/>
      <c r="F53" s="95"/>
      <c r="K53" s="117"/>
      <c r="X53" s="117"/>
      <c r="AA53" s="57"/>
      <c r="AB53" s="96"/>
      <c r="AF53" s="52"/>
      <c r="AG53" s="52"/>
      <c r="AH53" s="117"/>
      <c r="AI53" s="117"/>
      <c r="AJ53" s="117"/>
      <c r="AK53" s="117"/>
      <c r="AL53" s="97"/>
    </row>
    <row r="54" spans="1:39" s="86" customFormat="1">
      <c r="A54" s="55" t="s">
        <v>54</v>
      </c>
      <c r="B54" s="86" t="s">
        <v>136</v>
      </c>
      <c r="D54" s="47"/>
      <c r="E54" s="117"/>
      <c r="F54" s="95"/>
      <c r="K54" s="117"/>
      <c r="X54" s="117"/>
      <c r="AA54" s="57"/>
      <c r="AB54" s="98"/>
      <c r="AF54" s="52"/>
      <c r="AG54" s="52"/>
      <c r="AJ54" s="117"/>
      <c r="AK54" s="117"/>
      <c r="AL54" s="97"/>
    </row>
    <row r="55" spans="1:39" s="86" customFormat="1">
      <c r="A55" s="55" t="s">
        <v>54</v>
      </c>
      <c r="B55" s="86" t="s">
        <v>185</v>
      </c>
      <c r="C55" s="47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  <c r="AH55" s="153"/>
      <c r="AI55" s="153"/>
      <c r="AJ55" s="153"/>
      <c r="AK55" s="153"/>
      <c r="AL55" s="153"/>
    </row>
    <row r="56" spans="1:39" s="86" customFormat="1">
      <c r="A56" s="55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AA56" s="153" t="s">
        <v>166</v>
      </c>
      <c r="AB56" s="153"/>
      <c r="AC56" s="153"/>
      <c r="AD56" s="153"/>
      <c r="AE56" s="153"/>
      <c r="AF56" s="153"/>
      <c r="AG56" s="153"/>
      <c r="AH56" s="153"/>
      <c r="AI56" s="153"/>
      <c r="AJ56" s="153" t="s">
        <v>134</v>
      </c>
      <c r="AK56" s="153"/>
      <c r="AL56" s="153"/>
    </row>
    <row r="57" spans="1:39" s="86" customFormat="1">
      <c r="A57" s="117"/>
      <c r="E57" s="117"/>
      <c r="F57" s="95"/>
      <c r="K57" s="117"/>
      <c r="X57" s="117"/>
      <c r="AA57" s="57"/>
      <c r="AB57" s="96"/>
      <c r="AF57" s="52"/>
      <c r="AG57" s="52"/>
      <c r="AH57" s="117"/>
      <c r="AI57" s="117"/>
      <c r="AJ57" s="117"/>
      <c r="AK57" s="117"/>
      <c r="AL57" s="97"/>
    </row>
    <row r="58" spans="1:39" ht="30">
      <c r="A58" s="72">
        <v>8</v>
      </c>
      <c r="B58" s="7" t="s">
        <v>180</v>
      </c>
      <c r="C58" s="93" t="s">
        <v>181</v>
      </c>
      <c r="D58" s="93">
        <v>2005</v>
      </c>
      <c r="E58" s="4">
        <v>1</v>
      </c>
      <c r="F58" s="4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>
        <v>0</v>
      </c>
      <c r="Y58" s="25"/>
      <c r="Z58" s="25"/>
      <c r="AA58" s="99" t="s">
        <v>178</v>
      </c>
      <c r="AB58" s="25"/>
      <c r="AC58" s="25"/>
      <c r="AD58" s="100"/>
      <c r="AE58" s="4"/>
      <c r="AF58" s="94">
        <v>7500000</v>
      </c>
      <c r="AG58" s="94">
        <v>7500000</v>
      </c>
      <c r="AH58" s="78" t="s">
        <v>91</v>
      </c>
      <c r="AI58" s="72"/>
      <c r="AJ58" s="72" t="s">
        <v>43</v>
      </c>
      <c r="AK58" s="72" t="s">
        <v>148</v>
      </c>
      <c r="AL58" s="74" t="s">
        <v>182</v>
      </c>
      <c r="AM58" s="47"/>
    </row>
    <row r="59" spans="1:39" s="86" customFormat="1">
      <c r="A59" s="117"/>
      <c r="E59" s="117"/>
      <c r="F59" s="95"/>
      <c r="K59" s="117"/>
      <c r="X59" s="117"/>
      <c r="AA59" s="57"/>
      <c r="AB59" s="96"/>
      <c r="AF59" s="52"/>
      <c r="AG59" s="52"/>
      <c r="AH59" s="117"/>
      <c r="AI59" s="117"/>
      <c r="AJ59" s="117"/>
      <c r="AK59" s="117"/>
      <c r="AL59" s="97"/>
    </row>
    <row r="60" spans="1:39" s="86" customFormat="1">
      <c r="A60" s="117"/>
      <c r="E60" s="117"/>
      <c r="F60" s="95"/>
      <c r="K60" s="117"/>
      <c r="X60" s="117"/>
      <c r="AA60" s="57"/>
      <c r="AB60" s="96"/>
      <c r="AF60" s="52"/>
      <c r="AG60" s="52"/>
      <c r="AH60" s="117"/>
      <c r="AI60" s="117"/>
      <c r="AJ60" s="117"/>
      <c r="AK60" s="117"/>
      <c r="AL60" s="97"/>
    </row>
    <row r="61" spans="1:39" s="86" customFormat="1">
      <c r="A61" s="117"/>
      <c r="E61" s="117"/>
      <c r="F61" s="95"/>
      <c r="K61" s="117"/>
      <c r="X61" s="117"/>
      <c r="AA61" s="57"/>
      <c r="AB61" s="96"/>
      <c r="AF61" s="52"/>
      <c r="AG61" s="52"/>
      <c r="AH61" s="117"/>
      <c r="AI61" s="117"/>
      <c r="AJ61" s="117"/>
      <c r="AK61" s="117"/>
      <c r="AL61" s="97"/>
    </row>
    <row r="62" spans="1:39" s="86" customFormat="1">
      <c r="A62" s="117"/>
      <c r="E62" s="117"/>
      <c r="F62" s="95"/>
      <c r="K62" s="117"/>
      <c r="X62" s="117"/>
      <c r="AA62" s="57"/>
      <c r="AB62" s="96"/>
      <c r="AF62" s="52"/>
      <c r="AG62" s="52"/>
      <c r="AH62" s="117"/>
      <c r="AI62" s="117"/>
      <c r="AJ62" s="117"/>
      <c r="AK62" s="117"/>
      <c r="AL62" s="97"/>
    </row>
    <row r="63" spans="1:39" s="86" customFormat="1">
      <c r="A63" s="117"/>
      <c r="E63" s="117"/>
      <c r="F63" s="95"/>
      <c r="K63" s="117"/>
      <c r="X63" s="117"/>
      <c r="AA63" s="57"/>
      <c r="AB63" s="96"/>
      <c r="AF63" s="52"/>
      <c r="AG63" s="52"/>
      <c r="AH63" s="117"/>
      <c r="AI63" s="117"/>
      <c r="AJ63" s="117"/>
      <c r="AK63" s="117"/>
      <c r="AL63" s="97"/>
    </row>
    <row r="64" spans="1:39" s="86" customFormat="1">
      <c r="A64" s="117"/>
      <c r="C64" s="47"/>
      <c r="D64" s="47"/>
      <c r="E64" s="114"/>
      <c r="F64" s="61"/>
      <c r="G64" s="47"/>
      <c r="H64" s="47"/>
      <c r="I64" s="47"/>
      <c r="J64" s="47"/>
      <c r="K64" s="114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114"/>
      <c r="Y64" s="47"/>
      <c r="Z64" s="47"/>
      <c r="AA64" s="57"/>
      <c r="AB64" s="96"/>
      <c r="AF64" s="52"/>
      <c r="AG64" s="52"/>
      <c r="AH64" s="117"/>
      <c r="AI64" s="117"/>
      <c r="AJ64" s="117"/>
      <c r="AK64" s="117"/>
      <c r="AL64" s="97"/>
    </row>
    <row r="65" spans="1:39" s="86" customFormat="1">
      <c r="A65" s="117"/>
      <c r="E65" s="117"/>
      <c r="F65" s="95"/>
      <c r="K65" s="117"/>
      <c r="X65" s="117"/>
      <c r="AA65" s="57"/>
      <c r="AB65" s="96"/>
      <c r="AF65" s="52"/>
      <c r="AG65" s="52"/>
      <c r="AH65" s="117"/>
      <c r="AI65" s="117"/>
      <c r="AJ65" s="117"/>
      <c r="AK65" s="117"/>
      <c r="AL65" s="97"/>
    </row>
    <row r="66" spans="1:39" s="86" customFormat="1">
      <c r="A66" s="164" t="s">
        <v>130</v>
      </c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</row>
    <row r="67" spans="1:39" s="86" customFormat="1">
      <c r="A67" s="117"/>
      <c r="E67" s="117"/>
      <c r="F67" s="95"/>
      <c r="K67" s="117"/>
      <c r="X67" s="117"/>
      <c r="AA67" s="57"/>
      <c r="AB67" s="96"/>
      <c r="AF67" s="52"/>
      <c r="AG67" s="52"/>
      <c r="AH67" s="117"/>
      <c r="AI67" s="117"/>
      <c r="AJ67" s="117"/>
      <c r="AK67" s="117"/>
      <c r="AL67" s="97"/>
    </row>
    <row r="68" spans="1:39">
      <c r="A68" s="160" t="s">
        <v>5</v>
      </c>
      <c r="B68" s="161" t="s">
        <v>6</v>
      </c>
      <c r="C68" s="156" t="s">
        <v>7</v>
      </c>
      <c r="D68" s="156" t="s">
        <v>8</v>
      </c>
      <c r="E68" s="160" t="s">
        <v>46</v>
      </c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16"/>
      <c r="R68" s="116"/>
      <c r="S68" s="116"/>
      <c r="T68" s="116"/>
      <c r="U68" s="116"/>
      <c r="V68" s="116"/>
      <c r="W68" s="113"/>
      <c r="X68" s="163" t="s">
        <v>47</v>
      </c>
      <c r="Y68" s="155"/>
      <c r="Z68" s="155"/>
      <c r="AA68" s="163" t="s">
        <v>48</v>
      </c>
      <c r="AB68" s="155"/>
      <c r="AC68" s="155"/>
      <c r="AD68" s="160" t="s">
        <v>9</v>
      </c>
      <c r="AE68" s="160" t="s">
        <v>10</v>
      </c>
      <c r="AF68" s="101"/>
      <c r="AG68" s="101"/>
      <c r="AH68" s="160" t="s">
        <v>11</v>
      </c>
      <c r="AI68" s="160" t="s">
        <v>12</v>
      </c>
      <c r="AJ68" s="160" t="s">
        <v>13</v>
      </c>
      <c r="AK68" s="156" t="s">
        <v>50</v>
      </c>
      <c r="AL68" s="160" t="s">
        <v>14</v>
      </c>
    </row>
    <row r="69" spans="1:39" ht="85.5">
      <c r="A69" s="161"/>
      <c r="B69" s="161"/>
      <c r="C69" s="165"/>
      <c r="D69" s="157"/>
      <c r="E69" s="115" t="s">
        <v>49</v>
      </c>
      <c r="F69" s="64" t="s">
        <v>15</v>
      </c>
      <c r="G69" s="155" t="s">
        <v>16</v>
      </c>
      <c r="H69" s="155"/>
      <c r="I69" s="155"/>
      <c r="J69" s="113" t="s">
        <v>17</v>
      </c>
      <c r="K69" s="116" t="s">
        <v>18</v>
      </c>
      <c r="L69" s="113"/>
      <c r="M69" s="113" t="s">
        <v>17</v>
      </c>
      <c r="N69" s="113" t="s">
        <v>17</v>
      </c>
      <c r="O69" s="113" t="s">
        <v>17</v>
      </c>
      <c r="P69" s="113" t="s">
        <v>19</v>
      </c>
      <c r="Q69" s="113" t="s">
        <v>19</v>
      </c>
      <c r="R69" s="113" t="s">
        <v>19</v>
      </c>
      <c r="S69" s="113" t="s">
        <v>19</v>
      </c>
      <c r="T69" s="113" t="s">
        <v>19</v>
      </c>
      <c r="U69" s="113" t="s">
        <v>19</v>
      </c>
      <c r="V69" s="113" t="s">
        <v>20</v>
      </c>
      <c r="W69" s="113"/>
      <c r="X69" s="115" t="s">
        <v>49</v>
      </c>
      <c r="Y69" s="64" t="s">
        <v>21</v>
      </c>
      <c r="Z69" s="64" t="s">
        <v>22</v>
      </c>
      <c r="AA69" s="65" t="s">
        <v>49</v>
      </c>
      <c r="AB69" s="64" t="s">
        <v>21</v>
      </c>
      <c r="AC69" s="64" t="s">
        <v>23</v>
      </c>
      <c r="AD69" s="160"/>
      <c r="AE69" s="160"/>
      <c r="AF69" s="101"/>
      <c r="AG69" s="101"/>
      <c r="AH69" s="162"/>
      <c r="AI69" s="162"/>
      <c r="AJ69" s="161"/>
      <c r="AK69" s="165"/>
      <c r="AL69" s="166"/>
    </row>
    <row r="70" spans="1:39" s="86" customFormat="1">
      <c r="A70" s="113" t="s">
        <v>78</v>
      </c>
      <c r="B70" s="82" t="s">
        <v>116</v>
      </c>
      <c r="C70" s="113"/>
      <c r="D70" s="116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82"/>
      <c r="Z70" s="82"/>
      <c r="AA70" s="67"/>
      <c r="AB70" s="82"/>
      <c r="AC70" s="82"/>
      <c r="AD70" s="82"/>
      <c r="AE70" s="82"/>
      <c r="AF70" s="83"/>
      <c r="AG70" s="83"/>
      <c r="AH70" s="113"/>
      <c r="AI70" s="113"/>
      <c r="AJ70" s="113"/>
      <c r="AK70" s="113"/>
      <c r="AL70" s="84"/>
      <c r="AM70" s="85"/>
    </row>
    <row r="71" spans="1:39" ht="45">
      <c r="A71" s="72">
        <v>1</v>
      </c>
      <c r="B71" s="73" t="s">
        <v>95</v>
      </c>
      <c r="C71" s="75" t="s">
        <v>120</v>
      </c>
      <c r="D71" s="78">
        <v>2008</v>
      </c>
      <c r="E71" s="78">
        <v>1</v>
      </c>
      <c r="F71" s="78">
        <v>1</v>
      </c>
      <c r="G71" s="90"/>
      <c r="H71" s="73" t="s">
        <v>90</v>
      </c>
      <c r="I71" s="73" t="s">
        <v>90</v>
      </c>
      <c r="J71" s="78" t="s">
        <v>96</v>
      </c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8">
        <v>1</v>
      </c>
      <c r="Y71" s="76"/>
      <c r="Z71" s="76"/>
      <c r="AA71" s="77">
        <v>0</v>
      </c>
      <c r="AB71" s="76"/>
      <c r="AC71" s="76"/>
      <c r="AD71" s="76"/>
      <c r="AE71" s="76"/>
      <c r="AF71" s="33"/>
      <c r="AG71" s="33"/>
      <c r="AH71" s="78" t="s">
        <v>91</v>
      </c>
      <c r="AI71" s="72" t="s">
        <v>102</v>
      </c>
      <c r="AJ71" s="78" t="s">
        <v>109</v>
      </c>
      <c r="AK71" s="72" t="s">
        <v>61</v>
      </c>
      <c r="AL71" s="79"/>
    </row>
    <row r="72" spans="1:39" ht="45">
      <c r="A72" s="72">
        <v>2</v>
      </c>
      <c r="B72" s="73" t="s">
        <v>97</v>
      </c>
      <c r="C72" s="75" t="s">
        <v>121</v>
      </c>
      <c r="D72" s="78">
        <v>2009</v>
      </c>
      <c r="E72" s="78">
        <v>1</v>
      </c>
      <c r="F72" s="78">
        <v>1</v>
      </c>
      <c r="G72" s="90"/>
      <c r="H72" s="73" t="s">
        <v>90</v>
      </c>
      <c r="I72" s="73" t="s">
        <v>90</v>
      </c>
      <c r="J72" s="78" t="s">
        <v>96</v>
      </c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8">
        <v>1</v>
      </c>
      <c r="Y72" s="76"/>
      <c r="Z72" s="76"/>
      <c r="AA72" s="91">
        <v>0</v>
      </c>
      <c r="AB72" s="76"/>
      <c r="AC72" s="76"/>
      <c r="AD72" s="76"/>
      <c r="AE72" s="76"/>
      <c r="AF72" s="33"/>
      <c r="AG72" s="33"/>
      <c r="AH72" s="78" t="s">
        <v>91</v>
      </c>
      <c r="AI72" s="72" t="s">
        <v>102</v>
      </c>
      <c r="AJ72" s="78" t="s">
        <v>109</v>
      </c>
      <c r="AK72" s="72" t="s">
        <v>61</v>
      </c>
      <c r="AL72" s="79"/>
    </row>
    <row r="73" spans="1:39">
      <c r="A73" s="113" t="s">
        <v>79</v>
      </c>
      <c r="B73" s="102" t="s">
        <v>117</v>
      </c>
      <c r="C73" s="103"/>
      <c r="D73" s="112"/>
      <c r="E73" s="112"/>
      <c r="F73" s="112"/>
      <c r="G73" s="103"/>
      <c r="H73" s="102"/>
      <c r="I73" s="102"/>
      <c r="J73" s="112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2"/>
      <c r="Y73" s="82"/>
      <c r="Z73" s="82"/>
      <c r="AA73" s="104"/>
      <c r="AB73" s="82"/>
      <c r="AC73" s="82"/>
      <c r="AD73" s="82"/>
      <c r="AE73" s="82"/>
      <c r="AF73" s="83"/>
      <c r="AG73" s="83"/>
      <c r="AH73" s="112"/>
      <c r="AI73" s="113"/>
      <c r="AJ73" s="78"/>
      <c r="AK73" s="72"/>
      <c r="AL73" s="79"/>
    </row>
    <row r="74" spans="1:39" ht="30">
      <c r="A74" s="72">
        <v>1</v>
      </c>
      <c r="B74" s="73" t="s">
        <v>103</v>
      </c>
      <c r="C74" s="90"/>
      <c r="D74" s="78">
        <v>2006</v>
      </c>
      <c r="E74" s="78">
        <v>2</v>
      </c>
      <c r="F74" s="78">
        <v>2</v>
      </c>
      <c r="G74" s="78">
        <v>2</v>
      </c>
      <c r="H74" s="78">
        <v>2</v>
      </c>
      <c r="I74" s="78">
        <v>2</v>
      </c>
      <c r="J74" s="78">
        <v>2</v>
      </c>
      <c r="K74" s="78">
        <v>2</v>
      </c>
      <c r="L74" s="78">
        <v>2</v>
      </c>
      <c r="M74" s="78">
        <v>2</v>
      </c>
      <c r="N74" s="78">
        <v>2</v>
      </c>
      <c r="O74" s="78">
        <v>2</v>
      </c>
      <c r="P74" s="78">
        <v>2</v>
      </c>
      <c r="Q74" s="78">
        <v>2</v>
      </c>
      <c r="R74" s="78">
        <v>2</v>
      </c>
      <c r="S74" s="78">
        <v>2</v>
      </c>
      <c r="T74" s="78">
        <v>2</v>
      </c>
      <c r="U74" s="78">
        <v>2</v>
      </c>
      <c r="V74" s="78">
        <v>2</v>
      </c>
      <c r="W74" s="78">
        <v>2</v>
      </c>
      <c r="X74" s="78">
        <v>2</v>
      </c>
      <c r="Y74" s="78">
        <v>2</v>
      </c>
      <c r="Z74" s="78">
        <v>2</v>
      </c>
      <c r="AA74" s="91">
        <v>0</v>
      </c>
      <c r="AB74" s="76"/>
      <c r="AC74" s="76"/>
      <c r="AD74" s="76"/>
      <c r="AE74" s="76"/>
      <c r="AF74" s="33"/>
      <c r="AG74" s="33"/>
      <c r="AH74" s="78" t="s">
        <v>91</v>
      </c>
      <c r="AI74" s="72" t="s">
        <v>119</v>
      </c>
      <c r="AJ74" s="78" t="s">
        <v>109</v>
      </c>
      <c r="AK74" s="72" t="s">
        <v>61</v>
      </c>
      <c r="AL74" s="79" t="s">
        <v>124</v>
      </c>
    </row>
    <row r="75" spans="1:39" ht="30">
      <c r="A75" s="72">
        <v>2</v>
      </c>
      <c r="B75" s="73" t="s">
        <v>104</v>
      </c>
      <c r="C75" s="90"/>
      <c r="D75" s="78">
        <v>2009</v>
      </c>
      <c r="E75" s="78">
        <v>1</v>
      </c>
      <c r="F75" s="78">
        <v>1</v>
      </c>
      <c r="G75" s="78">
        <v>1</v>
      </c>
      <c r="H75" s="78">
        <v>1</v>
      </c>
      <c r="I75" s="78">
        <v>1</v>
      </c>
      <c r="J75" s="78">
        <v>1</v>
      </c>
      <c r="K75" s="78">
        <v>1</v>
      </c>
      <c r="L75" s="78">
        <v>1</v>
      </c>
      <c r="M75" s="78">
        <v>1</v>
      </c>
      <c r="N75" s="78">
        <v>1</v>
      </c>
      <c r="O75" s="78">
        <v>1</v>
      </c>
      <c r="P75" s="78">
        <v>1</v>
      </c>
      <c r="Q75" s="78">
        <v>1</v>
      </c>
      <c r="R75" s="78">
        <v>1</v>
      </c>
      <c r="S75" s="78">
        <v>1</v>
      </c>
      <c r="T75" s="78">
        <v>1</v>
      </c>
      <c r="U75" s="78">
        <v>1</v>
      </c>
      <c r="V75" s="78">
        <v>1</v>
      </c>
      <c r="W75" s="78">
        <v>1</v>
      </c>
      <c r="X75" s="78">
        <v>1</v>
      </c>
      <c r="Y75" s="78">
        <v>1</v>
      </c>
      <c r="Z75" s="78">
        <v>1</v>
      </c>
      <c r="AA75" s="91">
        <v>0</v>
      </c>
      <c r="AB75" s="76"/>
      <c r="AC75" s="76"/>
      <c r="AD75" s="76"/>
      <c r="AE75" s="76"/>
      <c r="AF75" s="33"/>
      <c r="AG75" s="33"/>
      <c r="AH75" s="78" t="s">
        <v>91</v>
      </c>
      <c r="AI75" s="72" t="s">
        <v>119</v>
      </c>
      <c r="AJ75" s="78" t="s">
        <v>109</v>
      </c>
      <c r="AK75" s="72" t="s">
        <v>61</v>
      </c>
      <c r="AL75" s="79" t="s">
        <v>124</v>
      </c>
    </row>
    <row r="76" spans="1:39" ht="30">
      <c r="A76" s="72">
        <v>3</v>
      </c>
      <c r="B76" s="73" t="s">
        <v>105</v>
      </c>
      <c r="C76" s="90"/>
      <c r="D76" s="78">
        <v>2003</v>
      </c>
      <c r="E76" s="78">
        <v>1</v>
      </c>
      <c r="F76" s="78">
        <v>1</v>
      </c>
      <c r="G76" s="78">
        <v>1</v>
      </c>
      <c r="H76" s="78">
        <v>1</v>
      </c>
      <c r="I76" s="78">
        <v>1</v>
      </c>
      <c r="J76" s="78">
        <v>1</v>
      </c>
      <c r="K76" s="78">
        <v>1</v>
      </c>
      <c r="L76" s="78">
        <v>1</v>
      </c>
      <c r="M76" s="78">
        <v>1</v>
      </c>
      <c r="N76" s="78">
        <v>1</v>
      </c>
      <c r="O76" s="78">
        <v>1</v>
      </c>
      <c r="P76" s="78">
        <v>1</v>
      </c>
      <c r="Q76" s="78">
        <v>1</v>
      </c>
      <c r="R76" s="78">
        <v>1</v>
      </c>
      <c r="S76" s="78">
        <v>1</v>
      </c>
      <c r="T76" s="78">
        <v>1</v>
      </c>
      <c r="U76" s="78">
        <v>1</v>
      </c>
      <c r="V76" s="78">
        <v>1</v>
      </c>
      <c r="W76" s="78">
        <v>1</v>
      </c>
      <c r="X76" s="78">
        <v>1</v>
      </c>
      <c r="Y76" s="78">
        <v>1</v>
      </c>
      <c r="Z76" s="78">
        <v>1</v>
      </c>
      <c r="AA76" s="91">
        <v>0</v>
      </c>
      <c r="AB76" s="76"/>
      <c r="AC76" s="76"/>
      <c r="AD76" s="76"/>
      <c r="AE76" s="76"/>
      <c r="AF76" s="33"/>
      <c r="AG76" s="33"/>
      <c r="AH76" s="78" t="s">
        <v>91</v>
      </c>
      <c r="AI76" s="72" t="s">
        <v>119</v>
      </c>
      <c r="AJ76" s="78" t="s">
        <v>109</v>
      </c>
      <c r="AK76" s="72" t="s">
        <v>61</v>
      </c>
      <c r="AL76" s="79" t="s">
        <v>124</v>
      </c>
    </row>
    <row r="77" spans="1:39" s="86" customFormat="1">
      <c r="A77" s="117"/>
      <c r="E77" s="117"/>
      <c r="F77" s="95"/>
      <c r="K77" s="117"/>
      <c r="X77" s="117"/>
      <c r="AA77" s="57"/>
      <c r="AB77" s="96"/>
      <c r="AF77" s="52"/>
      <c r="AG77" s="52"/>
      <c r="AH77" s="117"/>
      <c r="AI77" s="117"/>
      <c r="AJ77" s="117"/>
      <c r="AK77" s="117"/>
      <c r="AL77" s="97"/>
    </row>
    <row r="78" spans="1:39">
      <c r="AA78" s="48"/>
      <c r="AB78" s="105"/>
      <c r="AM78" s="47"/>
    </row>
    <row r="79" spans="1:39">
      <c r="A79" s="164" t="s">
        <v>131</v>
      </c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80"/>
    </row>
    <row r="80" spans="1:39">
      <c r="AH80" s="47"/>
    </row>
    <row r="81" spans="1:39">
      <c r="A81" s="175" t="s">
        <v>5</v>
      </c>
      <c r="B81" s="176" t="s">
        <v>6</v>
      </c>
      <c r="C81" s="169" t="s">
        <v>7</v>
      </c>
      <c r="D81" s="169" t="s">
        <v>8</v>
      </c>
      <c r="E81" s="175" t="s">
        <v>46</v>
      </c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09"/>
      <c r="R81" s="109"/>
      <c r="S81" s="109"/>
      <c r="T81" s="109"/>
      <c r="U81" s="109"/>
      <c r="V81" s="109"/>
      <c r="W81" s="111"/>
      <c r="X81" s="181" t="s">
        <v>47</v>
      </c>
      <c r="Y81" s="174"/>
      <c r="Z81" s="174"/>
      <c r="AA81" s="181" t="s">
        <v>48</v>
      </c>
      <c r="AB81" s="174"/>
      <c r="AC81" s="174"/>
      <c r="AD81" s="175" t="s">
        <v>9</v>
      </c>
      <c r="AE81" s="175" t="s">
        <v>10</v>
      </c>
      <c r="AF81" s="101"/>
      <c r="AG81" s="101"/>
      <c r="AH81" s="175" t="s">
        <v>11</v>
      </c>
      <c r="AI81" s="175" t="s">
        <v>12</v>
      </c>
      <c r="AJ81" s="175" t="s">
        <v>13</v>
      </c>
      <c r="AK81" s="169" t="s">
        <v>50</v>
      </c>
      <c r="AL81" s="175" t="s">
        <v>14</v>
      </c>
    </row>
    <row r="82" spans="1:39">
      <c r="A82" s="176"/>
      <c r="B82" s="176"/>
      <c r="C82" s="170"/>
      <c r="D82" s="172"/>
      <c r="E82" s="169" t="s">
        <v>49</v>
      </c>
      <c r="F82" s="177" t="s">
        <v>15</v>
      </c>
      <c r="G82" s="174" t="s">
        <v>16</v>
      </c>
      <c r="H82" s="174"/>
      <c r="I82" s="174"/>
      <c r="J82" s="111" t="s">
        <v>17</v>
      </c>
      <c r="K82" s="109" t="s">
        <v>18</v>
      </c>
      <c r="L82" s="111"/>
      <c r="M82" s="111" t="s">
        <v>17</v>
      </c>
      <c r="N82" s="111" t="s">
        <v>17</v>
      </c>
      <c r="O82" s="111" t="s">
        <v>17</v>
      </c>
      <c r="P82" s="111" t="s">
        <v>19</v>
      </c>
      <c r="Q82" s="111" t="s">
        <v>19</v>
      </c>
      <c r="R82" s="111" t="s">
        <v>19</v>
      </c>
      <c r="S82" s="111" t="s">
        <v>19</v>
      </c>
      <c r="T82" s="111" t="s">
        <v>19</v>
      </c>
      <c r="U82" s="111" t="s">
        <v>19</v>
      </c>
      <c r="V82" s="111" t="s">
        <v>20</v>
      </c>
      <c r="W82" s="111"/>
      <c r="X82" s="169" t="s">
        <v>49</v>
      </c>
      <c r="Y82" s="177" t="s">
        <v>21</v>
      </c>
      <c r="Z82" s="177" t="s">
        <v>22</v>
      </c>
      <c r="AA82" s="185" t="s">
        <v>49</v>
      </c>
      <c r="AB82" s="177" t="s">
        <v>21</v>
      </c>
      <c r="AC82" s="177" t="s">
        <v>23</v>
      </c>
      <c r="AD82" s="175"/>
      <c r="AE82" s="175"/>
      <c r="AF82" s="101"/>
      <c r="AG82" s="101"/>
      <c r="AH82" s="188"/>
      <c r="AI82" s="184"/>
      <c r="AJ82" s="176"/>
      <c r="AK82" s="170"/>
      <c r="AL82" s="179"/>
    </row>
    <row r="83" spans="1:39">
      <c r="A83" s="176"/>
      <c r="B83" s="176"/>
      <c r="C83" s="170"/>
      <c r="D83" s="172"/>
      <c r="E83" s="172"/>
      <c r="F83" s="182"/>
      <c r="G83" s="177" t="s">
        <v>24</v>
      </c>
      <c r="H83" s="174" t="s">
        <v>25</v>
      </c>
      <c r="I83" s="174"/>
      <c r="J83" s="111" t="s">
        <v>26</v>
      </c>
      <c r="K83" s="109" t="s">
        <v>27</v>
      </c>
      <c r="L83" s="111" t="s">
        <v>28</v>
      </c>
      <c r="M83" s="111" t="s">
        <v>26</v>
      </c>
      <c r="N83" s="111" t="s">
        <v>26</v>
      </c>
      <c r="O83" s="111" t="s">
        <v>26</v>
      </c>
      <c r="P83" s="111" t="s">
        <v>29</v>
      </c>
      <c r="Q83" s="111" t="s">
        <v>29</v>
      </c>
      <c r="R83" s="111" t="s">
        <v>29</v>
      </c>
      <c r="S83" s="111" t="s">
        <v>29</v>
      </c>
      <c r="T83" s="111" t="s">
        <v>29</v>
      </c>
      <c r="U83" s="111" t="s">
        <v>29</v>
      </c>
      <c r="V83" s="111" t="s">
        <v>26</v>
      </c>
      <c r="W83" s="111" t="s">
        <v>30</v>
      </c>
      <c r="X83" s="172"/>
      <c r="Y83" s="182"/>
      <c r="Z83" s="182"/>
      <c r="AA83" s="186"/>
      <c r="AB83" s="182"/>
      <c r="AC83" s="182"/>
      <c r="AD83" s="175"/>
      <c r="AE83" s="175"/>
      <c r="AF83" s="101"/>
      <c r="AG83" s="101"/>
      <c r="AH83" s="188"/>
      <c r="AI83" s="184"/>
      <c r="AJ83" s="176"/>
      <c r="AK83" s="170"/>
      <c r="AL83" s="179"/>
    </row>
    <row r="84" spans="1:39" ht="47.25">
      <c r="A84" s="176"/>
      <c r="B84" s="176"/>
      <c r="C84" s="171"/>
      <c r="D84" s="173"/>
      <c r="E84" s="173"/>
      <c r="F84" s="183"/>
      <c r="G84" s="178"/>
      <c r="H84" s="107" t="s">
        <v>31</v>
      </c>
      <c r="I84" s="110" t="s">
        <v>32</v>
      </c>
      <c r="J84" s="111" t="s">
        <v>33</v>
      </c>
      <c r="K84" s="109" t="s">
        <v>34</v>
      </c>
      <c r="L84" s="111" t="s">
        <v>35</v>
      </c>
      <c r="M84" s="111" t="s">
        <v>33</v>
      </c>
      <c r="N84" s="111" t="s">
        <v>36</v>
      </c>
      <c r="O84" s="111" t="s">
        <v>36</v>
      </c>
      <c r="P84" s="111" t="s">
        <v>36</v>
      </c>
      <c r="Q84" s="111" t="s">
        <v>36</v>
      </c>
      <c r="R84" s="111" t="s">
        <v>36</v>
      </c>
      <c r="S84" s="111" t="s">
        <v>36</v>
      </c>
      <c r="T84" s="111" t="s">
        <v>36</v>
      </c>
      <c r="U84" s="111" t="s">
        <v>36</v>
      </c>
      <c r="V84" s="111" t="s">
        <v>36</v>
      </c>
      <c r="W84" s="111" t="s">
        <v>37</v>
      </c>
      <c r="X84" s="173"/>
      <c r="Y84" s="183"/>
      <c r="Z84" s="183"/>
      <c r="AA84" s="187"/>
      <c r="AB84" s="183"/>
      <c r="AC84" s="183"/>
      <c r="AD84" s="175"/>
      <c r="AE84" s="175"/>
      <c r="AF84" s="101"/>
      <c r="AG84" s="101"/>
      <c r="AH84" s="188"/>
      <c r="AI84" s="184"/>
      <c r="AJ84" s="176"/>
      <c r="AK84" s="171"/>
      <c r="AL84" s="179"/>
    </row>
    <row r="85" spans="1:39" s="86" customFormat="1">
      <c r="A85" s="113" t="s">
        <v>118</v>
      </c>
      <c r="B85" s="82" t="s">
        <v>123</v>
      </c>
      <c r="C85" s="113"/>
      <c r="D85" s="116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82"/>
      <c r="Z85" s="82"/>
      <c r="AA85" s="104"/>
      <c r="AB85" s="82"/>
      <c r="AC85" s="82"/>
      <c r="AD85" s="82"/>
      <c r="AE85" s="82"/>
      <c r="AF85" s="83"/>
      <c r="AG85" s="83"/>
      <c r="AH85" s="113"/>
      <c r="AI85" s="113"/>
      <c r="AJ85" s="113"/>
      <c r="AK85" s="113"/>
      <c r="AL85" s="84"/>
      <c r="AM85" s="85"/>
    </row>
    <row r="86" spans="1:39" ht="30">
      <c r="A86" s="72">
        <v>1</v>
      </c>
      <c r="B86" s="73" t="s">
        <v>106</v>
      </c>
      <c r="C86" s="90"/>
      <c r="D86" s="90"/>
      <c r="E86" s="78">
        <v>2</v>
      </c>
      <c r="F86" s="78">
        <v>2</v>
      </c>
      <c r="G86" s="78">
        <v>2</v>
      </c>
      <c r="H86" s="78">
        <v>2</v>
      </c>
      <c r="I86" s="78">
        <v>2</v>
      </c>
      <c r="J86" s="78">
        <v>2</v>
      </c>
      <c r="K86" s="78">
        <v>2</v>
      </c>
      <c r="L86" s="78">
        <v>2</v>
      </c>
      <c r="M86" s="78">
        <v>2</v>
      </c>
      <c r="N86" s="78">
        <v>2</v>
      </c>
      <c r="O86" s="78">
        <v>2</v>
      </c>
      <c r="P86" s="78">
        <v>2</v>
      </c>
      <c r="Q86" s="78">
        <v>2</v>
      </c>
      <c r="R86" s="78">
        <v>2</v>
      </c>
      <c r="S86" s="78">
        <v>2</v>
      </c>
      <c r="T86" s="78">
        <v>2</v>
      </c>
      <c r="U86" s="78">
        <v>2</v>
      </c>
      <c r="V86" s="78">
        <v>2</v>
      </c>
      <c r="W86" s="78">
        <v>2</v>
      </c>
      <c r="X86" s="78">
        <v>2</v>
      </c>
      <c r="Y86" s="76">
        <f>G86</f>
        <v>2</v>
      </c>
      <c r="Z86" s="76">
        <v>0</v>
      </c>
      <c r="AA86" s="108"/>
      <c r="AB86" s="76">
        <f>Y86-G86</f>
        <v>0</v>
      </c>
      <c r="AC86" s="76">
        <f>F86-Z86</f>
        <v>2</v>
      </c>
      <c r="AD86" s="76">
        <v>0.125</v>
      </c>
      <c r="AE86" s="76" t="s">
        <v>42</v>
      </c>
      <c r="AF86" s="33"/>
      <c r="AG86" s="33"/>
      <c r="AH86" s="78" t="s">
        <v>91</v>
      </c>
      <c r="AI86" s="78" t="s">
        <v>91</v>
      </c>
      <c r="AJ86" s="72" t="s">
        <v>76</v>
      </c>
      <c r="AK86" s="72"/>
      <c r="AL86" s="79" t="s">
        <v>82</v>
      </c>
    </row>
    <row r="87" spans="1:39" ht="30">
      <c r="A87" s="72">
        <v>2</v>
      </c>
      <c r="B87" s="73" t="s">
        <v>107</v>
      </c>
      <c r="C87" s="90"/>
      <c r="D87" s="90"/>
      <c r="E87" s="78">
        <v>3</v>
      </c>
      <c r="F87" s="78">
        <v>3</v>
      </c>
      <c r="G87" s="78">
        <v>3</v>
      </c>
      <c r="H87" s="78">
        <v>3</v>
      </c>
      <c r="I87" s="78">
        <v>3</v>
      </c>
      <c r="J87" s="78">
        <v>3</v>
      </c>
      <c r="K87" s="78">
        <v>3</v>
      </c>
      <c r="L87" s="78">
        <v>3</v>
      </c>
      <c r="M87" s="78">
        <v>3</v>
      </c>
      <c r="N87" s="78">
        <v>3</v>
      </c>
      <c r="O87" s="78">
        <v>3</v>
      </c>
      <c r="P87" s="78">
        <v>3</v>
      </c>
      <c r="Q87" s="78">
        <v>3</v>
      </c>
      <c r="R87" s="78">
        <v>3</v>
      </c>
      <c r="S87" s="78">
        <v>3</v>
      </c>
      <c r="T87" s="78">
        <v>3</v>
      </c>
      <c r="U87" s="78">
        <v>3</v>
      </c>
      <c r="V87" s="78">
        <v>3</v>
      </c>
      <c r="W87" s="78">
        <v>3</v>
      </c>
      <c r="X87" s="78">
        <v>3</v>
      </c>
      <c r="Y87" s="76"/>
      <c r="Z87" s="76">
        <v>0</v>
      </c>
      <c r="AA87" s="108"/>
      <c r="AB87" s="76">
        <f>Y87-G87</f>
        <v>-3</v>
      </c>
      <c r="AC87" s="76">
        <f>F87-Z87</f>
        <v>3</v>
      </c>
      <c r="AD87" s="76"/>
      <c r="AE87" s="76" t="s">
        <v>42</v>
      </c>
      <c r="AF87" s="33"/>
      <c r="AG87" s="33"/>
      <c r="AH87" s="78" t="s">
        <v>91</v>
      </c>
      <c r="AI87" s="78" t="s">
        <v>91</v>
      </c>
      <c r="AJ87" s="72" t="s">
        <v>76</v>
      </c>
      <c r="AK87" s="72"/>
      <c r="AL87" s="79" t="s">
        <v>82</v>
      </c>
    </row>
    <row r="91" spans="1:39">
      <c r="B91" s="118"/>
    </row>
  </sheetData>
  <mergeCells count="83">
    <mergeCell ref="AI81:AI84"/>
    <mergeCell ref="AJ81:AJ84"/>
    <mergeCell ref="AA81:AC81"/>
    <mergeCell ref="AD81:AD84"/>
    <mergeCell ref="AA82:AA84"/>
    <mergeCell ref="AB82:AB84"/>
    <mergeCell ref="AC82:AC84"/>
    <mergeCell ref="AE81:AE84"/>
    <mergeCell ref="AH81:AH84"/>
    <mergeCell ref="AL68:AL69"/>
    <mergeCell ref="AK81:AK84"/>
    <mergeCell ref="AL81:AL84"/>
    <mergeCell ref="G69:I69"/>
    <mergeCell ref="A79:AL79"/>
    <mergeCell ref="A81:A84"/>
    <mergeCell ref="B81:B84"/>
    <mergeCell ref="X81:Z81"/>
    <mergeCell ref="Y82:Y84"/>
    <mergeCell ref="Z82:Z84"/>
    <mergeCell ref="AD68:AD69"/>
    <mergeCell ref="AE68:AE69"/>
    <mergeCell ref="AH68:AH69"/>
    <mergeCell ref="E82:E84"/>
    <mergeCell ref="F82:F84"/>
    <mergeCell ref="AK68:AK69"/>
    <mergeCell ref="C81:C84"/>
    <mergeCell ref="D81:D84"/>
    <mergeCell ref="AA68:AC68"/>
    <mergeCell ref="G82:I82"/>
    <mergeCell ref="X82:X84"/>
    <mergeCell ref="E81:P81"/>
    <mergeCell ref="G83:G84"/>
    <mergeCell ref="H83:I83"/>
    <mergeCell ref="D68:D69"/>
    <mergeCell ref="E68:P68"/>
    <mergeCell ref="X68:Z68"/>
    <mergeCell ref="A66:AL66"/>
    <mergeCell ref="C56:X56"/>
    <mergeCell ref="AA51:AI51"/>
    <mergeCell ref="AA56:AI56"/>
    <mergeCell ref="AH17:AH18"/>
    <mergeCell ref="AK55:AL55"/>
    <mergeCell ref="C51:X51"/>
    <mergeCell ref="AJ56:AL56"/>
    <mergeCell ref="AJ51:AL51"/>
    <mergeCell ref="E55:AH55"/>
    <mergeCell ref="AI55:AJ55"/>
    <mergeCell ref="AI68:AI69"/>
    <mergeCell ref="AJ68:AJ69"/>
    <mergeCell ref="A68:A69"/>
    <mergeCell ref="B68:B69"/>
    <mergeCell ref="C68:C69"/>
    <mergeCell ref="A12:B12"/>
    <mergeCell ref="A13:B13"/>
    <mergeCell ref="C17:C18"/>
    <mergeCell ref="AK17:AK18"/>
    <mergeCell ref="AL17:AL18"/>
    <mergeCell ref="A14:B14"/>
    <mergeCell ref="AJ17:AJ18"/>
    <mergeCell ref="AE17:AE18"/>
    <mergeCell ref="AF17:AF18"/>
    <mergeCell ref="AG17:AG18"/>
    <mergeCell ref="Z1:AL1"/>
    <mergeCell ref="Z2:AL2"/>
    <mergeCell ref="A3:AL3"/>
    <mergeCell ref="Z4:AL4"/>
    <mergeCell ref="A6:AL6"/>
    <mergeCell ref="A7:AL7"/>
    <mergeCell ref="AI50:AL50"/>
    <mergeCell ref="A1:X1"/>
    <mergeCell ref="A2:X2"/>
    <mergeCell ref="G18:I18"/>
    <mergeCell ref="D17:D18"/>
    <mergeCell ref="A9:AL9"/>
    <mergeCell ref="A10:C10"/>
    <mergeCell ref="A11:B11"/>
    <mergeCell ref="AD17:AD18"/>
    <mergeCell ref="A17:A18"/>
    <mergeCell ref="B17:B18"/>
    <mergeCell ref="E17:P17"/>
    <mergeCell ref="AI17:AI18"/>
    <mergeCell ref="X17:Z17"/>
    <mergeCell ref="AA17:AC17"/>
  </mergeCells>
  <phoneticPr fontId="16" type="noConversion"/>
  <printOptions horizontalCentered="1"/>
  <pageMargins left="0.19685039370078741" right="0.19685039370078741" top="0.55118110236220474" bottom="0.27559055118110237" header="0.19685039370078741" footer="0.19685039370078741"/>
  <pageSetup paperSize="9" scale="8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AM49"/>
  <sheetViews>
    <sheetView tabSelected="1" topLeftCell="A34" zoomScaleSheetLayoutView="102" workbookViewId="0">
      <selection activeCell="D29" sqref="D29"/>
    </sheetView>
  </sheetViews>
  <sheetFormatPr defaultRowHeight="15.75"/>
  <cols>
    <col min="1" max="1" width="0.42578125" style="1" customWidth="1"/>
    <col min="2" max="2" width="5.5703125" style="139" customWidth="1"/>
    <col min="3" max="3" width="39" style="1" customWidth="1"/>
    <col min="4" max="4" width="7.42578125" style="1" customWidth="1"/>
    <col min="5" max="5" width="8.42578125" style="1" customWidth="1"/>
    <col min="6" max="6" width="8.140625" style="139" customWidth="1"/>
    <col min="7" max="7" width="11.5703125" style="10" hidden="1" customWidth="1"/>
    <col min="8" max="8" width="12.140625" style="1" hidden="1" customWidth="1"/>
    <col min="9" max="9" width="11.28515625" style="1" hidden="1" customWidth="1"/>
    <col min="10" max="10" width="12.42578125" style="1" hidden="1" customWidth="1"/>
    <col min="11" max="11" width="10.140625" style="1" hidden="1" customWidth="1"/>
    <col min="12" max="12" width="12.5703125" style="139" hidden="1" customWidth="1"/>
    <col min="13" max="13" width="10.85546875" style="1" hidden="1" customWidth="1"/>
    <col min="14" max="15" width="9.28515625" style="1" hidden="1" customWidth="1"/>
    <col min="16" max="16" width="10" style="1" hidden="1" customWidth="1"/>
    <col min="17" max="17" width="9.5703125" style="1" hidden="1" customWidth="1"/>
    <col min="18" max="18" width="9.42578125" style="1" hidden="1" customWidth="1"/>
    <col min="19" max="19" width="9" style="1" hidden="1" customWidth="1"/>
    <col min="20" max="20" width="11.28515625" style="1" hidden="1" customWidth="1"/>
    <col min="21" max="21" width="11.5703125" style="1" hidden="1" customWidth="1"/>
    <col min="22" max="23" width="10.5703125" style="1" hidden="1" customWidth="1"/>
    <col min="24" max="24" width="0.140625" style="1" hidden="1" customWidth="1"/>
    <col min="25" max="25" width="8.140625" style="139" customWidth="1"/>
    <col min="26" max="26" width="12" style="1" hidden="1" customWidth="1"/>
    <col min="27" max="27" width="5.5703125" style="1" hidden="1" customWidth="1"/>
    <col min="28" max="28" width="8.28515625" style="143" customWidth="1"/>
    <col min="29" max="29" width="6.140625" style="1" hidden="1" customWidth="1"/>
    <col min="30" max="30" width="5.5703125" style="1" hidden="1" customWidth="1"/>
    <col min="31" max="31" width="7.140625" style="1" hidden="1" customWidth="1"/>
    <col min="32" max="32" width="5.42578125" style="1" hidden="1" customWidth="1"/>
    <col min="33" max="34" width="13.140625" style="1" customWidth="1"/>
    <col min="35" max="35" width="14.7109375" style="1" customWidth="1"/>
    <col min="36" max="36" width="11.42578125" style="139" customWidth="1"/>
    <col min="37" max="37" width="10.140625" style="139" customWidth="1"/>
    <col min="38" max="38" width="12.42578125" style="1" customWidth="1"/>
    <col min="39" max="39" width="10.28515625" style="1" customWidth="1"/>
    <col min="40" max="16384" width="9.140625" style="1"/>
  </cols>
  <sheetData>
    <row r="1" spans="1:39" ht="15.75" customHeight="1">
      <c r="B1" s="8" t="s">
        <v>44</v>
      </c>
      <c r="C1" s="9"/>
      <c r="D1" s="9"/>
      <c r="I1" s="11"/>
      <c r="J1" s="11"/>
      <c r="K1" s="136" t="s">
        <v>0</v>
      </c>
      <c r="L1" s="11"/>
      <c r="M1" s="11"/>
      <c r="N1" s="11"/>
      <c r="O1" s="11"/>
      <c r="Q1" s="136"/>
      <c r="R1" s="136"/>
      <c r="S1" s="136"/>
      <c r="T1" s="136"/>
      <c r="U1" s="136"/>
      <c r="V1" s="136"/>
      <c r="W1" s="136"/>
      <c r="X1" s="136"/>
      <c r="AA1" s="189" t="s">
        <v>0</v>
      </c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</row>
    <row r="2" spans="1:39" ht="15" customHeight="1">
      <c r="B2" s="12" t="s">
        <v>45</v>
      </c>
      <c r="L2" s="1"/>
      <c r="P2" s="13"/>
      <c r="Q2" s="13"/>
      <c r="R2" s="13"/>
      <c r="S2" s="13"/>
      <c r="T2" s="13"/>
      <c r="U2" s="13"/>
      <c r="V2" s="13"/>
      <c r="W2" s="13"/>
      <c r="X2" s="13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</row>
    <row r="3" spans="1:39" ht="22.5" hidden="1" customHeight="1">
      <c r="B3" s="189" t="s">
        <v>1</v>
      </c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</row>
    <row r="4" spans="1:39" ht="15" customHeight="1"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</row>
    <row r="5" spans="1:39" ht="15" customHeight="1"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9"/>
      <c r="AB5" s="139"/>
      <c r="AC5" s="139"/>
      <c r="AD5" s="139"/>
      <c r="AE5" s="139"/>
      <c r="AF5" s="139"/>
      <c r="AG5" s="147"/>
      <c r="AH5" s="147"/>
      <c r="AI5" s="139"/>
      <c r="AL5" s="139"/>
      <c r="AM5" s="139"/>
    </row>
    <row r="6" spans="1:39" ht="17.25" customHeight="1">
      <c r="B6" s="189" t="s">
        <v>163</v>
      </c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</row>
    <row r="7" spans="1:39" ht="17.25" customHeight="1">
      <c r="B7" s="189" t="s">
        <v>129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189"/>
      <c r="AL7" s="189"/>
      <c r="AM7" s="189"/>
    </row>
    <row r="8" spans="1:39" ht="17.25" customHeight="1"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44"/>
      <c r="AH8" s="144"/>
      <c r="AI8" s="136"/>
      <c r="AJ8" s="136"/>
      <c r="AK8" s="136"/>
      <c r="AL8" s="136"/>
      <c r="AM8" s="136"/>
    </row>
    <row r="9" spans="1:39" ht="18" customHeight="1">
      <c r="A9" s="9" t="s">
        <v>194</v>
      </c>
      <c r="C9" s="139"/>
      <c r="D9" s="139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4"/>
      <c r="AB9" s="136"/>
      <c r="AC9" s="136"/>
      <c r="AD9" s="136"/>
      <c r="AE9" s="136"/>
      <c r="AF9" s="136"/>
      <c r="AG9" s="144"/>
      <c r="AH9" s="144"/>
      <c r="AK9" s="1"/>
    </row>
    <row r="10" spans="1:39" ht="18" customHeight="1">
      <c r="A10" s="15" t="s">
        <v>132</v>
      </c>
      <c r="D10" s="1" t="s">
        <v>133</v>
      </c>
      <c r="E10" s="136"/>
      <c r="F10" s="1"/>
      <c r="G10" s="1"/>
      <c r="H10" s="15"/>
      <c r="I10" s="136"/>
      <c r="K10" s="15" t="s">
        <v>2</v>
      </c>
      <c r="L10" s="136"/>
      <c r="M10" s="16"/>
      <c r="S10" s="15"/>
      <c r="T10" s="17"/>
      <c r="W10" s="14"/>
      <c r="X10" s="136"/>
      <c r="Y10" s="1"/>
      <c r="Z10" s="136"/>
      <c r="AA10" s="136"/>
      <c r="AB10" s="15"/>
      <c r="AI10" s="15" t="s">
        <v>53</v>
      </c>
      <c r="AK10" s="1"/>
    </row>
    <row r="11" spans="1:39" ht="18" customHeight="1">
      <c r="A11" s="15" t="s">
        <v>164</v>
      </c>
      <c r="D11" s="1" t="s">
        <v>52</v>
      </c>
      <c r="E11" s="139"/>
      <c r="F11" s="1"/>
      <c r="G11" s="1"/>
      <c r="H11" s="15"/>
      <c r="I11" s="136"/>
      <c r="K11" s="15"/>
      <c r="L11" s="136"/>
      <c r="M11" s="16"/>
      <c r="S11" s="15"/>
      <c r="T11" s="17"/>
      <c r="W11" s="14"/>
      <c r="X11" s="136"/>
      <c r="Y11" s="1"/>
      <c r="Z11" s="136"/>
      <c r="AA11" s="136"/>
      <c r="AB11" s="15"/>
      <c r="AI11" s="1" t="s">
        <v>55</v>
      </c>
      <c r="AK11" s="1"/>
    </row>
    <row r="12" spans="1:39" ht="18" customHeight="1">
      <c r="A12" s="15" t="s">
        <v>56</v>
      </c>
      <c r="D12" s="1" t="s">
        <v>57</v>
      </c>
      <c r="E12" s="136"/>
      <c r="F12" s="1"/>
      <c r="G12" s="1"/>
      <c r="H12" s="15"/>
      <c r="I12" s="136"/>
      <c r="K12" s="15" t="s">
        <v>3</v>
      </c>
      <c r="L12" s="136"/>
      <c r="M12" s="16"/>
      <c r="S12" s="15"/>
      <c r="T12" s="17"/>
      <c r="W12" s="14"/>
      <c r="X12" s="136"/>
      <c r="Y12" s="1"/>
      <c r="Z12" s="136"/>
      <c r="AA12" s="136"/>
      <c r="AB12" s="15"/>
      <c r="AI12" s="1" t="s">
        <v>58</v>
      </c>
      <c r="AK12" s="1"/>
    </row>
    <row r="13" spans="1:39" ht="18" customHeight="1">
      <c r="A13" s="15" t="s">
        <v>115</v>
      </c>
      <c r="D13" s="1" t="s">
        <v>85</v>
      </c>
      <c r="F13" s="1"/>
      <c r="G13" s="1"/>
      <c r="L13" s="1"/>
      <c r="Y13" s="1"/>
      <c r="AB13" s="1"/>
      <c r="AI13" s="1" t="s">
        <v>59</v>
      </c>
      <c r="AK13" s="1"/>
    </row>
    <row r="14" spans="1:39" ht="18" customHeight="1">
      <c r="A14" s="15" t="s">
        <v>60</v>
      </c>
      <c r="B14" s="1"/>
      <c r="F14" s="1"/>
      <c r="G14" s="1"/>
      <c r="L14" s="1"/>
      <c r="Y14" s="1"/>
      <c r="AB14" s="1"/>
      <c r="AK14" s="1"/>
    </row>
    <row r="15" spans="1:39" ht="18" customHeight="1">
      <c r="A15" s="15" t="s">
        <v>4</v>
      </c>
      <c r="B15" s="1"/>
      <c r="E15" s="139"/>
      <c r="F15" s="10"/>
      <c r="G15" s="1"/>
      <c r="K15" s="139"/>
      <c r="L15" s="1"/>
      <c r="X15" s="139"/>
      <c r="Y15" s="1"/>
      <c r="AA15" s="18"/>
      <c r="AB15" s="1"/>
      <c r="AK15" s="1"/>
    </row>
    <row r="16" spans="1:39" ht="11.25" customHeight="1">
      <c r="A16" s="15"/>
      <c r="B16" s="1"/>
      <c r="E16" s="139"/>
      <c r="F16" s="10"/>
      <c r="G16" s="1"/>
      <c r="K16" s="139"/>
      <c r="L16" s="1"/>
      <c r="X16" s="139"/>
      <c r="Y16" s="1"/>
      <c r="AA16" s="18"/>
      <c r="AB16" s="1"/>
      <c r="AK16" s="1"/>
    </row>
    <row r="17" spans="1:39" ht="3" hidden="1" customHeight="1">
      <c r="AB17" s="141"/>
    </row>
    <row r="18" spans="1:39" ht="39" customHeight="1">
      <c r="A18" s="194" t="s">
        <v>5</v>
      </c>
      <c r="B18" s="190" t="s">
        <v>5</v>
      </c>
      <c r="C18" s="196" t="s">
        <v>6</v>
      </c>
      <c r="D18" s="167" t="s">
        <v>63</v>
      </c>
      <c r="E18" s="167" t="s">
        <v>8</v>
      </c>
      <c r="F18" s="190" t="s">
        <v>46</v>
      </c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37"/>
      <c r="S18" s="137"/>
      <c r="T18" s="137"/>
      <c r="U18" s="137"/>
      <c r="V18" s="137"/>
      <c r="W18" s="137"/>
      <c r="X18" s="138"/>
      <c r="Y18" s="200" t="s">
        <v>47</v>
      </c>
      <c r="Z18" s="201"/>
      <c r="AA18" s="201"/>
      <c r="AB18" s="200" t="s">
        <v>48</v>
      </c>
      <c r="AC18" s="201"/>
      <c r="AD18" s="201"/>
      <c r="AE18" s="190" t="s">
        <v>9</v>
      </c>
      <c r="AF18" s="190" t="s">
        <v>10</v>
      </c>
      <c r="AG18" s="169" t="s">
        <v>198</v>
      </c>
      <c r="AH18" s="169" t="s">
        <v>192</v>
      </c>
      <c r="AI18" s="190" t="s">
        <v>11</v>
      </c>
      <c r="AJ18" s="190" t="s">
        <v>12</v>
      </c>
      <c r="AK18" s="190" t="s">
        <v>13</v>
      </c>
      <c r="AL18" s="167" t="s">
        <v>64</v>
      </c>
      <c r="AM18" s="190" t="s">
        <v>65</v>
      </c>
    </row>
    <row r="19" spans="1:39" ht="38.25" customHeight="1">
      <c r="A19" s="195"/>
      <c r="B19" s="196"/>
      <c r="C19" s="196"/>
      <c r="D19" s="197"/>
      <c r="E19" s="198"/>
      <c r="F19" s="167" t="s">
        <v>49</v>
      </c>
      <c r="G19" s="202" t="s">
        <v>15</v>
      </c>
      <c r="H19" s="201" t="s">
        <v>16</v>
      </c>
      <c r="I19" s="201"/>
      <c r="J19" s="201"/>
      <c r="K19" s="138" t="s">
        <v>17</v>
      </c>
      <c r="L19" s="137" t="s">
        <v>18</v>
      </c>
      <c r="M19" s="138"/>
      <c r="N19" s="138" t="s">
        <v>17</v>
      </c>
      <c r="O19" s="138" t="s">
        <v>17</v>
      </c>
      <c r="P19" s="138" t="s">
        <v>17</v>
      </c>
      <c r="Q19" s="138" t="s">
        <v>19</v>
      </c>
      <c r="R19" s="138" t="s">
        <v>19</v>
      </c>
      <c r="S19" s="138" t="s">
        <v>19</v>
      </c>
      <c r="T19" s="138" t="s">
        <v>19</v>
      </c>
      <c r="U19" s="138" t="s">
        <v>19</v>
      </c>
      <c r="V19" s="138" t="s">
        <v>19</v>
      </c>
      <c r="W19" s="138" t="s">
        <v>20</v>
      </c>
      <c r="X19" s="138"/>
      <c r="Y19" s="167" t="s">
        <v>49</v>
      </c>
      <c r="Z19" s="202" t="s">
        <v>21</v>
      </c>
      <c r="AA19" s="202" t="s">
        <v>22</v>
      </c>
      <c r="AB19" s="167" t="s">
        <v>49</v>
      </c>
      <c r="AC19" s="202" t="s">
        <v>21</v>
      </c>
      <c r="AD19" s="202" t="s">
        <v>23</v>
      </c>
      <c r="AE19" s="190"/>
      <c r="AF19" s="190"/>
      <c r="AG19" s="170"/>
      <c r="AH19" s="170"/>
      <c r="AI19" s="193"/>
      <c r="AJ19" s="191"/>
      <c r="AK19" s="196"/>
      <c r="AL19" s="197"/>
      <c r="AM19" s="193"/>
    </row>
    <row r="20" spans="1:39" ht="5.25" customHeight="1">
      <c r="A20" s="195"/>
      <c r="B20" s="196"/>
      <c r="C20" s="196"/>
      <c r="D20" s="197"/>
      <c r="E20" s="198"/>
      <c r="F20" s="198"/>
      <c r="G20" s="204"/>
      <c r="H20" s="202" t="s">
        <v>24</v>
      </c>
      <c r="I20" s="201" t="s">
        <v>25</v>
      </c>
      <c r="J20" s="201"/>
      <c r="K20" s="138" t="s">
        <v>26</v>
      </c>
      <c r="L20" s="137" t="s">
        <v>27</v>
      </c>
      <c r="M20" s="138" t="s">
        <v>28</v>
      </c>
      <c r="N20" s="138" t="s">
        <v>26</v>
      </c>
      <c r="O20" s="138" t="s">
        <v>26</v>
      </c>
      <c r="P20" s="138" t="s">
        <v>26</v>
      </c>
      <c r="Q20" s="138" t="s">
        <v>29</v>
      </c>
      <c r="R20" s="138" t="s">
        <v>29</v>
      </c>
      <c r="S20" s="138" t="s">
        <v>29</v>
      </c>
      <c r="T20" s="138" t="s">
        <v>29</v>
      </c>
      <c r="U20" s="138" t="s">
        <v>29</v>
      </c>
      <c r="V20" s="138" t="s">
        <v>29</v>
      </c>
      <c r="W20" s="138" t="s">
        <v>26</v>
      </c>
      <c r="X20" s="138" t="s">
        <v>30</v>
      </c>
      <c r="Y20" s="198"/>
      <c r="Z20" s="204"/>
      <c r="AA20" s="204"/>
      <c r="AB20" s="198"/>
      <c r="AC20" s="204"/>
      <c r="AD20" s="204"/>
      <c r="AE20" s="190"/>
      <c r="AF20" s="190"/>
      <c r="AG20" s="170"/>
      <c r="AH20" s="170"/>
      <c r="AI20" s="193"/>
      <c r="AJ20" s="191"/>
      <c r="AK20" s="196"/>
      <c r="AL20" s="197"/>
      <c r="AM20" s="193"/>
    </row>
    <row r="21" spans="1:39" ht="2.25" customHeight="1">
      <c r="A21" s="195"/>
      <c r="B21" s="196"/>
      <c r="C21" s="196"/>
      <c r="D21" s="168"/>
      <c r="E21" s="199"/>
      <c r="F21" s="199"/>
      <c r="G21" s="205"/>
      <c r="H21" s="203"/>
      <c r="I21" s="19" t="s">
        <v>31</v>
      </c>
      <c r="J21" s="140" t="s">
        <v>32</v>
      </c>
      <c r="K21" s="138" t="s">
        <v>33</v>
      </c>
      <c r="L21" s="137" t="s">
        <v>34</v>
      </c>
      <c r="M21" s="138" t="s">
        <v>35</v>
      </c>
      <c r="N21" s="138" t="s">
        <v>33</v>
      </c>
      <c r="O21" s="138" t="s">
        <v>36</v>
      </c>
      <c r="P21" s="138" t="s">
        <v>36</v>
      </c>
      <c r="Q21" s="138" t="s">
        <v>36</v>
      </c>
      <c r="R21" s="138" t="s">
        <v>36</v>
      </c>
      <c r="S21" s="138" t="s">
        <v>36</v>
      </c>
      <c r="T21" s="138" t="s">
        <v>36</v>
      </c>
      <c r="U21" s="138" t="s">
        <v>36</v>
      </c>
      <c r="V21" s="138" t="s">
        <v>36</v>
      </c>
      <c r="W21" s="138" t="s">
        <v>36</v>
      </c>
      <c r="X21" s="138" t="s">
        <v>37</v>
      </c>
      <c r="Y21" s="199"/>
      <c r="Z21" s="205"/>
      <c r="AA21" s="205"/>
      <c r="AB21" s="199"/>
      <c r="AC21" s="205"/>
      <c r="AD21" s="205"/>
      <c r="AE21" s="190"/>
      <c r="AF21" s="190"/>
      <c r="AG21" s="171"/>
      <c r="AH21" s="171"/>
      <c r="AI21" s="193"/>
      <c r="AJ21" s="191"/>
      <c r="AK21" s="196"/>
      <c r="AL21" s="168"/>
      <c r="AM21" s="193"/>
    </row>
    <row r="22" spans="1:39" s="22" customFormat="1" ht="18.75" customHeight="1">
      <c r="A22" s="20"/>
      <c r="B22" s="137" t="s">
        <v>38</v>
      </c>
      <c r="C22" s="137" t="s">
        <v>39</v>
      </c>
      <c r="D22" s="137" t="s">
        <v>40</v>
      </c>
      <c r="E22" s="137" t="s">
        <v>41</v>
      </c>
      <c r="F22" s="137">
        <v>1</v>
      </c>
      <c r="G22" s="138">
        <v>2</v>
      </c>
      <c r="H22" s="21">
        <v>3</v>
      </c>
      <c r="I22" s="21">
        <v>4</v>
      </c>
      <c r="J22" s="138">
        <v>5</v>
      </c>
      <c r="K22" s="21">
        <v>7</v>
      </c>
      <c r="L22" s="138">
        <v>8</v>
      </c>
      <c r="M22" s="21">
        <v>9</v>
      </c>
      <c r="N22" s="138">
        <v>10</v>
      </c>
      <c r="O22" s="138"/>
      <c r="P22" s="21">
        <v>6</v>
      </c>
      <c r="Q22" s="21"/>
      <c r="R22" s="21"/>
      <c r="S22" s="21"/>
      <c r="T22" s="21"/>
      <c r="U22" s="21"/>
      <c r="V22" s="21"/>
      <c r="W22" s="21"/>
      <c r="X22" s="21">
        <v>5</v>
      </c>
      <c r="Y22" s="137">
        <v>2</v>
      </c>
      <c r="Z22" s="138">
        <v>7</v>
      </c>
      <c r="AA22" s="138">
        <v>8</v>
      </c>
      <c r="AB22" s="138">
        <v>3</v>
      </c>
      <c r="AC22" s="137">
        <v>10</v>
      </c>
      <c r="AD22" s="21">
        <v>11</v>
      </c>
      <c r="AE22" s="137"/>
      <c r="AF22" s="137"/>
      <c r="AG22" s="146"/>
      <c r="AH22" s="146"/>
      <c r="AI22" s="137">
        <v>4</v>
      </c>
      <c r="AJ22" s="137">
        <v>5</v>
      </c>
      <c r="AK22" s="137">
        <v>6</v>
      </c>
      <c r="AL22" s="137">
        <v>7</v>
      </c>
      <c r="AM22" s="137">
        <v>8</v>
      </c>
    </row>
    <row r="23" spans="1:39" s="24" customFormat="1" ht="26.25" customHeight="1">
      <c r="A23" s="23"/>
      <c r="B23" s="138" t="s">
        <v>77</v>
      </c>
      <c r="C23" s="5" t="s">
        <v>125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45"/>
      <c r="AH23" s="145"/>
      <c r="AI23" s="138"/>
      <c r="AJ23" s="137"/>
      <c r="AK23" s="137"/>
      <c r="AL23" s="137"/>
      <c r="AM23" s="137"/>
    </row>
    <row r="24" spans="1:39" s="22" customFormat="1" ht="18" customHeight="1">
      <c r="A24" s="20"/>
      <c r="B24" s="2">
        <v>1</v>
      </c>
      <c r="C24" s="6" t="s">
        <v>110</v>
      </c>
      <c r="D24" s="3" t="s">
        <v>127</v>
      </c>
      <c r="E24" s="3">
        <v>2022</v>
      </c>
      <c r="F24" s="3">
        <v>25</v>
      </c>
      <c r="G24" s="3">
        <v>25</v>
      </c>
      <c r="H24" s="3">
        <v>25</v>
      </c>
      <c r="I24" s="3">
        <v>25</v>
      </c>
      <c r="J24" s="3">
        <v>25</v>
      </c>
      <c r="K24" s="3">
        <v>25</v>
      </c>
      <c r="L24" s="3">
        <v>25</v>
      </c>
      <c r="M24" s="3">
        <v>25</v>
      </c>
      <c r="N24" s="3">
        <v>25</v>
      </c>
      <c r="O24" s="3">
        <v>25</v>
      </c>
      <c r="P24" s="3">
        <v>25</v>
      </c>
      <c r="Q24" s="3">
        <v>25</v>
      </c>
      <c r="R24" s="3">
        <v>25</v>
      </c>
      <c r="S24" s="3">
        <v>25</v>
      </c>
      <c r="T24" s="3">
        <v>25</v>
      </c>
      <c r="U24" s="3">
        <v>25</v>
      </c>
      <c r="V24" s="3">
        <v>25</v>
      </c>
      <c r="W24" s="3">
        <v>25</v>
      </c>
      <c r="X24" s="3">
        <v>25</v>
      </c>
      <c r="Y24" s="3">
        <v>25</v>
      </c>
      <c r="Z24" s="2"/>
      <c r="AA24" s="2"/>
      <c r="AB24" s="2">
        <v>0</v>
      </c>
      <c r="AC24" s="2"/>
      <c r="AD24" s="2"/>
      <c r="AE24" s="2"/>
      <c r="AF24" s="2"/>
      <c r="AG24" s="2"/>
      <c r="AH24" s="2"/>
      <c r="AI24" s="4" t="s">
        <v>90</v>
      </c>
      <c r="AJ24" s="2" t="s">
        <v>66</v>
      </c>
      <c r="AK24" s="2" t="s">
        <v>67</v>
      </c>
      <c r="AL24" s="25"/>
      <c r="AM24" s="6"/>
    </row>
    <row r="25" spans="1:39" s="22" customFormat="1" ht="18" customHeight="1">
      <c r="A25" s="20"/>
      <c r="B25" s="2">
        <v>2</v>
      </c>
      <c r="C25" s="6" t="s">
        <v>69</v>
      </c>
      <c r="D25" s="3" t="s">
        <v>127</v>
      </c>
      <c r="E25" s="3">
        <v>2022</v>
      </c>
      <c r="F25" s="3">
        <v>5</v>
      </c>
      <c r="G25" s="3">
        <v>5</v>
      </c>
      <c r="H25" s="3">
        <v>5</v>
      </c>
      <c r="I25" s="3">
        <v>5</v>
      </c>
      <c r="J25" s="3">
        <v>5</v>
      </c>
      <c r="K25" s="3">
        <v>5</v>
      </c>
      <c r="L25" s="3">
        <v>5</v>
      </c>
      <c r="M25" s="3">
        <v>5</v>
      </c>
      <c r="N25" s="3">
        <v>5</v>
      </c>
      <c r="O25" s="3">
        <v>5</v>
      </c>
      <c r="P25" s="3">
        <v>5</v>
      </c>
      <c r="Q25" s="3">
        <v>5</v>
      </c>
      <c r="R25" s="3">
        <v>5</v>
      </c>
      <c r="S25" s="3">
        <v>5</v>
      </c>
      <c r="T25" s="3">
        <v>5</v>
      </c>
      <c r="U25" s="3">
        <v>5</v>
      </c>
      <c r="V25" s="3">
        <v>5</v>
      </c>
      <c r="W25" s="3">
        <v>5</v>
      </c>
      <c r="X25" s="3">
        <v>5</v>
      </c>
      <c r="Y25" s="3">
        <v>5</v>
      </c>
      <c r="Z25" s="2"/>
      <c r="AA25" s="2"/>
      <c r="AB25" s="2">
        <v>0</v>
      </c>
      <c r="AC25" s="2"/>
      <c r="AD25" s="2"/>
      <c r="AE25" s="2"/>
      <c r="AF25" s="2"/>
      <c r="AG25" s="2"/>
      <c r="AH25" s="2"/>
      <c r="AI25" s="4" t="s">
        <v>90</v>
      </c>
      <c r="AJ25" s="2" t="s">
        <v>66</v>
      </c>
      <c r="AK25" s="2" t="s">
        <v>67</v>
      </c>
      <c r="AL25" s="6"/>
      <c r="AM25" s="6"/>
    </row>
    <row r="26" spans="1:39" s="22" customFormat="1" ht="18" customHeight="1">
      <c r="A26" s="20"/>
      <c r="B26" s="2">
        <v>3</v>
      </c>
      <c r="C26" s="6" t="s">
        <v>70</v>
      </c>
      <c r="D26" s="3" t="s">
        <v>127</v>
      </c>
      <c r="E26" s="3">
        <v>2022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  <c r="Z26" s="2"/>
      <c r="AA26" s="2"/>
      <c r="AB26" s="2">
        <v>0</v>
      </c>
      <c r="AC26" s="2"/>
      <c r="AD26" s="2"/>
      <c r="AE26" s="2"/>
      <c r="AF26" s="2"/>
      <c r="AG26" s="2"/>
      <c r="AH26" s="2"/>
      <c r="AI26" s="4" t="s">
        <v>90</v>
      </c>
      <c r="AJ26" s="2" t="s">
        <v>66</v>
      </c>
      <c r="AK26" s="2" t="s">
        <v>67</v>
      </c>
      <c r="AL26" s="6"/>
      <c r="AM26" s="6"/>
    </row>
    <row r="27" spans="1:39" s="22" customFormat="1" ht="18" customHeight="1">
      <c r="A27" s="20"/>
      <c r="B27" s="2">
        <v>4</v>
      </c>
      <c r="C27" s="6" t="s">
        <v>71</v>
      </c>
      <c r="D27" s="3" t="s">
        <v>128</v>
      </c>
      <c r="E27" s="3">
        <v>2022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2"/>
      <c r="AA27" s="2"/>
      <c r="AB27" s="2">
        <v>0</v>
      </c>
      <c r="AC27" s="2"/>
      <c r="AD27" s="2"/>
      <c r="AE27" s="2"/>
      <c r="AF27" s="2"/>
      <c r="AG27" s="2"/>
      <c r="AH27" s="2"/>
      <c r="AI27" s="4" t="s">
        <v>90</v>
      </c>
      <c r="AJ27" s="2" t="s">
        <v>66</v>
      </c>
      <c r="AK27" s="2" t="s">
        <v>67</v>
      </c>
      <c r="AL27" s="6"/>
      <c r="AM27" s="6"/>
    </row>
    <row r="28" spans="1:39" s="22" customFormat="1" ht="34.5" customHeight="1">
      <c r="A28" s="20"/>
      <c r="B28" s="2">
        <v>5</v>
      </c>
      <c r="C28" s="7" t="s">
        <v>111</v>
      </c>
      <c r="D28" s="3" t="s">
        <v>128</v>
      </c>
      <c r="E28" s="3">
        <v>2022</v>
      </c>
      <c r="F28" s="3">
        <v>6</v>
      </c>
      <c r="G28" s="3">
        <v>6</v>
      </c>
      <c r="H28" s="3">
        <v>6</v>
      </c>
      <c r="I28" s="3">
        <v>6</v>
      </c>
      <c r="J28" s="3">
        <v>6</v>
      </c>
      <c r="K28" s="3">
        <v>6</v>
      </c>
      <c r="L28" s="3">
        <v>6</v>
      </c>
      <c r="M28" s="3">
        <v>6</v>
      </c>
      <c r="N28" s="3">
        <v>6</v>
      </c>
      <c r="O28" s="3">
        <v>6</v>
      </c>
      <c r="P28" s="3">
        <v>6</v>
      </c>
      <c r="Q28" s="3">
        <v>6</v>
      </c>
      <c r="R28" s="3">
        <v>6</v>
      </c>
      <c r="S28" s="3">
        <v>6</v>
      </c>
      <c r="T28" s="3">
        <v>6</v>
      </c>
      <c r="U28" s="3">
        <v>6</v>
      </c>
      <c r="V28" s="3">
        <v>6</v>
      </c>
      <c r="W28" s="3">
        <v>6</v>
      </c>
      <c r="X28" s="3">
        <v>6</v>
      </c>
      <c r="Y28" s="3">
        <v>6</v>
      </c>
      <c r="Z28" s="2"/>
      <c r="AA28" s="2"/>
      <c r="AB28" s="2">
        <v>0</v>
      </c>
      <c r="AC28" s="2"/>
      <c r="AD28" s="2"/>
      <c r="AE28" s="2"/>
      <c r="AF28" s="2"/>
      <c r="AG28" s="2"/>
      <c r="AH28" s="2"/>
      <c r="AI28" s="4" t="s">
        <v>90</v>
      </c>
      <c r="AJ28" s="2" t="s">
        <v>66</v>
      </c>
      <c r="AK28" s="2" t="s">
        <v>67</v>
      </c>
      <c r="AL28" s="26"/>
      <c r="AM28" s="6"/>
    </row>
    <row r="29" spans="1:39" s="22" customFormat="1" ht="20.25" customHeight="1">
      <c r="A29" s="20"/>
      <c r="B29" s="2">
        <v>6</v>
      </c>
      <c r="C29" s="6" t="s">
        <v>74</v>
      </c>
      <c r="D29" s="3" t="s">
        <v>127</v>
      </c>
      <c r="E29" s="3">
        <v>2022</v>
      </c>
      <c r="F29" s="3">
        <v>2</v>
      </c>
      <c r="G29" s="3">
        <v>2</v>
      </c>
      <c r="H29" s="3">
        <v>2</v>
      </c>
      <c r="I29" s="3">
        <v>2</v>
      </c>
      <c r="J29" s="3">
        <v>2</v>
      </c>
      <c r="K29" s="3">
        <v>2</v>
      </c>
      <c r="L29" s="3">
        <v>2</v>
      </c>
      <c r="M29" s="3">
        <v>2</v>
      </c>
      <c r="N29" s="3">
        <v>2</v>
      </c>
      <c r="O29" s="3">
        <v>2</v>
      </c>
      <c r="P29" s="3">
        <v>2</v>
      </c>
      <c r="Q29" s="3">
        <v>2</v>
      </c>
      <c r="R29" s="3">
        <v>2</v>
      </c>
      <c r="S29" s="3">
        <v>2</v>
      </c>
      <c r="T29" s="3">
        <v>2</v>
      </c>
      <c r="U29" s="3">
        <v>2</v>
      </c>
      <c r="V29" s="3">
        <v>2</v>
      </c>
      <c r="W29" s="3">
        <v>2</v>
      </c>
      <c r="X29" s="3">
        <v>2</v>
      </c>
      <c r="Y29" s="3">
        <v>2</v>
      </c>
      <c r="Z29" s="2"/>
      <c r="AA29" s="2"/>
      <c r="AB29" s="2">
        <v>0</v>
      </c>
      <c r="AC29" s="2"/>
      <c r="AD29" s="2"/>
      <c r="AE29" s="2"/>
      <c r="AF29" s="2"/>
      <c r="AG29" s="151">
        <v>15675000</v>
      </c>
      <c r="AH29" s="2">
        <f>+Y29*AG29</f>
        <v>31350000</v>
      </c>
      <c r="AI29" s="4" t="s">
        <v>90</v>
      </c>
      <c r="AJ29" s="2" t="s">
        <v>66</v>
      </c>
      <c r="AK29" s="2" t="s">
        <v>67</v>
      </c>
      <c r="AL29" s="26"/>
      <c r="AM29" s="6"/>
    </row>
    <row r="30" spans="1:39" s="22" customFormat="1" ht="20.25" customHeight="1">
      <c r="A30" s="20"/>
      <c r="B30" s="2">
        <v>7</v>
      </c>
      <c r="C30" s="6" t="s">
        <v>112</v>
      </c>
      <c r="D30" s="3" t="s">
        <v>127</v>
      </c>
      <c r="E30" s="3">
        <v>2022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2"/>
      <c r="AA30" s="2"/>
      <c r="AB30" s="2">
        <v>0</v>
      </c>
      <c r="AC30" s="2"/>
      <c r="AD30" s="2"/>
      <c r="AE30" s="2"/>
      <c r="AF30" s="2"/>
      <c r="AG30" s="2"/>
      <c r="AH30" s="2"/>
      <c r="AI30" s="4" t="s">
        <v>90</v>
      </c>
      <c r="AJ30" s="2" t="s">
        <v>66</v>
      </c>
      <c r="AK30" s="2" t="s">
        <v>67</v>
      </c>
      <c r="AL30" s="26"/>
      <c r="AM30" s="6"/>
    </row>
    <row r="31" spans="1:39" s="24" customFormat="1" ht="20.25" customHeight="1">
      <c r="B31" s="138" t="s">
        <v>78</v>
      </c>
      <c r="C31" s="5" t="s">
        <v>126</v>
      </c>
      <c r="D31" s="138"/>
      <c r="E31" s="3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45"/>
      <c r="AH31" s="145"/>
      <c r="AI31" s="138"/>
      <c r="AJ31" s="137"/>
      <c r="AK31" s="137"/>
      <c r="AL31" s="27"/>
      <c r="AM31" s="27"/>
    </row>
    <row r="32" spans="1:39" s="22" customFormat="1" ht="20.25" customHeight="1">
      <c r="B32" s="2">
        <v>1</v>
      </c>
      <c r="C32" s="6" t="s">
        <v>68</v>
      </c>
      <c r="D32" s="3" t="s">
        <v>127</v>
      </c>
      <c r="E32" s="3">
        <v>2022</v>
      </c>
      <c r="F32" s="3">
        <v>9</v>
      </c>
      <c r="G32" s="3">
        <v>9</v>
      </c>
      <c r="H32" s="3">
        <v>9</v>
      </c>
      <c r="I32" s="3">
        <v>9</v>
      </c>
      <c r="J32" s="3">
        <v>9</v>
      </c>
      <c r="K32" s="3">
        <v>9</v>
      </c>
      <c r="L32" s="3">
        <v>9</v>
      </c>
      <c r="M32" s="3">
        <v>9</v>
      </c>
      <c r="N32" s="3">
        <v>9</v>
      </c>
      <c r="O32" s="3">
        <v>9</v>
      </c>
      <c r="P32" s="3">
        <v>9</v>
      </c>
      <c r="Q32" s="3">
        <v>9</v>
      </c>
      <c r="R32" s="3">
        <v>9</v>
      </c>
      <c r="S32" s="3">
        <v>9</v>
      </c>
      <c r="T32" s="3">
        <v>9</v>
      </c>
      <c r="U32" s="3">
        <v>9</v>
      </c>
      <c r="V32" s="3">
        <v>9</v>
      </c>
      <c r="W32" s="3">
        <v>9</v>
      </c>
      <c r="X32" s="3">
        <v>9</v>
      </c>
      <c r="Y32" s="3">
        <v>9</v>
      </c>
      <c r="Z32" s="2"/>
      <c r="AA32" s="2"/>
      <c r="AB32" s="2">
        <v>0</v>
      </c>
      <c r="AC32" s="2"/>
      <c r="AD32" s="2"/>
      <c r="AE32" s="2"/>
      <c r="AF32" s="2"/>
      <c r="AG32" s="2"/>
      <c r="AH32" s="2"/>
      <c r="AI32" s="4" t="s">
        <v>90</v>
      </c>
      <c r="AJ32" s="3" t="s">
        <v>114</v>
      </c>
      <c r="AK32" s="2" t="s">
        <v>67</v>
      </c>
      <c r="AL32" s="6"/>
      <c r="AM32" s="6"/>
    </row>
    <row r="33" spans="1:39" s="22" customFormat="1" ht="20.25" customHeight="1">
      <c r="B33" s="2">
        <v>2</v>
      </c>
      <c r="C33" s="6" t="s">
        <v>113</v>
      </c>
      <c r="D33" s="3" t="s">
        <v>127</v>
      </c>
      <c r="E33" s="3">
        <v>2022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2"/>
      <c r="AA33" s="2"/>
      <c r="AB33" s="2">
        <v>0</v>
      </c>
      <c r="AC33" s="2"/>
      <c r="AD33" s="2"/>
      <c r="AE33" s="2"/>
      <c r="AF33" s="2"/>
      <c r="AG33" s="2"/>
      <c r="AH33" s="2"/>
      <c r="AI33" s="4" t="s">
        <v>90</v>
      </c>
      <c r="AJ33" s="3" t="s">
        <v>114</v>
      </c>
      <c r="AK33" s="2" t="s">
        <v>67</v>
      </c>
      <c r="AL33" s="6"/>
      <c r="AM33" s="6"/>
    </row>
    <row r="34" spans="1:39" s="22" customFormat="1" ht="20.25" customHeight="1">
      <c r="B34" s="2">
        <v>3</v>
      </c>
      <c r="C34" s="6" t="s">
        <v>69</v>
      </c>
      <c r="D34" s="3" t="s">
        <v>127</v>
      </c>
      <c r="E34" s="3">
        <v>2022</v>
      </c>
      <c r="F34" s="3">
        <v>6</v>
      </c>
      <c r="G34" s="3">
        <v>6</v>
      </c>
      <c r="H34" s="3">
        <v>6</v>
      </c>
      <c r="I34" s="3">
        <v>6</v>
      </c>
      <c r="J34" s="3">
        <v>6</v>
      </c>
      <c r="K34" s="3">
        <v>6</v>
      </c>
      <c r="L34" s="3">
        <v>6</v>
      </c>
      <c r="M34" s="3">
        <v>6</v>
      </c>
      <c r="N34" s="3">
        <v>6</v>
      </c>
      <c r="O34" s="3">
        <v>6</v>
      </c>
      <c r="P34" s="3">
        <v>6</v>
      </c>
      <c r="Q34" s="3">
        <v>6</v>
      </c>
      <c r="R34" s="3">
        <v>6</v>
      </c>
      <c r="S34" s="3">
        <v>6</v>
      </c>
      <c r="T34" s="3">
        <v>6</v>
      </c>
      <c r="U34" s="3">
        <v>6</v>
      </c>
      <c r="V34" s="3">
        <v>6</v>
      </c>
      <c r="W34" s="3">
        <v>6</v>
      </c>
      <c r="X34" s="3">
        <v>6</v>
      </c>
      <c r="Y34" s="3">
        <v>6</v>
      </c>
      <c r="Z34" s="2"/>
      <c r="AA34" s="2"/>
      <c r="AB34" s="2">
        <v>0</v>
      </c>
      <c r="AC34" s="2"/>
      <c r="AD34" s="2"/>
      <c r="AE34" s="2"/>
      <c r="AF34" s="2"/>
      <c r="AG34" s="2"/>
      <c r="AH34" s="2"/>
      <c r="AI34" s="4" t="s">
        <v>90</v>
      </c>
      <c r="AJ34" s="3" t="s">
        <v>114</v>
      </c>
      <c r="AK34" s="2" t="s">
        <v>67</v>
      </c>
      <c r="AL34" s="6"/>
      <c r="AM34" s="6"/>
    </row>
    <row r="35" spans="1:39" s="22" customFormat="1" ht="20.25" customHeight="1">
      <c r="B35" s="2">
        <v>4</v>
      </c>
      <c r="C35" s="6" t="s">
        <v>70</v>
      </c>
      <c r="D35" s="3" t="s">
        <v>127</v>
      </c>
      <c r="E35" s="3">
        <v>2022</v>
      </c>
      <c r="F35" s="3">
        <v>1</v>
      </c>
      <c r="G35" s="3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3">
        <v>1</v>
      </c>
      <c r="X35" s="3">
        <v>1</v>
      </c>
      <c r="Y35" s="3">
        <v>1</v>
      </c>
      <c r="Z35" s="2"/>
      <c r="AA35" s="2"/>
      <c r="AB35" s="2">
        <v>0</v>
      </c>
      <c r="AC35" s="2"/>
      <c r="AD35" s="2"/>
      <c r="AE35" s="2"/>
      <c r="AF35" s="2"/>
      <c r="AG35" s="2"/>
      <c r="AH35" s="2"/>
      <c r="AI35" s="4" t="s">
        <v>90</v>
      </c>
      <c r="AJ35" s="3" t="s">
        <v>114</v>
      </c>
      <c r="AK35" s="2" t="s">
        <v>67</v>
      </c>
      <c r="AL35" s="6"/>
      <c r="AM35" s="6"/>
    </row>
    <row r="36" spans="1:39" s="22" customFormat="1" ht="20.25" customHeight="1">
      <c r="B36" s="2">
        <v>5</v>
      </c>
      <c r="C36" s="6" t="s">
        <v>71</v>
      </c>
      <c r="D36" s="3" t="s">
        <v>128</v>
      </c>
      <c r="E36" s="3">
        <v>2022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3">
        <v>1</v>
      </c>
      <c r="X36" s="3">
        <v>1</v>
      </c>
      <c r="Y36" s="3">
        <v>1</v>
      </c>
      <c r="Z36" s="2"/>
      <c r="AA36" s="2"/>
      <c r="AB36" s="2">
        <v>0</v>
      </c>
      <c r="AC36" s="2"/>
      <c r="AD36" s="2"/>
      <c r="AE36" s="2"/>
      <c r="AF36" s="2"/>
      <c r="AG36" s="2"/>
      <c r="AH36" s="2"/>
      <c r="AI36" s="4" t="s">
        <v>90</v>
      </c>
      <c r="AJ36" s="3" t="s">
        <v>114</v>
      </c>
      <c r="AK36" s="2" t="s">
        <v>67</v>
      </c>
      <c r="AL36" s="6"/>
      <c r="AM36" s="6"/>
    </row>
    <row r="37" spans="1:39" s="22" customFormat="1" ht="30" customHeight="1">
      <c r="B37" s="2">
        <v>6</v>
      </c>
      <c r="C37" s="7" t="s">
        <v>72</v>
      </c>
      <c r="D37" s="3" t="s">
        <v>128</v>
      </c>
      <c r="E37" s="3">
        <v>2022</v>
      </c>
      <c r="F37" s="3">
        <v>6</v>
      </c>
      <c r="G37" s="3">
        <v>6</v>
      </c>
      <c r="H37" s="3">
        <v>6</v>
      </c>
      <c r="I37" s="3">
        <v>6</v>
      </c>
      <c r="J37" s="3">
        <v>6</v>
      </c>
      <c r="K37" s="3">
        <v>6</v>
      </c>
      <c r="L37" s="3">
        <v>6</v>
      </c>
      <c r="M37" s="3">
        <v>6</v>
      </c>
      <c r="N37" s="3">
        <v>6</v>
      </c>
      <c r="O37" s="3">
        <v>6</v>
      </c>
      <c r="P37" s="3">
        <v>6</v>
      </c>
      <c r="Q37" s="3">
        <v>6</v>
      </c>
      <c r="R37" s="3">
        <v>6</v>
      </c>
      <c r="S37" s="3">
        <v>6</v>
      </c>
      <c r="T37" s="3">
        <v>6</v>
      </c>
      <c r="U37" s="3">
        <v>6</v>
      </c>
      <c r="V37" s="3">
        <v>6</v>
      </c>
      <c r="W37" s="3">
        <v>6</v>
      </c>
      <c r="X37" s="3">
        <v>6</v>
      </c>
      <c r="Y37" s="3">
        <v>6</v>
      </c>
      <c r="Z37" s="2"/>
      <c r="AA37" s="2"/>
      <c r="AB37" s="2">
        <v>0</v>
      </c>
      <c r="AC37" s="2"/>
      <c r="AD37" s="2"/>
      <c r="AE37" s="2"/>
      <c r="AF37" s="2"/>
      <c r="AG37" s="2"/>
      <c r="AH37" s="2"/>
      <c r="AI37" s="4" t="s">
        <v>90</v>
      </c>
      <c r="AJ37" s="3" t="s">
        <v>114</v>
      </c>
      <c r="AK37" s="2" t="s">
        <v>67</v>
      </c>
      <c r="AL37" s="6"/>
      <c r="AM37" s="6"/>
    </row>
    <row r="38" spans="1:39" s="22" customFormat="1" ht="20.25" customHeight="1">
      <c r="B38" s="2">
        <v>7</v>
      </c>
      <c r="C38" s="6" t="s">
        <v>74</v>
      </c>
      <c r="D38" s="3" t="s">
        <v>127</v>
      </c>
      <c r="E38" s="3">
        <v>2022</v>
      </c>
      <c r="F38" s="3">
        <v>2</v>
      </c>
      <c r="G38" s="3">
        <v>2</v>
      </c>
      <c r="H38" s="3">
        <v>2</v>
      </c>
      <c r="I38" s="3">
        <v>2</v>
      </c>
      <c r="J38" s="3">
        <v>2</v>
      </c>
      <c r="K38" s="3">
        <v>2</v>
      </c>
      <c r="L38" s="3">
        <v>2</v>
      </c>
      <c r="M38" s="3">
        <v>2</v>
      </c>
      <c r="N38" s="3">
        <v>2</v>
      </c>
      <c r="O38" s="3">
        <v>2</v>
      </c>
      <c r="P38" s="3">
        <v>2</v>
      </c>
      <c r="Q38" s="3">
        <v>2</v>
      </c>
      <c r="R38" s="3">
        <v>2</v>
      </c>
      <c r="S38" s="3">
        <v>2</v>
      </c>
      <c r="T38" s="3">
        <v>2</v>
      </c>
      <c r="U38" s="3">
        <v>2</v>
      </c>
      <c r="V38" s="3">
        <v>2</v>
      </c>
      <c r="W38" s="3">
        <v>2</v>
      </c>
      <c r="X38" s="3">
        <v>2</v>
      </c>
      <c r="Y38" s="3">
        <v>2</v>
      </c>
      <c r="Z38" s="2"/>
      <c r="AA38" s="2"/>
      <c r="AB38" s="2">
        <v>0</v>
      </c>
      <c r="AC38" s="2"/>
      <c r="AD38" s="2"/>
      <c r="AE38" s="2"/>
      <c r="AF38" s="2"/>
      <c r="AG38" s="151">
        <v>15675000</v>
      </c>
      <c r="AH38" s="2">
        <f>+Y38*AG38</f>
        <v>31350000</v>
      </c>
      <c r="AI38" s="4" t="s">
        <v>90</v>
      </c>
      <c r="AJ38" s="3" t="s">
        <v>114</v>
      </c>
      <c r="AK38" s="2" t="s">
        <v>67</v>
      </c>
      <c r="AL38" s="6"/>
      <c r="AM38" s="6"/>
    </row>
    <row r="39" spans="1:39" s="22" customFormat="1" ht="20.25" customHeight="1">
      <c r="B39" s="2">
        <v>8</v>
      </c>
      <c r="C39" s="6" t="s">
        <v>73</v>
      </c>
      <c r="D39" s="3" t="s">
        <v>127</v>
      </c>
      <c r="E39" s="3">
        <v>2022</v>
      </c>
      <c r="F39" s="3">
        <v>4</v>
      </c>
      <c r="G39" s="3">
        <v>4</v>
      </c>
      <c r="H39" s="3">
        <v>4</v>
      </c>
      <c r="I39" s="3">
        <v>4</v>
      </c>
      <c r="J39" s="3">
        <v>4</v>
      </c>
      <c r="K39" s="3">
        <v>4</v>
      </c>
      <c r="L39" s="3">
        <v>4</v>
      </c>
      <c r="M39" s="3">
        <v>4</v>
      </c>
      <c r="N39" s="3">
        <v>4</v>
      </c>
      <c r="O39" s="3">
        <v>4</v>
      </c>
      <c r="P39" s="3">
        <v>4</v>
      </c>
      <c r="Q39" s="3">
        <v>4</v>
      </c>
      <c r="R39" s="3">
        <v>4</v>
      </c>
      <c r="S39" s="3">
        <v>4</v>
      </c>
      <c r="T39" s="3">
        <v>4</v>
      </c>
      <c r="U39" s="3">
        <v>4</v>
      </c>
      <c r="V39" s="3">
        <v>4</v>
      </c>
      <c r="W39" s="3">
        <v>4</v>
      </c>
      <c r="X39" s="3">
        <v>4</v>
      </c>
      <c r="Y39" s="3">
        <v>4</v>
      </c>
      <c r="Z39" s="2"/>
      <c r="AA39" s="2"/>
      <c r="AB39" s="2">
        <v>0</v>
      </c>
      <c r="AC39" s="2"/>
      <c r="AD39" s="2"/>
      <c r="AE39" s="2"/>
      <c r="AF39" s="2"/>
      <c r="AG39" s="2"/>
      <c r="AH39" s="2"/>
      <c r="AI39" s="4" t="s">
        <v>90</v>
      </c>
      <c r="AJ39" s="3" t="s">
        <v>114</v>
      </c>
      <c r="AK39" s="2" t="s">
        <v>67</v>
      </c>
      <c r="AL39" s="6"/>
      <c r="AM39" s="6"/>
    </row>
    <row r="40" spans="1:39" s="22" customFormat="1" ht="20.25" customHeight="1">
      <c r="B40" s="2">
        <v>9</v>
      </c>
      <c r="C40" s="6" t="s">
        <v>75</v>
      </c>
      <c r="D40" s="3" t="s">
        <v>127</v>
      </c>
      <c r="E40" s="3">
        <v>2022</v>
      </c>
      <c r="F40" s="3">
        <v>1</v>
      </c>
      <c r="G40" s="3">
        <v>1</v>
      </c>
      <c r="H40" s="3">
        <v>1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V40" s="3">
        <v>1</v>
      </c>
      <c r="W40" s="3">
        <v>1</v>
      </c>
      <c r="X40" s="3">
        <v>1</v>
      </c>
      <c r="Y40" s="3">
        <v>1</v>
      </c>
      <c r="Z40" s="2"/>
      <c r="AA40" s="2"/>
      <c r="AB40" s="2">
        <v>0</v>
      </c>
      <c r="AC40" s="2"/>
      <c r="AD40" s="2"/>
      <c r="AE40" s="2"/>
      <c r="AF40" s="2"/>
      <c r="AG40" s="2"/>
      <c r="AH40" s="2"/>
      <c r="AI40" s="4" t="s">
        <v>90</v>
      </c>
      <c r="AJ40" s="3" t="s">
        <v>114</v>
      </c>
      <c r="AK40" s="2" t="s">
        <v>67</v>
      </c>
      <c r="AL40" s="6"/>
      <c r="AM40" s="6"/>
    </row>
    <row r="41" spans="1:39" s="24" customFormat="1" ht="15" customHeight="1">
      <c r="B41" s="150"/>
      <c r="C41" s="149" t="s">
        <v>193</v>
      </c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50"/>
      <c r="AA41" s="150"/>
      <c r="AB41" s="150"/>
      <c r="AC41" s="150"/>
      <c r="AD41" s="150"/>
      <c r="AE41" s="150"/>
      <c r="AF41" s="150"/>
      <c r="AG41" s="150"/>
      <c r="AH41" s="150">
        <f>SUM(AH23:AH40)</f>
        <v>62700000</v>
      </c>
      <c r="AI41" s="148"/>
      <c r="AJ41" s="149"/>
      <c r="AK41" s="150"/>
      <c r="AL41" s="27"/>
      <c r="AM41" s="27"/>
    </row>
    <row r="42" spans="1:39" s="11" customFormat="1">
      <c r="A42" s="136"/>
      <c r="E42" s="136"/>
      <c r="F42" s="28"/>
      <c r="K42" s="136"/>
      <c r="X42" s="136"/>
      <c r="AA42" s="136"/>
      <c r="AB42" s="142"/>
      <c r="AI42" s="189" t="s">
        <v>195</v>
      </c>
      <c r="AJ42" s="189"/>
      <c r="AK42" s="189"/>
      <c r="AL42" s="189"/>
      <c r="AM42" s="189"/>
    </row>
    <row r="43" spans="1:39" s="11" customFormat="1" ht="16.5" customHeight="1">
      <c r="A43" s="136"/>
      <c r="B43" s="11" t="s">
        <v>51</v>
      </c>
      <c r="D43" s="189" t="s">
        <v>85</v>
      </c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AB43" s="189" t="s">
        <v>52</v>
      </c>
      <c r="AC43" s="189"/>
      <c r="AD43" s="189"/>
      <c r="AE43" s="189"/>
      <c r="AF43" s="189"/>
      <c r="AG43" s="189"/>
      <c r="AH43" s="189"/>
      <c r="AI43" s="189"/>
      <c r="AJ43" s="189"/>
      <c r="AK43" s="189" t="s">
        <v>53</v>
      </c>
      <c r="AL43" s="189"/>
      <c r="AM43" s="189"/>
    </row>
    <row r="44" spans="1:39" s="11" customFormat="1" ht="18.75" customHeight="1">
      <c r="A44" s="136" t="s">
        <v>54</v>
      </c>
      <c r="B44" s="17" t="s">
        <v>54</v>
      </c>
      <c r="C44" s="11" t="s">
        <v>81</v>
      </c>
      <c r="D44" s="1"/>
      <c r="E44" s="136"/>
      <c r="F44" s="28"/>
      <c r="K44" s="136"/>
      <c r="X44" s="136"/>
      <c r="AA44" s="136"/>
      <c r="AB44" s="142"/>
      <c r="AJ44" s="136"/>
      <c r="AK44" s="136"/>
    </row>
    <row r="45" spans="1:39" s="11" customFormat="1" ht="18.75" customHeight="1">
      <c r="A45" s="136" t="s">
        <v>54</v>
      </c>
      <c r="B45" s="17" t="s">
        <v>54</v>
      </c>
      <c r="C45" s="11" t="s">
        <v>80</v>
      </c>
      <c r="D45" s="1"/>
      <c r="E45" s="136"/>
      <c r="F45" s="28"/>
      <c r="K45" s="136"/>
      <c r="X45" s="136"/>
      <c r="AA45" s="136"/>
      <c r="AB45" s="142"/>
      <c r="AJ45" s="136"/>
      <c r="AK45" s="136"/>
    </row>
    <row r="46" spans="1:39" s="11" customFormat="1" ht="18.75" customHeight="1">
      <c r="A46" s="136" t="s">
        <v>54</v>
      </c>
      <c r="B46" s="17" t="s">
        <v>54</v>
      </c>
      <c r="C46" s="11" t="s">
        <v>135</v>
      </c>
      <c r="D46" s="1"/>
      <c r="E46" s="136"/>
      <c r="F46" s="28"/>
      <c r="K46" s="136"/>
      <c r="X46" s="136"/>
      <c r="AA46" s="136"/>
      <c r="AB46" s="142"/>
      <c r="AJ46" s="136"/>
      <c r="AK46" s="136"/>
    </row>
    <row r="47" spans="1:39" s="11" customFormat="1" ht="18.75" customHeight="1">
      <c r="A47" s="136" t="s">
        <v>54</v>
      </c>
      <c r="B47" s="17" t="s">
        <v>54</v>
      </c>
      <c r="C47" s="11" t="s">
        <v>196</v>
      </c>
      <c r="D47" s="1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44"/>
      <c r="AH47" s="144"/>
      <c r="AI47" s="189"/>
      <c r="AJ47" s="189"/>
      <c r="AK47" s="189"/>
      <c r="AL47" s="189"/>
    </row>
    <row r="48" spans="1:39" s="11" customFormat="1" ht="18.75" customHeight="1">
      <c r="A48" s="136"/>
      <c r="B48" s="17" t="s">
        <v>54</v>
      </c>
      <c r="C48" s="11" t="s">
        <v>197</v>
      </c>
      <c r="D48" s="189" t="s">
        <v>108</v>
      </c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AB48" s="189" t="s">
        <v>166</v>
      </c>
      <c r="AC48" s="189"/>
      <c r="AD48" s="189"/>
      <c r="AE48" s="189"/>
      <c r="AF48" s="189"/>
      <c r="AG48" s="189"/>
      <c r="AH48" s="189"/>
      <c r="AI48" s="189"/>
      <c r="AJ48" s="189"/>
      <c r="AK48" s="189" t="s">
        <v>134</v>
      </c>
      <c r="AL48" s="189"/>
      <c r="AM48" s="189"/>
    </row>
    <row r="49" spans="2:39" s="11" customFormat="1" ht="11.25" customHeight="1">
      <c r="B49" s="136"/>
      <c r="D49" s="1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44"/>
      <c r="AH49" s="144"/>
      <c r="AI49" s="189"/>
      <c r="AJ49" s="189"/>
      <c r="AK49" s="189"/>
      <c r="AL49" s="189"/>
      <c r="AM49" s="189"/>
    </row>
  </sheetData>
  <autoFilter ref="A18:AM48" xr:uid="{D06EDCAF-B2F1-471E-8EE3-8CF4424C0A1E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24" showButton="0"/>
    <filterColumn colId="25" showButton="0"/>
    <filterColumn colId="27" showButton="0"/>
    <filterColumn colId="28" showButton="0"/>
  </autoFilter>
  <mergeCells count="47">
    <mergeCell ref="AK18:AK21"/>
    <mergeCell ref="AL18:AL21"/>
    <mergeCell ref="Y18:AA18"/>
    <mergeCell ref="F19:F21"/>
    <mergeCell ref="G19:G21"/>
    <mergeCell ref="H19:J19"/>
    <mergeCell ref="AC19:AC21"/>
    <mergeCell ref="AD19:AD21"/>
    <mergeCell ref="Y19:Y21"/>
    <mergeCell ref="Z19:Z21"/>
    <mergeCell ref="AI18:AI21"/>
    <mergeCell ref="AA19:AA21"/>
    <mergeCell ref="AB19:AB21"/>
    <mergeCell ref="AI42:AM42"/>
    <mergeCell ref="E49:AF49"/>
    <mergeCell ref="D48:Y48"/>
    <mergeCell ref="AI49:AJ49"/>
    <mergeCell ref="AK49:AM49"/>
    <mergeCell ref="AB43:AJ43"/>
    <mergeCell ref="AK43:AM43"/>
    <mergeCell ref="AI47:AJ47"/>
    <mergeCell ref="AB48:AJ48"/>
    <mergeCell ref="AK48:AM48"/>
    <mergeCell ref="E47:AF47"/>
    <mergeCell ref="AK47:AL47"/>
    <mergeCell ref="D43:Y43"/>
    <mergeCell ref="A18:A21"/>
    <mergeCell ref="B18:B21"/>
    <mergeCell ref="C18:C21"/>
    <mergeCell ref="D18:D21"/>
    <mergeCell ref="E18:E21"/>
    <mergeCell ref="B7:AM7"/>
    <mergeCell ref="AJ18:AJ21"/>
    <mergeCell ref="AA1:AM1"/>
    <mergeCell ref="AA2:AM2"/>
    <mergeCell ref="B3:AM3"/>
    <mergeCell ref="AA4:AM4"/>
    <mergeCell ref="B6:AM6"/>
    <mergeCell ref="AM18:AM21"/>
    <mergeCell ref="AH18:AH21"/>
    <mergeCell ref="AG18:AG21"/>
    <mergeCell ref="F18:Q18"/>
    <mergeCell ref="AB18:AD18"/>
    <mergeCell ref="AE18:AE21"/>
    <mergeCell ref="AF18:AF21"/>
    <mergeCell ref="H20:H21"/>
    <mergeCell ref="I20:J20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TBVP 2025</vt:lpstr>
      <vt:lpstr>KHoa SKMT-2025-TB Điện</vt:lpstr>
      <vt:lpstr>'TBVP 2025'!Print_Area</vt:lpstr>
      <vt:lpstr>'KHoa SKMT-2025-TB Điện'!Print_Titles</vt:lpstr>
      <vt:lpstr>'TBVP 2025'!Print_Titles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</cp:lastModifiedBy>
  <cp:lastPrinted>2026-05-06T02:58:39Z</cp:lastPrinted>
  <dcterms:created xsi:type="dcterms:W3CDTF">2019-01-08T07:18:38Z</dcterms:created>
  <dcterms:modified xsi:type="dcterms:W3CDTF">2026-06-17T02:03:38Z</dcterms:modified>
</cp:coreProperties>
</file>