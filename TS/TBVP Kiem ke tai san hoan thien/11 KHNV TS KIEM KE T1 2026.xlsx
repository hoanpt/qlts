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27CA3C7F-3B58-4008-96F8-BA008E2B5B43}" xr6:coauthVersionLast="36" xr6:coauthVersionMax="47" xr10:uidLastSave="{00000000-0000-0000-0000-000000000000}"/>
  <bookViews>
    <workbookView xWindow="-120" yWindow="-120" windowWidth="19800" windowHeight="11760" firstSheet="7" activeTab="8" xr2:uid="{00000000-000D-0000-FFFF-FFFF00000000}"/>
  </bookViews>
  <sheets>
    <sheet name="Kangatang" sheetId="4" state="veryHidden" r:id="rId1"/>
    <sheet name="foxz" sheetId="6" state="hidden" r:id="rId2"/>
    <sheet name="foxz_2" sheetId="7" state="veryHidden" r:id="rId3"/>
    <sheet name="foxz_3" sheetId="8" state="veryHidden" r:id="rId4"/>
    <sheet name="foxz_4" sheetId="9" state="veryHidden" r:id="rId5"/>
    <sheet name="foxz_5" sheetId="10" state="veryHidden" r:id="rId6"/>
    <sheet name="foxz_6" sheetId="11" state="veryHidden" r:id="rId7"/>
    <sheet name="KHNV - TBVP - 2025" sheetId="3" r:id="rId8"/>
    <sheet name="KHNV - TB Điện - 2025" sheetId="5" r:id="rId9"/>
  </sheets>
  <definedNames>
    <definedName name="_Fill" localSheetId="8" hidden="1">#REF!</definedName>
    <definedName name="_Fill" localSheetId="7" hidden="1">#REF!</definedName>
    <definedName name="_Fill" hidden="1">#REF!</definedName>
    <definedName name="_xlnm._FilterDatabase" localSheetId="8" hidden="1">'KHNV - TB Điện - 2025'!$A$17:$AL$152</definedName>
    <definedName name="_xlnm._FilterDatabase" localSheetId="7" hidden="1">'KHNV - TBVP - 2025'!$A$16:$AN$119</definedName>
    <definedName name="_xlnm.Print_Area" localSheetId="7">'KHNV - TBVP - 2025'!$A$1:$AL$156</definedName>
    <definedName name="_xlnm.Print_Titles" localSheetId="8">'KHNV - TB Điện - 2025'!$17:$21</definedName>
    <definedName name="_xlnm.Print_Titles" localSheetId="7">'KHNV - TBVP - 2025'!$16:$18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D143" i="5" l="1"/>
  <c r="AD108" i="5"/>
  <c r="AD91" i="5"/>
  <c r="AD73" i="5"/>
  <c r="AD56" i="5"/>
  <c r="AD39" i="5"/>
  <c r="AD29" i="5"/>
  <c r="AD129" i="5" l="1"/>
  <c r="AD117" i="5"/>
  <c r="AD107" i="5"/>
  <c r="AD74" i="5"/>
  <c r="AD64" i="5"/>
  <c r="AD145" i="5" l="1"/>
  <c r="B44" i="5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AG142" i="3" l="1"/>
  <c r="AG25" i="3" l="1"/>
  <c r="AG90" i="3" l="1"/>
  <c r="AG91" i="3"/>
  <c r="AG92" i="3"/>
  <c r="AG93" i="3"/>
  <c r="AG89" i="3"/>
  <c r="AG102" i="3" l="1"/>
  <c r="AG84" i="3"/>
  <c r="AG53" i="3"/>
  <c r="AG35" i="3"/>
  <c r="AG107" i="3" l="1"/>
  <c r="AG64" i="3"/>
  <c r="AG31" i="3"/>
  <c r="AG55" i="3"/>
  <c r="AG76" i="3"/>
  <c r="AG83" i="3"/>
  <c r="AG86" i="3"/>
  <c r="AG99" i="3"/>
  <c r="AG108" i="3"/>
  <c r="AG112" i="3"/>
  <c r="AG127" i="3"/>
  <c r="AG128" i="3"/>
  <c r="AG30" i="3" l="1"/>
  <c r="AG98" i="3" l="1"/>
  <c r="AG62" i="3"/>
  <c r="AG28" i="3"/>
  <c r="AC81" i="3" l="1"/>
  <c r="U81" i="3"/>
  <c r="T81" i="3"/>
  <c r="S81" i="3"/>
  <c r="R81" i="3"/>
  <c r="G81" i="3"/>
  <c r="Y81" i="3" s="1"/>
  <c r="AB81" i="3" s="1"/>
  <c r="V81" i="3" l="1"/>
  <c r="W81" i="3" s="1"/>
  <c r="AC99" i="3" l="1"/>
  <c r="AB99" i="3"/>
  <c r="AC51" i="3" l="1"/>
  <c r="U51" i="3"/>
  <c r="T51" i="3"/>
  <c r="S51" i="3"/>
  <c r="R51" i="3"/>
  <c r="G51" i="3"/>
  <c r="Y51" i="3" s="1"/>
  <c r="AB51" i="3" s="1"/>
  <c r="V51" i="3" l="1"/>
  <c r="W51" i="3" s="1"/>
  <c r="AC54" i="3" l="1"/>
  <c r="G54" i="3"/>
  <c r="Y54" i="3" s="1"/>
  <c r="AB54" i="3" s="1"/>
  <c r="AC68" i="3"/>
  <c r="G68" i="3"/>
  <c r="Y68" i="3" s="1"/>
  <c r="AB68" i="3" s="1"/>
  <c r="AC41" i="3"/>
  <c r="G41" i="3"/>
  <c r="Y41" i="3" s="1"/>
  <c r="AB41" i="3" s="1"/>
  <c r="AC40" i="3"/>
  <c r="G40" i="3"/>
  <c r="Y40" i="3" s="1"/>
  <c r="AB40" i="3" s="1"/>
  <c r="AC39" i="3"/>
  <c r="G39" i="3"/>
  <c r="U54" i="3"/>
  <c r="S54" i="3"/>
  <c r="T54" i="3"/>
  <c r="R54" i="3"/>
  <c r="T68" i="3"/>
  <c r="R68" i="3"/>
  <c r="U68" i="3"/>
  <c r="S68" i="3"/>
  <c r="T41" i="3"/>
  <c r="R41" i="3"/>
  <c r="U41" i="3"/>
  <c r="S41" i="3"/>
  <c r="U40" i="3"/>
  <c r="S40" i="3"/>
  <c r="T40" i="3"/>
  <c r="R40" i="3"/>
  <c r="R39" i="3" l="1"/>
  <c r="V68" i="3"/>
  <c r="W68" i="3" s="1"/>
  <c r="V41" i="3"/>
  <c r="W41" i="3" s="1"/>
  <c r="V54" i="3"/>
  <c r="W54" i="3" s="1"/>
  <c r="Y39" i="3"/>
  <c r="AB39" i="3" s="1"/>
  <c r="T39" i="3"/>
  <c r="V40" i="3"/>
  <c r="W40" i="3" s="1"/>
  <c r="S39" i="3"/>
  <c r="U39" i="3"/>
  <c r="V39" i="3" l="1"/>
  <c r="W39" i="3" s="1"/>
  <c r="AH142" i="3" l="1"/>
</calcChain>
</file>

<file path=xl/sharedStrings.xml><?xml version="1.0" encoding="utf-8"?>
<sst xmlns="http://schemas.openxmlformats.org/spreadsheetml/2006/main" count="1497" uniqueCount="416">
  <si>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</si>
  <si>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</si>
  <si>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</si>
  <si>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</si>
  <si>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</si>
  <si>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</si>
  <si>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</si>
  <si>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</si>
  <si>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</si>
  <si>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</si>
  <si>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</si>
  <si>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</si>
  <si>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</si>
  <si>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</si>
  <si>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</si>
  <si>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</si>
  <si>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</si>
  <si>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</si>
  <si>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</si>
  <si>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</si>
  <si>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</si>
  <si>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</si>
  <si>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</si>
  <si>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</si>
  <si>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</si>
  <si>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</si>
  <si>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</si>
  <si>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</si>
  <si>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</si>
  <si>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</si>
  <si>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</si>
  <si>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</si>
  <si>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</si>
  <si>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</si>
  <si>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</si>
  <si>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</si>
  <si>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A</t>
  </si>
  <si>
    <t>B</t>
  </si>
  <si>
    <t>C</t>
  </si>
  <si>
    <t>D</t>
  </si>
  <si>
    <t>đang sd</t>
  </si>
  <si>
    <t>ĐNA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</si>
  <si>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</si>
  <si>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</si>
  <si>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</si>
  <si>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</si>
  <si>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</si>
  <si>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</si>
  <si>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</si>
  <si>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>Bàn vi tính</t>
  </si>
  <si>
    <t>Thành viên tổ kiểm kê</t>
  </si>
  <si>
    <t>Trưởng phòng TC - KT</t>
  </si>
  <si>
    <t>Chủ tịch hội đồng</t>
  </si>
  <si>
    <t>-</t>
  </si>
  <si>
    <t>Ủy viên</t>
  </si>
  <si>
    <t>3. Ông. Trần Liên</t>
  </si>
  <si>
    <t>Trưởng phòng TC - HC</t>
  </si>
  <si>
    <t>Tổ trưởng</t>
  </si>
  <si>
    <t>5. Thành viên tổ kiểm kê</t>
  </si>
  <si>
    <t>Bàn làm việc - BLV15-1
-Kích thước: (1.500x750x760)mm.
- Gỗ công nghiệp phủ melamine có hộc liền.</t>
  </si>
  <si>
    <t>Phòng làm việc</t>
  </si>
  <si>
    <t>Bàn làm việc - BLV1809-1
-Kích thước: (1.800x900x760)mm.
-Gỗ công nghiệp phun PU</t>
  </si>
  <si>
    <t>Tủ đựng dụng cụ
-Kích thước: (1.000x450x1.830)mm.
- Khung sắt sơn tĩnh điện khoang trên có 03 khoang, có 02 đợt di động. Khung cánh kính mở</t>
  </si>
  <si>
    <t>Ghế làm việc
-Kích thước: (550x530x865/990)mm.
- Khung nhựa, đệm tựa bọc vải tay nhựa.</t>
  </si>
  <si>
    <t>Đơn vị tính</t>
  </si>
  <si>
    <t>Nơi tài sản mới chuyển đến</t>
  </si>
  <si>
    <t xml:space="preserve">Ghi chú
</t>
  </si>
  <si>
    <t>Phòng LV</t>
  </si>
  <si>
    <t>đang SD</t>
  </si>
  <si>
    <t>Đèn led panel 45w vuông 0,6x0,6 m</t>
  </si>
  <si>
    <t>bộ</t>
  </si>
  <si>
    <t>Ổ cắm đôi 3 chấu</t>
  </si>
  <si>
    <t>Tủ điện âm tường bao gồm thiết bị</t>
  </si>
  <si>
    <t>Đầu báo khói địa chỉ (kể cả đế)</t>
  </si>
  <si>
    <t>cái</t>
  </si>
  <si>
    <t>Quạt trần + hộp số</t>
  </si>
  <si>
    <t>Miệng gió 250x250 + OBD</t>
  </si>
  <si>
    <t>Công tắc đôi</t>
  </si>
  <si>
    <t>Điều hòa treo tường 24.000 Btu/h + remote</t>
  </si>
  <si>
    <t>I</t>
  </si>
  <si>
    <t>II</t>
  </si>
  <si>
    <t>III</t>
  </si>
  <si>
    <t>Tiếp nhận năm 2022</t>
  </si>
  <si>
    <t>Đại diện phòng</t>
  </si>
  <si>
    <t>Phòng KHNV</t>
  </si>
  <si>
    <t>Bàn quầy BQ - 4970 (căn tin)</t>
  </si>
  <si>
    <t>Phòng CNTT</t>
  </si>
  <si>
    <t>Ghế quầy
-Kích thước: (590x540x920)mm.
- Ghế lưới tay nhựa chân mạ.</t>
  </si>
  <si>
    <t>Kệ sách
- Kích thước: (2.030x457x2.000)mm
- Kệ sắt sơn tĩnh điện
- Giá 02 khoang có đợt cố định</t>
  </si>
  <si>
    <t>Tủ tài liệu sắt 4 cánh có kính</t>
  </si>
  <si>
    <t>Bàn làm việc</t>
  </si>
  <si>
    <t>DC-B100/3</t>
  </si>
  <si>
    <t>DC-B100/4</t>
  </si>
  <si>
    <t>Ghế xoay</t>
  </si>
  <si>
    <t>DC-B101/7</t>
  </si>
  <si>
    <t>Bàn gỗ hạt xoài</t>
  </si>
  <si>
    <t>DC-B032</t>
  </si>
  <si>
    <t>Bàn làm việc gỗ (0,7x1,8)m có tủ 3 ngăn</t>
  </si>
  <si>
    <t>DC-B097/1</t>
  </si>
  <si>
    <t>Ghế tựa gỗ</t>
  </si>
  <si>
    <t>Bàn vi tính 0,7x0,5</t>
  </si>
  <si>
    <t>Kệ gỗ 2 tầng</t>
  </si>
  <si>
    <t>Bàn vi tính gỗ vân vàng 0,7x0,5m</t>
  </si>
  <si>
    <t>IV</t>
  </si>
  <si>
    <t>V</t>
  </si>
  <si>
    <t>VI</t>
  </si>
  <si>
    <t>VII</t>
  </si>
  <si>
    <t>Đèn led panel 45 w vuông 0,6x0,6 m</t>
  </si>
  <si>
    <t>Công tắc 3</t>
  </si>
  <si>
    <t>Đầu phun sprinkler 68 độ C (loại quay xuống) + đế</t>
  </si>
  <si>
    <t>Điều hòa treo tường 24.000 Btu/h</t>
  </si>
  <si>
    <t>Đèn led panel 45w  0,3x1,2 m</t>
  </si>
  <si>
    <t>Miệng gió 150x150 + OBD</t>
  </si>
  <si>
    <t>Nút nhấn kích hoạt xả khí</t>
  </si>
  <si>
    <t>Nút nhấn trì hoãn xả khí</t>
  </si>
  <si>
    <t>Chuông báo động</t>
  </si>
  <si>
    <t>Còi / đèn xả khí</t>
  </si>
  <si>
    <t>Đầu báo khói thường (kể cả đế)</t>
  </si>
  <si>
    <t>Đầu nhiệt gia tăng 57 độ C (kể cả đế)</t>
  </si>
  <si>
    <t>Bình chữa cháy FM-200 loại 120 lít, nạp 75kg hóa chất, bao gồm van đầu chai và phụ kiện</t>
  </si>
  <si>
    <t>P. Mạng (T4.13)</t>
  </si>
  <si>
    <t>Công tắc đơn</t>
  </si>
  <si>
    <t>Điều hòa treo tường 18.000 Btu/h + remote</t>
  </si>
  <si>
    <t>tủ</t>
  </si>
  <si>
    <t>bình</t>
  </si>
  <si>
    <t>Công tắc 1</t>
  </si>
  <si>
    <t>Điều hòa cục bộ 18.000BTU + remote</t>
  </si>
  <si>
    <t>Quạt hút gắn tường 200 m3/h+ miệng gió</t>
  </si>
  <si>
    <t xml:space="preserve">Miệng gió 250x150 + OBD </t>
  </si>
  <si>
    <t xml:space="preserve">Đầu phun sprinkler 68 độ C (loại quay xuống) + đế </t>
  </si>
  <si>
    <t>Chậu rửa Inox + vòi</t>
  </si>
  <si>
    <t>P. Thực hành (T7.10)</t>
  </si>
  <si>
    <t>Công tắc 2</t>
  </si>
  <si>
    <t>Phòng mạng</t>
  </si>
  <si>
    <t>P. Thí nghiệm (T7.9)</t>
  </si>
  <si>
    <t>Phòng thí nghiệm</t>
  </si>
  <si>
    <t>Phòng thực hành</t>
  </si>
  <si>
    <t>Phòng Thí nghiệm</t>
  </si>
  <si>
    <t>Phòng Thực hành</t>
  </si>
  <si>
    <t>TBVP PHÒNG KẾ HOẠCH - NGHIỆP VỤ</t>
  </si>
  <si>
    <t>TDC 64-65</t>
  </si>
  <si>
    <t>BQ4970/1-2</t>
  </si>
  <si>
    <t>DC-034/5</t>
  </si>
  <si>
    <t>Bộ bàn ghế ( Chỉ có ghế)</t>
  </si>
  <si>
    <t>C029</t>
  </si>
  <si>
    <t>Bộ salon</t>
  </si>
  <si>
    <t>DC-B034/4</t>
  </si>
  <si>
    <t>Quạt đứng Jiplai</t>
  </si>
  <si>
    <t>Ghế nệm xoay lưới</t>
  </si>
  <si>
    <t>PHÒNG THÍ NGHIỆM TẦNG 7</t>
  </si>
  <si>
    <t>PHÒNG THỰC HÀNH TẦNG 7</t>
  </si>
  <si>
    <t>THIẾT BỊ ĐIỆN PHÒNG KẾ HOẠCH - NGHIỆP VỤ</t>
  </si>
  <si>
    <t>DC-021</t>
  </si>
  <si>
    <t xml:space="preserve">BLV 108 </t>
  </si>
  <si>
    <t>BLV1809/13</t>
  </si>
  <si>
    <t>BLV 1809/27</t>
  </si>
  <si>
    <t>Tủ hồ sơ
-Kích thước: (900x400x2.000)mm.
- Gỗ công nghiệp phun PU có 02 khoang, khoang trên cánh kính, phía dưới khoang cánh mở.</t>
  </si>
  <si>
    <t>Quạt đứng Mitsubishi</t>
  </si>
  <si>
    <t>1. Ông. Nguyễn Đại Vĩnh</t>
  </si>
  <si>
    <t>Giám đốc</t>
  </si>
  <si>
    <t>Bàn ghế giáo viên
-Kích thước: (1.200x 600x760)mm.
-Gỗ công nghiệp phủ melamin.</t>
  </si>
  <si>
    <t>Nguyễn Đại Vĩnh</t>
  </si>
  <si>
    <t>Đèn led downlight 12w</t>
  </si>
  <si>
    <t>Xí bệt + vòi xịt+ hộp giấy vệ sinh</t>
  </si>
  <si>
    <t>Lavabo treo tường và chân + vòi</t>
  </si>
  <si>
    <t>Vòi sen tắm nóng lạnh</t>
  </si>
  <si>
    <t>Bình nước nóng lạnh gián tiếp 15L</t>
  </si>
  <si>
    <t>Thoát sàn</t>
  </si>
  <si>
    <t>Đầu phun sprinkler 68 độ C (loại quay xuống) + đế ốp trần</t>
  </si>
  <si>
    <t>Miệng gió 200x200 + OBD</t>
  </si>
  <si>
    <t>BIÊN BẢN KIỂM KÊ TÀI SẢN CỐ ĐỊNH NĂM 2025</t>
  </si>
  <si>
    <t>-1</t>
  </si>
  <si>
    <t>Đang sd</t>
  </si>
  <si>
    <t>VIII</t>
  </si>
  <si>
    <t>X</t>
  </si>
  <si>
    <t>Phòng LV số 4</t>
  </si>
  <si>
    <t>Đèn led panel 0,3 x 1,2 m</t>
  </si>
  <si>
    <t>Công tắc 4</t>
  </si>
  <si>
    <t>Điều hoà treo tường 24.000 Btu/h</t>
  </si>
  <si>
    <t>Cái</t>
  </si>
  <si>
    <t>Điều hoà treo tường 18.000 Btu/h</t>
  </si>
  <si>
    <t>Đầu phun khí FM-200 loại 360 độ dn=32mm</t>
  </si>
  <si>
    <t>Van chọn vùng dn=50mm</t>
  </si>
  <si>
    <t>Điều hoà treo tường 24.000 Btu/h + remote</t>
  </si>
  <si>
    <t>Miệng gió 800x15 + OBD</t>
  </si>
  <si>
    <t>Phòng LV số 3</t>
  </si>
  <si>
    <t>Tủ điều khiển chữa cháy 1 khu vực bao gồm: Ắc  quy 12V7A: 2 cái/ 1 tủ
Module giám sát đơn loại địa chỉ: 1 cái/ 1 tủ</t>
  </si>
  <si>
    <t>Đèn led downlight 16w</t>
  </si>
  <si>
    <t>Vòi sen tắm lạnh</t>
  </si>
  <si>
    <t>Điều hoà treo tường 18.000 Btu/h + remote</t>
  </si>
  <si>
    <t>Quạt hút gắn trần 100m3/h</t>
  </si>
  <si>
    <t>2. Ông. Hồ Phú Quảng</t>
  </si>
  <si>
    <t>4. Ông. Trần Văn Vũ</t>
  </si>
  <si>
    <t>Trưởng phòng Kế hoạch - Nghiệp vụ</t>
  </si>
  <si>
    <t>Phòng LV số 5</t>
  </si>
  <si>
    <t>TP Kế hoạch - Nghiệp vụ</t>
  </si>
  <si>
    <t>Trần Văn Vũ</t>
  </si>
  <si>
    <t>Hồ Phú Quảng</t>
  </si>
  <si>
    <t>Đà Nẵng, ngày      tháng     năm 2026</t>
  </si>
  <si>
    <t>PHÒNG LÀM VIỆC TẦNG 4 ( (T4.17)</t>
  </si>
  <si>
    <t>PHÒNG LÀM VIỆC T4.22</t>
  </si>
  <si>
    <t>TTKNCS chuyển sang</t>
  </si>
  <si>
    <t>BLV 105</t>
  </si>
  <si>
    <t>Bàn làm việc 2016: HP1200SHL</t>
  </si>
  <si>
    <t>66-HIV/17</t>
  </si>
  <si>
    <t>Ghế nệm chân quỳ xám</t>
  </si>
  <si>
    <t>Ghế nệm chân quỳ xanh lá</t>
  </si>
  <si>
    <t>IX</t>
  </si>
  <si>
    <t>P. TRƯỞNG KHOA (T4.16)</t>
  </si>
  <si>
    <t>PHÒNG KHO (T4.3)</t>
  </si>
  <si>
    <t>Đèn led panel 45w 0,3x1,2 m</t>
  </si>
  <si>
    <t>Phòng Kho</t>
  </si>
  <si>
    <t xml:space="preserve">Công tắc đôi </t>
  </si>
  <si>
    <t>Điều hoà treo tường 24.000 Bthu/h + remote</t>
  </si>
  <si>
    <t>PHÒNG LÀM VIỆC (T4.5)</t>
  </si>
  <si>
    <t>102: A.Hoà
107: C.Giang
110: C.Ly</t>
  </si>
  <si>
    <t>BLV108: c Sương</t>
  </si>
  <si>
    <t>Ghế gỗ</t>
  </si>
  <si>
    <t>Bàn họp - BH55 
- Kích thước: (5.500X2.200X760)mm 
- Gỗ công nghiệp phun PU</t>
  </si>
  <si>
    <t>BH55/2</t>
  </si>
  <si>
    <t>GLV 160</t>
  </si>
  <si>
    <t>160: a Thành</t>
  </si>
  <si>
    <t>BGV 02</t>
  </si>
  <si>
    <t>C Thảo</t>
  </si>
  <si>
    <t>GLV 164,173</t>
  </si>
  <si>
    <t>Bàn giáo viên
-Kích thước: (1.200x 600x760)mm.
-Gỗ công nghiệp phủ melamin.</t>
  </si>
  <si>
    <t>67-HIV/17</t>
  </si>
  <si>
    <t>C Tiên</t>
  </si>
  <si>
    <t>c Hiền</t>
  </si>
  <si>
    <t>Bàn làm việc 2016</t>
  </si>
  <si>
    <t>161/HIV/17</t>
  </si>
  <si>
    <t>A Toàn</t>
  </si>
  <si>
    <t>GLV 167</t>
  </si>
  <si>
    <t>A Hoàn</t>
  </si>
  <si>
    <t>GLV 161</t>
  </si>
  <si>
    <t>KS 37</t>
  </si>
  <si>
    <t>KS 40</t>
  </si>
  <si>
    <t>Chuyển phòng trưởng khoa</t>
  </si>
  <si>
    <t>- Hôm nay, ngày     tháng   năm 2025, tại Trung tâm Kiểm soát bệnh tât TP Đà Nẵng chúng tôi gồm:</t>
  </si>
  <si>
    <t>Bàn làm việc gỗ melammie, kích thước: 
1200x600x750mm</t>
  </si>
  <si>
    <t>Ghế lưới, kích thước: 545x530x910-1135mm</t>
  </si>
  <si>
    <t>164: cThảo
173: c Tiên</t>
  </si>
  <si>
    <t>c Quỳnh</t>
  </si>
  <si>
    <t>Bộ bàn làm việc AT140HL3D&amp;SG528</t>
  </si>
  <si>
    <t>Ghế nệm xoay HP</t>
  </si>
  <si>
    <t>GHE-LQUYNH</t>
  </si>
  <si>
    <t>BỘ BLV-LQUYNH</t>
  </si>
  <si>
    <t>BLV-QUANGANH</t>
  </si>
  <si>
    <t>GHE-QUANGANH</t>
  </si>
  <si>
    <t>Bàn làm việc gỗ melammie, kích thước: 1200x600x750mm</t>
  </si>
  <si>
    <t xml:space="preserve">BLV-HUONG
</t>
  </si>
  <si>
    <t>BLV-KIMPHU</t>
  </si>
  <si>
    <t>GHE-KIMPHU</t>
  </si>
  <si>
    <t>GHE-HUONG</t>
  </si>
  <si>
    <t>Phú</t>
  </si>
  <si>
    <t>C Hương</t>
  </si>
  <si>
    <t>BLV-THUHIEN</t>
  </si>
  <si>
    <t>GHE-THUHIEN</t>
  </si>
  <si>
    <t>BLV-NHANH</t>
  </si>
  <si>
    <t>GHE-NHANH</t>
  </si>
  <si>
    <t>C Nhanh</t>
  </si>
  <si>
    <t>BLV-THANHTUNG</t>
  </si>
  <si>
    <t>GHE-THANHTUNG</t>
  </si>
  <si>
    <t>A. Tùng</t>
  </si>
  <si>
    <t>c Thu</t>
  </si>
  <si>
    <t>01: C. Loan  
02: C. Uyên</t>
  </si>
  <si>
    <t>Bàn làm việc (0,7x1,4)</t>
  </si>
  <si>
    <t>BLV-NGOCANH</t>
  </si>
  <si>
    <t>Ngọc Anh</t>
  </si>
  <si>
    <t>GHE-NGOCANH</t>
  </si>
  <si>
    <t>+1</t>
  </si>
  <si>
    <t>+2</t>
  </si>
  <si>
    <t>Phòng Trưởng khoa chuyển sang</t>
  </si>
  <si>
    <t>Phòng TK chuyển sang</t>
  </si>
  <si>
    <t>Bàn làm việc (0,7x1,8x2000)mm</t>
  </si>
  <si>
    <t>Tú</t>
  </si>
  <si>
    <t>Linh</t>
  </si>
  <si>
    <t>Quỳnh / Q.Anh</t>
  </si>
  <si>
    <t>-2</t>
  </si>
  <si>
    <t>GLV 172</t>
  </si>
  <si>
    <t>GLV 170</t>
  </si>
  <si>
    <t>THS 12-13</t>
  </si>
  <si>
    <t>THS 14</t>
  </si>
  <si>
    <t>Chuyển phòng trưởng khoa 02 cái</t>
  </si>
  <si>
    <t>THS 03</t>
  </si>
  <si>
    <t>THS 15</t>
  </si>
  <si>
    <t>PHÒNG LÀM VIỆC TẦNG 4  (T4.14) (PHÒNG KẾ HOẠCH - NGHIỆP VỤ)</t>
  </si>
  <si>
    <t>+3</t>
  </si>
  <si>
    <t>KS 20,21,..</t>
  </si>
  <si>
    <t xml:space="preserve">162: A. Hoà 
163: c Uyên 
165: c Giang 
</t>
  </si>
  <si>
    <t>Phòng Thực hành chuyển xuống</t>
  </si>
  <si>
    <t>KS 37,40</t>
  </si>
  <si>
    <t>PHÒNG CÔNG NGHỆ THÔNG TIN (T4.7)</t>
  </si>
  <si>
    <t>GLV 168</t>
  </si>
  <si>
    <t>Chuyển phòng TK 02 cái</t>
  </si>
  <si>
    <t>Chuyển sang phòng LV số 1</t>
  </si>
  <si>
    <t>Chuyển sang phòng LV số 2 (CNTT)</t>
  </si>
  <si>
    <t>Phòng LV số 3 chuyển sang</t>
  </si>
  <si>
    <t>BLV 1809/10</t>
  </si>
  <si>
    <t>GLV 119</t>
  </si>
  <si>
    <t>Chuyển phòng LV số 2 (CNTT)</t>
  </si>
  <si>
    <t>Chuyển Phòng LV số 3</t>
  </si>
  <si>
    <t>Bàn BGV 02 chuyển sang Phòng LV số 5</t>
  </si>
  <si>
    <t>Chuyển phòng LV số 1</t>
  </si>
  <si>
    <t>Chưa tìm thấy</t>
  </si>
  <si>
    <t>Phòng TCKT chuyển sang</t>
  </si>
  <si>
    <t>Phòng LV số 4 chuyển sang</t>
  </si>
  <si>
    <t>Chuyển từ phòng LV số 3 sang</t>
  </si>
  <si>
    <t>Khoa XN chuyển sang</t>
  </si>
  <si>
    <t>Phòng LV số 3 chuyển lên</t>
  </si>
  <si>
    <t xml:space="preserve"> 168: chuyển phòng số 4
170: chuyển phòng số 3</t>
  </si>
  <si>
    <t>Còn 1 cái kệ sắt chưa có mã ạ</t>
  </si>
  <si>
    <t>Chuyển từ phòng LV số 4 sang</t>
  </si>
  <si>
    <t>Tủ sắt đựng tài liệu 4 cánh</t>
  </si>
  <si>
    <t>Phòng LV số 3 chuyển lên DC-B101/7</t>
  </si>
  <si>
    <t>BLV 105 Chuyển sang Phòng LV số 1</t>
  </si>
  <si>
    <t>THS15 Chuyển phòng LV số 1</t>
  </si>
  <si>
    <t>Chuyển lên phòng Thí nghiệm Tầng 7</t>
  </si>
  <si>
    <t>TTKNCS</t>
  </si>
  <si>
    <t>BGV 01</t>
  </si>
  <si>
    <t xml:space="preserve">
KS 37 Chuyển:
 Phòng LV số 3
KS40: Phòng LV số 2</t>
  </si>
  <si>
    <t>CS2 chuyển ra</t>
  </si>
  <si>
    <t>Phòng LV số 1 (PLV Kế toán cũ)</t>
  </si>
  <si>
    <t xml:space="preserve">PHÒNG KHO </t>
  </si>
  <si>
    <t>Phòng LV số 2 (Phòng họp Ktoan cũ)</t>
  </si>
  <si>
    <t>KHO LƯU TRỮ 2 (ĐÃ BÀN GIAO TCHC)</t>
  </si>
  <si>
    <t>KS 39-51</t>
  </si>
  <si>
    <t>Bàn giao cho TCHC</t>
  </si>
  <si>
    <t>Tủ meca hai cánh (1,2x1,8m)</t>
  </si>
  <si>
    <t>315 PCT</t>
  </si>
  <si>
    <t>hỏng</t>
  </si>
  <si>
    <t>Phòng TCKT (KT trưởng cũ chuyển sang</t>
  </si>
  <si>
    <t>Phòng TCKT chuyển sang (KT trưởng cũ)</t>
  </si>
  <si>
    <t>Phòng TCKT  chuyển sang (KT trưởng cũ)</t>
  </si>
  <si>
    <t>Phòng TCKT chuyển sang (phòng giao ban cũ)</t>
  </si>
  <si>
    <t>Phòng TCKT chuyển sang (P.giao ban cũ)</t>
  </si>
  <si>
    <t>Ghế nệm xoay</t>
  </si>
  <si>
    <t>Ghế nệm xoay nhỏ có tay</t>
  </si>
  <si>
    <t>DC-054/12</t>
  </si>
  <si>
    <t>GLV 169</t>
  </si>
  <si>
    <t>GQ 11</t>
  </si>
  <si>
    <t>Đơn giá</t>
  </si>
  <si>
    <t>Thành tiền</t>
  </si>
  <si>
    <t>GLV 185</t>
  </si>
  <si>
    <t>CS2 chuyển ra (trong bộ bàn 8 ghế)</t>
  </si>
  <si>
    <t>GLV 186</t>
  </si>
  <si>
    <t>Tủ sắt đựng hồ sơ Hòa Phát (0,45 x 1 x 1,83)</t>
  </si>
  <si>
    <t>CS 2 chuyển ra</t>
  </si>
  <si>
    <t>PHÒNG KHO CNTT TẦNG 4 --&gt; PHÒNG TRƯỞNG PHÒNG KHNV</t>
  </si>
  <si>
    <t>Bàn (Gỗ sồi)
-Kích thước: (1.200x1.200x500)mm.
- Gỗ sồi tự nhiên.</t>
  </si>
  <si>
    <t>Bàn phụ
-Kích thước: (450x550x500)mm.
-Gỗ sồi tự nhiên.</t>
  </si>
  <si>
    <t>Bàn chủ tọa
-Kích thước: (500x600x500) mm.
-Gỗ sồi tự nhiên.</t>
  </si>
  <si>
    <t>Ghế đại biểu
-Kích thước: (800x600x1100)mm.
-Gỗ sồi tự nhiên.</t>
  </si>
  <si>
    <t>Ghế chủ tọa tay 10
-Kích thước: (850x650x1200)mm.
-Gỗ sồi tự nhiên.</t>
  </si>
  <si>
    <t>+12</t>
  </si>
  <si>
    <t>+16</t>
  </si>
  <si>
    <t xml:space="preserve">Phòng Khánh tiết T7 - THCH chuyển xuống </t>
  </si>
  <si>
    <t>CƠ SỞ 1</t>
  </si>
  <si>
    <t>CƠ SỞ 2</t>
  </si>
  <si>
    <t>Ghế xoay 2016 : G555H</t>
  </si>
  <si>
    <t>Tủ hồ sơ 1,2m</t>
  </si>
  <si>
    <t>68-HIV/17</t>
  </si>
  <si>
    <t>01-SR/16</t>
  </si>
  <si>
    <t>02-SR/17</t>
  </si>
  <si>
    <t>A Tuấn Khoa HIV sử dụng</t>
  </si>
  <si>
    <t>Tủ đựng file 2016: MSP : GS3.Việt Nam</t>
  </si>
  <si>
    <t>63-HIV/17</t>
  </si>
  <si>
    <t>Tủ tài liệu 2016: TU09K3G</t>
  </si>
  <si>
    <t>64-HIV/17</t>
  </si>
  <si>
    <t>Tủ kính đựng tài liệu : TU08 (CAT08G)</t>
  </si>
  <si>
    <t>65-HIV/17</t>
  </si>
  <si>
    <t>CS2</t>
  </si>
  <si>
    <t>Bàn tiếp khách 1 cái + ghế tiếp khách 8 cái</t>
  </si>
  <si>
    <t>HIV 06/17</t>
  </si>
  <si>
    <t>87-HIV/17</t>
  </si>
  <si>
    <t>Phòng TCKT chuyển sang (C.Phương)</t>
  </si>
  <si>
    <t>Bàn vi tính</t>
  </si>
  <si>
    <t>1/SKSS</t>
  </si>
  <si>
    <t>Phòng TCKT chuyển sang (C.Liên)</t>
  </si>
  <si>
    <t>BLV 102, 107, 110</t>
  </si>
  <si>
    <t>GLV 160 Chuyển
sangPhòng LV số 1
 GLV 166: chuyển  Phòng LV số 3
GLV 167: Phòng LV số 2 (CNTT)
GLV 185,186:  chuyển sang</t>
  </si>
  <si>
    <t xml:space="preserve">GLV 165,162-163; </t>
  </si>
  <si>
    <t>GLV 171, 166</t>
  </si>
  <si>
    <t>171: C Thu
166</t>
  </si>
  <si>
    <t>Giảm 03:
GLV 161: chuyển phòng LV số 2 (CNTT)
GLV 164: chuyển Phòng LV số 5
GLV 172: chuyển phòng thực hành
GLV 173: chuyển LV số 5
GLV 166 PLV số 4 chuyển sang</t>
  </si>
  <si>
    <t>Bộ Bàn ghế Salon gỗ</t>
  </si>
  <si>
    <t>4/SRBC</t>
  </si>
  <si>
    <t>Chuyển CS1 05 ghế</t>
  </si>
  <si>
    <t>Khoa BKLN chuyển sang</t>
  </si>
  <si>
    <t>Trần Liên………………...…………….</t>
  </si>
  <si>
    <t>Trần Quốc Việt………………………...</t>
  </si>
  <si>
    <t>Lê Thị Bích Trâm………………………..</t>
  </si>
  <si>
    <t>Nguyễn Thị Hà Vy………………………..</t>
  </si>
  <si>
    <t>Bàn salon gỗ</t>
  </si>
  <si>
    <t xml:space="preserve">Phòng TCHC chuyển sang </t>
  </si>
  <si>
    <t>+5</t>
  </si>
  <si>
    <t>CS2 chuyển ra -Khoa Dinh Dưỡng</t>
  </si>
  <si>
    <t>Bàn gỗ + ghế vi tính (ghế xếp nệm xanh)</t>
  </si>
  <si>
    <t>74, 75, 76-HIV/17</t>
  </si>
  <si>
    <t>-3</t>
  </si>
  <si>
    <t>Chuyển ra CS1- Khoa SKSS</t>
  </si>
  <si>
    <t>đã chuyển CS1</t>
  </si>
  <si>
    <t>cơ sở 1</t>
  </si>
  <si>
    <t>Tủ sắt đựng hồ sơ màu ghi, kích thước: 1000 x 450 x 1830mm (Khoa Xét nghiệm Hóa lý - Vi sinh)</t>
  </si>
  <si>
    <t>DC-B101/2</t>
  </si>
  <si>
    <t>TỔNG CỘNG</t>
  </si>
  <si>
    <t>THEO DÕI CCDC</t>
  </si>
  <si>
    <t>BIÊN BẢN KIỂM KÊ TÀI SẢN CỐ ĐỊNH NĂM 2026</t>
  </si>
  <si>
    <t>- Hôm nay, ngày 13  tháng  01  năm 2026, tại Trung tâm Kiểm soát bệnh tât TP Đà Nẵng chúng tôi gồm:</t>
  </si>
  <si>
    <t>P. Kế hoạch ngiệp vụ (T4.14) - Phòng làm việc số 4</t>
  </si>
  <si>
    <t xml:space="preserve">P. CNTT cũ --&gt; PHÒNG LÀM VIỆC SỐ 3 (T4.17) </t>
  </si>
  <si>
    <t>Phòng Công nghệ thông tin (T4.7) - PLV số 2</t>
  </si>
  <si>
    <t>Phòng Làm Việc số 1  (T4.22)</t>
  </si>
  <si>
    <t>Phòng làm việc số 5 (T4.6) (Phòng thay đồ nữ Khoa XN cũ)</t>
  </si>
  <si>
    <t>Đà Nẵng, ngày  13    tháng 01 năm 2026</t>
  </si>
  <si>
    <t>Nguyễn Thị Vũ Cẩm…............................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</si>
</sst>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  <numFmt numFmtId="167" formatCode="#_);\(#\)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_(* #,##0_);_(* \(#,##0\);_(* &quot;-&quot;??_);_(@_)"/>
    <numFmt numFmtId="175" formatCode="_-* #,##0&quot; &quot;_ _-;\-* #,##0&quot; &quot;_ _-;_-* &quot;-&quot;??&quot; &quot;_ _-;_-@_-"/>
  </numFmts>
  <fonts count="36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sz val="8"/>
      <name val="Times New Roman"/>
      <family val="1"/>
      <charset val="163"/>
    </font>
    <font>
      <b/>
      <u/>
      <sz val="12"/>
      <name val="Times New Roman"/>
      <family val="1"/>
    </font>
    <font>
      <sz val="8"/>
      <color indexed="8"/>
      <name val="Arial"/>
      <family val="2"/>
    </font>
    <font>
      <sz val="8"/>
      <name val="VNtimes new roman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VNtimes new roman"/>
    </font>
    <font>
      <b/>
      <sz val="10"/>
      <name val="Times New Roman"/>
      <family val="1"/>
      <charset val="163"/>
    </font>
    <font>
      <b/>
      <sz val="16"/>
      <name val="Times New Roman"/>
      <family val="1"/>
      <charset val="163"/>
    </font>
    <font>
      <sz val="11"/>
      <name val="Times New Roman"/>
      <family val="1"/>
      <charset val="163"/>
    </font>
    <font>
      <sz val="14"/>
      <name val=".VnTime"/>
      <family val="2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12"/>
      <color rgb="FFFF0000"/>
      <name val="Times New Roman"/>
      <family val="1"/>
    </font>
    <font>
      <b/>
      <sz val="11"/>
      <name val="Times New Roman"/>
      <family val="1"/>
      <charset val="163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6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9" fontId="2" fillId="0" borderId="0"/>
    <xf numFmtId="0" fontId="13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" fillId="0" borderId="0"/>
    <xf numFmtId="0" fontId="5" fillId="0" borderId="0"/>
    <xf numFmtId="0" fontId="21" fillId="0" borderId="0" applyNumberFormat="0" applyFill="0" applyBorder="0" applyAlignment="0" applyProtection="0">
      <alignment vertical="top"/>
    </xf>
    <xf numFmtId="164" fontId="26" fillId="0" borderId="0" applyFont="0" applyFill="0" applyBorder="0" applyAlignment="0" applyProtection="0"/>
    <xf numFmtId="0" fontId="14" fillId="0" borderId="0" applyAlignment="0">
      <alignment vertical="top" wrapText="1"/>
      <protection locked="0"/>
    </xf>
    <xf numFmtId="0" fontId="30" fillId="0" borderId="0"/>
    <xf numFmtId="0" fontId="21" fillId="0" borderId="0" applyNumberFormat="0" applyFill="0" applyBorder="0" applyAlignment="0" applyProtection="0">
      <alignment vertical="top"/>
    </xf>
    <xf numFmtId="165" fontId="2" fillId="0" borderId="0" applyFont="0" applyFill="0" applyBorder="0" applyAlignment="0" applyProtection="0"/>
    <xf numFmtId="0" fontId="1" fillId="0" borderId="0"/>
    <xf numFmtId="165" fontId="13" fillId="0" borderId="0" applyFont="0" applyFill="0" applyBorder="0" applyAlignment="0" applyProtection="0"/>
  </cellStyleXfs>
  <cellXfs count="264">
    <xf numFmtId="0" fontId="0" fillId="0" borderId="0" xfId="0"/>
    <xf numFmtId="3" fontId="14" fillId="2" borderId="2" xfId="0" applyNumberFormat="1" applyFont="1" applyFill="1" applyBorder="1" applyAlignment="1">
      <alignment horizontal="center" vertical="center"/>
    </xf>
    <xf numFmtId="3" fontId="14" fillId="2" borderId="2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 wrapText="1"/>
    </xf>
    <xf numFmtId="0" fontId="17" fillId="2" borderId="0" xfId="0" applyFont="1" applyFill="1"/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166" fontId="16" fillId="2" borderId="0" xfId="7" applyNumberFormat="1" applyFont="1" applyFill="1" applyAlignment="1">
      <alignment horizontal="center"/>
    </xf>
    <xf numFmtId="0" fontId="17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3" fontId="17" fillId="2" borderId="0" xfId="0" applyNumberFormat="1" applyFont="1" applyFill="1" applyAlignment="1">
      <alignment horizontal="left"/>
    </xf>
    <xf numFmtId="166" fontId="17" fillId="2" borderId="0" xfId="7" applyNumberFormat="1" applyFont="1" applyFill="1" applyBorder="1" applyAlignment="1">
      <alignment horizontal="left"/>
    </xf>
    <xf numFmtId="0" fontId="17" fillId="2" borderId="0" xfId="0" applyFont="1" applyFill="1" applyAlignment="1">
      <alignment horizontal="left" wrapText="1"/>
    </xf>
    <xf numFmtId="3" fontId="17" fillId="2" borderId="0" xfId="0" applyNumberFormat="1" applyFont="1" applyFill="1" applyAlignment="1">
      <alignment horizontal="right"/>
    </xf>
    <xf numFmtId="166" fontId="17" fillId="2" borderId="0" xfId="7" applyNumberFormat="1" applyFont="1" applyFill="1" applyBorder="1" applyAlignment="1">
      <alignment horizontal="center"/>
    </xf>
    <xf numFmtId="0" fontId="17" fillId="2" borderId="1" xfId="0" applyFont="1" applyFill="1" applyBorder="1"/>
    <xf numFmtId="0" fontId="16" fillId="2" borderId="1" xfId="0" applyFont="1" applyFill="1" applyBorder="1"/>
    <xf numFmtId="0" fontId="16" fillId="2" borderId="0" xfId="0" applyFont="1" applyFill="1"/>
    <xf numFmtId="166" fontId="17" fillId="2" borderId="0" xfId="7" applyNumberFormat="1" applyFont="1" applyFill="1" applyAlignment="1">
      <alignment horizontal="center"/>
    </xf>
    <xf numFmtId="0" fontId="14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2" xfId="14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" xfId="14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12" fillId="2" borderId="0" xfId="0" quotePrefix="1" applyFont="1" applyFill="1" applyAlignment="1">
      <alignment horizontal="left" vertical="center"/>
    </xf>
    <xf numFmtId="0" fontId="10" fillId="2" borderId="0" xfId="0" quotePrefix="1" applyFont="1" applyFill="1" applyAlignment="1">
      <alignment horizontal="left" vertical="center"/>
    </xf>
    <xf numFmtId="3" fontId="10" fillId="2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2" fillId="2" borderId="0" xfId="0" quotePrefix="1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166" fontId="12" fillId="2" borderId="0" xfId="7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7" fontId="15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3" fontId="14" fillId="2" borderId="2" xfId="0" applyNumberFormat="1" applyFont="1" applyFill="1" applyBorder="1" applyAlignment="1">
      <alignment vertical="center"/>
    </xf>
    <xf numFmtId="3" fontId="15" fillId="2" borderId="2" xfId="0" applyNumberFormat="1" applyFont="1" applyFill="1" applyBorder="1" applyAlignment="1">
      <alignment vertical="center"/>
    </xf>
    <xf numFmtId="3" fontId="14" fillId="2" borderId="3" xfId="0" applyNumberFormat="1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vertical="center"/>
    </xf>
    <xf numFmtId="3" fontId="12" fillId="2" borderId="0" xfId="0" applyNumberFormat="1" applyFont="1" applyFill="1" applyAlignment="1">
      <alignment horizontal="right" vertical="center"/>
    </xf>
    <xf numFmtId="166" fontId="12" fillId="2" borderId="0" xfId="8" applyNumberFormat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right" vertical="center"/>
    </xf>
    <xf numFmtId="0" fontId="12" fillId="2" borderId="0" xfId="0" applyFont="1" applyFill="1"/>
    <xf numFmtId="0" fontId="14" fillId="2" borderId="3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vertical="center"/>
    </xf>
    <xf numFmtId="0" fontId="25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166" fontId="12" fillId="2" borderId="2" xfId="7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167" fontId="12" fillId="2" borderId="2" xfId="0" applyNumberFormat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left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left" vertical="center"/>
    </xf>
    <xf numFmtId="3" fontId="10" fillId="2" borderId="2" xfId="0" quotePrefix="1" applyNumberFormat="1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left" vertical="center" wrapText="1"/>
    </xf>
    <xf numFmtId="3" fontId="12" fillId="2" borderId="2" xfId="0" applyNumberFormat="1" applyFont="1" applyFill="1" applyBorder="1" applyAlignment="1">
      <alignment horizontal="left" vertical="center"/>
    </xf>
    <xf numFmtId="3" fontId="10" fillId="2" borderId="0" xfId="0" applyNumberFormat="1" applyFont="1" applyFill="1" applyAlignment="1">
      <alignment horizontal="left" vertical="center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left" vertical="center" wrapText="1"/>
    </xf>
    <xf numFmtId="0" fontId="16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3" fontId="15" fillId="3" borderId="2" xfId="0" applyNumberFormat="1" applyFont="1" applyFill="1" applyBorder="1" applyAlignment="1">
      <alignment horizontal="center" vertical="center"/>
    </xf>
    <xf numFmtId="0" fontId="15" fillId="3" borderId="2" xfId="14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3" fontId="14" fillId="3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vertical="center"/>
    </xf>
    <xf numFmtId="3" fontId="15" fillId="3" borderId="3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vertical="center"/>
    </xf>
    <xf numFmtId="0" fontId="14" fillId="3" borderId="3" xfId="0" applyFont="1" applyFill="1" applyBorder="1" applyAlignment="1">
      <alignment horizontal="center" vertical="center"/>
    </xf>
    <xf numFmtId="3" fontId="15" fillId="3" borderId="0" xfId="0" applyNumberFormat="1" applyFont="1" applyFill="1" applyAlignment="1">
      <alignment vertical="center"/>
    </xf>
    <xf numFmtId="3" fontId="15" fillId="3" borderId="2" xfId="0" applyNumberFormat="1" applyFont="1" applyFill="1" applyBorder="1" applyAlignment="1">
      <alignment vertical="center"/>
    </xf>
    <xf numFmtId="3" fontId="15" fillId="3" borderId="3" xfId="0" applyNumberFormat="1" applyFont="1" applyFill="1" applyBorder="1" applyAlignment="1">
      <alignment vertical="center"/>
    </xf>
    <xf numFmtId="3" fontId="14" fillId="3" borderId="3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vertical="center"/>
    </xf>
    <xf numFmtId="0" fontId="15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left" vertical="center"/>
    </xf>
    <xf numFmtId="0" fontId="10" fillId="2" borderId="2" xfId="0" applyFont="1" applyFill="1" applyBorder="1"/>
    <xf numFmtId="3" fontId="14" fillId="2" borderId="0" xfId="0" applyNumberFormat="1" applyFont="1" applyFill="1" applyAlignment="1">
      <alignment horizontal="center" vertical="center" wrapText="1"/>
    </xf>
    <xf numFmtId="0" fontId="10" fillId="2" borderId="0" xfId="0" applyFont="1" applyFill="1"/>
    <xf numFmtId="0" fontId="14" fillId="2" borderId="0" xfId="14" applyFont="1" applyFill="1" applyAlignment="1">
      <alignment horizontal="left" vertical="center" wrapText="1"/>
    </xf>
    <xf numFmtId="0" fontId="14" fillId="2" borderId="0" xfId="14" applyFont="1" applyFill="1" applyAlignment="1">
      <alignment horizontal="center" vertical="center" wrapText="1"/>
    </xf>
    <xf numFmtId="0" fontId="14" fillId="2" borderId="2" xfId="14" applyFont="1" applyFill="1" applyBorder="1" applyAlignment="1">
      <alignment horizontal="center" vertical="center" wrapText="1"/>
    </xf>
    <xf numFmtId="3" fontId="14" fillId="2" borderId="2" xfId="14" applyNumberFormat="1" applyFont="1" applyFill="1" applyBorder="1" applyAlignment="1">
      <alignment horizontal="left" vertical="center" wrapText="1"/>
    </xf>
    <xf numFmtId="3" fontId="14" fillId="2" borderId="2" xfId="14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wrapText="1"/>
    </xf>
    <xf numFmtId="0" fontId="17" fillId="2" borderId="2" xfId="0" applyFont="1" applyFill="1" applyBorder="1" applyAlignment="1">
      <alignment horizontal="center" vertical="center" wrapText="1"/>
    </xf>
    <xf numFmtId="166" fontId="10" fillId="2" borderId="2" xfId="7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49" fontId="10" fillId="2" borderId="2" xfId="0" quotePrefix="1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2" fontId="10" fillId="2" borderId="2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5" xfId="27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10" fillId="2" borderId="0" xfId="0" applyFont="1" applyFill="1" applyAlignment="1">
      <alignment horizontal="center" wrapText="1"/>
    </xf>
    <xf numFmtId="0" fontId="10" fillId="2" borderId="1" xfId="0" applyFont="1" applyFill="1" applyBorder="1"/>
    <xf numFmtId="0" fontId="10" fillId="2" borderId="2" xfId="0" applyFont="1" applyFill="1" applyBorder="1" applyAlignment="1">
      <alignment horizontal="center" wrapText="1"/>
    </xf>
    <xf numFmtId="0" fontId="10" fillId="2" borderId="2" xfId="14" applyFont="1" applyFill="1" applyBorder="1" applyAlignment="1">
      <alignment horizontal="left" vertical="center" wrapText="1"/>
    </xf>
    <xf numFmtId="0" fontId="10" fillId="2" borderId="2" xfId="14" applyFont="1" applyFill="1" applyBorder="1" applyAlignment="1">
      <alignment horizontal="center" vertical="center" wrapText="1"/>
    </xf>
    <xf numFmtId="0" fontId="14" fillId="2" borderId="5" xfId="27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 wrapText="1"/>
    </xf>
    <xf numFmtId="3" fontId="17" fillId="2" borderId="2" xfId="0" applyNumberFormat="1" applyFont="1" applyFill="1" applyBorder="1" applyAlignment="1">
      <alignment horizontal="center" vertical="center"/>
    </xf>
    <xf numFmtId="49" fontId="17" fillId="2" borderId="2" xfId="0" quotePrefix="1" applyNumberFormat="1" applyFont="1" applyFill="1" applyBorder="1" applyAlignment="1">
      <alignment horizontal="center" vertical="center"/>
    </xf>
    <xf numFmtId="3" fontId="17" fillId="2" borderId="2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/>
    <xf numFmtId="0" fontId="12" fillId="2" borderId="2" xfId="0" applyFont="1" applyFill="1" applyBorder="1"/>
    <xf numFmtId="0" fontId="10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/>
    </xf>
    <xf numFmtId="0" fontId="17" fillId="2" borderId="2" xfId="0" applyFont="1" applyFill="1" applyBorder="1"/>
    <xf numFmtId="0" fontId="10" fillId="2" borderId="2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/>
    </xf>
    <xf numFmtId="3" fontId="10" fillId="2" borderId="2" xfId="0" quotePrefix="1" applyNumberFormat="1" applyFont="1" applyFill="1" applyBorder="1" applyAlignment="1">
      <alignment horizontal="right" vertical="center"/>
    </xf>
    <xf numFmtId="3" fontId="10" fillId="2" borderId="2" xfId="0" applyNumberFormat="1" applyFont="1" applyFill="1" applyBorder="1" applyAlignment="1">
      <alignment horizontal="right" vertical="center"/>
    </xf>
    <xf numFmtId="174" fontId="10" fillId="2" borderId="2" xfId="7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2" fillId="2" borderId="2" xfId="0" applyFont="1" applyFill="1" applyBorder="1" applyAlignment="1">
      <alignment horizontal="right" vertical="center"/>
    </xf>
    <xf numFmtId="3" fontId="12" fillId="2" borderId="2" xfId="0" applyNumberFormat="1" applyFont="1" applyFill="1" applyBorder="1" applyAlignment="1">
      <alignment horizontal="right" vertical="center"/>
    </xf>
    <xf numFmtId="174" fontId="10" fillId="2" borderId="1" xfId="7" applyNumberFormat="1" applyFont="1" applyFill="1" applyBorder="1" applyAlignment="1">
      <alignment horizontal="right"/>
    </xf>
    <xf numFmtId="174" fontId="10" fillId="2" borderId="2" xfId="30" applyNumberFormat="1" applyFont="1" applyFill="1" applyBorder="1" applyAlignment="1" applyProtection="1">
      <alignment horizontal="right" vertical="center" wrapText="1"/>
    </xf>
    <xf numFmtId="0" fontId="10" fillId="2" borderId="2" xfId="0" applyFont="1" applyFill="1" applyBorder="1" applyAlignment="1">
      <alignment horizontal="right" vertical="center"/>
    </xf>
    <xf numFmtId="164" fontId="10" fillId="2" borderId="2" xfId="29" applyFont="1" applyFill="1" applyBorder="1" applyAlignment="1">
      <alignment horizontal="right" vertical="center"/>
    </xf>
    <xf numFmtId="0" fontId="31" fillId="2" borderId="2" xfId="0" applyFont="1" applyFill="1" applyBorder="1" applyAlignment="1">
      <alignment horizontal="center" vertical="center"/>
    </xf>
    <xf numFmtId="0" fontId="31" fillId="4" borderId="2" xfId="32" applyFont="1" applyFill="1" applyBorder="1" applyAlignment="1" applyProtection="1">
      <alignment horizontal="center" vertical="center" wrapText="1" shrinkToFit="1"/>
      <protection locked="0"/>
    </xf>
    <xf numFmtId="0" fontId="31" fillId="2" borderId="2" xfId="0" applyFont="1" applyFill="1" applyBorder="1" applyAlignment="1">
      <alignment horizontal="left" vertical="center"/>
    </xf>
    <xf numFmtId="3" fontId="31" fillId="2" borderId="2" xfId="0" applyNumberFormat="1" applyFont="1" applyFill="1" applyBorder="1" applyAlignment="1">
      <alignment horizontal="right" vertical="center"/>
    </xf>
    <xf numFmtId="3" fontId="31" fillId="2" borderId="2" xfId="0" applyNumberFormat="1" applyFont="1" applyFill="1" applyBorder="1" applyAlignment="1">
      <alignment vertical="center"/>
    </xf>
    <xf numFmtId="3" fontId="31" fillId="2" borderId="2" xfId="0" applyNumberFormat="1" applyFont="1" applyFill="1" applyBorder="1" applyAlignment="1">
      <alignment horizontal="center" vertical="center"/>
    </xf>
    <xf numFmtId="49" fontId="31" fillId="2" borderId="2" xfId="33" applyNumberFormat="1" applyFont="1" applyFill="1" applyBorder="1" applyAlignment="1">
      <alignment vertical="center"/>
    </xf>
    <xf numFmtId="9" fontId="31" fillId="2" borderId="2" xfId="0" applyNumberFormat="1" applyFont="1" applyFill="1" applyBorder="1" applyAlignment="1">
      <alignment horizontal="right" vertical="center"/>
    </xf>
    <xf numFmtId="0" fontId="31" fillId="2" borderId="2" xfId="0" applyFont="1" applyFill="1" applyBorder="1" applyAlignment="1">
      <alignment vertical="center"/>
    </xf>
    <xf numFmtId="175" fontId="31" fillId="2" borderId="2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/>
    </xf>
    <xf numFmtId="0" fontId="31" fillId="2" borderId="2" xfId="34" applyFont="1" applyFill="1" applyBorder="1" applyAlignment="1">
      <alignment vertical="center" wrapText="1"/>
    </xf>
    <xf numFmtId="0" fontId="10" fillId="2" borderId="0" xfId="0" applyFont="1" applyFill="1" applyBorder="1"/>
    <xf numFmtId="3" fontId="10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27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/>
    </xf>
    <xf numFmtId="3" fontId="10" fillId="2" borderId="3" xfId="0" quotePrefix="1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 wrapText="1"/>
    </xf>
    <xf numFmtId="3" fontId="12" fillId="2" borderId="2" xfId="0" quotePrefix="1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/>
    </xf>
    <xf numFmtId="3" fontId="12" fillId="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174" fontId="10" fillId="2" borderId="2" xfId="7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14" applyFont="1" applyFill="1" applyBorder="1" applyAlignment="1">
      <alignment horizontal="left" vertical="center" wrapText="1"/>
    </xf>
    <xf numFmtId="0" fontId="10" fillId="2" borderId="6" xfId="14" applyFont="1" applyFill="1" applyBorder="1" applyAlignment="1">
      <alignment horizontal="center" vertical="center" wrapText="1"/>
    </xf>
    <xf numFmtId="3" fontId="10" fillId="2" borderId="6" xfId="7" applyNumberFormat="1" applyFont="1" applyFill="1" applyBorder="1" applyAlignment="1">
      <alignment horizontal="right" vertical="center" wrapText="1"/>
    </xf>
    <xf numFmtId="174" fontId="10" fillId="2" borderId="6" xfId="7" applyNumberFormat="1" applyFont="1" applyFill="1" applyBorder="1" applyAlignment="1">
      <alignment horizontal="right" vertical="center"/>
    </xf>
    <xf numFmtId="3" fontId="10" fillId="2" borderId="2" xfId="7" applyNumberFormat="1" applyFont="1" applyFill="1" applyBorder="1" applyAlignment="1">
      <alignment horizontal="right" vertical="center" wrapText="1"/>
    </xf>
    <xf numFmtId="3" fontId="10" fillId="2" borderId="2" xfId="14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0" fontId="14" fillId="2" borderId="4" xfId="14" applyFont="1" applyFill="1" applyBorder="1" applyAlignment="1">
      <alignment horizontal="left" vertical="center" wrapText="1"/>
    </xf>
    <xf numFmtId="0" fontId="14" fillId="2" borderId="4" xfId="14" applyFont="1" applyFill="1" applyBorder="1" applyAlignment="1">
      <alignment horizontal="center" vertical="center" wrapText="1"/>
    </xf>
    <xf numFmtId="0" fontId="14" fillId="2" borderId="2" xfId="14" quotePrefix="1" applyFont="1" applyFill="1" applyBorder="1" applyAlignment="1">
      <alignment vertical="center" wrapText="1"/>
    </xf>
    <xf numFmtId="0" fontId="32" fillId="2" borderId="6" xfId="14" applyFont="1" applyFill="1" applyBorder="1" applyAlignment="1">
      <alignment horizontal="center" vertical="center" wrapText="1"/>
    </xf>
    <xf numFmtId="3" fontId="33" fillId="2" borderId="2" xfId="0" applyNumberFormat="1" applyFont="1" applyFill="1" applyBorder="1" applyAlignment="1">
      <alignment horizontal="center" vertical="center"/>
    </xf>
    <xf numFmtId="3" fontId="33" fillId="2" borderId="2" xfId="0" applyNumberFormat="1" applyFont="1" applyFill="1" applyBorder="1" applyAlignment="1">
      <alignment horizontal="left" vertical="center"/>
    </xf>
    <xf numFmtId="0" fontId="33" fillId="2" borderId="2" xfId="0" applyFont="1" applyFill="1" applyBorder="1" applyAlignment="1">
      <alignment horizontal="center" vertical="center"/>
    </xf>
    <xf numFmtId="3" fontId="33" fillId="2" borderId="2" xfId="0" quotePrefix="1" applyNumberFormat="1" applyFont="1" applyFill="1" applyBorder="1" applyAlignment="1">
      <alignment horizontal="center" vertical="center"/>
    </xf>
    <xf numFmtId="174" fontId="33" fillId="2" borderId="2" xfId="7" applyNumberFormat="1" applyFont="1" applyFill="1" applyBorder="1" applyAlignment="1">
      <alignment horizontal="right" vertical="center"/>
    </xf>
    <xf numFmtId="3" fontId="33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wrapText="1"/>
    </xf>
    <xf numFmtId="0" fontId="33" fillId="2" borderId="1" xfId="0" applyFont="1" applyFill="1" applyBorder="1"/>
    <xf numFmtId="0" fontId="33" fillId="2" borderId="0" xfId="0" applyFont="1" applyFill="1"/>
    <xf numFmtId="0" fontId="12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166" fontId="10" fillId="2" borderId="0" xfId="33" applyNumberFormat="1" applyFont="1" applyFill="1" applyBorder="1" applyAlignment="1">
      <alignment horizontal="center" vertical="center"/>
    </xf>
    <xf numFmtId="166" fontId="12" fillId="2" borderId="0" xfId="33" applyNumberFormat="1" applyFont="1" applyFill="1" applyBorder="1" applyAlignment="1">
      <alignment vertical="center"/>
    </xf>
    <xf numFmtId="166" fontId="11" fillId="2" borderId="0" xfId="33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4" fontId="14" fillId="0" borderId="2" xfId="35" applyNumberFormat="1" applyFont="1" applyFill="1" applyBorder="1" applyAlignment="1">
      <alignment vertical="center"/>
    </xf>
    <xf numFmtId="174" fontId="10" fillId="2" borderId="2" xfId="0" applyNumberFormat="1" applyFont="1" applyFill="1" applyBorder="1" applyAlignment="1">
      <alignment horizontal="center" vertical="center"/>
    </xf>
    <xf numFmtId="174" fontId="35" fillId="0" borderId="2" xfId="7" applyNumberFormat="1" applyFont="1" applyFill="1" applyBorder="1" applyAlignment="1">
      <alignment vertical="center"/>
    </xf>
    <xf numFmtId="3" fontId="12" fillId="2" borderId="2" xfId="0" applyNumberFormat="1" applyFont="1" applyFill="1" applyBorder="1" applyAlignment="1">
      <alignment vertical="center"/>
    </xf>
    <xf numFmtId="0" fontId="12" fillId="2" borderId="2" xfId="14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6" fillId="2" borderId="0" xfId="0" quotePrefix="1" applyFont="1" applyFill="1" applyAlignment="1">
      <alignment horizontal="left"/>
    </xf>
    <xf numFmtId="0" fontId="12" fillId="2" borderId="2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/>
    </xf>
    <xf numFmtId="0" fontId="17" fillId="2" borderId="0" xfId="0" quotePrefix="1" applyFont="1" applyFill="1" applyAlignment="1">
      <alignment horizontal="left"/>
    </xf>
    <xf numFmtId="3" fontId="12" fillId="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 wrapText="1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3" fontId="15" fillId="2" borderId="4" xfId="0" applyNumberFormat="1" applyFont="1" applyFill="1" applyBorder="1" applyAlignment="1">
      <alignment horizontal="center" vertical="center"/>
    </xf>
    <xf numFmtId="3" fontId="15" fillId="2" borderId="5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3" fontId="34" fillId="2" borderId="3" xfId="0" applyNumberFormat="1" applyFont="1" applyFill="1" applyBorder="1" applyAlignment="1">
      <alignment horizontal="center" vertical="center" wrapText="1"/>
    </xf>
    <xf numFmtId="3" fontId="34" fillId="2" borderId="4" xfId="0" applyNumberFormat="1" applyFont="1" applyFill="1" applyBorder="1" applyAlignment="1">
      <alignment horizontal="center" vertical="center" wrapText="1"/>
    </xf>
    <xf numFmtId="3" fontId="34" fillId="2" borderId="5" xfId="0" applyNumberFormat="1" applyFont="1" applyFill="1" applyBorder="1" applyAlignment="1">
      <alignment horizontal="center" vertical="center" wrapText="1"/>
    </xf>
  </cellXfs>
  <cellStyles count="36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[0]" xfId="29" builtinId="6"/>
    <cellStyle name="Comma 2" xfId="8" xr:uid="{00000000-0005-0000-0000-000008000000}"/>
    <cellStyle name="Comma 2 2" xfId="33" xr:uid="{54BBA06F-32F5-4A6F-AF05-924B5F5C8E0A}"/>
    <cellStyle name="Comma 3" xfId="35" xr:uid="{C60175CE-B9A8-430F-A281-98EFD67AEC65}"/>
    <cellStyle name="Comma0" xfId="9" xr:uid="{00000000-0005-0000-0000-000009000000}"/>
    <cellStyle name="Currency0" xfId="10" xr:uid="{00000000-0005-0000-0000-00000A000000}"/>
    <cellStyle name="Date" xfId="11" xr:uid="{00000000-0005-0000-0000-00000B000000}"/>
    <cellStyle name="Fixed" xfId="12" xr:uid="{00000000-0005-0000-0000-00000C000000}"/>
    <cellStyle name="Normal" xfId="0" builtinId="0"/>
    <cellStyle name="Normal - Style1" xfId="13" xr:uid="{00000000-0005-0000-0000-00000E000000}"/>
    <cellStyle name="Normal 2" xfId="14" xr:uid="{00000000-0005-0000-0000-00000F000000}"/>
    <cellStyle name="Normal 3 2" xfId="34" xr:uid="{7A0B61F0-94B0-47F5-860C-5DE6C7066CF0}"/>
    <cellStyle name="Normal 5" xfId="28" xr:uid="{00000000-0005-0000-0000-000010000000}"/>
    <cellStyle name="Normal 5 2" xfId="32" xr:uid="{AC696CE1-3E2C-4C98-9AA0-4CFA75B84D00}"/>
    <cellStyle name="Normal 5 2 3" xfId="31" xr:uid="{99A6810B-10A3-4A4C-A742-E47CC4F41ACF}"/>
    <cellStyle name="Normal 8 3" xfId="30" xr:uid="{A8A53C3F-BDE0-472C-B899-CD1124543AF3}"/>
    <cellStyle name="Normal_Phuluc" xfId="27" xr:uid="{00000000-0005-0000-0000-000011000000}"/>
    <cellStyle name="Percent 2" xfId="15" xr:uid="{00000000-0005-0000-0000-000012000000}"/>
    <cellStyle name="똿뗦먛귟 [0.00]_PRODUCT DETAIL Q1" xfId="16" xr:uid="{00000000-0005-0000-0000-000013000000}"/>
    <cellStyle name="똿뗦먛귟_PRODUCT DETAIL Q1" xfId="17" xr:uid="{00000000-0005-0000-0000-000014000000}"/>
    <cellStyle name="믅됞 [0.00]_PRODUCT DETAIL Q1" xfId="18" xr:uid="{00000000-0005-0000-0000-000015000000}"/>
    <cellStyle name="믅됞_PRODUCT DETAIL Q1" xfId="19" xr:uid="{00000000-0005-0000-0000-000016000000}"/>
    <cellStyle name="백분율_HOBONG" xfId="20" xr:uid="{00000000-0005-0000-0000-000017000000}"/>
    <cellStyle name="뷭?_BOOKSHIP" xfId="21" xr:uid="{00000000-0005-0000-0000-000018000000}"/>
    <cellStyle name="콤마 [0]_1202" xfId="22" xr:uid="{00000000-0005-0000-0000-000019000000}"/>
    <cellStyle name="콤마_1202" xfId="23" xr:uid="{00000000-0005-0000-0000-00001A000000}"/>
    <cellStyle name="통화 [0]_1202" xfId="24" xr:uid="{00000000-0005-0000-0000-00001B000000}"/>
    <cellStyle name="통화_1202" xfId="25" xr:uid="{00000000-0005-0000-0000-00001C000000}"/>
    <cellStyle name="표준_(정보부문)월별인원계획" xfId="26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/>
  </sheetViews>
  <sheetFormatPr defaultRowHeight="12.75"/>
  <sheetData/>
  <pageMargins left="0.7" right="0.7" top="0.75" bottom="0.75" header="0.3" footer="0.3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249977111117893"/>
  </sheetPr>
  <dimension ref="A1:AM153"/>
  <sheetViews>
    <sheetView view="pageBreakPreview" topLeftCell="A100" zoomScale="86" zoomScaleNormal="71" zoomScaleSheetLayoutView="86" workbookViewId="0">
      <selection activeCell="AF102" sqref="AF102"/>
    </sheetView>
  </sheetViews>
  <sheetFormatPr defaultRowHeight="15.75"/>
  <cols>
    <col min="1" max="1" width="6.5703125" style="178" customWidth="1"/>
    <col min="2" max="2" width="32.5703125" style="181" customWidth="1"/>
    <col min="3" max="3" width="16.7109375" style="6" customWidth="1"/>
    <col min="4" max="4" width="8.7109375" style="6" customWidth="1"/>
    <col min="5" max="5" width="8.140625" style="178" customWidth="1"/>
    <col min="6" max="6" width="11.5703125" style="17" hidden="1" customWidth="1"/>
    <col min="7" max="7" width="12.140625" style="6" hidden="1" customWidth="1"/>
    <col min="8" max="8" width="11.28515625" style="6" hidden="1" customWidth="1"/>
    <col min="9" max="9" width="12.42578125" style="6" hidden="1" customWidth="1"/>
    <col min="10" max="10" width="10.140625" style="6" hidden="1" customWidth="1"/>
    <col min="11" max="11" width="12.5703125" style="178" hidden="1" customWidth="1"/>
    <col min="12" max="12" width="10.85546875" style="6" hidden="1" customWidth="1"/>
    <col min="13" max="14" width="9.28515625" style="6" hidden="1" customWidth="1"/>
    <col min="15" max="15" width="10" style="6" hidden="1" customWidth="1"/>
    <col min="16" max="16" width="9.5703125" style="6" hidden="1" customWidth="1"/>
    <col min="17" max="17" width="9.42578125" style="6" hidden="1" customWidth="1"/>
    <col min="18" max="18" width="9" style="6" hidden="1" customWidth="1"/>
    <col min="19" max="19" width="11.28515625" style="6" hidden="1" customWidth="1"/>
    <col min="20" max="20" width="11.5703125" style="6" hidden="1" customWidth="1"/>
    <col min="21" max="22" width="10.5703125" style="6" hidden="1" customWidth="1"/>
    <col min="23" max="23" width="0.140625" style="6" hidden="1" customWidth="1"/>
    <col min="24" max="24" width="8.42578125" style="178" customWidth="1"/>
    <col min="25" max="25" width="12" style="6" hidden="1" customWidth="1"/>
    <col min="26" max="26" width="5.5703125" style="6" hidden="1" customWidth="1"/>
    <col min="27" max="27" width="8" style="22" customWidth="1"/>
    <col min="28" max="28" width="6.140625" style="6" hidden="1" customWidth="1"/>
    <col min="29" max="29" width="5.5703125" style="6" hidden="1" customWidth="1"/>
    <col min="30" max="30" width="7.140625" style="6" hidden="1" customWidth="1"/>
    <col min="31" max="31" width="10.42578125" style="6" hidden="1" customWidth="1"/>
    <col min="32" max="32" width="12.5703125" style="144" customWidth="1"/>
    <col min="33" max="33" width="13.140625" style="144" customWidth="1"/>
    <col min="34" max="34" width="10.7109375" style="11" customWidth="1"/>
    <col min="35" max="35" width="13.140625" style="178" customWidth="1"/>
    <col min="36" max="36" width="9.7109375" style="178" customWidth="1"/>
    <col min="37" max="37" width="10.28515625" style="11" customWidth="1"/>
    <col min="38" max="38" width="10" style="13" customWidth="1"/>
    <col min="39" max="39" width="15.28515625" style="19" customWidth="1"/>
    <col min="40" max="40" width="10.85546875" style="6" bestFit="1" customWidth="1"/>
    <col min="41" max="16384" width="9.140625" style="6"/>
  </cols>
  <sheetData>
    <row r="1" spans="1:39" ht="15.75" customHeight="1">
      <c r="A1" s="237" t="s">
        <v>42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Z1" s="234" t="s">
        <v>0</v>
      </c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6"/>
    </row>
    <row r="2" spans="1:39" ht="15" customHeight="1">
      <c r="A2" s="237" t="s">
        <v>43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6"/>
    </row>
    <row r="3" spans="1:39" ht="22.5" hidden="1" customHeight="1">
      <c r="A3" s="234" t="s">
        <v>1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6"/>
    </row>
    <row r="4" spans="1:39" ht="15" customHeight="1">
      <c r="A4" s="177"/>
      <c r="B4" s="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6"/>
    </row>
    <row r="5" spans="1:39" ht="20.25" customHeight="1">
      <c r="A5" s="236" t="s">
        <v>170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6"/>
    </row>
    <row r="6" spans="1:39" ht="20.25" customHeight="1">
      <c r="A6" s="236" t="s">
        <v>139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6"/>
    </row>
    <row r="7" spans="1:39" ht="20.25" customHeight="1">
      <c r="A7" s="179"/>
      <c r="B7" s="78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43"/>
      <c r="AG7" s="143"/>
      <c r="AH7" s="179"/>
      <c r="AI7" s="179"/>
      <c r="AJ7" s="179"/>
      <c r="AK7" s="63"/>
      <c r="AL7" s="7"/>
      <c r="AM7" s="6"/>
    </row>
    <row r="8" spans="1:39" ht="18" customHeight="1">
      <c r="A8" s="241" t="s">
        <v>238</v>
      </c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6"/>
    </row>
    <row r="9" spans="1:39" ht="15" customHeight="1">
      <c r="A9" s="240" t="s">
        <v>158</v>
      </c>
      <c r="B9" s="240"/>
      <c r="C9" s="240"/>
      <c r="D9" s="6" t="s">
        <v>159</v>
      </c>
      <c r="E9" s="177"/>
      <c r="F9" s="6"/>
      <c r="H9" s="181"/>
      <c r="I9" s="177"/>
      <c r="K9" s="181" t="s">
        <v>2</v>
      </c>
      <c r="L9" s="177"/>
      <c r="M9" s="8"/>
      <c r="S9" s="181"/>
      <c r="T9" s="9"/>
      <c r="W9" s="10"/>
      <c r="X9" s="177"/>
      <c r="Z9" s="177"/>
      <c r="AA9" s="177"/>
      <c r="AB9" s="181"/>
      <c r="AI9" s="181" t="s">
        <v>52</v>
      </c>
      <c r="AL9" s="12"/>
      <c r="AM9" s="6"/>
    </row>
    <row r="10" spans="1:39" ht="15" customHeight="1">
      <c r="A10" s="240" t="s">
        <v>191</v>
      </c>
      <c r="B10" s="240"/>
      <c r="D10" s="6" t="s">
        <v>51</v>
      </c>
      <c r="F10" s="6"/>
      <c r="H10" s="181"/>
      <c r="I10" s="177"/>
      <c r="K10" s="181"/>
      <c r="L10" s="177"/>
      <c r="M10" s="8"/>
      <c r="S10" s="181"/>
      <c r="T10" s="9"/>
      <c r="W10" s="10"/>
      <c r="X10" s="177"/>
      <c r="Z10" s="177"/>
      <c r="AA10" s="177"/>
      <c r="AB10" s="181"/>
      <c r="AI10" s="181" t="s">
        <v>54</v>
      </c>
      <c r="AL10" s="12"/>
      <c r="AM10" s="6"/>
    </row>
    <row r="11" spans="1:39" ht="15" customHeight="1">
      <c r="A11" s="240" t="s">
        <v>55</v>
      </c>
      <c r="B11" s="240"/>
      <c r="D11" s="6" t="s">
        <v>56</v>
      </c>
      <c r="E11" s="177"/>
      <c r="F11" s="6"/>
      <c r="H11" s="181"/>
      <c r="I11" s="177"/>
      <c r="K11" s="181" t="s">
        <v>3</v>
      </c>
      <c r="L11" s="177"/>
      <c r="M11" s="8"/>
      <c r="S11" s="181"/>
      <c r="T11" s="9"/>
      <c r="W11" s="10"/>
      <c r="X11" s="177"/>
      <c r="Z11" s="177"/>
      <c r="AA11" s="177"/>
      <c r="AB11" s="181"/>
      <c r="AI11" s="181" t="s">
        <v>57</v>
      </c>
      <c r="AL11" s="12"/>
      <c r="AM11" s="6"/>
    </row>
    <row r="12" spans="1:39" ht="15" customHeight="1">
      <c r="A12" s="240" t="s">
        <v>192</v>
      </c>
      <c r="B12" s="240"/>
      <c r="D12" s="6" t="s">
        <v>193</v>
      </c>
      <c r="E12" s="6"/>
      <c r="F12" s="6"/>
      <c r="K12" s="6"/>
      <c r="X12" s="6"/>
      <c r="AA12" s="6"/>
      <c r="AI12" s="181" t="s">
        <v>83</v>
      </c>
      <c r="AM12" s="6"/>
    </row>
    <row r="13" spans="1:39" ht="15" customHeight="1">
      <c r="A13" s="240" t="s">
        <v>58</v>
      </c>
      <c r="B13" s="240"/>
      <c r="E13" s="6"/>
      <c r="F13" s="6"/>
      <c r="K13" s="6"/>
      <c r="X13" s="6"/>
      <c r="AA13" s="6"/>
      <c r="AM13" s="6"/>
    </row>
    <row r="14" spans="1:39" ht="15.75" customHeight="1">
      <c r="A14" s="181" t="s">
        <v>4</v>
      </c>
      <c r="C14" s="181"/>
      <c r="D14" s="181"/>
      <c r="E14" s="181"/>
      <c r="F14" s="14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5"/>
      <c r="AB14" s="181"/>
      <c r="AC14" s="181"/>
      <c r="AD14" s="181"/>
      <c r="AE14" s="181"/>
      <c r="AH14" s="16"/>
      <c r="AI14" s="181"/>
      <c r="AJ14" s="181"/>
      <c r="AL14" s="12"/>
      <c r="AM14" s="6"/>
    </row>
    <row r="15" spans="1:39" ht="7.5" customHeight="1">
      <c r="AA15" s="18"/>
    </row>
    <row r="16" spans="1:39" ht="33" customHeight="1">
      <c r="A16" s="228" t="s">
        <v>5</v>
      </c>
      <c r="B16" s="238" t="s">
        <v>6</v>
      </c>
      <c r="C16" s="229" t="s">
        <v>7</v>
      </c>
      <c r="D16" s="229" t="s">
        <v>8</v>
      </c>
      <c r="E16" s="228" t="s">
        <v>44</v>
      </c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175"/>
      <c r="R16" s="175"/>
      <c r="S16" s="175"/>
      <c r="T16" s="175"/>
      <c r="U16" s="175"/>
      <c r="V16" s="175"/>
      <c r="W16" s="176"/>
      <c r="X16" s="242" t="s">
        <v>45</v>
      </c>
      <c r="Y16" s="232"/>
      <c r="Z16" s="232"/>
      <c r="AA16" s="242" t="s">
        <v>46</v>
      </c>
      <c r="AB16" s="232"/>
      <c r="AC16" s="232"/>
      <c r="AD16" s="228" t="s">
        <v>9</v>
      </c>
      <c r="AE16" s="228" t="s">
        <v>10</v>
      </c>
      <c r="AF16" s="229" t="s">
        <v>341</v>
      </c>
      <c r="AG16" s="229" t="s">
        <v>342</v>
      </c>
      <c r="AH16" s="228" t="s">
        <v>11</v>
      </c>
      <c r="AI16" s="228" t="s">
        <v>12</v>
      </c>
      <c r="AJ16" s="228" t="s">
        <v>13</v>
      </c>
      <c r="AK16" s="229" t="s">
        <v>48</v>
      </c>
      <c r="AL16" s="228" t="s">
        <v>14</v>
      </c>
    </row>
    <row r="17" spans="1:39" ht="39" customHeight="1">
      <c r="A17" s="231"/>
      <c r="B17" s="238"/>
      <c r="C17" s="239"/>
      <c r="D17" s="230"/>
      <c r="E17" s="174" t="s">
        <v>47</v>
      </c>
      <c r="F17" s="65" t="s">
        <v>15</v>
      </c>
      <c r="G17" s="232" t="s">
        <v>16</v>
      </c>
      <c r="H17" s="232"/>
      <c r="I17" s="232"/>
      <c r="J17" s="176" t="s">
        <v>17</v>
      </c>
      <c r="K17" s="175" t="s">
        <v>18</v>
      </c>
      <c r="L17" s="176"/>
      <c r="M17" s="176" t="s">
        <v>17</v>
      </c>
      <c r="N17" s="176" t="s">
        <v>17</v>
      </c>
      <c r="O17" s="176" t="s">
        <v>17</v>
      </c>
      <c r="P17" s="176" t="s">
        <v>19</v>
      </c>
      <c r="Q17" s="176" t="s">
        <v>19</v>
      </c>
      <c r="R17" s="176" t="s">
        <v>19</v>
      </c>
      <c r="S17" s="176" t="s">
        <v>19</v>
      </c>
      <c r="T17" s="176" t="s">
        <v>19</v>
      </c>
      <c r="U17" s="176" t="s">
        <v>19</v>
      </c>
      <c r="V17" s="176" t="s">
        <v>20</v>
      </c>
      <c r="W17" s="176"/>
      <c r="X17" s="174" t="s">
        <v>47</v>
      </c>
      <c r="Y17" s="65" t="s">
        <v>21</v>
      </c>
      <c r="Z17" s="65" t="s">
        <v>22</v>
      </c>
      <c r="AA17" s="174" t="s">
        <v>47</v>
      </c>
      <c r="AB17" s="65" t="s">
        <v>21</v>
      </c>
      <c r="AC17" s="65" t="s">
        <v>23</v>
      </c>
      <c r="AD17" s="228"/>
      <c r="AE17" s="228"/>
      <c r="AF17" s="233"/>
      <c r="AG17" s="233"/>
      <c r="AH17" s="228"/>
      <c r="AI17" s="231"/>
      <c r="AJ17" s="231"/>
      <c r="AK17" s="239"/>
      <c r="AL17" s="228"/>
    </row>
    <row r="18" spans="1:39" ht="23.25" customHeight="1">
      <c r="A18" s="175" t="s">
        <v>36</v>
      </c>
      <c r="B18" s="180" t="s">
        <v>357</v>
      </c>
      <c r="C18" s="175" t="s">
        <v>38</v>
      </c>
      <c r="D18" s="175" t="s">
        <v>39</v>
      </c>
      <c r="E18" s="175">
        <v>1</v>
      </c>
      <c r="F18" s="176">
        <v>2</v>
      </c>
      <c r="G18" s="66">
        <v>3</v>
      </c>
      <c r="H18" s="66">
        <v>4</v>
      </c>
      <c r="I18" s="176">
        <v>5</v>
      </c>
      <c r="J18" s="66">
        <v>7</v>
      </c>
      <c r="K18" s="176">
        <v>8</v>
      </c>
      <c r="L18" s="66">
        <v>9</v>
      </c>
      <c r="M18" s="176">
        <v>10</v>
      </c>
      <c r="N18" s="176"/>
      <c r="O18" s="66">
        <v>6</v>
      </c>
      <c r="P18" s="66"/>
      <c r="Q18" s="66"/>
      <c r="R18" s="66"/>
      <c r="S18" s="66"/>
      <c r="T18" s="66"/>
      <c r="U18" s="66"/>
      <c r="V18" s="66"/>
      <c r="W18" s="66">
        <v>5</v>
      </c>
      <c r="X18" s="175">
        <v>2</v>
      </c>
      <c r="Y18" s="176">
        <v>7</v>
      </c>
      <c r="Z18" s="176">
        <v>8</v>
      </c>
      <c r="AA18" s="176">
        <v>3</v>
      </c>
      <c r="AB18" s="175">
        <v>10</v>
      </c>
      <c r="AC18" s="66">
        <v>11</v>
      </c>
      <c r="AD18" s="175"/>
      <c r="AE18" s="175"/>
      <c r="AF18" s="145"/>
      <c r="AG18" s="145"/>
      <c r="AH18" s="173">
        <v>4</v>
      </c>
      <c r="AI18" s="175">
        <v>5</v>
      </c>
      <c r="AJ18" s="175">
        <v>6</v>
      </c>
      <c r="AK18" s="173">
        <v>7</v>
      </c>
      <c r="AL18" s="173">
        <v>8</v>
      </c>
    </row>
    <row r="19" spans="1:39" s="21" customFormat="1" ht="54.75" customHeight="1">
      <c r="A19" s="176" t="s">
        <v>80</v>
      </c>
      <c r="B19" s="72" t="s">
        <v>348</v>
      </c>
      <c r="C19" s="176"/>
      <c r="D19" s="175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46"/>
      <c r="AG19" s="146"/>
      <c r="AH19" s="182"/>
      <c r="AI19" s="176"/>
      <c r="AJ19" s="176"/>
      <c r="AK19" s="182"/>
      <c r="AL19" s="182"/>
      <c r="AM19" s="20"/>
    </row>
    <row r="20" spans="1:39" s="103" customFormat="1" ht="64.5" customHeight="1">
      <c r="A20" s="67">
        <v>1</v>
      </c>
      <c r="B20" s="68" t="s">
        <v>393</v>
      </c>
      <c r="C20" s="67"/>
      <c r="D20" s="187"/>
      <c r="E20" s="67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>
        <v>1</v>
      </c>
      <c r="Y20" s="67"/>
      <c r="Z20" s="67"/>
      <c r="AA20" s="71" t="s">
        <v>270</v>
      </c>
      <c r="AB20" s="67"/>
      <c r="AC20" s="67"/>
      <c r="AD20" s="67"/>
      <c r="AE20" s="67"/>
      <c r="AF20" s="141">
        <v>13500000</v>
      </c>
      <c r="AG20" s="141">
        <v>13500000</v>
      </c>
      <c r="AH20" s="69" t="s">
        <v>84</v>
      </c>
      <c r="AI20" s="67" t="s">
        <v>60</v>
      </c>
      <c r="AJ20" s="67" t="s">
        <v>40</v>
      </c>
      <c r="AK20" s="123"/>
      <c r="AL20" s="69" t="s">
        <v>394</v>
      </c>
      <c r="AM20" s="122"/>
    </row>
    <row r="21" spans="1:39" s="54" customFormat="1" ht="88.5" customHeight="1">
      <c r="A21" s="175" t="s">
        <v>103</v>
      </c>
      <c r="B21" s="61" t="s">
        <v>292</v>
      </c>
      <c r="C21" s="175"/>
      <c r="D21" s="175"/>
      <c r="E21" s="175"/>
      <c r="F21" s="176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62"/>
      <c r="AB21" s="175"/>
      <c r="AC21" s="175"/>
      <c r="AD21" s="175"/>
      <c r="AE21" s="175"/>
      <c r="AF21" s="145"/>
      <c r="AG21" s="145"/>
      <c r="AH21" s="173"/>
      <c r="AI21" s="175"/>
      <c r="AJ21" s="175"/>
      <c r="AK21" s="64"/>
      <c r="AL21" s="173" t="s">
        <v>324</v>
      </c>
    </row>
    <row r="22" spans="1:39" s="103" customFormat="1" ht="96" customHeight="1">
      <c r="A22" s="67">
        <v>1</v>
      </c>
      <c r="B22" s="68" t="s">
        <v>218</v>
      </c>
      <c r="C22" s="67" t="s">
        <v>219</v>
      </c>
      <c r="D22" s="187">
        <v>2022</v>
      </c>
      <c r="E22" s="67">
        <v>0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>
        <v>1</v>
      </c>
      <c r="Y22" s="67"/>
      <c r="Z22" s="67"/>
      <c r="AA22" s="114" t="s">
        <v>270</v>
      </c>
      <c r="AB22" s="67"/>
      <c r="AC22" s="67"/>
      <c r="AD22" s="67"/>
      <c r="AE22" s="67"/>
      <c r="AF22" s="148">
        <v>32000000</v>
      </c>
      <c r="AG22" s="148">
        <v>32000000</v>
      </c>
      <c r="AH22" s="69" t="s">
        <v>84</v>
      </c>
      <c r="AI22" s="67" t="s">
        <v>86</v>
      </c>
      <c r="AJ22" s="67" t="s">
        <v>40</v>
      </c>
      <c r="AK22" s="69"/>
      <c r="AL22" s="69" t="s">
        <v>335</v>
      </c>
      <c r="AM22" s="122"/>
    </row>
    <row r="23" spans="1:39" s="103" customFormat="1">
      <c r="A23" s="67"/>
      <c r="B23" s="72" t="s">
        <v>358</v>
      </c>
      <c r="C23" s="67"/>
      <c r="D23" s="18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114"/>
      <c r="AB23" s="67"/>
      <c r="AC23" s="67"/>
      <c r="AD23" s="67"/>
      <c r="AE23" s="67"/>
      <c r="AF23" s="148"/>
      <c r="AG23" s="148"/>
      <c r="AH23" s="69"/>
      <c r="AI23" s="67"/>
      <c r="AJ23" s="67"/>
      <c r="AK23" s="69"/>
      <c r="AL23" s="69"/>
      <c r="AM23" s="164"/>
    </row>
    <row r="24" spans="1:39" s="54" customFormat="1" ht="66" customHeight="1">
      <c r="A24" s="67">
        <v>1</v>
      </c>
      <c r="B24" s="28" t="s">
        <v>372</v>
      </c>
      <c r="C24" s="106" t="s">
        <v>373</v>
      </c>
      <c r="D24" s="106">
        <v>2017</v>
      </c>
      <c r="E24" s="67">
        <v>1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>
        <v>1</v>
      </c>
      <c r="Y24" s="70"/>
      <c r="Z24" s="70"/>
      <c r="AA24" s="67">
        <v>0</v>
      </c>
      <c r="AB24" s="70"/>
      <c r="AC24" s="70"/>
      <c r="AD24" s="70"/>
      <c r="AE24" s="70"/>
      <c r="AF24" s="141">
        <v>11220000</v>
      </c>
      <c r="AG24" s="141">
        <v>11220000</v>
      </c>
      <c r="AH24" s="69" t="s">
        <v>84</v>
      </c>
      <c r="AI24" s="67"/>
      <c r="AJ24" s="67" t="s">
        <v>40</v>
      </c>
      <c r="AK24" s="186" t="s">
        <v>371</v>
      </c>
      <c r="AL24" s="68" t="s">
        <v>387</v>
      </c>
    </row>
    <row r="25" spans="1:39" s="21" customFormat="1">
      <c r="A25" s="176"/>
      <c r="B25" s="72" t="s">
        <v>405</v>
      </c>
      <c r="C25" s="176"/>
      <c r="D25" s="175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46"/>
      <c r="AG25" s="146">
        <f>SUM(AG20:AG24)</f>
        <v>56720000</v>
      </c>
      <c r="AH25" s="182"/>
      <c r="AI25" s="176"/>
      <c r="AJ25" s="176"/>
      <c r="AK25" s="182"/>
      <c r="AL25" s="182"/>
      <c r="AM25" s="20"/>
    </row>
    <row r="26" spans="1:39" s="21" customFormat="1">
      <c r="A26" s="176"/>
      <c r="B26" s="72" t="s">
        <v>406</v>
      </c>
      <c r="C26" s="176"/>
      <c r="D26" s="175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46"/>
      <c r="AG26" s="146"/>
      <c r="AH26" s="182"/>
      <c r="AI26" s="176"/>
      <c r="AJ26" s="176"/>
      <c r="AK26" s="182"/>
      <c r="AL26" s="182"/>
      <c r="AM26" s="20"/>
    </row>
    <row r="27" spans="1:39" ht="47.25">
      <c r="A27" s="175" t="s">
        <v>79</v>
      </c>
      <c r="B27" s="61" t="s">
        <v>286</v>
      </c>
      <c r="C27" s="175"/>
      <c r="D27" s="175"/>
      <c r="E27" s="175"/>
      <c r="F27" s="176"/>
      <c r="G27" s="66"/>
      <c r="H27" s="66"/>
      <c r="I27" s="176"/>
      <c r="J27" s="66"/>
      <c r="K27" s="176"/>
      <c r="L27" s="66"/>
      <c r="M27" s="176"/>
      <c r="N27" s="176"/>
      <c r="O27" s="66"/>
      <c r="P27" s="66"/>
      <c r="Q27" s="66"/>
      <c r="R27" s="66"/>
      <c r="S27" s="66"/>
      <c r="T27" s="66"/>
      <c r="U27" s="66"/>
      <c r="V27" s="66"/>
      <c r="W27" s="66"/>
      <c r="X27" s="175"/>
      <c r="Y27" s="176"/>
      <c r="Z27" s="176"/>
      <c r="AA27" s="176"/>
      <c r="AB27" s="175"/>
      <c r="AC27" s="66"/>
      <c r="AD27" s="175"/>
      <c r="AE27" s="175"/>
      <c r="AF27" s="145"/>
      <c r="AG27" s="145"/>
      <c r="AH27" s="173"/>
      <c r="AI27" s="175"/>
      <c r="AJ27" s="175"/>
      <c r="AK27" s="173"/>
      <c r="AL27" s="173" t="s">
        <v>175</v>
      </c>
    </row>
    <row r="28" spans="1:39" s="103" customFormat="1" ht="83.25" customHeight="1">
      <c r="A28" s="67">
        <v>1</v>
      </c>
      <c r="B28" s="68" t="s">
        <v>59</v>
      </c>
      <c r="C28" s="69" t="s">
        <v>379</v>
      </c>
      <c r="D28" s="187">
        <v>2022</v>
      </c>
      <c r="E28" s="67">
        <v>4</v>
      </c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>
        <v>3</v>
      </c>
      <c r="Y28" s="67"/>
      <c r="Z28" s="67"/>
      <c r="AA28" s="71">
        <v>-1</v>
      </c>
      <c r="AB28" s="67"/>
      <c r="AC28" s="67"/>
      <c r="AD28" s="67"/>
      <c r="AE28" s="67"/>
      <c r="AF28" s="141">
        <v>2500000</v>
      </c>
      <c r="AG28" s="141">
        <f>+AF28*X28</f>
        <v>7500000</v>
      </c>
      <c r="AH28" s="69" t="s">
        <v>84</v>
      </c>
      <c r="AI28" s="69" t="s">
        <v>215</v>
      </c>
      <c r="AJ28" s="67" t="s">
        <v>40</v>
      </c>
      <c r="AK28" s="69"/>
      <c r="AL28" s="186" t="s">
        <v>315</v>
      </c>
    </row>
    <row r="29" spans="1:39" ht="83.25" customHeight="1">
      <c r="A29" s="67">
        <v>2</v>
      </c>
      <c r="B29" s="68" t="s">
        <v>61</v>
      </c>
      <c r="C29" s="69" t="s">
        <v>154</v>
      </c>
      <c r="D29" s="187">
        <v>2022</v>
      </c>
      <c r="E29" s="67">
        <v>1</v>
      </c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>
        <v>1</v>
      </c>
      <c r="Y29" s="67"/>
      <c r="Z29" s="67"/>
      <c r="AA29" s="71">
        <v>0</v>
      </c>
      <c r="AB29" s="67"/>
      <c r="AC29" s="67"/>
      <c r="AD29" s="67"/>
      <c r="AE29" s="67"/>
      <c r="AF29" s="148">
        <v>7900000</v>
      </c>
      <c r="AG29" s="148">
        <v>7900000</v>
      </c>
      <c r="AH29" s="69" t="s">
        <v>84</v>
      </c>
      <c r="AI29" s="67" t="s">
        <v>60</v>
      </c>
      <c r="AJ29" s="67" t="s">
        <v>40</v>
      </c>
      <c r="AK29" s="69"/>
      <c r="AL29" s="69"/>
    </row>
    <row r="30" spans="1:39" ht="79.5" customHeight="1">
      <c r="A30" s="67">
        <v>3</v>
      </c>
      <c r="B30" s="68" t="s">
        <v>62</v>
      </c>
      <c r="C30" s="69" t="s">
        <v>140</v>
      </c>
      <c r="D30" s="187">
        <v>2022</v>
      </c>
      <c r="E30" s="67">
        <v>2</v>
      </c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>
        <v>2</v>
      </c>
      <c r="Y30" s="67"/>
      <c r="Z30" s="67"/>
      <c r="AA30" s="67">
        <v>0</v>
      </c>
      <c r="AB30" s="67"/>
      <c r="AC30" s="67"/>
      <c r="AD30" s="67"/>
      <c r="AE30" s="67"/>
      <c r="AF30" s="148">
        <v>3280000</v>
      </c>
      <c r="AG30" s="141">
        <f>+X30*AF30</f>
        <v>6560000</v>
      </c>
      <c r="AH30" s="69" t="s">
        <v>84</v>
      </c>
      <c r="AI30" s="67" t="s">
        <v>60</v>
      </c>
      <c r="AJ30" s="67" t="s">
        <v>40</v>
      </c>
      <c r="AK30" s="69"/>
      <c r="AL30" s="69"/>
    </row>
    <row r="31" spans="1:39" s="103" customFormat="1" ht="270.75" customHeight="1">
      <c r="A31" s="67">
        <v>4</v>
      </c>
      <c r="B31" s="68" t="s">
        <v>63</v>
      </c>
      <c r="C31" s="69" t="s">
        <v>381</v>
      </c>
      <c r="D31" s="187">
        <v>2022</v>
      </c>
      <c r="E31" s="67">
        <v>8</v>
      </c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>
        <v>3</v>
      </c>
      <c r="Y31" s="67"/>
      <c r="Z31" s="67"/>
      <c r="AA31" s="71">
        <v>-5</v>
      </c>
      <c r="AB31" s="67"/>
      <c r="AC31" s="67"/>
      <c r="AD31" s="67"/>
      <c r="AE31" s="67"/>
      <c r="AF31" s="141">
        <v>660000</v>
      </c>
      <c r="AG31" s="141">
        <f>+X31*AF31</f>
        <v>1980000</v>
      </c>
      <c r="AH31" s="69" t="s">
        <v>84</v>
      </c>
      <c r="AI31" s="116" t="s">
        <v>289</v>
      </c>
      <c r="AJ31" s="67" t="s">
        <v>40</v>
      </c>
      <c r="AK31" s="69"/>
      <c r="AL31" s="69" t="s">
        <v>380</v>
      </c>
      <c r="AM31" s="117"/>
    </row>
    <row r="32" spans="1:39" s="103" customFormat="1" ht="78.75">
      <c r="A32" s="67">
        <v>5</v>
      </c>
      <c r="B32" s="68" t="s">
        <v>63</v>
      </c>
      <c r="C32" s="69" t="s">
        <v>293</v>
      </c>
      <c r="D32" s="187">
        <v>2022</v>
      </c>
      <c r="E32" s="67">
        <v>0</v>
      </c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>
        <v>1</v>
      </c>
      <c r="Y32" s="67"/>
      <c r="Z32" s="67"/>
      <c r="AA32" s="71" t="s">
        <v>270</v>
      </c>
      <c r="AB32" s="67"/>
      <c r="AC32" s="67"/>
      <c r="AD32" s="67"/>
      <c r="AE32" s="67"/>
      <c r="AF32" s="141"/>
      <c r="AG32" s="141"/>
      <c r="AH32" s="69" t="s">
        <v>84</v>
      </c>
      <c r="AI32" s="67" t="s">
        <v>60</v>
      </c>
      <c r="AJ32" s="67" t="s">
        <v>40</v>
      </c>
      <c r="AL32" s="69" t="s">
        <v>290</v>
      </c>
      <c r="AM32" s="117"/>
    </row>
    <row r="33" spans="1:39" ht="31.5">
      <c r="A33" s="67">
        <v>6</v>
      </c>
      <c r="B33" s="68" t="s">
        <v>85</v>
      </c>
      <c r="C33" s="69" t="s">
        <v>141</v>
      </c>
      <c r="D33" s="187">
        <v>2022</v>
      </c>
      <c r="E33" s="69">
        <v>2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>
        <v>2</v>
      </c>
      <c r="Y33" s="67"/>
      <c r="Z33" s="67"/>
      <c r="AA33" s="71">
        <v>0</v>
      </c>
      <c r="AB33" s="67"/>
      <c r="AC33" s="67"/>
      <c r="AD33" s="67"/>
      <c r="AE33" s="67"/>
      <c r="AF33" s="141"/>
      <c r="AG33" s="141"/>
      <c r="AH33" s="69" t="s">
        <v>84</v>
      </c>
      <c r="AI33" s="69" t="s">
        <v>265</v>
      </c>
      <c r="AJ33" s="67" t="s">
        <v>40</v>
      </c>
      <c r="AK33" s="69"/>
      <c r="AL33" s="69"/>
    </row>
    <row r="34" spans="1:39" ht="57.75" customHeight="1">
      <c r="A34" s="67">
        <v>7</v>
      </c>
      <c r="B34" s="68" t="s">
        <v>87</v>
      </c>
      <c r="C34" s="69" t="s">
        <v>340</v>
      </c>
      <c r="D34" s="187">
        <v>2022</v>
      </c>
      <c r="E34" s="67">
        <v>1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>
        <v>1</v>
      </c>
      <c r="Y34" s="67"/>
      <c r="Z34" s="67"/>
      <c r="AA34" s="71">
        <v>0</v>
      </c>
      <c r="AB34" s="67"/>
      <c r="AC34" s="67"/>
      <c r="AD34" s="67"/>
      <c r="AE34" s="67"/>
      <c r="AF34" s="148">
        <v>1100000</v>
      </c>
      <c r="AG34" s="148">
        <v>1100000</v>
      </c>
      <c r="AH34" s="69" t="s">
        <v>84</v>
      </c>
      <c r="AI34" s="67" t="s">
        <v>60</v>
      </c>
      <c r="AJ34" s="67" t="s">
        <v>40</v>
      </c>
      <c r="AK34" s="69"/>
      <c r="AL34" s="69"/>
    </row>
    <row r="35" spans="1:39" s="54" customFormat="1" ht="99.75" customHeight="1">
      <c r="A35" s="67">
        <v>8</v>
      </c>
      <c r="B35" s="118" t="s">
        <v>156</v>
      </c>
      <c r="C35" s="186" t="s">
        <v>282</v>
      </c>
      <c r="D35" s="119">
        <v>2022</v>
      </c>
      <c r="E35" s="186">
        <v>2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67">
        <v>1</v>
      </c>
      <c r="Y35" s="67"/>
      <c r="Z35" s="67"/>
      <c r="AA35" s="67">
        <v>-1</v>
      </c>
      <c r="AB35" s="67"/>
      <c r="AC35" s="67"/>
      <c r="AD35" s="67"/>
      <c r="AE35" s="67"/>
      <c r="AF35" s="148">
        <v>4850000</v>
      </c>
      <c r="AG35" s="148">
        <f>+X35*AF35</f>
        <v>4850000</v>
      </c>
      <c r="AH35" s="69" t="s">
        <v>84</v>
      </c>
      <c r="AI35" s="67" t="s">
        <v>60</v>
      </c>
      <c r="AJ35" s="67" t="s">
        <v>40</v>
      </c>
      <c r="AK35" s="69"/>
      <c r="AL35" s="69" t="s">
        <v>316</v>
      </c>
      <c r="AM35" s="120"/>
    </row>
    <row r="36" spans="1:39" s="54" customFormat="1" ht="52.5" customHeight="1">
      <c r="A36" s="67">
        <v>9</v>
      </c>
      <c r="B36" s="113" t="s">
        <v>266</v>
      </c>
      <c r="C36" s="187" t="s">
        <v>267</v>
      </c>
      <c r="D36" s="119">
        <v>2020</v>
      </c>
      <c r="E36" s="186"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67">
        <v>1</v>
      </c>
      <c r="Y36" s="67"/>
      <c r="Z36" s="67"/>
      <c r="AA36" s="71" t="s">
        <v>270</v>
      </c>
      <c r="AB36" s="67"/>
      <c r="AC36" s="67"/>
      <c r="AD36" s="67"/>
      <c r="AE36" s="67"/>
      <c r="AF36" s="141">
        <v>1850000</v>
      </c>
      <c r="AG36" s="141">
        <v>1850000</v>
      </c>
      <c r="AH36" s="69" t="s">
        <v>84</v>
      </c>
      <c r="AI36" s="67" t="s">
        <v>268</v>
      </c>
      <c r="AJ36" s="67" t="s">
        <v>40</v>
      </c>
      <c r="AK36" s="111" t="s">
        <v>318</v>
      </c>
      <c r="AL36" s="69" t="s">
        <v>201</v>
      </c>
      <c r="AM36" s="120"/>
    </row>
    <row r="37" spans="1:39" s="54" customFormat="1" ht="46.5" customHeight="1">
      <c r="A37" s="67">
        <v>10</v>
      </c>
      <c r="B37" s="118" t="s">
        <v>240</v>
      </c>
      <c r="C37" s="187" t="s">
        <v>269</v>
      </c>
      <c r="D37" s="119">
        <v>2023</v>
      </c>
      <c r="E37" s="186"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67">
        <v>1</v>
      </c>
      <c r="Y37" s="67"/>
      <c r="Z37" s="67"/>
      <c r="AA37" s="71" t="s">
        <v>270</v>
      </c>
      <c r="AB37" s="67"/>
      <c r="AC37" s="67"/>
      <c r="AD37" s="67"/>
      <c r="AE37" s="67"/>
      <c r="AF37" s="141">
        <v>1050000</v>
      </c>
      <c r="AG37" s="141">
        <v>1050000</v>
      </c>
      <c r="AH37" s="69" t="s">
        <v>84</v>
      </c>
      <c r="AI37" s="67" t="s">
        <v>268</v>
      </c>
      <c r="AJ37" s="67" t="s">
        <v>40</v>
      </c>
      <c r="AK37" s="111" t="s">
        <v>318</v>
      </c>
      <c r="AL37" s="69" t="s">
        <v>201</v>
      </c>
      <c r="AM37" s="120"/>
    </row>
    <row r="38" spans="1:39" s="209" customFormat="1" ht="29.25" customHeight="1">
      <c r="A38" s="201">
        <v>11</v>
      </c>
      <c r="B38" s="202" t="s">
        <v>89</v>
      </c>
      <c r="C38" s="201" t="s">
        <v>142</v>
      </c>
      <c r="D38" s="203"/>
      <c r="E38" s="201">
        <v>1</v>
      </c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>
        <v>1</v>
      </c>
      <c r="Y38" s="201"/>
      <c r="Z38" s="201"/>
      <c r="AA38" s="204">
        <v>0</v>
      </c>
      <c r="AB38" s="201"/>
      <c r="AC38" s="201"/>
      <c r="AD38" s="201"/>
      <c r="AE38" s="201"/>
      <c r="AF38" s="205">
        <v>2172727</v>
      </c>
      <c r="AG38" s="205">
        <v>2172727</v>
      </c>
      <c r="AH38" s="206" t="s">
        <v>84</v>
      </c>
      <c r="AI38" s="201" t="s">
        <v>60</v>
      </c>
      <c r="AJ38" s="201" t="s">
        <v>40</v>
      </c>
      <c r="AK38" s="206"/>
      <c r="AL38" s="206"/>
      <c r="AM38" s="208"/>
    </row>
    <row r="39" spans="1:39" s="103" customFormat="1" ht="31.5">
      <c r="A39" s="67">
        <v>12</v>
      </c>
      <c r="B39" s="70" t="s">
        <v>143</v>
      </c>
      <c r="C39" s="67"/>
      <c r="D39" s="187"/>
      <c r="E39" s="67">
        <v>5</v>
      </c>
      <c r="F39" s="67">
        <v>0</v>
      </c>
      <c r="G39" s="67">
        <f>H39+I39</f>
        <v>8000000</v>
      </c>
      <c r="H39" s="67">
        <v>8000000</v>
      </c>
      <c r="I39" s="67"/>
      <c r="J39" s="67"/>
      <c r="K39" s="67"/>
      <c r="L39" s="67"/>
      <c r="M39" s="67"/>
      <c r="N39" s="67"/>
      <c r="O39" s="67"/>
      <c r="P39" s="67"/>
      <c r="Q39" s="67"/>
      <c r="R39" s="67">
        <f>ROUND($G$39*$AD$39,0)</f>
        <v>1600000</v>
      </c>
      <c r="S39" s="67">
        <f>ROUND($G$39*$AD$39,0)</f>
        <v>1600000</v>
      </c>
      <c r="T39" s="67">
        <f>ROUND($G$39*$AD$39,0)</f>
        <v>1600000</v>
      </c>
      <c r="U39" s="67">
        <f>ROUND($G$39*$AD$39,0)</f>
        <v>1600000</v>
      </c>
      <c r="V39" s="67">
        <f>M39+N39+O39+P39+SUM(Q39:T39)+U39</f>
        <v>6400000</v>
      </c>
      <c r="W39" s="67">
        <f>G39-V39</f>
        <v>1600000</v>
      </c>
      <c r="X39" s="67">
        <v>5</v>
      </c>
      <c r="Y39" s="67">
        <f>G39</f>
        <v>8000000</v>
      </c>
      <c r="Z39" s="67">
        <v>0</v>
      </c>
      <c r="AA39" s="67">
        <v>0</v>
      </c>
      <c r="AB39" s="67">
        <f>Y39-G39</f>
        <v>0</v>
      </c>
      <c r="AC39" s="67">
        <f>F39-Z39</f>
        <v>0</v>
      </c>
      <c r="AD39" s="67">
        <v>0.2</v>
      </c>
      <c r="AE39" s="67" t="s">
        <v>41</v>
      </c>
      <c r="AF39" s="188">
        <v>5465000</v>
      </c>
      <c r="AG39" s="188">
        <v>5465000</v>
      </c>
      <c r="AH39" s="69" t="s">
        <v>84</v>
      </c>
      <c r="AI39" s="67" t="s">
        <v>60</v>
      </c>
      <c r="AJ39" s="67" t="s">
        <v>40</v>
      </c>
      <c r="AK39" s="69"/>
      <c r="AL39" s="69"/>
      <c r="AM39" s="122"/>
    </row>
    <row r="40" spans="1:39" s="103" customFormat="1" ht="31.5">
      <c r="A40" s="67">
        <v>13</v>
      </c>
      <c r="B40" s="70" t="s">
        <v>90</v>
      </c>
      <c r="C40" s="67" t="s">
        <v>91</v>
      </c>
      <c r="D40" s="187"/>
      <c r="E40" s="67">
        <v>1</v>
      </c>
      <c r="F40" s="67">
        <v>0</v>
      </c>
      <c r="G40" s="67">
        <f>H40+I40</f>
        <v>8000000</v>
      </c>
      <c r="H40" s="67">
        <v>8000000</v>
      </c>
      <c r="I40" s="67"/>
      <c r="J40" s="67"/>
      <c r="K40" s="67"/>
      <c r="L40" s="67"/>
      <c r="M40" s="67"/>
      <c r="N40" s="67"/>
      <c r="O40" s="67"/>
      <c r="P40" s="67"/>
      <c r="Q40" s="67"/>
      <c r="R40" s="67" t="e">
        <f>ROUND(#REF!*#REF!,0)</f>
        <v>#REF!</v>
      </c>
      <c r="S40" s="67" t="e">
        <f>ROUND(#REF!*#REF!,0)</f>
        <v>#REF!</v>
      </c>
      <c r="T40" s="67" t="e">
        <f>ROUND(#REF!*#REF!,0)</f>
        <v>#REF!</v>
      </c>
      <c r="U40" s="67" t="e">
        <f>ROUND(#REF!*#REF!,0)</f>
        <v>#REF!</v>
      </c>
      <c r="V40" s="67" t="e">
        <f>M40+N40+O40+P40+SUM(Q40:T40)+U40</f>
        <v>#REF!</v>
      </c>
      <c r="W40" s="67" t="e">
        <f>G40-V40</f>
        <v>#REF!</v>
      </c>
      <c r="X40" s="67">
        <v>1</v>
      </c>
      <c r="Y40" s="67">
        <f>G40</f>
        <v>8000000</v>
      </c>
      <c r="Z40" s="67">
        <v>0</v>
      </c>
      <c r="AA40" s="67">
        <v>0</v>
      </c>
      <c r="AB40" s="67">
        <f>Y40-G40</f>
        <v>0</v>
      </c>
      <c r="AC40" s="67">
        <f>F40-Z40</f>
        <v>0</v>
      </c>
      <c r="AD40" s="67">
        <v>0.2</v>
      </c>
      <c r="AE40" s="67" t="s">
        <v>41</v>
      </c>
      <c r="AF40" s="142">
        <v>190000</v>
      </c>
      <c r="AG40" s="142">
        <v>190000</v>
      </c>
      <c r="AH40" s="69" t="s">
        <v>84</v>
      </c>
      <c r="AI40" s="67" t="s">
        <v>60</v>
      </c>
      <c r="AJ40" s="67" t="s">
        <v>40</v>
      </c>
      <c r="AK40" s="69"/>
      <c r="AL40" s="69"/>
      <c r="AM40" s="122"/>
    </row>
    <row r="41" spans="1:39" s="103" customFormat="1" ht="75.75" customHeight="1">
      <c r="A41" s="67">
        <v>14</v>
      </c>
      <c r="B41" s="70" t="s">
        <v>93</v>
      </c>
      <c r="C41" s="67" t="s">
        <v>94</v>
      </c>
      <c r="D41" s="187"/>
      <c r="E41" s="67">
        <v>1</v>
      </c>
      <c r="F41" s="67">
        <v>0</v>
      </c>
      <c r="G41" s="67">
        <f>H41+I41</f>
        <v>13720000</v>
      </c>
      <c r="H41" s="67"/>
      <c r="I41" s="67">
        <v>13720000</v>
      </c>
      <c r="J41" s="67"/>
      <c r="K41" s="67"/>
      <c r="L41" s="67"/>
      <c r="M41" s="67"/>
      <c r="N41" s="67"/>
      <c r="O41" s="67"/>
      <c r="P41" s="67"/>
      <c r="Q41" s="67"/>
      <c r="R41" s="67" t="e">
        <f>ROUND(#REF!*#REF!,0)</f>
        <v>#REF!</v>
      </c>
      <c r="S41" s="67" t="e">
        <f>ROUND(#REF!*#REF!,0)</f>
        <v>#REF!</v>
      </c>
      <c r="T41" s="67" t="e">
        <f>ROUND(#REF!*#REF!,0)</f>
        <v>#REF!</v>
      </c>
      <c r="U41" s="67" t="e">
        <f>ROUND(#REF!*#REF!,0)</f>
        <v>#REF!</v>
      </c>
      <c r="V41" s="67" t="e">
        <f>M41+N41+O41+P41+SUM(Q41:T41)+U41</f>
        <v>#REF!</v>
      </c>
      <c r="W41" s="67" t="e">
        <f>G41-V41</f>
        <v>#REF!</v>
      </c>
      <c r="X41" s="67">
        <v>0</v>
      </c>
      <c r="Y41" s="67">
        <f>G41</f>
        <v>13720000</v>
      </c>
      <c r="Z41" s="67">
        <v>0</v>
      </c>
      <c r="AA41" s="71" t="s">
        <v>171</v>
      </c>
      <c r="AB41" s="67">
        <f>Y41-G41</f>
        <v>0</v>
      </c>
      <c r="AC41" s="67">
        <f>F41-Z41</f>
        <v>0</v>
      </c>
      <c r="AD41" s="67">
        <v>0.2</v>
      </c>
      <c r="AE41" s="67"/>
      <c r="AF41" s="141"/>
      <c r="AG41" s="141"/>
      <c r="AH41" s="69" t="s">
        <v>84</v>
      </c>
      <c r="AI41" s="67" t="s">
        <v>60</v>
      </c>
      <c r="AJ41" s="67" t="s">
        <v>40</v>
      </c>
      <c r="AK41" s="121"/>
      <c r="AL41" s="69" t="s">
        <v>317</v>
      </c>
      <c r="AM41" s="122"/>
    </row>
    <row r="42" spans="1:39" ht="31.5">
      <c r="A42" s="67">
        <v>15</v>
      </c>
      <c r="B42" s="70" t="s">
        <v>95</v>
      </c>
      <c r="C42" s="67" t="s">
        <v>96</v>
      </c>
      <c r="D42" s="187"/>
      <c r="E42" s="67">
        <v>1</v>
      </c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>
        <v>1</v>
      </c>
      <c r="Y42" s="67"/>
      <c r="Z42" s="67"/>
      <c r="AA42" s="67">
        <v>0</v>
      </c>
      <c r="AB42" s="67"/>
      <c r="AC42" s="67"/>
      <c r="AD42" s="67"/>
      <c r="AE42" s="67"/>
      <c r="AF42" s="141"/>
      <c r="AG42" s="141"/>
      <c r="AH42" s="69" t="s">
        <v>84</v>
      </c>
      <c r="AI42" s="67" t="s">
        <v>60</v>
      </c>
      <c r="AJ42" s="67" t="s">
        <v>40</v>
      </c>
      <c r="AK42" s="69"/>
      <c r="AL42" s="69"/>
    </row>
    <row r="43" spans="1:39" s="103" customFormat="1" ht="31.5">
      <c r="A43" s="67">
        <v>16</v>
      </c>
      <c r="B43" s="68" t="s">
        <v>97</v>
      </c>
      <c r="C43" s="67" t="s">
        <v>98</v>
      </c>
      <c r="D43" s="187"/>
      <c r="E43" s="67">
        <v>1</v>
      </c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>
        <v>1</v>
      </c>
      <c r="Y43" s="67"/>
      <c r="Z43" s="67"/>
      <c r="AA43" s="67">
        <v>0</v>
      </c>
      <c r="AB43" s="67"/>
      <c r="AC43" s="67"/>
      <c r="AD43" s="67"/>
      <c r="AE43" s="67"/>
      <c r="AF43" s="142">
        <v>534667</v>
      </c>
      <c r="AG43" s="142">
        <v>534667</v>
      </c>
      <c r="AH43" s="69" t="s">
        <v>84</v>
      </c>
      <c r="AI43" s="67" t="s">
        <v>60</v>
      </c>
      <c r="AJ43" s="67" t="s">
        <v>40</v>
      </c>
      <c r="AK43" s="69"/>
      <c r="AL43" s="69"/>
      <c r="AM43" s="122"/>
    </row>
    <row r="44" spans="1:39" s="103" customFormat="1" ht="49.5" customHeight="1">
      <c r="A44" s="67">
        <v>17</v>
      </c>
      <c r="B44" s="70" t="s">
        <v>99</v>
      </c>
      <c r="C44" s="67"/>
      <c r="D44" s="187">
        <v>2016</v>
      </c>
      <c r="E44" s="67">
        <v>3</v>
      </c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>
        <v>1</v>
      </c>
      <c r="Y44" s="67"/>
      <c r="Z44" s="67"/>
      <c r="AA44" s="71" t="s">
        <v>278</v>
      </c>
      <c r="AB44" s="67"/>
      <c r="AC44" s="67"/>
      <c r="AD44" s="67"/>
      <c r="AE44" s="67"/>
      <c r="AF44" s="147">
        <v>700000</v>
      </c>
      <c r="AG44" s="147">
        <v>700000</v>
      </c>
      <c r="AH44" s="69" t="s">
        <v>84</v>
      </c>
      <c r="AI44" s="67" t="s">
        <v>60</v>
      </c>
      <c r="AJ44" s="67" t="s">
        <v>40</v>
      </c>
      <c r="AK44" s="121"/>
      <c r="AL44" s="69" t="s">
        <v>294</v>
      </c>
      <c r="AM44" s="122"/>
    </row>
    <row r="45" spans="1:39" ht="31.5">
      <c r="A45" s="67">
        <v>18</v>
      </c>
      <c r="B45" s="70" t="s">
        <v>100</v>
      </c>
      <c r="C45" s="67"/>
      <c r="D45" s="187">
        <v>2014</v>
      </c>
      <c r="E45" s="67">
        <v>1</v>
      </c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>
        <v>1</v>
      </c>
      <c r="Y45" s="67"/>
      <c r="Z45" s="67"/>
      <c r="AA45" s="67">
        <v>0</v>
      </c>
      <c r="AB45" s="67"/>
      <c r="AC45" s="67"/>
      <c r="AD45" s="67"/>
      <c r="AE45" s="67"/>
      <c r="AF45" s="141"/>
      <c r="AG45" s="141"/>
      <c r="AH45" s="69" t="s">
        <v>84</v>
      </c>
      <c r="AI45" s="67" t="s">
        <v>60</v>
      </c>
      <c r="AJ45" s="67" t="s">
        <v>40</v>
      </c>
      <c r="AK45" s="69"/>
      <c r="AL45" s="69"/>
    </row>
    <row r="46" spans="1:39" ht="31.5">
      <c r="A46" s="67">
        <v>19</v>
      </c>
      <c r="B46" s="70" t="s">
        <v>100</v>
      </c>
      <c r="C46" s="67"/>
      <c r="D46" s="187">
        <v>2016</v>
      </c>
      <c r="E46" s="67">
        <v>1</v>
      </c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>
        <v>1</v>
      </c>
      <c r="Y46" s="67"/>
      <c r="Z46" s="67"/>
      <c r="AA46" s="67">
        <v>0</v>
      </c>
      <c r="AB46" s="67"/>
      <c r="AC46" s="67"/>
      <c r="AD46" s="67"/>
      <c r="AE46" s="67"/>
      <c r="AF46" s="142">
        <v>600000</v>
      </c>
      <c r="AG46" s="142">
        <v>600000</v>
      </c>
      <c r="AH46" s="69" t="s">
        <v>84</v>
      </c>
      <c r="AI46" s="67" t="s">
        <v>60</v>
      </c>
      <c r="AJ46" s="67" t="s">
        <v>40</v>
      </c>
      <c r="AK46" s="69"/>
      <c r="AL46" s="69"/>
    </row>
    <row r="47" spans="1:39" ht="31.5">
      <c r="A47" s="67">
        <v>20</v>
      </c>
      <c r="B47" s="70" t="s">
        <v>49</v>
      </c>
      <c r="C47" s="67"/>
      <c r="D47" s="187">
        <v>2000</v>
      </c>
      <c r="E47" s="67">
        <v>1</v>
      </c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>
        <v>1</v>
      </c>
      <c r="Y47" s="67"/>
      <c r="Z47" s="67"/>
      <c r="AA47" s="67">
        <v>0</v>
      </c>
      <c r="AB47" s="67"/>
      <c r="AC47" s="67"/>
      <c r="AD47" s="67"/>
      <c r="AE47" s="67"/>
      <c r="AF47" s="141"/>
      <c r="AG47" s="141"/>
      <c r="AH47" s="69" t="s">
        <v>84</v>
      </c>
      <c r="AI47" s="67" t="s">
        <v>60</v>
      </c>
      <c r="AJ47" s="67" t="s">
        <v>40</v>
      </c>
      <c r="AK47" s="69"/>
      <c r="AL47" s="69"/>
    </row>
    <row r="48" spans="1:39" ht="31.5">
      <c r="A48" s="67">
        <v>21</v>
      </c>
      <c r="B48" s="70" t="s">
        <v>101</v>
      </c>
      <c r="C48" s="67"/>
      <c r="D48" s="187"/>
      <c r="E48" s="67">
        <v>1</v>
      </c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>
        <v>1</v>
      </c>
      <c r="Y48" s="67"/>
      <c r="Z48" s="67"/>
      <c r="AA48" s="67">
        <v>0</v>
      </c>
      <c r="AB48" s="67"/>
      <c r="AC48" s="67"/>
      <c r="AD48" s="67"/>
      <c r="AE48" s="67"/>
      <c r="AF48" s="141"/>
      <c r="AG48" s="141"/>
      <c r="AH48" s="69" t="s">
        <v>84</v>
      </c>
      <c r="AI48" s="67" t="s">
        <v>60</v>
      </c>
      <c r="AJ48" s="67" t="s">
        <v>40</v>
      </c>
      <c r="AK48" s="69"/>
      <c r="AL48" s="69"/>
    </row>
    <row r="49" spans="1:39" ht="31.5">
      <c r="A49" s="67">
        <v>22</v>
      </c>
      <c r="B49" s="70" t="s">
        <v>102</v>
      </c>
      <c r="C49" s="67"/>
      <c r="D49" s="187"/>
      <c r="E49" s="67">
        <v>1</v>
      </c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>
        <v>1</v>
      </c>
      <c r="Y49" s="67"/>
      <c r="Z49" s="67"/>
      <c r="AA49" s="67">
        <v>0</v>
      </c>
      <c r="AB49" s="67"/>
      <c r="AC49" s="67"/>
      <c r="AD49" s="67"/>
      <c r="AE49" s="67"/>
      <c r="AF49" s="147">
        <v>600000</v>
      </c>
      <c r="AG49" s="147">
        <v>600000</v>
      </c>
      <c r="AH49" s="69" t="s">
        <v>84</v>
      </c>
      <c r="AI49" s="67" t="s">
        <v>60</v>
      </c>
      <c r="AJ49" s="67" t="s">
        <v>40</v>
      </c>
      <c r="AK49" s="69"/>
      <c r="AL49" s="69"/>
    </row>
    <row r="50" spans="1:39" s="103" customFormat="1" ht="61.5" customHeight="1">
      <c r="A50" s="67">
        <v>23</v>
      </c>
      <c r="B50" s="70" t="s">
        <v>145</v>
      </c>
      <c r="C50" s="67" t="s">
        <v>144</v>
      </c>
      <c r="D50" s="187">
        <v>2012</v>
      </c>
      <c r="E50" s="67">
        <v>1</v>
      </c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>
        <v>0</v>
      </c>
      <c r="Y50" s="67"/>
      <c r="Z50" s="67"/>
      <c r="AA50" s="71">
        <v>-1</v>
      </c>
      <c r="AB50" s="67"/>
      <c r="AC50" s="67"/>
      <c r="AD50" s="67"/>
      <c r="AE50" s="67"/>
      <c r="AF50" s="141"/>
      <c r="AG50" s="141"/>
      <c r="AH50" s="69" t="s">
        <v>84</v>
      </c>
      <c r="AI50" s="67" t="s">
        <v>60</v>
      </c>
      <c r="AJ50" s="67" t="s">
        <v>40</v>
      </c>
      <c r="AK50" s="69"/>
      <c r="AL50" s="69" t="s">
        <v>295</v>
      </c>
      <c r="AM50" s="122"/>
    </row>
    <row r="51" spans="1:39" s="103" customFormat="1" ht="87.75" customHeight="1">
      <c r="A51" s="67">
        <v>24</v>
      </c>
      <c r="B51" s="70" t="s">
        <v>90</v>
      </c>
      <c r="C51" s="67" t="s">
        <v>92</v>
      </c>
      <c r="D51" s="187"/>
      <c r="E51" s="67">
        <v>1</v>
      </c>
      <c r="F51" s="67">
        <v>0</v>
      </c>
      <c r="G51" s="67">
        <f>H51+I51</f>
        <v>8000000</v>
      </c>
      <c r="H51" s="67">
        <v>8000000</v>
      </c>
      <c r="I51" s="67"/>
      <c r="J51" s="67"/>
      <c r="K51" s="67"/>
      <c r="L51" s="67"/>
      <c r="M51" s="67"/>
      <c r="N51" s="67"/>
      <c r="O51" s="67"/>
      <c r="P51" s="67"/>
      <c r="Q51" s="67"/>
      <c r="R51" s="67" t="e">
        <f>ROUND(#REF!*#REF!,0)</f>
        <v>#REF!</v>
      </c>
      <c r="S51" s="67" t="e">
        <f>ROUND(#REF!*#REF!,0)</f>
        <v>#REF!</v>
      </c>
      <c r="T51" s="67" t="e">
        <f>ROUND(#REF!*#REF!,0)</f>
        <v>#REF!</v>
      </c>
      <c r="U51" s="67" t="e">
        <f>ROUND(#REF!*#REF!,0)</f>
        <v>#REF!</v>
      </c>
      <c r="V51" s="67" t="e">
        <f>M51+N51+O51+P51+SUM(Q51:T51)+U51</f>
        <v>#REF!</v>
      </c>
      <c r="W51" s="67" t="e">
        <f>G51-V51</f>
        <v>#REF!</v>
      </c>
      <c r="X51" s="67">
        <v>0</v>
      </c>
      <c r="Y51" s="67">
        <f>G51</f>
        <v>8000000</v>
      </c>
      <c r="Z51" s="67">
        <v>0</v>
      </c>
      <c r="AA51" s="71">
        <v>-1</v>
      </c>
      <c r="AB51" s="67">
        <f>Y51-G51</f>
        <v>0</v>
      </c>
      <c r="AC51" s="67">
        <f>F51-Z51</f>
        <v>0</v>
      </c>
      <c r="AD51" s="67">
        <v>0.2</v>
      </c>
      <c r="AE51" s="67" t="s">
        <v>41</v>
      </c>
      <c r="AF51" s="141"/>
      <c r="AG51" s="141"/>
      <c r="AH51" s="69" t="s">
        <v>84</v>
      </c>
      <c r="AI51" s="67" t="s">
        <v>60</v>
      </c>
      <c r="AJ51" s="67" t="s">
        <v>40</v>
      </c>
      <c r="AK51" s="69"/>
      <c r="AL51" s="69" t="s">
        <v>296</v>
      </c>
      <c r="AM51" s="122"/>
    </row>
    <row r="52" spans="1:39" s="21" customFormat="1" ht="54.75" customHeight="1">
      <c r="A52" s="176" t="s">
        <v>80</v>
      </c>
      <c r="B52" s="72" t="s">
        <v>348</v>
      </c>
      <c r="C52" s="176"/>
      <c r="D52" s="175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46"/>
      <c r="AG52" s="146"/>
      <c r="AH52" s="182"/>
      <c r="AI52" s="176"/>
      <c r="AJ52" s="176"/>
      <c r="AK52" s="182"/>
      <c r="AL52" s="182"/>
      <c r="AM52" s="20"/>
    </row>
    <row r="53" spans="1:39" s="103" customFormat="1" ht="75.75" customHeight="1">
      <c r="A53" s="165">
        <v>1</v>
      </c>
      <c r="B53" s="166" t="s">
        <v>156</v>
      </c>
      <c r="C53" s="186" t="s">
        <v>281</v>
      </c>
      <c r="D53" s="167">
        <v>2022</v>
      </c>
      <c r="E53" s="168">
        <v>0</v>
      </c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5">
        <v>2</v>
      </c>
      <c r="Y53" s="165"/>
      <c r="Z53" s="165"/>
      <c r="AA53" s="170" t="s">
        <v>271</v>
      </c>
      <c r="AB53" s="165"/>
      <c r="AC53" s="165"/>
      <c r="AD53" s="165"/>
      <c r="AE53" s="165"/>
      <c r="AF53" s="148">
        <v>4850000</v>
      </c>
      <c r="AG53" s="148">
        <f>+X53*AF53</f>
        <v>9700000</v>
      </c>
      <c r="AH53" s="171" t="s">
        <v>84</v>
      </c>
      <c r="AI53" s="165" t="s">
        <v>60</v>
      </c>
      <c r="AJ53" s="165" t="s">
        <v>40</v>
      </c>
      <c r="AK53" s="123"/>
      <c r="AL53" s="171" t="s">
        <v>297</v>
      </c>
      <c r="AM53" s="122"/>
    </row>
    <row r="54" spans="1:39" s="103" customFormat="1" ht="117.75" customHeight="1">
      <c r="A54" s="67">
        <v>2</v>
      </c>
      <c r="B54" s="70" t="s">
        <v>90</v>
      </c>
      <c r="C54" s="67" t="s">
        <v>298</v>
      </c>
      <c r="D54" s="187"/>
      <c r="E54" s="67">
        <v>0</v>
      </c>
      <c r="F54" s="67">
        <v>2250000</v>
      </c>
      <c r="G54" s="67">
        <f>H54+I54</f>
        <v>6000000</v>
      </c>
      <c r="H54" s="67">
        <v>6000000</v>
      </c>
      <c r="I54" s="67"/>
      <c r="J54" s="67"/>
      <c r="K54" s="67"/>
      <c r="L54" s="67"/>
      <c r="M54" s="67"/>
      <c r="N54" s="67"/>
      <c r="O54" s="67"/>
      <c r="P54" s="67"/>
      <c r="Q54" s="67"/>
      <c r="R54" s="67" t="e">
        <f>ROUND(#REF!*#REF!,0)</f>
        <v>#REF!</v>
      </c>
      <c r="S54" s="67" t="e">
        <f>ROUND(#REF!*#REF!,0)</f>
        <v>#REF!</v>
      </c>
      <c r="T54" s="67" t="e">
        <f>ROUND(#REF!*#REF!,0)</f>
        <v>#REF!</v>
      </c>
      <c r="U54" s="67" t="e">
        <f>ROUND(#REF!*#REF!,0)</f>
        <v>#REF!</v>
      </c>
      <c r="V54" s="67" t="e">
        <f>M54+N54+O54+P54+SUM(Q54:T54)+U54</f>
        <v>#REF!</v>
      </c>
      <c r="W54" s="67" t="e">
        <f>G54-V54</f>
        <v>#REF!</v>
      </c>
      <c r="X54" s="67">
        <v>1</v>
      </c>
      <c r="Y54" s="67">
        <f>G54</f>
        <v>6000000</v>
      </c>
      <c r="Z54" s="67">
        <v>2250000</v>
      </c>
      <c r="AA54" s="71" t="s">
        <v>270</v>
      </c>
      <c r="AB54" s="67">
        <f>Y54-G54</f>
        <v>0</v>
      </c>
      <c r="AC54" s="67">
        <f>F54-Z54</f>
        <v>0</v>
      </c>
      <c r="AD54" s="67">
        <v>0.125</v>
      </c>
      <c r="AE54" s="67"/>
      <c r="AF54" s="141"/>
      <c r="AG54" s="141"/>
      <c r="AH54" s="69" t="s">
        <v>84</v>
      </c>
      <c r="AI54" s="67" t="s">
        <v>60</v>
      </c>
      <c r="AJ54" s="67" t="s">
        <v>40</v>
      </c>
      <c r="AK54" s="123"/>
      <c r="AL54" s="69" t="s">
        <v>331</v>
      </c>
      <c r="AM54" s="122"/>
    </row>
    <row r="55" spans="1:39" s="103" customFormat="1" ht="119.25" customHeight="1">
      <c r="A55" s="67">
        <v>4</v>
      </c>
      <c r="B55" s="68" t="s">
        <v>63</v>
      </c>
      <c r="C55" s="67" t="s">
        <v>299</v>
      </c>
      <c r="D55" s="187">
        <v>2022</v>
      </c>
      <c r="E55" s="67">
        <v>0</v>
      </c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>
        <v>1</v>
      </c>
      <c r="Y55" s="67"/>
      <c r="Z55" s="67"/>
      <c r="AA55" s="71" t="s">
        <v>270</v>
      </c>
      <c r="AB55" s="67"/>
      <c r="AC55" s="67"/>
      <c r="AD55" s="67"/>
      <c r="AE55" s="67"/>
      <c r="AF55" s="141">
        <v>660000</v>
      </c>
      <c r="AG55" s="141">
        <f>+X55*AF55</f>
        <v>660000</v>
      </c>
      <c r="AH55" s="69" t="s">
        <v>84</v>
      </c>
      <c r="AI55" s="67" t="s">
        <v>60</v>
      </c>
      <c r="AJ55" s="67" t="s">
        <v>40</v>
      </c>
      <c r="AK55" s="123"/>
      <c r="AL55" s="69" t="s">
        <v>333</v>
      </c>
      <c r="AM55" s="122"/>
    </row>
    <row r="56" spans="1:39" s="103" customFormat="1" ht="125.25" customHeight="1">
      <c r="A56" s="186">
        <v>5</v>
      </c>
      <c r="B56" s="68" t="s">
        <v>88</v>
      </c>
      <c r="C56" s="67" t="s">
        <v>291</v>
      </c>
      <c r="D56" s="187">
        <v>2022</v>
      </c>
      <c r="E56" s="67">
        <v>2</v>
      </c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>
        <v>0</v>
      </c>
      <c r="Y56" s="67"/>
      <c r="Z56" s="67"/>
      <c r="AA56" s="71">
        <v>-2</v>
      </c>
      <c r="AB56" s="67"/>
      <c r="AC56" s="67"/>
      <c r="AD56" s="67"/>
      <c r="AE56" s="67"/>
      <c r="AF56" s="141"/>
      <c r="AG56" s="141"/>
      <c r="AH56" s="69" t="s">
        <v>84</v>
      </c>
      <c r="AI56" s="67" t="s">
        <v>60</v>
      </c>
      <c r="AJ56" s="67" t="s">
        <v>40</v>
      </c>
      <c r="AK56" s="69"/>
      <c r="AL56" s="69" t="s">
        <v>320</v>
      </c>
      <c r="AM56" s="122"/>
    </row>
    <row r="57" spans="1:39" s="103" customFormat="1" ht="80.25" customHeight="1">
      <c r="A57" s="186">
        <v>6</v>
      </c>
      <c r="B57" s="70" t="s">
        <v>274</v>
      </c>
      <c r="C57" s="67"/>
      <c r="D57" s="187">
        <v>2000</v>
      </c>
      <c r="E57" s="67">
        <v>0</v>
      </c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>
        <v>1</v>
      </c>
      <c r="Y57" s="67"/>
      <c r="Z57" s="67"/>
      <c r="AA57" s="71" t="s">
        <v>171</v>
      </c>
      <c r="AB57" s="67"/>
      <c r="AC57" s="67"/>
      <c r="AD57" s="67"/>
      <c r="AE57" s="67"/>
      <c r="AF57" s="141"/>
      <c r="AG57" s="141"/>
      <c r="AH57" s="69" t="s">
        <v>84</v>
      </c>
      <c r="AI57" s="67" t="s">
        <v>60</v>
      </c>
      <c r="AJ57" s="67" t="s">
        <v>40</v>
      </c>
      <c r="AK57" s="69"/>
      <c r="AL57" s="69" t="s">
        <v>300</v>
      </c>
      <c r="AM57" s="122"/>
    </row>
    <row r="58" spans="1:39" s="103" customFormat="1" ht="93" customHeight="1">
      <c r="A58" s="186">
        <v>7</v>
      </c>
      <c r="B58" s="118" t="s">
        <v>157</v>
      </c>
      <c r="C58" s="186"/>
      <c r="D58" s="119"/>
      <c r="E58" s="186">
        <v>0</v>
      </c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>
        <v>0</v>
      </c>
      <c r="Y58" s="67"/>
      <c r="Z58" s="67"/>
      <c r="AA58" s="71" t="s">
        <v>270</v>
      </c>
      <c r="AB58" s="67"/>
      <c r="AC58" s="67"/>
      <c r="AD58" s="67"/>
      <c r="AE58" s="67"/>
      <c r="AF58" s="141"/>
      <c r="AG58" s="141"/>
      <c r="AH58" s="69" t="s">
        <v>84</v>
      </c>
      <c r="AI58" s="67" t="s">
        <v>60</v>
      </c>
      <c r="AJ58" s="67" t="s">
        <v>40</v>
      </c>
      <c r="AK58" s="69" t="s">
        <v>297</v>
      </c>
      <c r="AL58" s="69"/>
      <c r="AM58" s="122"/>
    </row>
    <row r="59" spans="1:39" s="103" customFormat="1" ht="45" customHeight="1">
      <c r="A59" s="67">
        <v>8</v>
      </c>
      <c r="B59" s="70" t="s">
        <v>99</v>
      </c>
      <c r="C59" s="67"/>
      <c r="D59" s="187">
        <v>2016</v>
      </c>
      <c r="E59" s="67">
        <v>1</v>
      </c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>
        <v>0</v>
      </c>
      <c r="Y59" s="67"/>
      <c r="Z59" s="67"/>
      <c r="AA59" s="67">
        <v>-1</v>
      </c>
      <c r="AB59" s="67"/>
      <c r="AC59" s="67"/>
      <c r="AD59" s="67"/>
      <c r="AE59" s="67"/>
      <c r="AF59" s="141"/>
      <c r="AG59" s="141"/>
      <c r="AH59" s="69" t="s">
        <v>84</v>
      </c>
      <c r="AI59" s="67" t="s">
        <v>60</v>
      </c>
      <c r="AJ59" s="67" t="s">
        <v>40</v>
      </c>
      <c r="AK59" s="69"/>
      <c r="AL59" s="186" t="s">
        <v>301</v>
      </c>
      <c r="AM59" s="122"/>
    </row>
    <row r="60" spans="1:39" s="21" customFormat="1" ht="38.25" customHeight="1">
      <c r="A60" s="176" t="s">
        <v>81</v>
      </c>
      <c r="B60" s="73" t="s">
        <v>199</v>
      </c>
      <c r="C60" s="176"/>
      <c r="D60" s="175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46"/>
      <c r="AG60" s="146"/>
      <c r="AH60" s="182"/>
      <c r="AI60" s="176"/>
      <c r="AJ60" s="176"/>
      <c r="AK60" s="182"/>
      <c r="AL60" s="182" t="s">
        <v>185</v>
      </c>
      <c r="AM60" s="20"/>
    </row>
    <row r="61" spans="1:39" s="103" customFormat="1" ht="72.75" customHeight="1">
      <c r="A61" s="186">
        <v>1</v>
      </c>
      <c r="B61" s="118" t="s">
        <v>61</v>
      </c>
      <c r="C61" s="119" t="s">
        <v>155</v>
      </c>
      <c r="D61" s="119">
        <v>2022</v>
      </c>
      <c r="E61" s="186">
        <v>1</v>
      </c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>
        <v>0</v>
      </c>
      <c r="Y61" s="67"/>
      <c r="Z61" s="67"/>
      <c r="AA61" s="67">
        <v>-1</v>
      </c>
      <c r="AB61" s="67"/>
      <c r="AC61" s="67"/>
      <c r="AD61" s="67"/>
      <c r="AE61" s="67"/>
      <c r="AF61" s="141"/>
      <c r="AG61" s="141"/>
      <c r="AH61" s="69" t="s">
        <v>84</v>
      </c>
      <c r="AI61" s="67" t="s">
        <v>60</v>
      </c>
      <c r="AJ61" s="67" t="s">
        <v>40</v>
      </c>
      <c r="AK61" s="69"/>
      <c r="AL61" s="69" t="s">
        <v>295</v>
      </c>
      <c r="AM61" s="122"/>
    </row>
    <row r="62" spans="1:39" ht="62.25" customHeight="1">
      <c r="A62" s="67">
        <v>2</v>
      </c>
      <c r="B62" s="68" t="s">
        <v>59</v>
      </c>
      <c r="C62" s="69" t="s">
        <v>153</v>
      </c>
      <c r="D62" s="187">
        <v>2022</v>
      </c>
      <c r="E62" s="67">
        <v>1</v>
      </c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71">
        <v>1</v>
      </c>
      <c r="Y62" s="67"/>
      <c r="Z62" s="67"/>
      <c r="AA62" s="71">
        <v>0</v>
      </c>
      <c r="AB62" s="67"/>
      <c r="AC62" s="67"/>
      <c r="AD62" s="67"/>
      <c r="AE62" s="67"/>
      <c r="AF62" s="141">
        <v>2500000</v>
      </c>
      <c r="AG62" s="141">
        <f>+AF62*X62</f>
        <v>2500000</v>
      </c>
      <c r="AH62" s="69" t="s">
        <v>84</v>
      </c>
      <c r="AI62" s="69" t="s">
        <v>216</v>
      </c>
      <c r="AJ62" s="67" t="s">
        <v>40</v>
      </c>
      <c r="AK62" s="69"/>
      <c r="AL62" s="69"/>
    </row>
    <row r="63" spans="1:39" s="103" customFormat="1" ht="78.75">
      <c r="A63" s="186">
        <v>3</v>
      </c>
      <c r="B63" s="118" t="s">
        <v>156</v>
      </c>
      <c r="C63" s="186" t="s">
        <v>281</v>
      </c>
      <c r="D63" s="119">
        <v>2022</v>
      </c>
      <c r="E63" s="186">
        <v>2</v>
      </c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>
        <v>0</v>
      </c>
      <c r="Y63" s="67"/>
      <c r="Z63" s="67"/>
      <c r="AA63" s="71" t="s">
        <v>278</v>
      </c>
      <c r="AB63" s="67"/>
      <c r="AC63" s="67"/>
      <c r="AD63" s="67"/>
      <c r="AE63" s="67"/>
      <c r="AF63" s="141"/>
      <c r="AG63" s="141"/>
      <c r="AH63" s="69" t="s">
        <v>84</v>
      </c>
      <c r="AI63" s="67" t="s">
        <v>60</v>
      </c>
      <c r="AJ63" s="67" t="s">
        <v>40</v>
      </c>
      <c r="AK63" s="69"/>
      <c r="AL63" s="69" t="s">
        <v>283</v>
      </c>
      <c r="AM63" s="122"/>
    </row>
    <row r="64" spans="1:39" s="103" customFormat="1" ht="409.6" customHeight="1">
      <c r="A64" s="67">
        <v>4</v>
      </c>
      <c r="B64" s="68" t="s">
        <v>63</v>
      </c>
      <c r="C64" s="69" t="s">
        <v>382</v>
      </c>
      <c r="D64" s="187">
        <v>2022</v>
      </c>
      <c r="E64" s="67">
        <v>5</v>
      </c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>
        <v>2</v>
      </c>
      <c r="Y64" s="67"/>
      <c r="Z64" s="67"/>
      <c r="AA64" s="71">
        <v>-3</v>
      </c>
      <c r="AB64" s="67"/>
      <c r="AC64" s="67"/>
      <c r="AD64" s="67"/>
      <c r="AE64" s="67"/>
      <c r="AF64" s="141">
        <v>660000</v>
      </c>
      <c r="AG64" s="141">
        <f>+X64*AF64</f>
        <v>1320000</v>
      </c>
      <c r="AH64" s="69" t="s">
        <v>84</v>
      </c>
      <c r="AI64" s="69" t="s">
        <v>383</v>
      </c>
      <c r="AJ64" s="67" t="s">
        <v>40</v>
      </c>
      <c r="AK64" s="69"/>
      <c r="AL64" s="68" t="s">
        <v>384</v>
      </c>
      <c r="AM64" s="102"/>
    </row>
    <row r="65" spans="1:39" s="103" customFormat="1" ht="94.5">
      <c r="A65" s="186">
        <v>5</v>
      </c>
      <c r="B65" s="118" t="s">
        <v>160</v>
      </c>
      <c r="C65" s="67" t="s">
        <v>319</v>
      </c>
      <c r="D65" s="187">
        <v>2022</v>
      </c>
      <c r="E65" s="67">
        <v>2</v>
      </c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>
        <v>1</v>
      </c>
      <c r="Y65" s="67"/>
      <c r="Z65" s="67"/>
      <c r="AA65" s="71">
        <v>-1</v>
      </c>
      <c r="AB65" s="67"/>
      <c r="AC65" s="67"/>
      <c r="AD65" s="67"/>
      <c r="AE65" s="67"/>
      <c r="AF65" s="148">
        <v>3650000</v>
      </c>
      <c r="AG65" s="148">
        <v>3650000</v>
      </c>
      <c r="AH65" s="69" t="s">
        <v>84</v>
      </c>
      <c r="AI65" s="69" t="s">
        <v>264</v>
      </c>
      <c r="AJ65" s="67" t="s">
        <v>40</v>
      </c>
      <c r="AK65" s="69"/>
      <c r="AL65" s="69" t="s">
        <v>302</v>
      </c>
      <c r="AM65" s="122"/>
    </row>
    <row r="66" spans="1:39" s="103" customFormat="1" ht="47.25">
      <c r="A66" s="67">
        <v>6</v>
      </c>
      <c r="B66" s="118" t="s">
        <v>206</v>
      </c>
      <c r="C66" s="186"/>
      <c r="D66" s="119">
        <v>2007</v>
      </c>
      <c r="E66" s="186">
        <v>1</v>
      </c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>
        <v>0</v>
      </c>
      <c r="Y66" s="67"/>
      <c r="Z66" s="67"/>
      <c r="AA66" s="71" t="s">
        <v>171</v>
      </c>
      <c r="AB66" s="67"/>
      <c r="AC66" s="67"/>
      <c r="AD66" s="67"/>
      <c r="AE66" s="67"/>
      <c r="AF66" s="141"/>
      <c r="AG66" s="141"/>
      <c r="AH66" s="69" t="s">
        <v>84</v>
      </c>
      <c r="AI66" s="67" t="s">
        <v>60</v>
      </c>
      <c r="AJ66" s="67" t="s">
        <v>40</v>
      </c>
      <c r="AK66" s="69"/>
      <c r="AL66" s="69" t="s">
        <v>303</v>
      </c>
      <c r="AM66" s="122"/>
    </row>
    <row r="67" spans="1:39" s="103" customFormat="1" ht="77.25" customHeight="1">
      <c r="A67" s="186">
        <v>7</v>
      </c>
      <c r="B67" s="118" t="s">
        <v>157</v>
      </c>
      <c r="C67" s="186"/>
      <c r="D67" s="119"/>
      <c r="E67" s="186">
        <v>1</v>
      </c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>
        <v>0</v>
      </c>
      <c r="Y67" s="67"/>
      <c r="Z67" s="67"/>
      <c r="AA67" s="67">
        <v>-1</v>
      </c>
      <c r="AB67" s="67"/>
      <c r="AC67" s="67"/>
      <c r="AD67" s="67"/>
      <c r="AE67" s="67"/>
      <c r="AF67" s="141"/>
      <c r="AG67" s="141"/>
      <c r="AH67" s="69" t="s">
        <v>84</v>
      </c>
      <c r="AI67" s="67" t="s">
        <v>60</v>
      </c>
      <c r="AJ67" s="67" t="s">
        <v>40</v>
      </c>
      <c r="AK67" s="69"/>
      <c r="AL67" s="69" t="s">
        <v>237</v>
      </c>
      <c r="AM67" s="122"/>
    </row>
    <row r="68" spans="1:39" ht="31.5">
      <c r="A68" s="67">
        <v>8</v>
      </c>
      <c r="B68" s="70" t="s">
        <v>89</v>
      </c>
      <c r="C68" s="67" t="s">
        <v>146</v>
      </c>
      <c r="D68" s="187"/>
      <c r="E68" s="67">
        <v>1</v>
      </c>
      <c r="F68" s="67">
        <v>0</v>
      </c>
      <c r="G68" s="67">
        <f>H68+I68</f>
        <v>13720000</v>
      </c>
      <c r="H68" s="67"/>
      <c r="I68" s="67">
        <v>13720000</v>
      </c>
      <c r="J68" s="67"/>
      <c r="K68" s="67"/>
      <c r="L68" s="67"/>
      <c r="M68" s="67"/>
      <c r="N68" s="67"/>
      <c r="O68" s="67"/>
      <c r="P68" s="67"/>
      <c r="Q68" s="67"/>
      <c r="R68" s="67" t="e">
        <f>ROUND(#REF!*#REF!,0)</f>
        <v>#REF!</v>
      </c>
      <c r="S68" s="67" t="e">
        <f>ROUND(#REF!*#REF!,0)</f>
        <v>#REF!</v>
      </c>
      <c r="T68" s="67" t="e">
        <f>ROUND(#REF!*#REF!,0)</f>
        <v>#REF!</v>
      </c>
      <c r="U68" s="67" t="e">
        <f>ROUND(#REF!*#REF!,0)</f>
        <v>#REF!</v>
      </c>
      <c r="V68" s="67" t="e">
        <f>M68+N68+O68+P68+SUM(Q68:T68)+U68</f>
        <v>#REF!</v>
      </c>
      <c r="W68" s="67" t="e">
        <f>G68-V68</f>
        <v>#REF!</v>
      </c>
      <c r="X68" s="67">
        <v>1</v>
      </c>
      <c r="Y68" s="67">
        <f>G68</f>
        <v>13720000</v>
      </c>
      <c r="Z68" s="67">
        <v>0</v>
      </c>
      <c r="AA68" s="67">
        <v>0</v>
      </c>
      <c r="AB68" s="67">
        <f>Y68-G68</f>
        <v>0</v>
      </c>
      <c r="AC68" s="67">
        <f>F68-Z68</f>
        <v>0</v>
      </c>
      <c r="AD68" s="67">
        <v>0.2</v>
      </c>
      <c r="AE68" s="67"/>
      <c r="AF68" s="142">
        <v>2172727</v>
      </c>
      <c r="AG68" s="142">
        <v>2172727</v>
      </c>
      <c r="AH68" s="69" t="s">
        <v>84</v>
      </c>
      <c r="AI68" s="67" t="s">
        <v>60</v>
      </c>
      <c r="AJ68" s="67" t="s">
        <v>40</v>
      </c>
      <c r="AK68" s="69"/>
      <c r="AL68" s="69"/>
    </row>
    <row r="69" spans="1:39" ht="31.5">
      <c r="A69" s="186">
        <v>9</v>
      </c>
      <c r="B69" s="70" t="s">
        <v>148</v>
      </c>
      <c r="C69" s="67"/>
      <c r="D69" s="187">
        <v>2012</v>
      </c>
      <c r="E69" s="67">
        <v>1</v>
      </c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>
        <v>1</v>
      </c>
      <c r="Y69" s="67"/>
      <c r="Z69" s="67"/>
      <c r="AA69" s="71">
        <v>0</v>
      </c>
      <c r="AB69" s="67"/>
      <c r="AC69" s="67"/>
      <c r="AD69" s="67"/>
      <c r="AE69" s="67"/>
      <c r="AF69" s="141"/>
      <c r="AG69" s="141"/>
      <c r="AH69" s="69" t="s">
        <v>84</v>
      </c>
      <c r="AI69" s="67" t="s">
        <v>60</v>
      </c>
      <c r="AJ69" s="67" t="s">
        <v>40</v>
      </c>
      <c r="AK69" s="69"/>
      <c r="AL69" s="69" t="s">
        <v>304</v>
      </c>
    </row>
    <row r="70" spans="1:39" s="103" customFormat="1" ht="75" customHeight="1">
      <c r="A70" s="186">
        <v>10</v>
      </c>
      <c r="B70" s="70" t="s">
        <v>217</v>
      </c>
      <c r="C70" s="67"/>
      <c r="D70" s="187"/>
      <c r="E70" s="67">
        <v>1</v>
      </c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>
        <v>2</v>
      </c>
      <c r="Y70" s="67"/>
      <c r="Z70" s="67"/>
      <c r="AA70" s="71" t="s">
        <v>270</v>
      </c>
      <c r="AB70" s="67"/>
      <c r="AC70" s="67"/>
      <c r="AD70" s="67"/>
      <c r="AE70" s="67"/>
      <c r="AF70" s="141"/>
      <c r="AG70" s="141"/>
      <c r="AH70" s="69" t="s">
        <v>84</v>
      </c>
      <c r="AI70" s="67" t="s">
        <v>60</v>
      </c>
      <c r="AJ70" s="67" t="s">
        <v>40</v>
      </c>
      <c r="AK70" s="186" t="s">
        <v>318</v>
      </c>
      <c r="AL70" s="69" t="s">
        <v>272</v>
      </c>
      <c r="AM70" s="122"/>
    </row>
    <row r="71" spans="1:39" ht="55.5" customHeight="1">
      <c r="A71" s="186">
        <v>11</v>
      </c>
      <c r="B71" s="124" t="s">
        <v>240</v>
      </c>
      <c r="C71" s="187" t="s">
        <v>259</v>
      </c>
      <c r="D71" s="187">
        <v>2024</v>
      </c>
      <c r="E71" s="67">
        <v>0</v>
      </c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>
        <v>1</v>
      </c>
      <c r="Y71" s="67"/>
      <c r="Z71" s="67"/>
      <c r="AA71" s="71" t="s">
        <v>270</v>
      </c>
      <c r="AB71" s="67"/>
      <c r="AC71" s="67"/>
      <c r="AD71" s="67"/>
      <c r="AE71" s="67"/>
      <c r="AF71" s="141">
        <v>870000</v>
      </c>
      <c r="AG71" s="141">
        <v>870000</v>
      </c>
      <c r="AH71" s="69" t="s">
        <v>84</v>
      </c>
      <c r="AI71" s="67" t="s">
        <v>60</v>
      </c>
      <c r="AJ71" s="67" t="s">
        <v>40</v>
      </c>
      <c r="AK71" s="111" t="s">
        <v>318</v>
      </c>
      <c r="AL71" s="69" t="s">
        <v>201</v>
      </c>
    </row>
    <row r="72" spans="1:39" ht="59.25" customHeight="1">
      <c r="A72" s="186">
        <v>12</v>
      </c>
      <c r="B72" s="124" t="s">
        <v>239</v>
      </c>
      <c r="C72" s="125" t="s">
        <v>258</v>
      </c>
      <c r="D72" s="187">
        <v>2024</v>
      </c>
      <c r="E72" s="67">
        <v>0</v>
      </c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185">
        <v>1</v>
      </c>
      <c r="Y72" s="67"/>
      <c r="Z72" s="67"/>
      <c r="AA72" s="71" t="s">
        <v>270</v>
      </c>
      <c r="AB72" s="67"/>
      <c r="AC72" s="67"/>
      <c r="AD72" s="67"/>
      <c r="AE72" s="67"/>
      <c r="AF72" s="141">
        <v>1500000</v>
      </c>
      <c r="AG72" s="141">
        <v>1500000</v>
      </c>
      <c r="AH72" s="69" t="s">
        <v>84</v>
      </c>
      <c r="AI72" s="67" t="s">
        <v>260</v>
      </c>
      <c r="AJ72" s="67" t="s">
        <v>40</v>
      </c>
      <c r="AK72" s="111" t="s">
        <v>318</v>
      </c>
      <c r="AL72" s="69" t="s">
        <v>201</v>
      </c>
    </row>
    <row r="73" spans="1:39" ht="44.25" customHeight="1">
      <c r="A73" s="186">
        <v>13</v>
      </c>
      <c r="B73" s="118" t="s">
        <v>239</v>
      </c>
      <c r="C73" s="186" t="s">
        <v>261</v>
      </c>
      <c r="D73" s="187">
        <v>2024</v>
      </c>
      <c r="E73" s="67">
        <v>0</v>
      </c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>
        <v>1</v>
      </c>
      <c r="Y73" s="67"/>
      <c r="Z73" s="67"/>
      <c r="AA73" s="71" t="s">
        <v>270</v>
      </c>
      <c r="AB73" s="67"/>
      <c r="AC73" s="67"/>
      <c r="AD73" s="67"/>
      <c r="AE73" s="67"/>
      <c r="AF73" s="141">
        <v>1500000</v>
      </c>
      <c r="AG73" s="141">
        <v>1500000</v>
      </c>
      <c r="AH73" s="69" t="s">
        <v>84</v>
      </c>
      <c r="AI73" s="67" t="s">
        <v>263</v>
      </c>
      <c r="AJ73" s="69" t="s">
        <v>40</v>
      </c>
      <c r="AK73" s="111" t="s">
        <v>318</v>
      </c>
      <c r="AL73" s="69" t="s">
        <v>201</v>
      </c>
    </row>
    <row r="74" spans="1:39" ht="60.75" customHeight="1">
      <c r="A74" s="186">
        <v>14</v>
      </c>
      <c r="B74" s="118" t="s">
        <v>240</v>
      </c>
      <c r="C74" s="186" t="s">
        <v>262</v>
      </c>
      <c r="D74" s="187">
        <v>2024</v>
      </c>
      <c r="E74" s="67">
        <v>0</v>
      </c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185">
        <v>1</v>
      </c>
      <c r="Y74" s="67"/>
      <c r="Z74" s="67"/>
      <c r="AA74" s="71" t="s">
        <v>270</v>
      </c>
      <c r="AB74" s="67"/>
      <c r="AC74" s="67"/>
      <c r="AD74" s="67"/>
      <c r="AE74" s="67"/>
      <c r="AF74" s="141">
        <v>870000</v>
      </c>
      <c r="AG74" s="141">
        <v>870000</v>
      </c>
      <c r="AH74" s="69" t="s">
        <v>84</v>
      </c>
      <c r="AI74" s="67" t="s">
        <v>263</v>
      </c>
      <c r="AJ74" s="69" t="s">
        <v>40</v>
      </c>
      <c r="AK74" s="111" t="s">
        <v>318</v>
      </c>
      <c r="AL74" s="69" t="s">
        <v>201</v>
      </c>
    </row>
    <row r="75" spans="1:39" s="103" customFormat="1" ht="78.75">
      <c r="A75" s="186">
        <v>15</v>
      </c>
      <c r="B75" s="68" t="s">
        <v>88</v>
      </c>
      <c r="C75" s="67" t="s">
        <v>235</v>
      </c>
      <c r="D75" s="187">
        <v>2022</v>
      </c>
      <c r="E75" s="67">
        <v>0</v>
      </c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>
        <v>1</v>
      </c>
      <c r="Y75" s="67"/>
      <c r="Z75" s="67"/>
      <c r="AA75" s="71" t="s">
        <v>270</v>
      </c>
      <c r="AB75" s="67"/>
      <c r="AC75" s="67"/>
      <c r="AD75" s="67"/>
      <c r="AE75" s="67"/>
      <c r="AF75" s="148">
        <v>4650000</v>
      </c>
      <c r="AG75" s="148">
        <v>4650000</v>
      </c>
      <c r="AH75" s="69" t="s">
        <v>84</v>
      </c>
      <c r="AI75" s="67" t="s">
        <v>60</v>
      </c>
      <c r="AJ75" s="67" t="s">
        <v>40</v>
      </c>
      <c r="AK75" s="186" t="s">
        <v>318</v>
      </c>
      <c r="AL75" s="69" t="s">
        <v>272</v>
      </c>
      <c r="AM75" s="122"/>
    </row>
    <row r="76" spans="1:39" s="103" customFormat="1" ht="78.75">
      <c r="A76" s="186">
        <v>16</v>
      </c>
      <c r="B76" s="68" t="s">
        <v>63</v>
      </c>
      <c r="C76" s="69" t="s">
        <v>280</v>
      </c>
      <c r="D76" s="187">
        <v>2022</v>
      </c>
      <c r="E76" s="67">
        <v>0</v>
      </c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>
        <v>1</v>
      </c>
      <c r="Y76" s="67"/>
      <c r="Z76" s="67"/>
      <c r="AA76" s="71" t="s">
        <v>270</v>
      </c>
      <c r="AB76" s="67"/>
      <c r="AC76" s="67"/>
      <c r="AD76" s="67"/>
      <c r="AE76" s="67"/>
      <c r="AF76" s="141">
        <v>660000</v>
      </c>
      <c r="AG76" s="141">
        <f>+X76*AF76</f>
        <v>660000</v>
      </c>
      <c r="AH76" s="69" t="s">
        <v>84</v>
      </c>
      <c r="AI76" s="67" t="s">
        <v>260</v>
      </c>
      <c r="AJ76" s="67" t="s">
        <v>40</v>
      </c>
      <c r="AK76" s="186" t="s">
        <v>318</v>
      </c>
      <c r="AL76" s="69" t="s">
        <v>290</v>
      </c>
      <c r="AM76" s="122"/>
    </row>
    <row r="77" spans="1:39" ht="28.5" customHeight="1">
      <c r="A77" s="186">
        <v>17</v>
      </c>
      <c r="B77" s="70" t="s">
        <v>147</v>
      </c>
      <c r="C77" s="67"/>
      <c r="D77" s="187"/>
      <c r="E77" s="67">
        <v>1</v>
      </c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>
        <v>1</v>
      </c>
      <c r="Y77" s="67"/>
      <c r="Z77" s="67"/>
      <c r="AA77" s="71">
        <v>0</v>
      </c>
      <c r="AB77" s="67"/>
      <c r="AC77" s="67"/>
      <c r="AD77" s="67"/>
      <c r="AE77" s="67"/>
      <c r="AF77" s="141"/>
      <c r="AG77" s="141"/>
      <c r="AH77" s="69" t="s">
        <v>84</v>
      </c>
      <c r="AI77" s="67" t="s">
        <v>60</v>
      </c>
      <c r="AJ77" s="67" t="s">
        <v>40</v>
      </c>
      <c r="AK77" s="69"/>
      <c r="AL77" s="69"/>
    </row>
    <row r="78" spans="1:39" s="54" customFormat="1" ht="88.5" customHeight="1">
      <c r="A78" s="175" t="s">
        <v>103</v>
      </c>
      <c r="B78" s="61" t="s">
        <v>292</v>
      </c>
      <c r="C78" s="175"/>
      <c r="D78" s="175"/>
      <c r="E78" s="175"/>
      <c r="F78" s="176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62"/>
      <c r="AB78" s="175"/>
      <c r="AC78" s="175"/>
      <c r="AD78" s="175"/>
      <c r="AE78" s="175"/>
      <c r="AF78" s="145"/>
      <c r="AG78" s="145"/>
      <c r="AH78" s="173"/>
      <c r="AI78" s="175"/>
      <c r="AJ78" s="175"/>
      <c r="AK78" s="64"/>
      <c r="AL78" s="173" t="s">
        <v>324</v>
      </c>
    </row>
    <row r="79" spans="1:39" s="103" customFormat="1" ht="65.25" customHeight="1">
      <c r="A79" s="67">
        <v>1</v>
      </c>
      <c r="B79" s="124" t="s">
        <v>239</v>
      </c>
      <c r="C79" s="125" t="s">
        <v>256</v>
      </c>
      <c r="D79" s="187">
        <v>2024</v>
      </c>
      <c r="E79" s="67">
        <v>0</v>
      </c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>
        <v>1</v>
      </c>
      <c r="Y79" s="67"/>
      <c r="Z79" s="67"/>
      <c r="AA79" s="71" t="s">
        <v>270</v>
      </c>
      <c r="AB79" s="67"/>
      <c r="AC79" s="67"/>
      <c r="AD79" s="67"/>
      <c r="AE79" s="67"/>
      <c r="AF79" s="141">
        <v>1500000</v>
      </c>
      <c r="AG79" s="141">
        <v>1500000</v>
      </c>
      <c r="AH79" s="69" t="s">
        <v>84</v>
      </c>
      <c r="AI79" s="67" t="s">
        <v>228</v>
      </c>
      <c r="AJ79" s="67" t="s">
        <v>40</v>
      </c>
      <c r="AK79" s="123"/>
      <c r="AL79" s="69" t="s">
        <v>201</v>
      </c>
      <c r="AM79" s="122"/>
    </row>
    <row r="80" spans="1:39" s="103" customFormat="1" ht="49.5" customHeight="1">
      <c r="A80" s="67">
        <v>2</v>
      </c>
      <c r="B80" s="124" t="s">
        <v>240</v>
      </c>
      <c r="C80" s="125" t="s">
        <v>257</v>
      </c>
      <c r="D80" s="187">
        <v>2024</v>
      </c>
      <c r="E80" s="67">
        <v>0</v>
      </c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>
        <v>1</v>
      </c>
      <c r="Y80" s="67"/>
      <c r="Z80" s="67"/>
      <c r="AA80" s="71" t="s">
        <v>270</v>
      </c>
      <c r="AB80" s="67"/>
      <c r="AC80" s="67"/>
      <c r="AD80" s="67"/>
      <c r="AE80" s="67"/>
      <c r="AF80" s="141">
        <v>870000</v>
      </c>
      <c r="AG80" s="141">
        <v>870000</v>
      </c>
      <c r="AH80" s="69" t="s">
        <v>84</v>
      </c>
      <c r="AI80" s="67" t="s">
        <v>228</v>
      </c>
      <c r="AJ80" s="67" t="s">
        <v>40</v>
      </c>
      <c r="AK80" s="123"/>
      <c r="AL80" s="69" t="s">
        <v>201</v>
      </c>
      <c r="AM80" s="122"/>
    </row>
    <row r="81" spans="1:39" s="103" customFormat="1" ht="68.25" customHeight="1">
      <c r="A81" s="67">
        <v>3</v>
      </c>
      <c r="B81" s="70" t="s">
        <v>90</v>
      </c>
      <c r="C81" s="67" t="s">
        <v>92</v>
      </c>
      <c r="D81" s="187"/>
      <c r="E81" s="67">
        <v>0</v>
      </c>
      <c r="F81" s="67">
        <v>0</v>
      </c>
      <c r="G81" s="67">
        <f>H81+I81</f>
        <v>8000000</v>
      </c>
      <c r="H81" s="67">
        <v>8000000</v>
      </c>
      <c r="I81" s="67"/>
      <c r="J81" s="67"/>
      <c r="K81" s="67"/>
      <c r="L81" s="67"/>
      <c r="M81" s="67"/>
      <c r="N81" s="67"/>
      <c r="O81" s="67"/>
      <c r="P81" s="67"/>
      <c r="Q81" s="67"/>
      <c r="R81" s="67" t="e">
        <f>ROUND(#REF!*#REF!,0)</f>
        <v>#REF!</v>
      </c>
      <c r="S81" s="67" t="e">
        <f>ROUND(#REF!*#REF!,0)</f>
        <v>#REF!</v>
      </c>
      <c r="T81" s="67" t="e">
        <f>ROUND(#REF!*#REF!,0)</f>
        <v>#REF!</v>
      </c>
      <c r="U81" s="67" t="e">
        <f>ROUND(#REF!*#REF!,0)</f>
        <v>#REF!</v>
      </c>
      <c r="V81" s="67" t="e">
        <f>M81+N81+O81+P81+SUM(Q81:T81)+U81</f>
        <v>#REF!</v>
      </c>
      <c r="W81" s="67" t="e">
        <f>G81-V81</f>
        <v>#REF!</v>
      </c>
      <c r="X81" s="67">
        <v>1</v>
      </c>
      <c r="Y81" s="67">
        <f>G81</f>
        <v>8000000</v>
      </c>
      <c r="Z81" s="67">
        <v>0</v>
      </c>
      <c r="AA81" s="71" t="s">
        <v>270</v>
      </c>
      <c r="AB81" s="67">
        <f>Y81-G81</f>
        <v>0</v>
      </c>
      <c r="AC81" s="67">
        <f>F81-Z81</f>
        <v>0</v>
      </c>
      <c r="AD81" s="67">
        <v>0.2</v>
      </c>
      <c r="AE81" s="67" t="s">
        <v>41</v>
      </c>
      <c r="AF81" s="142">
        <v>190000</v>
      </c>
      <c r="AG81" s="142">
        <v>190000</v>
      </c>
      <c r="AH81" s="69" t="s">
        <v>84</v>
      </c>
      <c r="AI81" s="67" t="s">
        <v>86</v>
      </c>
      <c r="AJ81" s="67" t="s">
        <v>40</v>
      </c>
      <c r="AK81" s="123"/>
      <c r="AL81" s="69" t="s">
        <v>306</v>
      </c>
      <c r="AM81" s="122"/>
    </row>
    <row r="82" spans="1:39" s="103" customFormat="1" ht="81.75" customHeight="1">
      <c r="A82" s="67">
        <v>4</v>
      </c>
      <c r="B82" s="70" t="s">
        <v>229</v>
      </c>
      <c r="C82" s="67" t="s">
        <v>230</v>
      </c>
      <c r="D82" s="187"/>
      <c r="E82" s="67">
        <v>0</v>
      </c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>
        <v>1</v>
      </c>
      <c r="Y82" s="67"/>
      <c r="Z82" s="67"/>
      <c r="AA82" s="71" t="s">
        <v>270</v>
      </c>
      <c r="AB82" s="67"/>
      <c r="AC82" s="67"/>
      <c r="AD82" s="67"/>
      <c r="AE82" s="67"/>
      <c r="AF82" s="188">
        <v>1230000</v>
      </c>
      <c r="AG82" s="188">
        <v>1230000</v>
      </c>
      <c r="AH82" s="69" t="s">
        <v>84</v>
      </c>
      <c r="AI82" s="67" t="s">
        <v>231</v>
      </c>
      <c r="AJ82" s="67" t="s">
        <v>40</v>
      </c>
      <c r="AK82" s="187" t="s">
        <v>371</v>
      </c>
      <c r="AL82" s="69" t="s">
        <v>396</v>
      </c>
      <c r="AM82" s="189"/>
    </row>
    <row r="83" spans="1:39" s="103" customFormat="1" ht="78.75">
      <c r="A83" s="67">
        <v>5</v>
      </c>
      <c r="B83" s="68" t="s">
        <v>63</v>
      </c>
      <c r="C83" s="69" t="s">
        <v>232</v>
      </c>
      <c r="D83" s="187">
        <v>2022</v>
      </c>
      <c r="E83" s="67">
        <v>0</v>
      </c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>
        <v>1</v>
      </c>
      <c r="Y83" s="67"/>
      <c r="Z83" s="67"/>
      <c r="AA83" s="71" t="s">
        <v>270</v>
      </c>
      <c r="AB83" s="67"/>
      <c r="AC83" s="67"/>
      <c r="AD83" s="67"/>
      <c r="AE83" s="67"/>
      <c r="AF83" s="141">
        <v>660000</v>
      </c>
      <c r="AG83" s="141">
        <f>+X83*AF83</f>
        <v>660000</v>
      </c>
      <c r="AH83" s="69" t="s">
        <v>84</v>
      </c>
      <c r="AI83" s="67" t="s">
        <v>231</v>
      </c>
      <c r="AJ83" s="67" t="s">
        <v>40</v>
      </c>
      <c r="AK83" s="123"/>
      <c r="AL83" s="69" t="s">
        <v>312</v>
      </c>
      <c r="AM83" s="122"/>
    </row>
    <row r="84" spans="1:39" s="103" customFormat="1" ht="107.25" customHeight="1">
      <c r="A84" s="67">
        <v>6</v>
      </c>
      <c r="B84" s="118" t="s">
        <v>156</v>
      </c>
      <c r="C84" s="67" t="s">
        <v>284</v>
      </c>
      <c r="D84" s="187"/>
      <c r="E84" s="67">
        <v>0</v>
      </c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>
        <v>1</v>
      </c>
      <c r="Y84" s="67"/>
      <c r="Z84" s="67"/>
      <c r="AA84" s="71" t="s">
        <v>270</v>
      </c>
      <c r="AB84" s="67"/>
      <c r="AC84" s="67"/>
      <c r="AD84" s="67"/>
      <c r="AE84" s="67"/>
      <c r="AF84" s="148">
        <v>4850000</v>
      </c>
      <c r="AG84" s="148">
        <f>+X84*AF84</f>
        <v>4850000</v>
      </c>
      <c r="AH84" s="69" t="s">
        <v>84</v>
      </c>
      <c r="AI84" s="67" t="s">
        <v>86</v>
      </c>
      <c r="AJ84" s="67" t="s">
        <v>40</v>
      </c>
      <c r="AK84" s="69"/>
      <c r="AL84" s="69" t="s">
        <v>332</v>
      </c>
      <c r="AM84" s="122"/>
    </row>
    <row r="85" spans="1:39" s="103" customFormat="1" ht="77.25" customHeight="1">
      <c r="A85" s="67">
        <v>7</v>
      </c>
      <c r="B85" s="70" t="s">
        <v>274</v>
      </c>
      <c r="C85" s="67"/>
      <c r="D85" s="187">
        <v>2000</v>
      </c>
      <c r="E85" s="67">
        <v>0</v>
      </c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>
        <v>1</v>
      </c>
      <c r="Y85" s="67"/>
      <c r="Z85" s="67"/>
      <c r="AA85" s="71" t="s">
        <v>270</v>
      </c>
      <c r="AB85" s="67"/>
      <c r="AC85" s="67"/>
      <c r="AD85" s="67"/>
      <c r="AE85" s="67"/>
      <c r="AF85" s="141"/>
      <c r="AG85" s="141"/>
      <c r="AH85" s="69" t="s">
        <v>84</v>
      </c>
      <c r="AI85" s="67" t="s">
        <v>233</v>
      </c>
      <c r="AJ85" s="67" t="s">
        <v>40</v>
      </c>
      <c r="AK85" s="123"/>
      <c r="AL85" s="69" t="s">
        <v>273</v>
      </c>
      <c r="AM85" s="122"/>
    </row>
    <row r="86" spans="1:39" s="103" customFormat="1" ht="78.75">
      <c r="A86" s="67">
        <v>8</v>
      </c>
      <c r="B86" s="68" t="s">
        <v>63</v>
      </c>
      <c r="C86" s="69" t="s">
        <v>234</v>
      </c>
      <c r="D86" s="187">
        <v>2022</v>
      </c>
      <c r="E86" s="67">
        <v>0</v>
      </c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1</v>
      </c>
      <c r="Y86" s="67"/>
      <c r="Z86" s="67"/>
      <c r="AA86" s="71" t="s">
        <v>270</v>
      </c>
      <c r="AB86" s="67"/>
      <c r="AC86" s="67"/>
      <c r="AD86" s="67"/>
      <c r="AE86" s="67"/>
      <c r="AF86" s="141">
        <v>660000</v>
      </c>
      <c r="AG86" s="141">
        <f>+X86*AF86</f>
        <v>660000</v>
      </c>
      <c r="AH86" s="69" t="s">
        <v>84</v>
      </c>
      <c r="AI86" s="67" t="s">
        <v>233</v>
      </c>
      <c r="AJ86" s="67" t="s">
        <v>40</v>
      </c>
      <c r="AK86" s="123"/>
      <c r="AL86" s="69" t="s">
        <v>297</v>
      </c>
      <c r="AM86" s="122"/>
    </row>
    <row r="87" spans="1:39" s="103" customFormat="1" ht="78.75">
      <c r="A87" s="67">
        <v>9</v>
      </c>
      <c r="B87" s="68" t="s">
        <v>88</v>
      </c>
      <c r="C87" s="67" t="s">
        <v>236</v>
      </c>
      <c r="D87" s="187">
        <v>2022</v>
      </c>
      <c r="E87" s="67">
        <v>0</v>
      </c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>
        <v>1</v>
      </c>
      <c r="Y87" s="67"/>
      <c r="Z87" s="67"/>
      <c r="AA87" s="71" t="s">
        <v>270</v>
      </c>
      <c r="AB87" s="67"/>
      <c r="AC87" s="67"/>
      <c r="AD87" s="67"/>
      <c r="AE87" s="67"/>
      <c r="AF87" s="148">
        <v>4650000</v>
      </c>
      <c r="AG87" s="148">
        <v>4650000</v>
      </c>
      <c r="AH87" s="69" t="s">
        <v>84</v>
      </c>
      <c r="AI87" s="67" t="s">
        <v>86</v>
      </c>
      <c r="AJ87" s="67" t="s">
        <v>40</v>
      </c>
      <c r="AK87" s="123"/>
      <c r="AL87" s="69" t="s">
        <v>272</v>
      </c>
      <c r="AM87" s="122"/>
    </row>
    <row r="88" spans="1:39" s="21" customFormat="1" ht="60.75" customHeight="1">
      <c r="A88" s="176" t="s">
        <v>104</v>
      </c>
      <c r="B88" s="72" t="s">
        <v>200</v>
      </c>
      <c r="C88" s="67"/>
      <c r="D88" s="18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141"/>
      <c r="AG88" s="141"/>
      <c r="AH88" s="69"/>
      <c r="AI88" s="67"/>
      <c r="AJ88" s="67"/>
      <c r="AK88" s="69"/>
      <c r="AL88" s="182" t="s">
        <v>322</v>
      </c>
    </row>
    <row r="89" spans="1:39" s="54" customFormat="1" ht="106.5" customHeight="1">
      <c r="A89" s="67">
        <v>1</v>
      </c>
      <c r="B89" s="5" t="s">
        <v>349</v>
      </c>
      <c r="C89" s="4"/>
      <c r="D89" s="126">
        <v>2022</v>
      </c>
      <c r="E89" s="175">
        <v>0</v>
      </c>
      <c r="F89" s="4">
        <v>2</v>
      </c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4">
        <v>2</v>
      </c>
      <c r="Y89" s="67"/>
      <c r="Z89" s="67"/>
      <c r="AA89" s="114" t="s">
        <v>271</v>
      </c>
      <c r="AB89" s="67"/>
      <c r="AC89" s="67"/>
      <c r="AD89" s="67"/>
      <c r="AE89" s="67"/>
      <c r="AF89" s="148">
        <v>9500000</v>
      </c>
      <c r="AG89" s="141">
        <f>+X89*AF89</f>
        <v>19000000</v>
      </c>
      <c r="AH89" s="69" t="s">
        <v>84</v>
      </c>
      <c r="AI89" s="67" t="s">
        <v>60</v>
      </c>
      <c r="AJ89" s="67" t="s">
        <v>172</v>
      </c>
      <c r="AK89" s="133"/>
      <c r="AL89" s="69" t="s">
        <v>356</v>
      </c>
    </row>
    <row r="90" spans="1:39" s="54" customFormat="1" ht="96" customHeight="1">
      <c r="A90" s="67">
        <v>2</v>
      </c>
      <c r="B90" s="5" t="s">
        <v>350</v>
      </c>
      <c r="C90" s="4"/>
      <c r="D90" s="126">
        <v>2022</v>
      </c>
      <c r="E90" s="175">
        <v>0</v>
      </c>
      <c r="F90" s="4">
        <v>12</v>
      </c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4">
        <v>12</v>
      </c>
      <c r="Y90" s="67"/>
      <c r="Z90" s="67"/>
      <c r="AA90" s="114" t="s">
        <v>354</v>
      </c>
      <c r="AB90" s="67"/>
      <c r="AC90" s="67"/>
      <c r="AD90" s="67"/>
      <c r="AE90" s="67"/>
      <c r="AF90" s="148">
        <v>3200000</v>
      </c>
      <c r="AG90" s="141">
        <f t="shared" ref="AG90:AG93" si="0">+X90*AF90</f>
        <v>38400000</v>
      </c>
      <c r="AH90" s="69" t="s">
        <v>84</v>
      </c>
      <c r="AI90" s="67" t="s">
        <v>60</v>
      </c>
      <c r="AJ90" s="67" t="s">
        <v>172</v>
      </c>
      <c r="AK90" s="133"/>
      <c r="AL90" s="69" t="s">
        <v>356</v>
      </c>
    </row>
    <row r="91" spans="1:39" s="54" customFormat="1" ht="93.75" customHeight="1">
      <c r="A91" s="67">
        <v>3</v>
      </c>
      <c r="B91" s="5" t="s">
        <v>351</v>
      </c>
      <c r="C91" s="4"/>
      <c r="D91" s="126">
        <v>2022</v>
      </c>
      <c r="E91" s="175">
        <v>0</v>
      </c>
      <c r="F91" s="4">
        <v>1</v>
      </c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4">
        <v>1</v>
      </c>
      <c r="Y91" s="67"/>
      <c r="Z91" s="67"/>
      <c r="AA91" s="114" t="s">
        <v>270</v>
      </c>
      <c r="AB91" s="67"/>
      <c r="AC91" s="67"/>
      <c r="AD91" s="67"/>
      <c r="AE91" s="67"/>
      <c r="AF91" s="148">
        <v>3900000</v>
      </c>
      <c r="AG91" s="141">
        <f t="shared" si="0"/>
        <v>3900000</v>
      </c>
      <c r="AH91" s="69" t="s">
        <v>84</v>
      </c>
      <c r="AI91" s="67" t="s">
        <v>60</v>
      </c>
      <c r="AJ91" s="67" t="s">
        <v>172</v>
      </c>
      <c r="AK91" s="133"/>
      <c r="AL91" s="69" t="s">
        <v>356</v>
      </c>
    </row>
    <row r="92" spans="1:39" s="54" customFormat="1" ht="93.75" customHeight="1">
      <c r="A92" s="67">
        <v>4</v>
      </c>
      <c r="B92" s="5" t="s">
        <v>352</v>
      </c>
      <c r="C92" s="4"/>
      <c r="D92" s="126">
        <v>2022</v>
      </c>
      <c r="E92" s="175">
        <v>0</v>
      </c>
      <c r="F92" s="4">
        <v>16</v>
      </c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4">
        <v>16</v>
      </c>
      <c r="Y92" s="67"/>
      <c r="Z92" s="67"/>
      <c r="AA92" s="114" t="s">
        <v>355</v>
      </c>
      <c r="AB92" s="67"/>
      <c r="AC92" s="67"/>
      <c r="AD92" s="67"/>
      <c r="AE92" s="67"/>
      <c r="AF92" s="148">
        <v>8900000</v>
      </c>
      <c r="AG92" s="141">
        <f t="shared" si="0"/>
        <v>142400000</v>
      </c>
      <c r="AH92" s="69" t="s">
        <v>84</v>
      </c>
      <c r="AI92" s="67" t="s">
        <v>60</v>
      </c>
      <c r="AJ92" s="67" t="s">
        <v>172</v>
      </c>
      <c r="AK92" s="133"/>
      <c r="AL92" s="69" t="s">
        <v>356</v>
      </c>
    </row>
    <row r="93" spans="1:39" s="21" customFormat="1" ht="114.75" customHeight="1">
      <c r="A93" s="67">
        <v>5</v>
      </c>
      <c r="B93" s="25" t="s">
        <v>353</v>
      </c>
      <c r="C93" s="4"/>
      <c r="D93" s="126">
        <v>2022</v>
      </c>
      <c r="E93" s="127">
        <v>0</v>
      </c>
      <c r="F93" s="128">
        <v>2</v>
      </c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8">
        <v>2</v>
      </c>
      <c r="Y93" s="129"/>
      <c r="Z93" s="129"/>
      <c r="AA93" s="130" t="s">
        <v>271</v>
      </c>
      <c r="AB93" s="129"/>
      <c r="AC93" s="129"/>
      <c r="AD93" s="129"/>
      <c r="AE93" s="129"/>
      <c r="AF93" s="148">
        <v>9500000</v>
      </c>
      <c r="AG93" s="141">
        <f t="shared" si="0"/>
        <v>19000000</v>
      </c>
      <c r="AH93" s="131" t="s">
        <v>84</v>
      </c>
      <c r="AI93" s="129" t="s">
        <v>60</v>
      </c>
      <c r="AJ93" s="129" t="s">
        <v>172</v>
      </c>
      <c r="AK93" s="132"/>
      <c r="AL93" s="131" t="s">
        <v>356</v>
      </c>
    </row>
    <row r="94" spans="1:39" s="54" customFormat="1" ht="51" customHeight="1">
      <c r="A94" s="67">
        <v>6</v>
      </c>
      <c r="B94" s="118" t="s">
        <v>243</v>
      </c>
      <c r="C94" s="186" t="s">
        <v>246</v>
      </c>
      <c r="D94" s="187">
        <v>2018</v>
      </c>
      <c r="E94" s="67">
        <v>0</v>
      </c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>
        <v>1</v>
      </c>
      <c r="Y94" s="67"/>
      <c r="Z94" s="67"/>
      <c r="AA94" s="71" t="s">
        <v>270</v>
      </c>
      <c r="AB94" s="67"/>
      <c r="AC94" s="67"/>
      <c r="AD94" s="67"/>
      <c r="AE94" s="67"/>
      <c r="AF94" s="141">
        <v>2650000</v>
      </c>
      <c r="AG94" s="141">
        <v>2650000</v>
      </c>
      <c r="AH94" s="69" t="s">
        <v>84</v>
      </c>
      <c r="AI94" s="67" t="s">
        <v>242</v>
      </c>
      <c r="AJ94" s="67" t="s">
        <v>172</v>
      </c>
      <c r="AK94" s="133"/>
      <c r="AL94" s="186" t="s">
        <v>201</v>
      </c>
    </row>
    <row r="95" spans="1:39" s="54" customFormat="1" ht="49.5" customHeight="1">
      <c r="A95" s="67">
        <v>7</v>
      </c>
      <c r="B95" s="118" t="s">
        <v>244</v>
      </c>
      <c r="C95" s="186" t="s">
        <v>245</v>
      </c>
      <c r="D95" s="187">
        <v>2018</v>
      </c>
      <c r="E95" s="67">
        <v>0</v>
      </c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>
        <v>1</v>
      </c>
      <c r="Y95" s="67"/>
      <c r="Z95" s="67"/>
      <c r="AA95" s="71" t="s">
        <v>270</v>
      </c>
      <c r="AB95" s="67"/>
      <c r="AC95" s="67"/>
      <c r="AD95" s="67"/>
      <c r="AE95" s="67"/>
      <c r="AF95" s="141">
        <v>920000</v>
      </c>
      <c r="AG95" s="141">
        <v>920000</v>
      </c>
      <c r="AH95" s="69" t="s">
        <v>84</v>
      </c>
      <c r="AI95" s="67" t="s">
        <v>242</v>
      </c>
      <c r="AJ95" s="67" t="s">
        <v>172</v>
      </c>
      <c r="AK95" s="133"/>
      <c r="AL95" s="186" t="s">
        <v>201</v>
      </c>
    </row>
    <row r="96" spans="1:39" s="54" customFormat="1" ht="63.75" customHeight="1">
      <c r="A96" s="67">
        <v>8</v>
      </c>
      <c r="B96" s="118" t="s">
        <v>239</v>
      </c>
      <c r="C96" s="187" t="s">
        <v>247</v>
      </c>
      <c r="D96" s="187">
        <v>2024</v>
      </c>
      <c r="E96" s="67">
        <v>0</v>
      </c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>
        <v>1</v>
      </c>
      <c r="Y96" s="67"/>
      <c r="Z96" s="67"/>
      <c r="AA96" s="71" t="s">
        <v>270</v>
      </c>
      <c r="AB96" s="112"/>
      <c r="AC96" s="187"/>
      <c r="AD96" s="187"/>
      <c r="AE96" s="187"/>
      <c r="AF96" s="141">
        <v>1500000</v>
      </c>
      <c r="AG96" s="141">
        <v>1500000</v>
      </c>
      <c r="AH96" s="69" t="s">
        <v>84</v>
      </c>
      <c r="AI96" s="67" t="s">
        <v>277</v>
      </c>
      <c r="AJ96" s="67" t="s">
        <v>172</v>
      </c>
      <c r="AK96" s="133"/>
      <c r="AL96" s="186" t="s">
        <v>201</v>
      </c>
    </row>
    <row r="97" spans="1:39" s="29" customFormat="1" ht="49.5" customHeight="1">
      <c r="A97" s="67">
        <v>9</v>
      </c>
      <c r="B97" s="118" t="s">
        <v>240</v>
      </c>
      <c r="C97" s="187" t="s">
        <v>248</v>
      </c>
      <c r="D97" s="187">
        <v>2024</v>
      </c>
      <c r="E97" s="67">
        <v>0</v>
      </c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>
        <v>1</v>
      </c>
      <c r="Y97" s="67"/>
      <c r="Z97" s="67"/>
      <c r="AA97" s="71" t="s">
        <v>270</v>
      </c>
      <c r="AB97" s="112"/>
      <c r="AC97" s="187"/>
      <c r="AD97" s="187"/>
      <c r="AE97" s="187"/>
      <c r="AF97" s="141">
        <v>870000</v>
      </c>
      <c r="AG97" s="141">
        <v>870000</v>
      </c>
      <c r="AH97" s="69" t="s">
        <v>84</v>
      </c>
      <c r="AI97" s="67" t="s">
        <v>277</v>
      </c>
      <c r="AJ97" s="67" t="s">
        <v>172</v>
      </c>
      <c r="AK97" s="41"/>
      <c r="AL97" s="186" t="s">
        <v>201</v>
      </c>
    </row>
    <row r="98" spans="1:39" s="29" customFormat="1" ht="79.5" customHeight="1">
      <c r="A98" s="67">
        <v>10</v>
      </c>
      <c r="B98" s="68" t="s">
        <v>59</v>
      </c>
      <c r="C98" s="187" t="s">
        <v>202</v>
      </c>
      <c r="D98" s="187">
        <v>2022</v>
      </c>
      <c r="E98" s="67">
        <v>0</v>
      </c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>
        <v>1</v>
      </c>
      <c r="Y98" s="67"/>
      <c r="Z98" s="67"/>
      <c r="AA98" s="71" t="s">
        <v>270</v>
      </c>
      <c r="AB98" s="112"/>
      <c r="AC98" s="187"/>
      <c r="AD98" s="187"/>
      <c r="AE98" s="187"/>
      <c r="AF98" s="141">
        <v>2500000</v>
      </c>
      <c r="AG98" s="141">
        <f>+AF98*X98</f>
        <v>2500000</v>
      </c>
      <c r="AH98" s="69" t="s">
        <v>84</v>
      </c>
      <c r="AI98" s="67" t="s">
        <v>275</v>
      </c>
      <c r="AJ98" s="67" t="s">
        <v>172</v>
      </c>
      <c r="AK98" s="41"/>
      <c r="AL98" s="186" t="s">
        <v>306</v>
      </c>
    </row>
    <row r="99" spans="1:39" s="29" customFormat="1" ht="78.75" customHeight="1">
      <c r="A99" s="67">
        <v>11</v>
      </c>
      <c r="B99" s="68" t="s">
        <v>63</v>
      </c>
      <c r="C99" s="67" t="s">
        <v>343</v>
      </c>
      <c r="D99" s="187"/>
      <c r="E99" s="67">
        <v>1</v>
      </c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>
        <v>1</v>
      </c>
      <c r="Y99" s="67"/>
      <c r="Z99" s="67"/>
      <c r="AA99" s="71">
        <v>0</v>
      </c>
      <c r="AB99" s="67">
        <f>Y99-G99</f>
        <v>0</v>
      </c>
      <c r="AC99" s="67">
        <f>F99-Z99</f>
        <v>0</v>
      </c>
      <c r="AD99" s="67">
        <v>0.2</v>
      </c>
      <c r="AE99" s="67"/>
      <c r="AF99" s="141">
        <v>660000</v>
      </c>
      <c r="AG99" s="141">
        <f>+X99*AF99</f>
        <v>660000</v>
      </c>
      <c r="AH99" s="69" t="s">
        <v>84</v>
      </c>
      <c r="AI99" s="67" t="s">
        <v>275</v>
      </c>
      <c r="AJ99" s="67" t="s">
        <v>172</v>
      </c>
      <c r="AK99" s="41"/>
      <c r="AL99" s="186"/>
    </row>
    <row r="100" spans="1:39" s="29" customFormat="1" ht="48.75" customHeight="1">
      <c r="A100" s="67">
        <v>12</v>
      </c>
      <c r="B100" s="190" t="s">
        <v>203</v>
      </c>
      <c r="C100" s="191" t="s">
        <v>204</v>
      </c>
      <c r="D100" s="191">
        <v>2017</v>
      </c>
      <c r="E100" s="67">
        <v>0</v>
      </c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>
        <v>1</v>
      </c>
      <c r="Y100" s="67"/>
      <c r="Z100" s="67"/>
      <c r="AA100" s="71" t="s">
        <v>270</v>
      </c>
      <c r="AB100" s="112"/>
      <c r="AC100" s="187"/>
      <c r="AD100" s="187"/>
      <c r="AE100" s="187"/>
      <c r="AF100" s="192">
        <v>1230000</v>
      </c>
      <c r="AG100" s="193">
        <v>1230000</v>
      </c>
      <c r="AH100" s="69" t="s">
        <v>84</v>
      </c>
      <c r="AI100" s="67" t="s">
        <v>276</v>
      </c>
      <c r="AJ100" s="67" t="s">
        <v>172</v>
      </c>
      <c r="AK100" s="187" t="s">
        <v>371</v>
      </c>
      <c r="AL100" s="186" t="s">
        <v>321</v>
      </c>
    </row>
    <row r="101" spans="1:39" s="56" customFormat="1" ht="85.5" customHeight="1">
      <c r="A101" s="67">
        <v>13</v>
      </c>
      <c r="B101" s="113" t="s">
        <v>205</v>
      </c>
      <c r="C101" s="187"/>
      <c r="D101" s="187"/>
      <c r="E101" s="67">
        <v>0</v>
      </c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>
        <v>5</v>
      </c>
      <c r="Y101" s="67"/>
      <c r="Z101" s="67"/>
      <c r="AA101" s="114" t="s">
        <v>395</v>
      </c>
      <c r="AB101" s="187"/>
      <c r="AC101" s="187"/>
      <c r="AD101" s="187"/>
      <c r="AE101" s="187"/>
      <c r="AF101" s="149"/>
      <c r="AG101" s="149"/>
      <c r="AH101" s="69" t="s">
        <v>84</v>
      </c>
      <c r="AI101" s="67" t="s">
        <v>276</v>
      </c>
      <c r="AJ101" s="67" t="s">
        <v>172</v>
      </c>
      <c r="AK101" s="115"/>
      <c r="AL101" s="186" t="s">
        <v>344</v>
      </c>
    </row>
    <row r="102" spans="1:39" s="103" customFormat="1" ht="100.5" customHeight="1">
      <c r="A102" s="67">
        <v>14</v>
      </c>
      <c r="B102" s="118" t="s">
        <v>156</v>
      </c>
      <c r="C102" s="186" t="s">
        <v>285</v>
      </c>
      <c r="D102" s="119"/>
      <c r="E102" s="186">
        <v>0</v>
      </c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67">
        <v>1</v>
      </c>
      <c r="Y102" s="67"/>
      <c r="Z102" s="67"/>
      <c r="AA102" s="71" t="s">
        <v>270</v>
      </c>
      <c r="AB102" s="67"/>
      <c r="AC102" s="67"/>
      <c r="AD102" s="67"/>
      <c r="AE102" s="67"/>
      <c r="AF102" s="148">
        <v>4850000</v>
      </c>
      <c r="AG102" s="148">
        <f>+X102*AF102</f>
        <v>4850000</v>
      </c>
      <c r="AH102" s="69" t="s">
        <v>84</v>
      </c>
      <c r="AI102" s="67" t="s">
        <v>60</v>
      </c>
      <c r="AJ102" s="67" t="s">
        <v>40</v>
      </c>
      <c r="AK102" s="123"/>
      <c r="AL102" s="186" t="s">
        <v>306</v>
      </c>
    </row>
    <row r="103" spans="1:39" s="103" customFormat="1" ht="48" customHeight="1">
      <c r="A103" s="67">
        <v>15</v>
      </c>
      <c r="B103" s="137" t="s">
        <v>403</v>
      </c>
      <c r="C103" s="67"/>
      <c r="D103" s="187"/>
      <c r="E103" s="67">
        <v>0</v>
      </c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>
        <v>1</v>
      </c>
      <c r="Y103" s="67"/>
      <c r="Z103" s="67"/>
      <c r="AA103" s="71" t="s">
        <v>270</v>
      </c>
      <c r="AB103" s="67">
        <v>2</v>
      </c>
      <c r="AC103" s="67"/>
      <c r="AD103" s="67"/>
      <c r="AE103" s="67"/>
      <c r="AF103" s="141">
        <v>3500000</v>
      </c>
      <c r="AG103" s="141">
        <v>3500000</v>
      </c>
      <c r="AH103" s="69" t="s">
        <v>84</v>
      </c>
      <c r="AI103" s="67" t="s">
        <v>60</v>
      </c>
      <c r="AJ103" s="67" t="s">
        <v>40</v>
      </c>
      <c r="AK103" s="123"/>
      <c r="AL103" s="69" t="s">
        <v>201</v>
      </c>
    </row>
    <row r="104" spans="1:39" s="103" customFormat="1" ht="65.25" customHeight="1">
      <c r="A104" s="67">
        <v>16</v>
      </c>
      <c r="B104" s="118" t="s">
        <v>61</v>
      </c>
      <c r="C104" s="119" t="s">
        <v>155</v>
      </c>
      <c r="D104" s="119">
        <v>2022</v>
      </c>
      <c r="E104" s="186">
        <v>0</v>
      </c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67">
        <v>1</v>
      </c>
      <c r="Y104" s="67"/>
      <c r="Z104" s="67"/>
      <c r="AA104" s="71" t="s">
        <v>270</v>
      </c>
      <c r="AB104" s="67"/>
      <c r="AC104" s="67"/>
      <c r="AD104" s="67"/>
      <c r="AE104" s="67"/>
      <c r="AF104" s="148">
        <v>7900000</v>
      </c>
      <c r="AG104" s="148">
        <v>7900000</v>
      </c>
      <c r="AH104" s="69" t="s">
        <v>84</v>
      </c>
      <c r="AI104" s="67" t="s">
        <v>60</v>
      </c>
      <c r="AJ104" s="67" t="s">
        <v>40</v>
      </c>
      <c r="AK104" s="123"/>
      <c r="AL104" s="186" t="s">
        <v>297</v>
      </c>
    </row>
    <row r="105" spans="1:39" s="103" customFormat="1" ht="69" customHeight="1">
      <c r="A105" s="67">
        <v>17</v>
      </c>
      <c r="B105" s="70" t="s">
        <v>145</v>
      </c>
      <c r="C105" s="67" t="s">
        <v>144</v>
      </c>
      <c r="D105" s="187">
        <v>2012</v>
      </c>
      <c r="E105" s="67">
        <v>0</v>
      </c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>
        <v>1</v>
      </c>
      <c r="Y105" s="67"/>
      <c r="Z105" s="67"/>
      <c r="AA105" s="71" t="s">
        <v>270</v>
      </c>
      <c r="AB105" s="67"/>
      <c r="AC105" s="67"/>
      <c r="AD105" s="67"/>
      <c r="AE105" s="67"/>
      <c r="AF105" s="141">
        <v>6000000</v>
      </c>
      <c r="AG105" s="141">
        <v>6000000</v>
      </c>
      <c r="AH105" s="69" t="s">
        <v>84</v>
      </c>
      <c r="AI105" s="67" t="s">
        <v>60</v>
      </c>
      <c r="AJ105" s="67" t="s">
        <v>40</v>
      </c>
      <c r="AK105" s="123"/>
      <c r="AL105" s="69" t="s">
        <v>306</v>
      </c>
    </row>
    <row r="106" spans="1:39" s="103" customFormat="1" ht="67.5" customHeight="1">
      <c r="A106" s="67">
        <v>18</v>
      </c>
      <c r="B106" s="118" t="s">
        <v>206</v>
      </c>
      <c r="C106" s="186"/>
      <c r="D106" s="119">
        <v>2007</v>
      </c>
      <c r="E106" s="67">
        <v>0</v>
      </c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>
        <v>1</v>
      </c>
      <c r="Y106" s="67"/>
      <c r="Z106" s="67"/>
      <c r="AA106" s="71" t="s">
        <v>270</v>
      </c>
      <c r="AB106" s="67"/>
      <c r="AC106" s="67"/>
      <c r="AD106" s="67"/>
      <c r="AE106" s="67"/>
      <c r="AF106" s="141">
        <v>475000</v>
      </c>
      <c r="AG106" s="141">
        <v>475000</v>
      </c>
      <c r="AH106" s="69" t="s">
        <v>84</v>
      </c>
      <c r="AI106" s="67" t="s">
        <v>60</v>
      </c>
      <c r="AJ106" s="67" t="s">
        <v>40</v>
      </c>
      <c r="AK106" s="101"/>
      <c r="AL106" s="69" t="s">
        <v>297</v>
      </c>
    </row>
    <row r="107" spans="1:39" s="103" customFormat="1" ht="77.25" customHeight="1">
      <c r="A107" s="67">
        <v>19</v>
      </c>
      <c r="B107" s="68" t="s">
        <v>63</v>
      </c>
      <c r="C107" s="69" t="s">
        <v>220</v>
      </c>
      <c r="D107" s="187">
        <v>2022</v>
      </c>
      <c r="E107" s="67">
        <v>0</v>
      </c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>
        <v>1</v>
      </c>
      <c r="Y107" s="67"/>
      <c r="Z107" s="67"/>
      <c r="AA107" s="71" t="s">
        <v>270</v>
      </c>
      <c r="AB107" s="67"/>
      <c r="AC107" s="67"/>
      <c r="AD107" s="67"/>
      <c r="AE107" s="67"/>
      <c r="AF107" s="141">
        <v>660000</v>
      </c>
      <c r="AG107" s="141">
        <f>+X107*AF107</f>
        <v>660000</v>
      </c>
      <c r="AH107" s="69" t="s">
        <v>84</v>
      </c>
      <c r="AI107" s="116" t="s">
        <v>221</v>
      </c>
      <c r="AJ107" s="67" t="s">
        <v>40</v>
      </c>
      <c r="AK107" s="101"/>
      <c r="AL107" s="186" t="s">
        <v>306</v>
      </c>
      <c r="AM107" s="102"/>
    </row>
    <row r="108" spans="1:39" s="103" customFormat="1" ht="78.75">
      <c r="A108" s="67">
        <v>20</v>
      </c>
      <c r="B108" s="68" t="s">
        <v>63</v>
      </c>
      <c r="C108" s="67" t="s">
        <v>345</v>
      </c>
      <c r="D108" s="187">
        <v>2022</v>
      </c>
      <c r="E108" s="67">
        <v>1</v>
      </c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>
        <v>1</v>
      </c>
      <c r="Y108" s="67"/>
      <c r="Z108" s="67"/>
      <c r="AA108" s="71">
        <v>0</v>
      </c>
      <c r="AB108" s="67"/>
      <c r="AC108" s="67"/>
      <c r="AD108" s="67"/>
      <c r="AE108" s="67"/>
      <c r="AF108" s="141">
        <v>660000</v>
      </c>
      <c r="AG108" s="141">
        <f>+X108*AF108</f>
        <v>660000</v>
      </c>
      <c r="AH108" s="69" t="s">
        <v>84</v>
      </c>
      <c r="AI108" s="67" t="s">
        <v>60</v>
      </c>
      <c r="AJ108" s="67" t="s">
        <v>40</v>
      </c>
      <c r="AK108" s="101"/>
      <c r="AL108" s="69"/>
      <c r="AM108" s="102"/>
    </row>
    <row r="109" spans="1:39" s="103" customFormat="1" ht="67.5" customHeight="1">
      <c r="A109" s="186">
        <v>21</v>
      </c>
      <c r="B109" s="134" t="s">
        <v>313</v>
      </c>
      <c r="C109" s="135"/>
      <c r="D109" s="187">
        <v>2008</v>
      </c>
      <c r="E109" s="67">
        <v>0</v>
      </c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>
        <v>2</v>
      </c>
      <c r="Y109" s="67"/>
      <c r="Z109" s="67"/>
      <c r="AA109" s="114" t="s">
        <v>271</v>
      </c>
      <c r="AB109" s="67"/>
      <c r="AC109" s="67"/>
      <c r="AD109" s="67"/>
      <c r="AE109" s="67"/>
      <c r="AF109" s="141">
        <v>350000</v>
      </c>
      <c r="AG109" s="141">
        <v>700000</v>
      </c>
      <c r="AH109" s="69" t="s">
        <v>84</v>
      </c>
      <c r="AI109" s="67" t="s">
        <v>60</v>
      </c>
      <c r="AJ109" s="67" t="s">
        <v>330</v>
      </c>
      <c r="AK109" s="69" t="s">
        <v>329</v>
      </c>
      <c r="AL109" s="69" t="s">
        <v>305</v>
      </c>
      <c r="AM109" s="102"/>
    </row>
    <row r="110" spans="1:39" s="33" customFormat="1" ht="31.5">
      <c r="A110" s="175" t="s">
        <v>105</v>
      </c>
      <c r="B110" s="180" t="s">
        <v>214</v>
      </c>
      <c r="C110" s="175"/>
      <c r="D110" s="175"/>
      <c r="E110" s="175"/>
      <c r="F110" s="176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62"/>
      <c r="AB110" s="175"/>
      <c r="AC110" s="175"/>
      <c r="AD110" s="175"/>
      <c r="AE110" s="175"/>
      <c r="AF110" s="145"/>
      <c r="AG110" s="145"/>
      <c r="AH110" s="173"/>
      <c r="AI110" s="175"/>
      <c r="AJ110" s="175"/>
      <c r="AK110" s="173"/>
      <c r="AL110" s="173" t="s">
        <v>194</v>
      </c>
    </row>
    <row r="111" spans="1:39" s="103" customFormat="1" ht="63" customHeight="1">
      <c r="A111" s="186">
        <v>1</v>
      </c>
      <c r="B111" s="118" t="s">
        <v>225</v>
      </c>
      <c r="C111" s="67" t="s">
        <v>222</v>
      </c>
      <c r="D111" s="187">
        <v>2022</v>
      </c>
      <c r="E111" s="67">
        <v>0</v>
      </c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>
        <v>1</v>
      </c>
      <c r="Y111" s="67"/>
      <c r="Z111" s="67"/>
      <c r="AA111" s="71" t="s">
        <v>270</v>
      </c>
      <c r="AB111" s="67"/>
      <c r="AC111" s="67"/>
      <c r="AD111" s="67"/>
      <c r="AE111" s="67"/>
      <c r="AF111" s="148">
        <v>3650000</v>
      </c>
      <c r="AG111" s="148">
        <v>3650000</v>
      </c>
      <c r="AH111" s="69" t="s">
        <v>84</v>
      </c>
      <c r="AI111" s="67" t="s">
        <v>223</v>
      </c>
      <c r="AJ111" s="67" t="s">
        <v>40</v>
      </c>
      <c r="AK111" s="101"/>
      <c r="AL111" s="69" t="s">
        <v>307</v>
      </c>
      <c r="AM111" s="122"/>
    </row>
    <row r="112" spans="1:39" s="103" customFormat="1" ht="78.75">
      <c r="A112" s="67">
        <v>2</v>
      </c>
      <c r="B112" s="68" t="s">
        <v>63</v>
      </c>
      <c r="C112" s="69" t="s">
        <v>224</v>
      </c>
      <c r="D112" s="187">
        <v>2022</v>
      </c>
      <c r="E112" s="67">
        <v>0</v>
      </c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>
        <v>2</v>
      </c>
      <c r="Y112" s="67"/>
      <c r="Z112" s="67"/>
      <c r="AA112" s="71" t="s">
        <v>271</v>
      </c>
      <c r="AB112" s="67"/>
      <c r="AC112" s="67"/>
      <c r="AD112" s="67"/>
      <c r="AE112" s="67"/>
      <c r="AF112" s="141">
        <v>660000</v>
      </c>
      <c r="AG112" s="141">
        <f>+X112*AF112</f>
        <v>1320000</v>
      </c>
      <c r="AH112" s="69" t="s">
        <v>84</v>
      </c>
      <c r="AI112" s="69" t="s">
        <v>241</v>
      </c>
      <c r="AJ112" s="67" t="s">
        <v>40</v>
      </c>
      <c r="AK112" s="101"/>
      <c r="AL112" s="69" t="s">
        <v>307</v>
      </c>
      <c r="AM112" s="122"/>
    </row>
    <row r="113" spans="1:39" ht="45" customHeight="1">
      <c r="A113" s="186">
        <v>3</v>
      </c>
      <c r="B113" s="68" t="s">
        <v>249</v>
      </c>
      <c r="C113" s="69" t="s">
        <v>251</v>
      </c>
      <c r="D113" s="187">
        <v>2023</v>
      </c>
      <c r="E113" s="67">
        <v>0</v>
      </c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>
        <v>1</v>
      </c>
      <c r="Y113" s="67"/>
      <c r="Z113" s="67"/>
      <c r="AA113" s="71" t="s">
        <v>270</v>
      </c>
      <c r="AB113" s="67"/>
      <c r="AC113" s="67"/>
      <c r="AD113" s="67"/>
      <c r="AE113" s="67"/>
      <c r="AF113" s="141">
        <v>1750000</v>
      </c>
      <c r="AG113" s="141">
        <v>1750000</v>
      </c>
      <c r="AH113" s="69" t="s">
        <v>84</v>
      </c>
      <c r="AI113" s="69" t="s">
        <v>254</v>
      </c>
      <c r="AJ113" s="67" t="s">
        <v>40</v>
      </c>
      <c r="AK113" s="136"/>
      <c r="AL113" s="69" t="s">
        <v>201</v>
      </c>
    </row>
    <row r="114" spans="1:39" ht="49.5" customHeight="1">
      <c r="A114" s="67">
        <v>4</v>
      </c>
      <c r="B114" s="118" t="s">
        <v>240</v>
      </c>
      <c r="C114" s="187" t="s">
        <v>252</v>
      </c>
      <c r="D114" s="187">
        <v>2023</v>
      </c>
      <c r="E114" s="67">
        <v>0</v>
      </c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>
        <v>1</v>
      </c>
      <c r="Y114" s="67"/>
      <c r="Z114" s="67"/>
      <c r="AA114" s="71" t="s">
        <v>270</v>
      </c>
      <c r="AB114" s="67"/>
      <c r="AC114" s="67"/>
      <c r="AD114" s="67"/>
      <c r="AE114" s="67"/>
      <c r="AF114" s="141">
        <v>1050000</v>
      </c>
      <c r="AG114" s="141">
        <v>1050000</v>
      </c>
      <c r="AH114" s="69" t="s">
        <v>84</v>
      </c>
      <c r="AI114" s="69" t="s">
        <v>254</v>
      </c>
      <c r="AJ114" s="67"/>
      <c r="AK114" s="136"/>
      <c r="AL114" s="69" t="s">
        <v>201</v>
      </c>
    </row>
    <row r="115" spans="1:39" s="103" customFormat="1" ht="45.75" customHeight="1">
      <c r="A115" s="186">
        <v>5</v>
      </c>
      <c r="B115" s="118" t="s">
        <v>249</v>
      </c>
      <c r="C115" s="125" t="s">
        <v>250</v>
      </c>
      <c r="D115" s="187">
        <v>2024</v>
      </c>
      <c r="E115" s="67">
        <v>0</v>
      </c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>
        <v>1</v>
      </c>
      <c r="Y115" s="67"/>
      <c r="Z115" s="67"/>
      <c r="AA115" s="71" t="s">
        <v>270</v>
      </c>
      <c r="AB115" s="67"/>
      <c r="AC115" s="67"/>
      <c r="AD115" s="67"/>
      <c r="AE115" s="67"/>
      <c r="AF115" s="141">
        <v>1500000</v>
      </c>
      <c r="AG115" s="141">
        <v>1500000</v>
      </c>
      <c r="AH115" s="69" t="s">
        <v>84</v>
      </c>
      <c r="AI115" s="69" t="s">
        <v>255</v>
      </c>
      <c r="AJ115" s="67" t="s">
        <v>40</v>
      </c>
      <c r="AK115" s="101"/>
      <c r="AL115" s="69" t="s">
        <v>201</v>
      </c>
      <c r="AM115" s="122"/>
    </row>
    <row r="116" spans="1:39" s="103" customFormat="1" ht="46.5" customHeight="1">
      <c r="A116" s="67">
        <v>6</v>
      </c>
      <c r="B116" s="118" t="s">
        <v>240</v>
      </c>
      <c r="C116" s="125" t="s">
        <v>253</v>
      </c>
      <c r="D116" s="187">
        <v>2024</v>
      </c>
      <c r="E116" s="67">
        <v>0</v>
      </c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>
        <v>1</v>
      </c>
      <c r="Y116" s="67"/>
      <c r="Z116" s="67"/>
      <c r="AA116" s="71" t="s">
        <v>270</v>
      </c>
      <c r="AB116" s="67"/>
      <c r="AC116" s="67"/>
      <c r="AD116" s="67"/>
      <c r="AE116" s="67"/>
      <c r="AF116" s="141">
        <v>870000</v>
      </c>
      <c r="AG116" s="141">
        <v>870000</v>
      </c>
      <c r="AH116" s="69" t="s">
        <v>84</v>
      </c>
      <c r="AI116" s="69" t="s">
        <v>255</v>
      </c>
      <c r="AJ116" s="67" t="s">
        <v>40</v>
      </c>
      <c r="AK116" s="101"/>
      <c r="AL116" s="69" t="s">
        <v>201</v>
      </c>
      <c r="AM116" s="122"/>
    </row>
    <row r="117" spans="1:39" s="103" customFormat="1" ht="60.75" customHeight="1">
      <c r="A117" s="186">
        <v>7</v>
      </c>
      <c r="B117" s="190" t="s">
        <v>203</v>
      </c>
      <c r="C117" s="191" t="s">
        <v>226</v>
      </c>
      <c r="D117" s="187">
        <v>2017</v>
      </c>
      <c r="E117" s="67">
        <v>0</v>
      </c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>
        <v>1</v>
      </c>
      <c r="Y117" s="67"/>
      <c r="Z117" s="67"/>
      <c r="AA117" s="71" t="s">
        <v>270</v>
      </c>
      <c r="AB117" s="67"/>
      <c r="AC117" s="67"/>
      <c r="AD117" s="67"/>
      <c r="AE117" s="67"/>
      <c r="AF117" s="192">
        <v>1230000</v>
      </c>
      <c r="AG117" s="193">
        <v>1230000</v>
      </c>
      <c r="AH117" s="69" t="s">
        <v>84</v>
      </c>
      <c r="AI117" s="67" t="s">
        <v>227</v>
      </c>
      <c r="AJ117" s="67" t="s">
        <v>40</v>
      </c>
      <c r="AK117" s="187" t="s">
        <v>371</v>
      </c>
      <c r="AL117" s="69" t="s">
        <v>347</v>
      </c>
      <c r="AM117" s="122"/>
    </row>
    <row r="118" spans="1:39" s="103" customFormat="1" ht="59.25" customHeight="1">
      <c r="A118" s="67">
        <v>8</v>
      </c>
      <c r="B118" s="137" t="s">
        <v>328</v>
      </c>
      <c r="C118" s="67"/>
      <c r="D118" s="187">
        <v>2010</v>
      </c>
      <c r="E118" s="67">
        <v>0</v>
      </c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>
        <v>1</v>
      </c>
      <c r="Y118" s="67"/>
      <c r="Z118" s="67"/>
      <c r="AA118" s="71" t="s">
        <v>270</v>
      </c>
      <c r="AB118" s="67"/>
      <c r="AC118" s="67"/>
      <c r="AD118" s="67"/>
      <c r="AE118" s="67"/>
      <c r="AF118" s="141"/>
      <c r="AG118" s="141"/>
      <c r="AH118" s="69" t="s">
        <v>84</v>
      </c>
      <c r="AI118" s="67" t="s">
        <v>60</v>
      </c>
      <c r="AJ118" s="67" t="s">
        <v>40</v>
      </c>
      <c r="AK118" s="101"/>
      <c r="AL118" s="69" t="s">
        <v>308</v>
      </c>
      <c r="AM118" s="122"/>
    </row>
    <row r="119" spans="1:39" s="103" customFormat="1" ht="54" customHeight="1">
      <c r="A119" s="186">
        <v>9</v>
      </c>
      <c r="B119" s="134" t="s">
        <v>346</v>
      </c>
      <c r="C119" s="135"/>
      <c r="D119" s="187">
        <v>2024</v>
      </c>
      <c r="E119" s="67">
        <v>0</v>
      </c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>
        <v>1</v>
      </c>
      <c r="Y119" s="67"/>
      <c r="Z119" s="67"/>
      <c r="AA119" s="71" t="s">
        <v>270</v>
      </c>
      <c r="AB119" s="67"/>
      <c r="AC119" s="67"/>
      <c r="AD119" s="67"/>
      <c r="AE119" s="67"/>
      <c r="AF119" s="141">
        <v>3500000</v>
      </c>
      <c r="AG119" s="141">
        <v>3500000</v>
      </c>
      <c r="AH119" s="69" t="s">
        <v>84</v>
      </c>
      <c r="AI119" s="67" t="s">
        <v>60</v>
      </c>
      <c r="AJ119" s="67" t="s">
        <v>40</v>
      </c>
      <c r="AK119" s="101"/>
      <c r="AL119" s="69" t="s">
        <v>201</v>
      </c>
      <c r="AM119" s="122"/>
    </row>
    <row r="120" spans="1:39" ht="27.75" customHeight="1">
      <c r="A120" s="176" t="s">
        <v>106</v>
      </c>
      <c r="B120" s="72" t="s">
        <v>149</v>
      </c>
      <c r="C120" s="67"/>
      <c r="D120" s="18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141"/>
      <c r="AG120" s="141"/>
      <c r="AH120" s="69"/>
      <c r="AI120" s="67"/>
      <c r="AJ120" s="67"/>
      <c r="AK120" s="69"/>
      <c r="AL120" s="69"/>
    </row>
    <row r="121" spans="1:39" s="209" customFormat="1" ht="81.75" customHeight="1">
      <c r="A121" s="201">
        <v>1</v>
      </c>
      <c r="B121" s="202" t="s">
        <v>93</v>
      </c>
      <c r="C121" s="201" t="s">
        <v>404</v>
      </c>
      <c r="D121" s="203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>
        <v>1</v>
      </c>
      <c r="Y121" s="201"/>
      <c r="Z121" s="201"/>
      <c r="AA121" s="204" t="s">
        <v>270</v>
      </c>
      <c r="AB121" s="201"/>
      <c r="AC121" s="201"/>
      <c r="AD121" s="201"/>
      <c r="AE121" s="201"/>
      <c r="AF121" s="205">
        <v>117500</v>
      </c>
      <c r="AG121" s="205">
        <v>117500</v>
      </c>
      <c r="AH121" s="206" t="s">
        <v>84</v>
      </c>
      <c r="AI121" s="201" t="s">
        <v>137</v>
      </c>
      <c r="AJ121" s="201" t="s">
        <v>40</v>
      </c>
      <c r="AK121" s="207"/>
      <c r="AL121" s="206" t="s">
        <v>314</v>
      </c>
      <c r="AM121" s="208"/>
    </row>
    <row r="122" spans="1:39" s="209" customFormat="1" ht="81.75" customHeight="1">
      <c r="A122" s="201">
        <v>2</v>
      </c>
      <c r="B122" s="202" t="s">
        <v>93</v>
      </c>
      <c r="C122" s="201" t="s">
        <v>94</v>
      </c>
      <c r="D122" s="203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>
        <v>1</v>
      </c>
      <c r="Y122" s="201"/>
      <c r="Z122" s="201"/>
      <c r="AA122" s="204" t="s">
        <v>270</v>
      </c>
      <c r="AB122" s="201"/>
      <c r="AC122" s="201"/>
      <c r="AD122" s="201"/>
      <c r="AE122" s="201"/>
      <c r="AF122" s="205">
        <v>117500</v>
      </c>
      <c r="AG122" s="205">
        <v>117500</v>
      </c>
      <c r="AH122" s="206" t="s">
        <v>84</v>
      </c>
      <c r="AI122" s="201" t="s">
        <v>137</v>
      </c>
      <c r="AJ122" s="201" t="s">
        <v>40</v>
      </c>
      <c r="AK122" s="207"/>
      <c r="AL122" s="206" t="s">
        <v>314</v>
      </c>
      <c r="AM122" s="208"/>
    </row>
    <row r="123" spans="1:39" s="103" customFormat="1" ht="44.25" customHeight="1">
      <c r="A123" s="67">
        <v>3</v>
      </c>
      <c r="B123" s="70" t="s">
        <v>93</v>
      </c>
      <c r="C123" s="67" t="s">
        <v>152</v>
      </c>
      <c r="D123" s="187"/>
      <c r="E123" s="67">
        <v>1</v>
      </c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>
        <v>1</v>
      </c>
      <c r="Y123" s="67"/>
      <c r="Z123" s="67"/>
      <c r="AA123" s="71">
        <v>0</v>
      </c>
      <c r="AB123" s="67"/>
      <c r="AC123" s="67"/>
      <c r="AD123" s="67"/>
      <c r="AE123" s="67"/>
      <c r="AF123" s="142">
        <v>475000</v>
      </c>
      <c r="AG123" s="142">
        <v>475000</v>
      </c>
      <c r="AH123" s="69" t="s">
        <v>84</v>
      </c>
      <c r="AI123" s="67" t="s">
        <v>137</v>
      </c>
      <c r="AJ123" s="67" t="s">
        <v>40</v>
      </c>
      <c r="AK123" s="69"/>
      <c r="AL123" s="69"/>
      <c r="AM123" s="122"/>
    </row>
    <row r="124" spans="1:39" s="103" customFormat="1" ht="44.25" customHeight="1">
      <c r="A124" s="67">
        <v>4</v>
      </c>
      <c r="B124" s="70" t="s">
        <v>336</v>
      </c>
      <c r="C124" s="67"/>
      <c r="D124" s="187">
        <v>2016</v>
      </c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71"/>
      <c r="AB124" s="67"/>
      <c r="AC124" s="67"/>
      <c r="AD124" s="67"/>
      <c r="AE124" s="67"/>
      <c r="AF124" s="141"/>
      <c r="AG124" s="141"/>
      <c r="AH124" s="69"/>
      <c r="AI124" s="67"/>
      <c r="AJ124" s="67"/>
      <c r="AK124" s="69"/>
      <c r="AL124" s="69" t="s">
        <v>304</v>
      </c>
      <c r="AM124" s="69" t="s">
        <v>304</v>
      </c>
    </row>
    <row r="125" spans="1:39" s="103" customFormat="1" ht="44.25" customHeight="1">
      <c r="A125" s="67">
        <v>5</v>
      </c>
      <c r="B125" s="70" t="s">
        <v>337</v>
      </c>
      <c r="C125" s="67" t="s">
        <v>338</v>
      </c>
      <c r="D125" s="18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71"/>
      <c r="AB125" s="67"/>
      <c r="AC125" s="67"/>
      <c r="AD125" s="67"/>
      <c r="AE125" s="67"/>
      <c r="AF125" s="142">
        <v>490909</v>
      </c>
      <c r="AG125" s="142">
        <v>490909</v>
      </c>
      <c r="AH125" s="69"/>
      <c r="AI125" s="67"/>
      <c r="AJ125" s="67"/>
      <c r="AK125" s="69"/>
      <c r="AL125" s="69" t="s">
        <v>304</v>
      </c>
      <c r="AM125" s="69" t="s">
        <v>304</v>
      </c>
    </row>
    <row r="126" spans="1:39" ht="26.25" customHeight="1">
      <c r="A126" s="176" t="s">
        <v>173</v>
      </c>
      <c r="B126" s="72" t="s">
        <v>150</v>
      </c>
      <c r="C126" s="67"/>
      <c r="D126" s="18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141"/>
      <c r="AG126" s="141"/>
      <c r="AH126" s="69"/>
      <c r="AI126" s="67"/>
      <c r="AJ126" s="67"/>
      <c r="AK126" s="69"/>
      <c r="AL126" s="69"/>
    </row>
    <row r="127" spans="1:39" s="103" customFormat="1" ht="78.75" customHeight="1">
      <c r="A127" s="67">
        <v>1</v>
      </c>
      <c r="B127" s="68" t="s">
        <v>63</v>
      </c>
      <c r="C127" s="67" t="s">
        <v>279</v>
      </c>
      <c r="D127" s="187">
        <v>2022</v>
      </c>
      <c r="E127" s="67">
        <v>0</v>
      </c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>
        <v>1</v>
      </c>
      <c r="Y127" s="67"/>
      <c r="Z127" s="67"/>
      <c r="AA127" s="71" t="s">
        <v>270</v>
      </c>
      <c r="AB127" s="67"/>
      <c r="AC127" s="67"/>
      <c r="AD127" s="67"/>
      <c r="AE127" s="67"/>
      <c r="AF127" s="141">
        <v>660000</v>
      </c>
      <c r="AG127" s="141">
        <f>+X127*AF127</f>
        <v>660000</v>
      </c>
      <c r="AH127" s="69" t="s">
        <v>84</v>
      </c>
      <c r="AI127" s="67" t="s">
        <v>138</v>
      </c>
      <c r="AJ127" s="67" t="s">
        <v>40</v>
      </c>
      <c r="AK127" s="123"/>
      <c r="AL127" s="69" t="s">
        <v>309</v>
      </c>
      <c r="AM127" s="122"/>
    </row>
    <row r="128" spans="1:39" s="103" customFormat="1" ht="132" customHeight="1">
      <c r="A128" s="67">
        <v>2</v>
      </c>
      <c r="B128" s="68" t="s">
        <v>63</v>
      </c>
      <c r="C128" s="67" t="s">
        <v>339</v>
      </c>
      <c r="D128" s="187">
        <v>2022</v>
      </c>
      <c r="E128" s="67">
        <v>3</v>
      </c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>
        <v>1</v>
      </c>
      <c r="Y128" s="67"/>
      <c r="Z128" s="67"/>
      <c r="AA128" s="71" t="s">
        <v>278</v>
      </c>
      <c r="AB128" s="67"/>
      <c r="AC128" s="67"/>
      <c r="AD128" s="67"/>
      <c r="AE128" s="67"/>
      <c r="AF128" s="141">
        <v>660000</v>
      </c>
      <c r="AG128" s="141">
        <f>+X128*AF128</f>
        <v>660000</v>
      </c>
      <c r="AH128" s="69" t="s">
        <v>84</v>
      </c>
      <c r="AI128" s="67" t="s">
        <v>138</v>
      </c>
      <c r="AJ128" s="67" t="s">
        <v>40</v>
      </c>
      <c r="AK128" s="123"/>
      <c r="AL128" s="69" t="s">
        <v>310</v>
      </c>
      <c r="AM128" s="122"/>
    </row>
    <row r="129" spans="1:39" s="54" customFormat="1" ht="40.5" customHeight="1">
      <c r="A129" s="175" t="s">
        <v>207</v>
      </c>
      <c r="B129" s="180" t="s">
        <v>323</v>
      </c>
      <c r="C129" s="175"/>
      <c r="D129" s="175"/>
      <c r="E129" s="175"/>
      <c r="F129" s="176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62"/>
      <c r="AB129" s="175"/>
      <c r="AC129" s="175"/>
      <c r="AD129" s="175"/>
      <c r="AE129" s="175"/>
      <c r="AF129" s="145"/>
      <c r="AG129" s="145"/>
      <c r="AH129" s="173"/>
      <c r="AI129" s="175"/>
      <c r="AJ129" s="175"/>
      <c r="AK129" s="173"/>
      <c r="AL129" s="173"/>
    </row>
    <row r="130" spans="1:39" s="103" customFormat="1" ht="110.25">
      <c r="A130" s="187">
        <v>1</v>
      </c>
      <c r="B130" s="68" t="s">
        <v>88</v>
      </c>
      <c r="C130" s="67" t="s">
        <v>288</v>
      </c>
      <c r="D130" s="187">
        <v>2022</v>
      </c>
      <c r="E130" s="67">
        <v>0</v>
      </c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>
        <v>3</v>
      </c>
      <c r="Y130" s="67"/>
      <c r="Z130" s="67"/>
      <c r="AA130" s="71" t="s">
        <v>287</v>
      </c>
      <c r="AB130" s="67"/>
      <c r="AC130" s="67"/>
      <c r="AD130" s="67"/>
      <c r="AE130" s="67"/>
      <c r="AF130" s="148">
        <v>4650000</v>
      </c>
      <c r="AG130" s="148">
        <v>4650000</v>
      </c>
      <c r="AH130" s="69" t="s">
        <v>84</v>
      </c>
      <c r="AI130" s="67" t="s">
        <v>211</v>
      </c>
      <c r="AJ130" s="67" t="s">
        <v>40</v>
      </c>
      <c r="AK130" s="121"/>
      <c r="AL130" s="186" t="s">
        <v>334</v>
      </c>
      <c r="AM130" s="138" t="s">
        <v>311</v>
      </c>
    </row>
    <row r="131" spans="1:39" ht="48.75" customHeight="1">
      <c r="A131" s="187" t="s">
        <v>174</v>
      </c>
      <c r="B131" s="68" t="s">
        <v>325</v>
      </c>
      <c r="C131" s="67"/>
      <c r="D131" s="18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71"/>
      <c r="AB131" s="67"/>
      <c r="AC131" s="67"/>
      <c r="AD131" s="67"/>
      <c r="AE131" s="67"/>
      <c r="AF131" s="141"/>
      <c r="AG131" s="141"/>
      <c r="AH131" s="69"/>
      <c r="AI131" s="67"/>
      <c r="AJ131" s="67"/>
      <c r="AK131" s="186"/>
      <c r="AL131" s="186"/>
      <c r="AM131" s="138"/>
    </row>
    <row r="132" spans="1:39" s="103" customFormat="1" ht="87" customHeight="1">
      <c r="A132" s="187">
        <v>1</v>
      </c>
      <c r="B132" s="68" t="s">
        <v>88</v>
      </c>
      <c r="C132" s="67" t="s">
        <v>326</v>
      </c>
      <c r="D132" s="187">
        <v>2022</v>
      </c>
      <c r="E132" s="67">
        <v>13</v>
      </c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>
        <v>0</v>
      </c>
      <c r="Y132" s="67"/>
      <c r="Z132" s="67"/>
      <c r="AA132" s="71">
        <v>-13</v>
      </c>
      <c r="AB132" s="67"/>
      <c r="AC132" s="67"/>
      <c r="AD132" s="67"/>
      <c r="AE132" s="67"/>
      <c r="AF132" s="141"/>
      <c r="AG132" s="141"/>
      <c r="AH132" s="69"/>
      <c r="AI132" s="67"/>
      <c r="AJ132" s="67"/>
      <c r="AK132" s="186"/>
      <c r="AL132" s="186" t="s">
        <v>327</v>
      </c>
      <c r="AM132" s="138"/>
    </row>
    <row r="133" spans="1:39" s="54" customFormat="1" ht="25.5" customHeight="1">
      <c r="A133" s="175" t="s">
        <v>37</v>
      </c>
      <c r="B133" s="72" t="s">
        <v>358</v>
      </c>
      <c r="C133" s="176"/>
      <c r="D133" s="175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2"/>
      <c r="AB133" s="176"/>
      <c r="AC133" s="176"/>
      <c r="AD133" s="176"/>
      <c r="AE133" s="176"/>
      <c r="AF133" s="146"/>
      <c r="AG133" s="146"/>
      <c r="AH133" s="182"/>
      <c r="AI133" s="176"/>
      <c r="AJ133" s="176"/>
      <c r="AK133" s="173"/>
      <c r="AL133" s="173"/>
      <c r="AM133" s="64"/>
    </row>
    <row r="134" spans="1:39" s="103" customFormat="1" ht="38.25" customHeight="1">
      <c r="A134" s="187">
        <v>1</v>
      </c>
      <c r="B134" s="28" t="s">
        <v>359</v>
      </c>
      <c r="C134" s="106" t="s">
        <v>361</v>
      </c>
      <c r="D134" s="106">
        <v>2017</v>
      </c>
      <c r="E134" s="67">
        <v>1</v>
      </c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>
        <v>1</v>
      </c>
      <c r="Y134" s="67"/>
      <c r="Z134" s="67"/>
      <c r="AA134" s="71">
        <v>0</v>
      </c>
      <c r="AB134" s="67"/>
      <c r="AC134" s="67"/>
      <c r="AD134" s="67"/>
      <c r="AE134" s="67"/>
      <c r="AF134" s="194">
        <v>790000</v>
      </c>
      <c r="AG134" s="194">
        <v>790000</v>
      </c>
      <c r="AH134" s="69" t="s">
        <v>84</v>
      </c>
      <c r="AI134" s="67"/>
      <c r="AJ134" s="67" t="s">
        <v>40</v>
      </c>
      <c r="AK134" s="186" t="s">
        <v>371</v>
      </c>
      <c r="AL134" s="186"/>
      <c r="AM134" s="138"/>
    </row>
    <row r="135" spans="1:39" s="103" customFormat="1" ht="43.5" customHeight="1">
      <c r="A135" s="187">
        <v>2</v>
      </c>
      <c r="B135" s="107" t="s">
        <v>360</v>
      </c>
      <c r="C135" s="108" t="s">
        <v>362</v>
      </c>
      <c r="D135" s="106">
        <v>2016</v>
      </c>
      <c r="E135" s="67">
        <v>1</v>
      </c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>
        <v>1</v>
      </c>
      <c r="Y135" s="67"/>
      <c r="Z135" s="67"/>
      <c r="AA135" s="71">
        <v>0</v>
      </c>
      <c r="AB135" s="67"/>
      <c r="AC135" s="67"/>
      <c r="AD135" s="67"/>
      <c r="AE135" s="67"/>
      <c r="AF135" s="195">
        <v>6500000</v>
      </c>
      <c r="AG135" s="142">
        <v>6500000</v>
      </c>
      <c r="AH135" s="69" t="s">
        <v>84</v>
      </c>
      <c r="AI135" s="67"/>
      <c r="AJ135" s="67" t="s">
        <v>40</v>
      </c>
      <c r="AK135" s="186" t="s">
        <v>371</v>
      </c>
      <c r="AL135" s="186"/>
      <c r="AM135" s="138"/>
    </row>
    <row r="136" spans="1:39" s="103" customFormat="1" ht="36" customHeight="1">
      <c r="A136" s="187">
        <v>4</v>
      </c>
      <c r="B136" s="28" t="s">
        <v>365</v>
      </c>
      <c r="C136" s="106" t="s">
        <v>366</v>
      </c>
      <c r="D136" s="106">
        <v>2017</v>
      </c>
      <c r="E136" s="67">
        <v>1</v>
      </c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>
        <v>1</v>
      </c>
      <c r="Y136" s="67"/>
      <c r="Z136" s="67"/>
      <c r="AA136" s="71">
        <v>0</v>
      </c>
      <c r="AB136" s="67"/>
      <c r="AC136" s="67"/>
      <c r="AD136" s="67"/>
      <c r="AE136" s="67"/>
      <c r="AF136" s="194">
        <v>4050000</v>
      </c>
      <c r="AG136" s="142">
        <v>4050000</v>
      </c>
      <c r="AH136" s="69" t="s">
        <v>84</v>
      </c>
      <c r="AI136" s="67"/>
      <c r="AJ136" s="67" t="s">
        <v>40</v>
      </c>
      <c r="AK136" s="186" t="s">
        <v>371</v>
      </c>
      <c r="AL136" s="186"/>
      <c r="AM136" s="138"/>
    </row>
    <row r="137" spans="1:39" s="103" customFormat="1" ht="37.5" customHeight="1">
      <c r="A137" s="196">
        <v>5</v>
      </c>
      <c r="B137" s="197" t="s">
        <v>367</v>
      </c>
      <c r="C137" s="198" t="s">
        <v>368</v>
      </c>
      <c r="D137" s="198">
        <v>2017</v>
      </c>
      <c r="E137" s="165">
        <v>1</v>
      </c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>
        <v>1</v>
      </c>
      <c r="Y137" s="165"/>
      <c r="Z137" s="165"/>
      <c r="AA137" s="170">
        <v>0</v>
      </c>
      <c r="AB137" s="165"/>
      <c r="AC137" s="165"/>
      <c r="AD137" s="165"/>
      <c r="AE137" s="165"/>
      <c r="AF137" s="194">
        <v>3540000</v>
      </c>
      <c r="AG137" s="142">
        <v>3540000</v>
      </c>
      <c r="AH137" s="69" t="s">
        <v>84</v>
      </c>
      <c r="AI137" s="165"/>
      <c r="AJ137" s="67" t="s">
        <v>40</v>
      </c>
      <c r="AK137" s="186" t="s">
        <v>371</v>
      </c>
      <c r="AL137" s="168"/>
      <c r="AM137" s="138"/>
    </row>
    <row r="138" spans="1:39" s="54" customFormat="1" ht="40.5" customHeight="1">
      <c r="A138" s="67">
        <v>6</v>
      </c>
      <c r="B138" s="28" t="s">
        <v>369</v>
      </c>
      <c r="C138" s="106" t="s">
        <v>370</v>
      </c>
      <c r="D138" s="106">
        <v>2017</v>
      </c>
      <c r="E138" s="67">
        <v>1</v>
      </c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>
        <v>1</v>
      </c>
      <c r="Y138" s="70"/>
      <c r="Z138" s="70"/>
      <c r="AA138" s="67">
        <v>0</v>
      </c>
      <c r="AB138" s="70"/>
      <c r="AC138" s="70"/>
      <c r="AD138" s="70"/>
      <c r="AE138" s="70"/>
      <c r="AF138" s="194">
        <v>3300000</v>
      </c>
      <c r="AG138" s="142">
        <v>3300000</v>
      </c>
      <c r="AH138" s="69" t="s">
        <v>84</v>
      </c>
      <c r="AI138" s="67"/>
      <c r="AJ138" s="67" t="s">
        <v>40</v>
      </c>
      <c r="AK138" s="186" t="s">
        <v>371</v>
      </c>
      <c r="AL138" s="68"/>
    </row>
    <row r="139" spans="1:39" s="21" customFormat="1" ht="90.75" customHeight="1">
      <c r="A139" s="67">
        <v>7</v>
      </c>
      <c r="B139" s="199" t="s">
        <v>203</v>
      </c>
      <c r="C139" s="106" t="s">
        <v>374</v>
      </c>
      <c r="D139" s="200">
        <v>2017</v>
      </c>
      <c r="E139" s="67">
        <v>0</v>
      </c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>
        <v>1</v>
      </c>
      <c r="Y139" s="70"/>
      <c r="Z139" s="70"/>
      <c r="AA139" s="139" t="s">
        <v>270</v>
      </c>
      <c r="AB139" s="70"/>
      <c r="AC139" s="70"/>
      <c r="AD139" s="70"/>
      <c r="AE139" s="70"/>
      <c r="AF139" s="188">
        <v>1230000</v>
      </c>
      <c r="AG139" s="188">
        <v>1230000</v>
      </c>
      <c r="AH139" s="69" t="s">
        <v>84</v>
      </c>
      <c r="AI139" s="67"/>
      <c r="AJ139" s="67" t="s">
        <v>40</v>
      </c>
      <c r="AK139" s="186" t="s">
        <v>371</v>
      </c>
      <c r="AL139" s="68" t="s">
        <v>375</v>
      </c>
    </row>
    <row r="140" spans="1:39" s="54" customFormat="1" ht="90.75" customHeight="1">
      <c r="A140" s="67">
        <v>8</v>
      </c>
      <c r="B140" s="199" t="s">
        <v>376</v>
      </c>
      <c r="C140" s="106" t="s">
        <v>377</v>
      </c>
      <c r="D140" s="106"/>
      <c r="E140" s="67">
        <v>0</v>
      </c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>
        <v>1</v>
      </c>
      <c r="Y140" s="70"/>
      <c r="Z140" s="70"/>
      <c r="AA140" s="139" t="s">
        <v>270</v>
      </c>
      <c r="AB140" s="70"/>
      <c r="AC140" s="70"/>
      <c r="AD140" s="70"/>
      <c r="AE140" s="70"/>
      <c r="AF140" s="194">
        <v>1000000</v>
      </c>
      <c r="AG140" s="142">
        <v>1000000</v>
      </c>
      <c r="AH140" s="69" t="s">
        <v>84</v>
      </c>
      <c r="AI140" s="67"/>
      <c r="AJ140" s="67" t="s">
        <v>40</v>
      </c>
      <c r="AK140" s="186" t="s">
        <v>371</v>
      </c>
      <c r="AL140" s="68" t="s">
        <v>378</v>
      </c>
    </row>
    <row r="141" spans="1:39" s="21" customFormat="1" ht="66" customHeight="1">
      <c r="A141" s="67">
        <v>10</v>
      </c>
      <c r="B141" s="28" t="s">
        <v>385</v>
      </c>
      <c r="C141" s="106" t="s">
        <v>386</v>
      </c>
      <c r="D141" s="106"/>
      <c r="E141" s="67">
        <v>0</v>
      </c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>
        <v>1</v>
      </c>
      <c r="Y141" s="70"/>
      <c r="Z141" s="70"/>
      <c r="AA141" s="139" t="s">
        <v>270</v>
      </c>
      <c r="AB141" s="70"/>
      <c r="AC141" s="70"/>
      <c r="AD141" s="70"/>
      <c r="AE141" s="70"/>
      <c r="AF141" s="140" t="s">
        <v>53</v>
      </c>
      <c r="AG141" s="140" t="s">
        <v>53</v>
      </c>
      <c r="AH141" s="69" t="s">
        <v>84</v>
      </c>
      <c r="AI141" s="67"/>
      <c r="AJ141" s="67" t="s">
        <v>40</v>
      </c>
      <c r="AK141" s="186" t="s">
        <v>371</v>
      </c>
      <c r="AL141" s="68" t="s">
        <v>388</v>
      </c>
    </row>
    <row r="142" spans="1:39" s="21" customFormat="1" ht="18" customHeight="1">
      <c r="A142" s="151"/>
      <c r="B142" s="152" t="s">
        <v>405</v>
      </c>
      <c r="C142" s="153"/>
      <c r="D142" s="152"/>
      <c r="E142" s="151"/>
      <c r="F142" s="151"/>
      <c r="G142" s="154"/>
      <c r="H142" s="154"/>
      <c r="I142" s="154"/>
      <c r="J142" s="155"/>
      <c r="K142" s="155"/>
      <c r="L142" s="156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1"/>
      <c r="Z142" s="155"/>
      <c r="AA142" s="154"/>
      <c r="AB142" s="157"/>
      <c r="AC142" s="155"/>
      <c r="AD142" s="155"/>
      <c r="AE142" s="158"/>
      <c r="AF142" s="159"/>
      <c r="AG142" s="184">
        <f>SUM(AG27:AG141)</f>
        <v>387941030</v>
      </c>
      <c r="AH142" s="160">
        <f ca="1">SUM(AH83:AH152)</f>
        <v>0</v>
      </c>
      <c r="AI142" s="151"/>
      <c r="AJ142" s="151"/>
      <c r="AK142" s="161"/>
      <c r="AL142" s="162"/>
      <c r="AM142" s="163"/>
    </row>
    <row r="143" spans="1:39" s="33" customFormat="1">
      <c r="A143" s="3"/>
      <c r="B143" s="104"/>
      <c r="C143" s="105"/>
      <c r="D143" s="10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74"/>
      <c r="Z143" s="74"/>
      <c r="AA143" s="3"/>
      <c r="AB143" s="74"/>
      <c r="AC143" s="74"/>
      <c r="AD143" s="74"/>
      <c r="AE143" s="74"/>
      <c r="AF143" s="32"/>
      <c r="AG143" s="32"/>
      <c r="AH143" s="75"/>
      <c r="AI143" s="3"/>
      <c r="AJ143" s="3"/>
      <c r="AK143" s="75"/>
      <c r="AL143" s="76"/>
      <c r="AM143" s="21"/>
    </row>
    <row r="144" spans="1:39" s="33" customFormat="1" ht="16.5" customHeight="1">
      <c r="A144" s="183"/>
      <c r="B144" s="79"/>
      <c r="C144" s="29"/>
      <c r="E144" s="183"/>
      <c r="F144" s="49"/>
      <c r="K144" s="183"/>
      <c r="Z144" s="183"/>
      <c r="AA144" s="50"/>
      <c r="AF144" s="39"/>
      <c r="AG144" s="39"/>
      <c r="AI144" s="243" t="s">
        <v>198</v>
      </c>
      <c r="AJ144" s="243"/>
      <c r="AK144" s="243"/>
      <c r="AL144" s="243"/>
    </row>
    <row r="145" spans="1:39" s="33" customFormat="1">
      <c r="A145" s="183"/>
      <c r="B145" s="79" t="s">
        <v>50</v>
      </c>
      <c r="D145" s="243" t="s">
        <v>195</v>
      </c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AA145" s="243" t="s">
        <v>51</v>
      </c>
      <c r="AB145" s="243"/>
      <c r="AC145" s="243"/>
      <c r="AD145" s="243"/>
      <c r="AE145" s="243"/>
      <c r="AF145" s="243"/>
      <c r="AG145" s="243"/>
      <c r="AH145" s="243"/>
      <c r="AI145" s="243"/>
      <c r="AJ145" s="243" t="s">
        <v>52</v>
      </c>
      <c r="AK145" s="243"/>
      <c r="AL145" s="243"/>
    </row>
    <row r="146" spans="1:39" s="33" customFormat="1">
      <c r="A146" s="177" t="s">
        <v>53</v>
      </c>
      <c r="B146" s="21" t="s">
        <v>389</v>
      </c>
      <c r="C146" s="29"/>
      <c r="D146" s="183"/>
      <c r="E146" s="49"/>
      <c r="J146" s="183"/>
      <c r="Y146" s="183"/>
      <c r="Z146" s="50"/>
      <c r="AF146" s="39"/>
      <c r="AG146" s="39"/>
      <c r="AH146" s="183"/>
      <c r="AI146" s="183"/>
      <c r="AK146" s="64"/>
    </row>
    <row r="147" spans="1:39" s="33" customFormat="1">
      <c r="A147" s="177" t="s">
        <v>53</v>
      </c>
      <c r="B147" s="21" t="s">
        <v>390</v>
      </c>
      <c r="C147" s="29"/>
      <c r="D147" s="183"/>
      <c r="E147" s="49"/>
      <c r="J147" s="183"/>
      <c r="Y147" s="183"/>
      <c r="Z147" s="50"/>
      <c r="AF147" s="39"/>
      <c r="AG147" s="39"/>
      <c r="AH147" s="183"/>
      <c r="AI147" s="183"/>
      <c r="AK147" s="64"/>
    </row>
    <row r="148" spans="1:39" s="33" customFormat="1">
      <c r="A148" s="109" t="s">
        <v>53</v>
      </c>
      <c r="B148" s="21" t="s">
        <v>391</v>
      </c>
      <c r="C148" s="29"/>
      <c r="D148" s="183"/>
      <c r="E148" s="49"/>
      <c r="J148" s="183"/>
      <c r="Y148" s="183"/>
      <c r="Z148" s="50"/>
      <c r="AF148" s="39"/>
      <c r="AG148" s="39"/>
      <c r="AH148" s="183"/>
      <c r="AI148" s="183"/>
      <c r="AK148" s="64"/>
    </row>
    <row r="149" spans="1:39" s="33" customFormat="1" ht="14.25" customHeight="1">
      <c r="A149" s="177" t="s">
        <v>53</v>
      </c>
      <c r="B149" s="21" t="s">
        <v>392</v>
      </c>
      <c r="C149" s="29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64"/>
    </row>
    <row r="150" spans="1:39" s="33" customFormat="1" ht="11.25" customHeight="1">
      <c r="A150" s="183"/>
      <c r="B150" s="79"/>
      <c r="D150" s="243" t="s">
        <v>196</v>
      </c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Z150" s="33" t="s">
        <v>197</v>
      </c>
      <c r="AF150" s="39"/>
      <c r="AG150" s="243" t="s">
        <v>197</v>
      </c>
      <c r="AH150" s="243"/>
      <c r="AJ150" s="243" t="s">
        <v>161</v>
      </c>
      <c r="AK150" s="243"/>
      <c r="AL150" s="243"/>
    </row>
    <row r="151" spans="1:39" s="103" customFormat="1" ht="63" customHeight="1">
      <c r="A151" s="187">
        <v>3</v>
      </c>
      <c r="B151" s="107" t="s">
        <v>336</v>
      </c>
      <c r="C151" s="108" t="s">
        <v>363</v>
      </c>
      <c r="D151" s="106">
        <v>2017</v>
      </c>
      <c r="E151" s="67">
        <v>1</v>
      </c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>
        <v>0</v>
      </c>
      <c r="Y151" s="67"/>
      <c r="Z151" s="67"/>
      <c r="AA151" s="71">
        <v>-1</v>
      </c>
      <c r="AB151" s="67"/>
      <c r="AC151" s="67"/>
      <c r="AD151" s="67"/>
      <c r="AE151" s="67"/>
      <c r="AF151" s="150">
        <v>1750000</v>
      </c>
      <c r="AG151" s="142">
        <v>1750000</v>
      </c>
      <c r="AH151" s="69" t="s">
        <v>84</v>
      </c>
      <c r="AI151" s="67"/>
      <c r="AJ151" s="67" t="s">
        <v>40</v>
      </c>
      <c r="AK151" s="186" t="s">
        <v>371</v>
      </c>
      <c r="AL151" s="186" t="s">
        <v>364</v>
      </c>
      <c r="AM151" s="138"/>
    </row>
    <row r="152" spans="1:39" s="21" customFormat="1" ht="66" customHeight="1">
      <c r="A152" s="67">
        <v>11</v>
      </c>
      <c r="B152" s="118" t="s">
        <v>397</v>
      </c>
      <c r="C152" s="69" t="s">
        <v>398</v>
      </c>
      <c r="D152" s="106"/>
      <c r="E152" s="67">
        <v>3</v>
      </c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>
        <v>0</v>
      </c>
      <c r="Y152" s="70"/>
      <c r="Z152" s="70"/>
      <c r="AA152" s="114" t="s">
        <v>399</v>
      </c>
      <c r="AB152" s="70"/>
      <c r="AC152" s="70"/>
      <c r="AD152" s="70"/>
      <c r="AE152" s="70"/>
      <c r="AF152" s="141">
        <v>2150000</v>
      </c>
      <c r="AG152" s="141">
        <v>6450000</v>
      </c>
      <c r="AH152" s="69"/>
      <c r="AI152" s="67"/>
      <c r="AJ152" s="67"/>
      <c r="AK152" s="186" t="s">
        <v>402</v>
      </c>
      <c r="AL152" s="68" t="s">
        <v>400</v>
      </c>
      <c r="AM152" s="110" t="s">
        <v>401</v>
      </c>
    </row>
    <row r="153" spans="1:39">
      <c r="A153" s="33"/>
      <c r="B153" s="79"/>
      <c r="C153" s="33"/>
      <c r="D153" s="29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39"/>
      <c r="AG153" s="39"/>
      <c r="AH153" s="243"/>
      <c r="AI153" s="243"/>
      <c r="AJ153" s="243"/>
      <c r="AK153" s="243"/>
      <c r="AL153" s="243"/>
      <c r="AM153" s="33"/>
    </row>
  </sheetData>
  <mergeCells count="44">
    <mergeCell ref="E153:AE153"/>
    <mergeCell ref="AH153:AI153"/>
    <mergeCell ref="AJ153:AL153"/>
    <mergeCell ref="D150:X150"/>
    <mergeCell ref="AJ150:AL150"/>
    <mergeCell ref="AG150:AH150"/>
    <mergeCell ref="AI144:AL144"/>
    <mergeCell ref="D145:X145"/>
    <mergeCell ref="AA145:AI145"/>
    <mergeCell ref="AJ145:AL145"/>
    <mergeCell ref="D149:AD149"/>
    <mergeCell ref="AE149:AH149"/>
    <mergeCell ref="AI149:AJ149"/>
    <mergeCell ref="A6:AL6"/>
    <mergeCell ref="A16:A17"/>
    <mergeCell ref="B16:B17"/>
    <mergeCell ref="C16:C17"/>
    <mergeCell ref="A13:B13"/>
    <mergeCell ref="A8:AL8"/>
    <mergeCell ref="A9:C9"/>
    <mergeCell ref="A10:B10"/>
    <mergeCell ref="A11:B11"/>
    <mergeCell ref="A12:B12"/>
    <mergeCell ref="AL16:AL17"/>
    <mergeCell ref="AK16:AK17"/>
    <mergeCell ref="AJ16:AJ17"/>
    <mergeCell ref="AI16:AI17"/>
    <mergeCell ref="X16:Z16"/>
    <mergeCell ref="AA16:AC16"/>
    <mergeCell ref="Z1:AL1"/>
    <mergeCell ref="Z2:AL2"/>
    <mergeCell ref="A3:AL3"/>
    <mergeCell ref="Z4:AL4"/>
    <mergeCell ref="A5:AL5"/>
    <mergeCell ref="A1:X1"/>
    <mergeCell ref="A2:X2"/>
    <mergeCell ref="AH16:AH17"/>
    <mergeCell ref="D16:D17"/>
    <mergeCell ref="E16:P16"/>
    <mergeCell ref="G17:I17"/>
    <mergeCell ref="AD16:AD17"/>
    <mergeCell ref="AE16:AE17"/>
    <mergeCell ref="AF16:AF17"/>
    <mergeCell ref="AG16:AG17"/>
  </mergeCells>
  <phoneticPr fontId="22" type="noConversion"/>
  <printOptions horizontalCentered="1"/>
  <pageMargins left="0.25" right="0.23622047244094491" top="0.31496062992125984" bottom="0.27559055118110237" header="0.23622047244094491" footer="0.19685039370078741"/>
  <pageSetup paperSize="9" scale="8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977111117893"/>
  </sheetPr>
  <dimension ref="A1:AL154"/>
  <sheetViews>
    <sheetView tabSelected="1" topLeftCell="A138" zoomScale="96" zoomScaleNormal="96" zoomScaleSheetLayoutView="102" workbookViewId="0">
      <selection activeCell="X56" sqref="X56"/>
    </sheetView>
  </sheetViews>
  <sheetFormatPr defaultRowHeight="12.75"/>
  <cols>
    <col min="1" max="1" width="1.28515625" style="51" customWidth="1"/>
    <col min="2" max="2" width="5.5703125" style="52" customWidth="1"/>
    <col min="3" max="3" width="36.42578125" style="51" customWidth="1"/>
    <col min="4" max="4" width="7.7109375" style="51" customWidth="1"/>
    <col min="5" max="5" width="8.5703125" style="51" customWidth="1"/>
    <col min="6" max="6" width="7.140625" style="52" customWidth="1"/>
    <col min="7" max="7" width="11.5703125" style="53" hidden="1" customWidth="1"/>
    <col min="8" max="8" width="12.140625" style="51" hidden="1" customWidth="1"/>
    <col min="9" max="9" width="11.28515625" style="51" hidden="1" customWidth="1"/>
    <col min="10" max="10" width="12.42578125" style="51" hidden="1" customWidth="1"/>
    <col min="11" max="11" width="10.140625" style="51" hidden="1" customWidth="1"/>
    <col min="12" max="12" width="12.5703125" style="52" hidden="1" customWidth="1"/>
    <col min="13" max="13" width="10.85546875" style="51" hidden="1" customWidth="1"/>
    <col min="14" max="15" width="9.28515625" style="51" hidden="1" customWidth="1"/>
    <col min="16" max="16" width="10" style="51" hidden="1" customWidth="1"/>
    <col min="17" max="17" width="9.5703125" style="51" hidden="1" customWidth="1"/>
    <col min="18" max="18" width="9.42578125" style="51" hidden="1" customWidth="1"/>
    <col min="19" max="19" width="9" style="51" hidden="1" customWidth="1"/>
    <col min="20" max="20" width="11.28515625" style="51" hidden="1" customWidth="1"/>
    <col min="21" max="21" width="11.5703125" style="51" hidden="1" customWidth="1"/>
    <col min="22" max="22" width="10.5703125" style="51" hidden="1" customWidth="1"/>
    <col min="23" max="23" width="7.42578125" style="51" hidden="1" customWidth="1"/>
    <col min="24" max="24" width="7.85546875" style="52" customWidth="1"/>
    <col min="25" max="25" width="7.42578125" style="218" customWidth="1"/>
    <col min="26" max="26" width="6.140625" style="51" hidden="1" customWidth="1"/>
    <col min="27" max="27" width="5.5703125" style="51" hidden="1" customWidth="1"/>
    <col min="28" max="28" width="7.140625" style="51" hidden="1" customWidth="1"/>
    <col min="29" max="30" width="14.5703125" style="51" customWidth="1"/>
    <col min="31" max="31" width="16" style="51" customWidth="1"/>
    <col min="32" max="32" width="15.7109375" style="52" customWidth="1"/>
    <col min="33" max="33" width="10" style="52" customWidth="1"/>
    <col min="34" max="34" width="12.7109375" style="51" customWidth="1"/>
    <col min="35" max="35" width="10" style="51" customWidth="1"/>
    <col min="36" max="38" width="0" style="51" hidden="1" customWidth="1"/>
    <col min="39" max="16384" width="9.140625" style="51"/>
  </cols>
  <sheetData>
    <row r="1" spans="1:35" s="29" customFormat="1" ht="15.75" customHeight="1">
      <c r="B1" s="30" t="s">
        <v>42</v>
      </c>
      <c r="C1" s="31"/>
      <c r="D1" s="31"/>
      <c r="F1" s="214"/>
      <c r="G1" s="32"/>
      <c r="I1" s="33"/>
      <c r="J1" s="33"/>
      <c r="K1" s="210" t="s">
        <v>0</v>
      </c>
      <c r="L1" s="33"/>
      <c r="M1" s="33"/>
      <c r="N1" s="33"/>
      <c r="O1" s="33"/>
      <c r="Q1" s="210"/>
      <c r="R1" s="210"/>
      <c r="S1" s="210"/>
      <c r="T1" s="210"/>
      <c r="U1" s="210"/>
      <c r="V1" s="210"/>
      <c r="W1" s="210"/>
      <c r="X1" s="214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</row>
    <row r="2" spans="1:35" s="29" customFormat="1" ht="15" customHeight="1">
      <c r="B2" s="34" t="s">
        <v>43</v>
      </c>
      <c r="F2" s="214"/>
      <c r="G2" s="32"/>
      <c r="P2" s="35"/>
      <c r="Q2" s="35"/>
      <c r="R2" s="35"/>
      <c r="S2" s="35"/>
      <c r="T2" s="35"/>
      <c r="U2" s="35"/>
      <c r="V2" s="35"/>
      <c r="W2" s="35"/>
      <c r="X2" s="214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</row>
    <row r="3" spans="1:35" s="29" customFormat="1" ht="22.5" hidden="1" customHeight="1">
      <c r="B3" s="243" t="s">
        <v>1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</row>
    <row r="4" spans="1:35" s="29" customFormat="1" ht="15" customHeight="1"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56"/>
      <c r="Z4" s="256"/>
      <c r="AA4" s="256"/>
      <c r="AB4" s="256"/>
      <c r="AC4" s="256"/>
      <c r="AD4" s="256"/>
      <c r="AE4" s="256"/>
      <c r="AF4" s="256"/>
      <c r="AG4" s="256"/>
      <c r="AH4" s="256"/>
      <c r="AI4" s="256"/>
    </row>
    <row r="5" spans="1:35" s="29" customFormat="1" ht="16.5" customHeight="1">
      <c r="B5" s="243" t="s">
        <v>407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</row>
    <row r="6" spans="1:35" s="29" customFormat="1" ht="16.5" customHeight="1">
      <c r="B6" s="243" t="s">
        <v>151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</row>
    <row r="7" spans="1:35" s="29" customFormat="1" ht="12" customHeight="1"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9"/>
      <c r="AD7" s="219"/>
      <c r="AE7" s="210"/>
      <c r="AF7" s="210"/>
      <c r="AG7" s="210"/>
      <c r="AH7" s="210"/>
      <c r="AI7" s="210"/>
    </row>
    <row r="8" spans="1:35" s="29" customFormat="1" ht="18" customHeight="1">
      <c r="A8" s="31" t="s">
        <v>408</v>
      </c>
      <c r="B8" s="214"/>
      <c r="C8" s="214"/>
      <c r="D8" s="214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9"/>
      <c r="AD8" s="219"/>
      <c r="AF8" s="214"/>
    </row>
    <row r="9" spans="1:35" s="29" customFormat="1" ht="18" customHeight="1">
      <c r="A9" s="37" t="s">
        <v>158</v>
      </c>
      <c r="B9" s="214"/>
      <c r="D9" s="29" t="s">
        <v>159</v>
      </c>
      <c r="E9" s="210"/>
      <c r="H9" s="37"/>
      <c r="I9" s="210"/>
      <c r="K9" s="37" t="s">
        <v>2</v>
      </c>
      <c r="L9" s="210"/>
      <c r="M9" s="38"/>
      <c r="S9" s="37"/>
      <c r="T9" s="39"/>
      <c r="W9" s="36"/>
      <c r="Y9" s="37"/>
      <c r="AE9" s="37" t="s">
        <v>52</v>
      </c>
      <c r="AF9" s="214"/>
    </row>
    <row r="10" spans="1:35" s="29" customFormat="1" ht="18" customHeight="1">
      <c r="A10" s="37" t="s">
        <v>191</v>
      </c>
      <c r="B10" s="214"/>
      <c r="D10" s="29" t="s">
        <v>51</v>
      </c>
      <c r="E10" s="214"/>
      <c r="H10" s="37"/>
      <c r="I10" s="210"/>
      <c r="K10" s="37"/>
      <c r="L10" s="210"/>
      <c r="M10" s="38"/>
      <c r="S10" s="37"/>
      <c r="T10" s="39"/>
      <c r="W10" s="36"/>
      <c r="Y10" s="37"/>
      <c r="AE10" s="29" t="s">
        <v>54</v>
      </c>
      <c r="AF10" s="214"/>
    </row>
    <row r="11" spans="1:35" s="29" customFormat="1" ht="18" customHeight="1">
      <c r="A11" s="37" t="s">
        <v>55</v>
      </c>
      <c r="B11" s="214"/>
      <c r="D11" s="29" t="s">
        <v>56</v>
      </c>
      <c r="E11" s="210"/>
      <c r="H11" s="37"/>
      <c r="I11" s="210"/>
      <c r="K11" s="37" t="s">
        <v>3</v>
      </c>
      <c r="L11" s="210"/>
      <c r="M11" s="38"/>
      <c r="S11" s="37"/>
      <c r="T11" s="39"/>
      <c r="W11" s="36"/>
      <c r="Y11" s="37"/>
      <c r="AE11" s="29" t="s">
        <v>57</v>
      </c>
      <c r="AF11" s="214"/>
    </row>
    <row r="12" spans="1:35" s="29" customFormat="1" ht="15" customHeight="1">
      <c r="A12" s="29" t="s">
        <v>192</v>
      </c>
      <c r="D12" s="29" t="s">
        <v>193</v>
      </c>
      <c r="AE12" s="37" t="s">
        <v>83</v>
      </c>
      <c r="AF12" s="214"/>
      <c r="AG12" s="214"/>
    </row>
    <row r="13" spans="1:35" s="29" customFormat="1" ht="18" customHeight="1">
      <c r="A13" s="37" t="s">
        <v>58</v>
      </c>
      <c r="AF13" s="214"/>
    </row>
    <row r="14" spans="1:35" s="29" customFormat="1" ht="18" customHeight="1">
      <c r="A14" s="37" t="s">
        <v>4</v>
      </c>
      <c r="E14" s="214"/>
      <c r="F14" s="32"/>
      <c r="K14" s="214"/>
      <c r="AF14" s="214"/>
    </row>
    <row r="15" spans="1:35" s="29" customFormat="1" ht="11.25" customHeight="1">
      <c r="A15" s="37"/>
      <c r="E15" s="214"/>
      <c r="F15" s="32"/>
      <c r="K15" s="214"/>
      <c r="AF15" s="214"/>
    </row>
    <row r="16" spans="1:35" s="29" customFormat="1" ht="3" hidden="1" customHeight="1">
      <c r="B16" s="214"/>
      <c r="F16" s="214"/>
      <c r="G16" s="32"/>
      <c r="L16" s="214"/>
      <c r="X16" s="214"/>
      <c r="Y16" s="216"/>
      <c r="AF16" s="214"/>
      <c r="AG16" s="214"/>
    </row>
    <row r="17" spans="1:35" s="29" customFormat="1" ht="39" customHeight="1">
      <c r="A17" s="257" t="s">
        <v>5</v>
      </c>
      <c r="B17" s="244" t="s">
        <v>5</v>
      </c>
      <c r="C17" s="246" t="s">
        <v>6</v>
      </c>
      <c r="D17" s="251" t="s">
        <v>64</v>
      </c>
      <c r="E17" s="251" t="s">
        <v>8</v>
      </c>
      <c r="F17" s="244" t="s">
        <v>44</v>
      </c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11"/>
      <c r="S17" s="211"/>
      <c r="T17" s="211"/>
      <c r="U17" s="211"/>
      <c r="V17" s="211"/>
      <c r="W17" s="211"/>
      <c r="X17" s="212" t="s">
        <v>45</v>
      </c>
      <c r="Y17" s="249" t="s">
        <v>46</v>
      </c>
      <c r="Z17" s="250"/>
      <c r="AA17" s="250"/>
      <c r="AB17" s="244" t="s">
        <v>9</v>
      </c>
      <c r="AC17" s="261" t="s">
        <v>341</v>
      </c>
      <c r="AD17" s="261" t="s">
        <v>342</v>
      </c>
      <c r="AE17" s="244" t="s">
        <v>11</v>
      </c>
      <c r="AF17" s="244" t="s">
        <v>12</v>
      </c>
      <c r="AG17" s="244" t="s">
        <v>13</v>
      </c>
      <c r="AH17" s="251" t="s">
        <v>65</v>
      </c>
      <c r="AI17" s="244" t="s">
        <v>66</v>
      </c>
    </row>
    <row r="18" spans="1:35" s="29" customFormat="1" ht="39" customHeight="1">
      <c r="A18" s="258"/>
      <c r="B18" s="246"/>
      <c r="C18" s="246"/>
      <c r="D18" s="259"/>
      <c r="E18" s="252"/>
      <c r="F18" s="251" t="s">
        <v>47</v>
      </c>
      <c r="G18" s="247" t="s">
        <v>15</v>
      </c>
      <c r="H18" s="250" t="s">
        <v>16</v>
      </c>
      <c r="I18" s="250"/>
      <c r="J18" s="250"/>
      <c r="K18" s="213" t="s">
        <v>17</v>
      </c>
      <c r="L18" s="211" t="s">
        <v>18</v>
      </c>
      <c r="M18" s="213"/>
      <c r="N18" s="213" t="s">
        <v>17</v>
      </c>
      <c r="O18" s="213" t="s">
        <v>17</v>
      </c>
      <c r="P18" s="213" t="s">
        <v>17</v>
      </c>
      <c r="Q18" s="213" t="s">
        <v>19</v>
      </c>
      <c r="R18" s="213" t="s">
        <v>19</v>
      </c>
      <c r="S18" s="213" t="s">
        <v>19</v>
      </c>
      <c r="T18" s="213" t="s">
        <v>19</v>
      </c>
      <c r="U18" s="213" t="s">
        <v>19</v>
      </c>
      <c r="V18" s="213" t="s">
        <v>19</v>
      </c>
      <c r="W18" s="213" t="s">
        <v>20</v>
      </c>
      <c r="X18" s="251" t="s">
        <v>47</v>
      </c>
      <c r="Y18" s="244" t="s">
        <v>47</v>
      </c>
      <c r="Z18" s="249" t="s">
        <v>21</v>
      </c>
      <c r="AA18" s="249" t="s">
        <v>23</v>
      </c>
      <c r="AB18" s="244"/>
      <c r="AC18" s="262"/>
      <c r="AD18" s="262"/>
      <c r="AE18" s="245"/>
      <c r="AF18" s="246"/>
      <c r="AG18" s="246"/>
      <c r="AH18" s="259"/>
      <c r="AI18" s="245"/>
    </row>
    <row r="19" spans="1:35" s="29" customFormat="1" ht="5.25" customHeight="1">
      <c r="A19" s="258"/>
      <c r="B19" s="246"/>
      <c r="C19" s="246"/>
      <c r="D19" s="259"/>
      <c r="E19" s="252"/>
      <c r="F19" s="252"/>
      <c r="G19" s="254"/>
      <c r="H19" s="247" t="s">
        <v>24</v>
      </c>
      <c r="I19" s="250" t="s">
        <v>25</v>
      </c>
      <c r="J19" s="250"/>
      <c r="K19" s="213" t="s">
        <v>26</v>
      </c>
      <c r="L19" s="211" t="s">
        <v>27</v>
      </c>
      <c r="M19" s="213" t="s">
        <v>28</v>
      </c>
      <c r="N19" s="213" t="s">
        <v>26</v>
      </c>
      <c r="O19" s="213" t="s">
        <v>26</v>
      </c>
      <c r="P19" s="213" t="s">
        <v>26</v>
      </c>
      <c r="Q19" s="213" t="s">
        <v>29</v>
      </c>
      <c r="R19" s="213" t="s">
        <v>29</v>
      </c>
      <c r="S19" s="213" t="s">
        <v>29</v>
      </c>
      <c r="T19" s="213" t="s">
        <v>29</v>
      </c>
      <c r="U19" s="213" t="s">
        <v>29</v>
      </c>
      <c r="V19" s="213" t="s">
        <v>29</v>
      </c>
      <c r="W19" s="213" t="s">
        <v>26</v>
      </c>
      <c r="X19" s="252"/>
      <c r="Y19" s="246"/>
      <c r="Z19" s="250"/>
      <c r="AA19" s="250"/>
      <c r="AB19" s="244"/>
      <c r="AC19" s="262"/>
      <c r="AD19" s="262"/>
      <c r="AE19" s="245"/>
      <c r="AF19" s="246"/>
      <c r="AG19" s="246"/>
      <c r="AH19" s="259"/>
      <c r="AI19" s="245"/>
    </row>
    <row r="20" spans="1:35" s="29" customFormat="1" ht="2.25" customHeight="1">
      <c r="A20" s="258"/>
      <c r="B20" s="246"/>
      <c r="C20" s="246"/>
      <c r="D20" s="260"/>
      <c r="E20" s="253"/>
      <c r="F20" s="253"/>
      <c r="G20" s="255"/>
      <c r="H20" s="248"/>
      <c r="I20" s="40" t="s">
        <v>30</v>
      </c>
      <c r="J20" s="212" t="s">
        <v>31</v>
      </c>
      <c r="K20" s="213" t="s">
        <v>32</v>
      </c>
      <c r="L20" s="211" t="s">
        <v>33</v>
      </c>
      <c r="M20" s="213" t="s">
        <v>34</v>
      </c>
      <c r="N20" s="213" t="s">
        <v>32</v>
      </c>
      <c r="O20" s="213" t="s">
        <v>35</v>
      </c>
      <c r="P20" s="213" t="s">
        <v>35</v>
      </c>
      <c r="Q20" s="213" t="s">
        <v>35</v>
      </c>
      <c r="R20" s="213" t="s">
        <v>35</v>
      </c>
      <c r="S20" s="213" t="s">
        <v>35</v>
      </c>
      <c r="T20" s="213" t="s">
        <v>35</v>
      </c>
      <c r="U20" s="213" t="s">
        <v>35</v>
      </c>
      <c r="V20" s="213" t="s">
        <v>35</v>
      </c>
      <c r="W20" s="213" t="s">
        <v>35</v>
      </c>
      <c r="X20" s="253"/>
      <c r="Y20" s="246"/>
      <c r="Z20" s="250"/>
      <c r="AA20" s="250"/>
      <c r="AB20" s="244"/>
      <c r="AC20" s="263"/>
      <c r="AD20" s="263"/>
      <c r="AE20" s="245"/>
      <c r="AF20" s="246"/>
      <c r="AG20" s="246"/>
      <c r="AH20" s="260"/>
      <c r="AI20" s="245"/>
    </row>
    <row r="21" spans="1:35" s="29" customFormat="1" ht="18.75" customHeight="1">
      <c r="A21" s="41"/>
      <c r="B21" s="211" t="s">
        <v>36</v>
      </c>
      <c r="C21" s="211" t="s">
        <v>37</v>
      </c>
      <c r="D21" s="211" t="s">
        <v>38</v>
      </c>
      <c r="E21" s="211" t="s">
        <v>39</v>
      </c>
      <c r="F21" s="211">
        <v>1</v>
      </c>
      <c r="G21" s="213">
        <v>2</v>
      </c>
      <c r="H21" s="42">
        <v>3</v>
      </c>
      <c r="I21" s="42">
        <v>4</v>
      </c>
      <c r="J21" s="213">
        <v>5</v>
      </c>
      <c r="K21" s="42">
        <v>7</v>
      </c>
      <c r="L21" s="213">
        <v>8</v>
      </c>
      <c r="M21" s="42">
        <v>9</v>
      </c>
      <c r="N21" s="213">
        <v>10</v>
      </c>
      <c r="O21" s="213"/>
      <c r="P21" s="42">
        <v>6</v>
      </c>
      <c r="Q21" s="42"/>
      <c r="R21" s="42"/>
      <c r="S21" s="42"/>
      <c r="T21" s="42"/>
      <c r="U21" s="42"/>
      <c r="V21" s="42"/>
      <c r="W21" s="42"/>
      <c r="X21" s="211">
        <v>2</v>
      </c>
      <c r="Y21" s="213">
        <v>3</v>
      </c>
      <c r="Z21" s="211">
        <v>10</v>
      </c>
      <c r="AA21" s="42">
        <v>11</v>
      </c>
      <c r="AB21" s="211"/>
      <c r="AC21" s="220"/>
      <c r="AD21" s="220"/>
      <c r="AE21" s="211">
        <v>4</v>
      </c>
      <c r="AF21" s="211">
        <v>5</v>
      </c>
      <c r="AG21" s="211">
        <v>6</v>
      </c>
      <c r="AH21" s="211">
        <v>7</v>
      </c>
      <c r="AI21" s="211">
        <v>8</v>
      </c>
    </row>
    <row r="22" spans="1:35" s="33" customFormat="1" ht="31.5" customHeight="1">
      <c r="A22" s="43"/>
      <c r="B22" s="80" t="s">
        <v>79</v>
      </c>
      <c r="C22" s="81" t="s">
        <v>409</v>
      </c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2"/>
      <c r="AG22" s="82"/>
      <c r="AH22" s="83"/>
      <c r="AI22" s="82"/>
    </row>
    <row r="23" spans="1:35" s="29" customFormat="1" ht="34.5" customHeight="1">
      <c r="A23" s="41"/>
      <c r="B23" s="1">
        <v>1</v>
      </c>
      <c r="C23" s="23" t="s">
        <v>107</v>
      </c>
      <c r="D23" s="24" t="s">
        <v>70</v>
      </c>
      <c r="E23" s="24">
        <v>2022</v>
      </c>
      <c r="F23" s="24">
        <v>15</v>
      </c>
      <c r="G23" s="1">
        <v>15</v>
      </c>
      <c r="H23" s="1">
        <v>15</v>
      </c>
      <c r="I23" s="1">
        <v>15</v>
      </c>
      <c r="J23" s="1">
        <v>15</v>
      </c>
      <c r="K23" s="1">
        <v>15</v>
      </c>
      <c r="L23" s="1">
        <v>15</v>
      </c>
      <c r="M23" s="1">
        <v>15</v>
      </c>
      <c r="N23" s="1">
        <v>15</v>
      </c>
      <c r="O23" s="1">
        <v>15</v>
      </c>
      <c r="P23" s="1">
        <v>15</v>
      </c>
      <c r="Q23" s="1">
        <v>15</v>
      </c>
      <c r="R23" s="1">
        <v>15</v>
      </c>
      <c r="S23" s="1">
        <v>15</v>
      </c>
      <c r="T23" s="1">
        <v>15</v>
      </c>
      <c r="U23" s="1">
        <v>15</v>
      </c>
      <c r="V23" s="1">
        <v>15</v>
      </c>
      <c r="W23" s="1">
        <v>15</v>
      </c>
      <c r="X23" s="24">
        <v>15</v>
      </c>
      <c r="Y23" s="1">
        <v>0</v>
      </c>
      <c r="Z23" s="1"/>
      <c r="AA23" s="1"/>
      <c r="AB23" s="1"/>
      <c r="AC23" s="1"/>
      <c r="AD23" s="1"/>
      <c r="AE23" s="1" t="s">
        <v>84</v>
      </c>
      <c r="AF23" s="1" t="s">
        <v>67</v>
      </c>
      <c r="AG23" s="1" t="s">
        <v>68</v>
      </c>
      <c r="AH23" s="2" t="s">
        <v>82</v>
      </c>
      <c r="AI23" s="23"/>
    </row>
    <row r="24" spans="1:35" s="29" customFormat="1" ht="22.5" customHeight="1">
      <c r="A24" s="41"/>
      <c r="B24" s="1">
        <v>2</v>
      </c>
      <c r="C24" s="23" t="s">
        <v>108</v>
      </c>
      <c r="D24" s="24" t="s">
        <v>70</v>
      </c>
      <c r="E24" s="24">
        <v>2022</v>
      </c>
      <c r="F24" s="24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24">
        <v>1</v>
      </c>
      <c r="Y24" s="1">
        <v>0</v>
      </c>
      <c r="Z24" s="1"/>
      <c r="AA24" s="1"/>
      <c r="AB24" s="1"/>
      <c r="AC24" s="1"/>
      <c r="AD24" s="1"/>
      <c r="AE24" s="1" t="s">
        <v>84</v>
      </c>
      <c r="AF24" s="1" t="s">
        <v>67</v>
      </c>
      <c r="AG24" s="1" t="s">
        <v>68</v>
      </c>
      <c r="AH24" s="23"/>
      <c r="AI24" s="23"/>
    </row>
    <row r="25" spans="1:35" s="29" customFormat="1" ht="22.5" customHeight="1">
      <c r="A25" s="41"/>
      <c r="B25" s="1">
        <v>3</v>
      </c>
      <c r="C25" s="23" t="s">
        <v>71</v>
      </c>
      <c r="D25" s="24" t="s">
        <v>70</v>
      </c>
      <c r="E25" s="24">
        <v>2022</v>
      </c>
      <c r="F25" s="24">
        <v>8</v>
      </c>
      <c r="G25" s="1">
        <v>5</v>
      </c>
      <c r="H25" s="1">
        <v>5</v>
      </c>
      <c r="I25" s="1">
        <v>5</v>
      </c>
      <c r="J25" s="1">
        <v>5</v>
      </c>
      <c r="K25" s="1">
        <v>5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>
        <v>5</v>
      </c>
      <c r="R25" s="1">
        <v>5</v>
      </c>
      <c r="S25" s="1">
        <v>5</v>
      </c>
      <c r="T25" s="1">
        <v>5</v>
      </c>
      <c r="U25" s="1">
        <v>5</v>
      </c>
      <c r="V25" s="1">
        <v>5</v>
      </c>
      <c r="W25" s="1">
        <v>5</v>
      </c>
      <c r="X25" s="24">
        <v>8</v>
      </c>
      <c r="Y25" s="1">
        <v>0</v>
      </c>
      <c r="Z25" s="1"/>
      <c r="AA25" s="1"/>
      <c r="AB25" s="1"/>
      <c r="AC25" s="1"/>
      <c r="AD25" s="1"/>
      <c r="AE25" s="1" t="s">
        <v>84</v>
      </c>
      <c r="AF25" s="1" t="s">
        <v>67</v>
      </c>
      <c r="AG25" s="1" t="s">
        <v>68</v>
      </c>
      <c r="AH25" s="23"/>
      <c r="AI25" s="23"/>
    </row>
    <row r="26" spans="1:35" s="29" customFormat="1" ht="27.75" customHeight="1">
      <c r="A26" s="41"/>
      <c r="B26" s="1">
        <v>4</v>
      </c>
      <c r="C26" s="23" t="s">
        <v>72</v>
      </c>
      <c r="D26" s="24" t="s">
        <v>70</v>
      </c>
      <c r="E26" s="24">
        <v>2022</v>
      </c>
      <c r="F26" s="24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24">
        <v>1</v>
      </c>
      <c r="Y26" s="1">
        <v>0</v>
      </c>
      <c r="Z26" s="1"/>
      <c r="AA26" s="1"/>
      <c r="AB26" s="1"/>
      <c r="AC26" s="1"/>
      <c r="AD26" s="1"/>
      <c r="AE26" s="1" t="s">
        <v>84</v>
      </c>
      <c r="AF26" s="1" t="s">
        <v>67</v>
      </c>
      <c r="AG26" s="1" t="s">
        <v>68</v>
      </c>
      <c r="AH26" s="23"/>
      <c r="AI26" s="23"/>
    </row>
    <row r="27" spans="1:35" s="29" customFormat="1" ht="22.5" customHeight="1">
      <c r="A27" s="41"/>
      <c r="B27" s="1">
        <v>5</v>
      </c>
      <c r="C27" s="23" t="s">
        <v>73</v>
      </c>
      <c r="D27" s="24" t="s">
        <v>74</v>
      </c>
      <c r="E27" s="24">
        <v>2022</v>
      </c>
      <c r="F27" s="24">
        <v>1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24">
        <v>1</v>
      </c>
      <c r="Y27" s="1">
        <v>0</v>
      </c>
      <c r="Z27" s="1"/>
      <c r="AA27" s="1"/>
      <c r="AB27" s="1"/>
      <c r="AC27" s="1"/>
      <c r="AD27" s="1"/>
      <c r="AE27" s="1" t="s">
        <v>84</v>
      </c>
      <c r="AF27" s="1" t="s">
        <v>67</v>
      </c>
      <c r="AG27" s="1" t="s">
        <v>68</v>
      </c>
      <c r="AH27" s="44"/>
      <c r="AI27" s="23"/>
    </row>
    <row r="28" spans="1:35" s="29" customFormat="1" ht="30">
      <c r="A28" s="41"/>
      <c r="B28" s="1">
        <v>6</v>
      </c>
      <c r="C28" s="5" t="s">
        <v>109</v>
      </c>
      <c r="D28" s="24" t="s">
        <v>74</v>
      </c>
      <c r="E28" s="24">
        <v>2022</v>
      </c>
      <c r="F28" s="24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24">
        <v>6</v>
      </c>
      <c r="Y28" s="1">
        <v>0</v>
      </c>
      <c r="Z28" s="1"/>
      <c r="AA28" s="1"/>
      <c r="AB28" s="1"/>
      <c r="AC28" s="1"/>
      <c r="AD28" s="1"/>
      <c r="AE28" s="1" t="s">
        <v>84</v>
      </c>
      <c r="AF28" s="1" t="s">
        <v>67</v>
      </c>
      <c r="AG28" s="1" t="s">
        <v>68</v>
      </c>
      <c r="AH28" s="44"/>
      <c r="AI28" s="23"/>
    </row>
    <row r="29" spans="1:35" s="29" customFormat="1" ht="22.5" customHeight="1">
      <c r="A29" s="41"/>
      <c r="B29" s="1">
        <v>7</v>
      </c>
      <c r="C29" s="23" t="s">
        <v>110</v>
      </c>
      <c r="D29" s="24" t="s">
        <v>70</v>
      </c>
      <c r="E29" s="24">
        <v>2022</v>
      </c>
      <c r="F29" s="24">
        <v>3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2</v>
      </c>
      <c r="X29" s="24">
        <v>3</v>
      </c>
      <c r="Y29" s="1">
        <v>0</v>
      </c>
      <c r="Z29" s="1"/>
      <c r="AA29" s="1"/>
      <c r="AB29" s="1"/>
      <c r="AC29" s="225">
        <v>15675000</v>
      </c>
      <c r="AD29" s="1">
        <f>+X29*AC29</f>
        <v>47025000</v>
      </c>
      <c r="AE29" s="1" t="s">
        <v>84</v>
      </c>
      <c r="AF29" s="1" t="s">
        <v>67</v>
      </c>
      <c r="AG29" s="1" t="s">
        <v>68</v>
      </c>
      <c r="AH29" s="44"/>
      <c r="AI29" s="23"/>
    </row>
    <row r="30" spans="1:35" s="29" customFormat="1" ht="22.5" customHeight="1">
      <c r="A30" s="41"/>
      <c r="B30" s="1">
        <v>8</v>
      </c>
      <c r="C30" s="23" t="s">
        <v>75</v>
      </c>
      <c r="D30" s="24" t="s">
        <v>70</v>
      </c>
      <c r="E30" s="24">
        <v>2022</v>
      </c>
      <c r="F30" s="24">
        <v>6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24">
        <v>6</v>
      </c>
      <c r="Y30" s="1">
        <v>0</v>
      </c>
      <c r="Z30" s="1"/>
      <c r="AA30" s="1"/>
      <c r="AB30" s="1"/>
      <c r="AC30" s="1"/>
      <c r="AD30" s="1"/>
      <c r="AE30" s="1" t="s">
        <v>84</v>
      </c>
      <c r="AF30" s="1" t="s">
        <v>67</v>
      </c>
      <c r="AG30" s="1" t="s">
        <v>68</v>
      </c>
      <c r="AH30" s="44"/>
      <c r="AI30" s="23"/>
    </row>
    <row r="31" spans="1:35" s="29" customFormat="1" ht="22.5" customHeight="1">
      <c r="B31" s="1">
        <v>9</v>
      </c>
      <c r="C31" s="23" t="s">
        <v>76</v>
      </c>
      <c r="D31" s="24" t="s">
        <v>70</v>
      </c>
      <c r="E31" s="24">
        <v>2022</v>
      </c>
      <c r="F31" s="24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24">
        <v>1</v>
      </c>
      <c r="Y31" s="1">
        <v>0</v>
      </c>
      <c r="Z31" s="1"/>
      <c r="AA31" s="1"/>
      <c r="AB31" s="1"/>
      <c r="AC31" s="1"/>
      <c r="AD31" s="1"/>
      <c r="AE31" s="1" t="s">
        <v>84</v>
      </c>
      <c r="AF31" s="1" t="s">
        <v>67</v>
      </c>
      <c r="AG31" s="1" t="s">
        <v>68</v>
      </c>
      <c r="AH31" s="44"/>
      <c r="AI31" s="23"/>
    </row>
    <row r="32" spans="1:35" s="33" customFormat="1" ht="22.5" customHeight="1">
      <c r="B32" s="80" t="s">
        <v>80</v>
      </c>
      <c r="C32" s="81" t="s">
        <v>208</v>
      </c>
      <c r="D32" s="84"/>
      <c r="E32" s="84"/>
      <c r="F32" s="84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4"/>
      <c r="Y32" s="80"/>
      <c r="Z32" s="80"/>
      <c r="AA32" s="80"/>
      <c r="AB32" s="80"/>
      <c r="AC32" s="80"/>
      <c r="AD32" s="80"/>
      <c r="AE32" s="80"/>
      <c r="AF32" s="82"/>
      <c r="AG32" s="82"/>
      <c r="AH32" s="85"/>
      <c r="AI32" s="82"/>
    </row>
    <row r="33" spans="2:35" s="29" customFormat="1" ht="22.5" customHeight="1">
      <c r="B33" s="1">
        <v>1</v>
      </c>
      <c r="C33" s="23" t="s">
        <v>111</v>
      </c>
      <c r="D33" s="24" t="s">
        <v>70</v>
      </c>
      <c r="E33" s="24">
        <v>2022</v>
      </c>
      <c r="F33" s="24">
        <v>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4">
        <v>3</v>
      </c>
      <c r="Y33" s="1">
        <v>0</v>
      </c>
      <c r="Z33" s="1"/>
      <c r="AA33" s="1"/>
      <c r="AB33" s="1"/>
      <c r="AC33" s="1"/>
      <c r="AD33" s="1"/>
      <c r="AE33" s="1" t="s">
        <v>84</v>
      </c>
      <c r="AF33" s="24" t="s">
        <v>86</v>
      </c>
      <c r="AG33" s="1" t="s">
        <v>68</v>
      </c>
      <c r="AH33" s="23"/>
      <c r="AI33" s="23"/>
    </row>
    <row r="34" spans="2:35" s="29" customFormat="1" ht="22.5" customHeight="1">
      <c r="B34" s="1">
        <v>2</v>
      </c>
      <c r="C34" s="23" t="s">
        <v>77</v>
      </c>
      <c r="D34" s="24" t="s">
        <v>70</v>
      </c>
      <c r="E34" s="24">
        <v>2022</v>
      </c>
      <c r="F34" s="24">
        <v>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4">
        <v>1</v>
      </c>
      <c r="Y34" s="1">
        <v>0</v>
      </c>
      <c r="Z34" s="1"/>
      <c r="AA34" s="1"/>
      <c r="AB34" s="1"/>
      <c r="AC34" s="1"/>
      <c r="AD34" s="1"/>
      <c r="AE34" s="1" t="s">
        <v>84</v>
      </c>
      <c r="AF34" s="24" t="s">
        <v>86</v>
      </c>
      <c r="AG34" s="1" t="s">
        <v>68</v>
      </c>
      <c r="AH34" s="23"/>
      <c r="AI34" s="23"/>
    </row>
    <row r="35" spans="2:35" s="29" customFormat="1" ht="22.5" customHeight="1">
      <c r="B35" s="1">
        <v>3</v>
      </c>
      <c r="C35" s="23" t="s">
        <v>71</v>
      </c>
      <c r="D35" s="24" t="s">
        <v>70</v>
      </c>
      <c r="E35" s="24">
        <v>2022</v>
      </c>
      <c r="F35" s="24">
        <v>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4">
        <v>5</v>
      </c>
      <c r="Y35" s="1">
        <v>0</v>
      </c>
      <c r="Z35" s="1"/>
      <c r="AA35" s="1"/>
      <c r="AB35" s="1"/>
      <c r="AC35" s="1"/>
      <c r="AD35" s="1"/>
      <c r="AE35" s="1" t="s">
        <v>84</v>
      </c>
      <c r="AF35" s="24" t="s">
        <v>86</v>
      </c>
      <c r="AG35" s="1" t="s">
        <v>68</v>
      </c>
      <c r="AH35" s="23"/>
      <c r="AI35" s="23"/>
    </row>
    <row r="36" spans="2:35" s="29" customFormat="1" ht="22.5" customHeight="1">
      <c r="B36" s="1">
        <v>4</v>
      </c>
      <c r="C36" s="23" t="s">
        <v>72</v>
      </c>
      <c r="D36" s="24" t="s">
        <v>70</v>
      </c>
      <c r="E36" s="24">
        <v>2022</v>
      </c>
      <c r="F36" s="24">
        <v>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4">
        <v>1</v>
      </c>
      <c r="Y36" s="1">
        <v>0</v>
      </c>
      <c r="Z36" s="1"/>
      <c r="AA36" s="1"/>
      <c r="AB36" s="1"/>
      <c r="AC36" s="1"/>
      <c r="AD36" s="1"/>
      <c r="AE36" s="1" t="s">
        <v>84</v>
      </c>
      <c r="AF36" s="24" t="s">
        <v>86</v>
      </c>
      <c r="AG36" s="1" t="s">
        <v>68</v>
      </c>
      <c r="AH36" s="23"/>
      <c r="AI36" s="23"/>
    </row>
    <row r="37" spans="2:35" s="29" customFormat="1" ht="22.5" customHeight="1">
      <c r="B37" s="1">
        <v>5</v>
      </c>
      <c r="C37" s="23" t="s">
        <v>73</v>
      </c>
      <c r="D37" s="24" t="s">
        <v>74</v>
      </c>
      <c r="E37" s="24">
        <v>2022</v>
      </c>
      <c r="F37" s="24">
        <v>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4">
        <v>1</v>
      </c>
      <c r="Y37" s="1">
        <v>0</v>
      </c>
      <c r="Z37" s="1"/>
      <c r="AA37" s="1"/>
      <c r="AB37" s="1"/>
      <c r="AC37" s="1"/>
      <c r="AD37" s="1"/>
      <c r="AE37" s="1" t="s">
        <v>84</v>
      </c>
      <c r="AF37" s="24" t="s">
        <v>86</v>
      </c>
      <c r="AG37" s="1" t="s">
        <v>68</v>
      </c>
      <c r="AH37" s="23"/>
      <c r="AI37" s="23"/>
    </row>
    <row r="38" spans="2:35" s="29" customFormat="1" ht="39" customHeight="1">
      <c r="B38" s="1">
        <v>6</v>
      </c>
      <c r="C38" s="5" t="s">
        <v>109</v>
      </c>
      <c r="D38" s="24" t="s">
        <v>74</v>
      </c>
      <c r="E38" s="24">
        <v>2022</v>
      </c>
      <c r="F38" s="24">
        <v>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4">
        <v>2</v>
      </c>
      <c r="Y38" s="1">
        <v>0</v>
      </c>
      <c r="Z38" s="1"/>
      <c r="AA38" s="1"/>
      <c r="AB38" s="1"/>
      <c r="AC38" s="1"/>
      <c r="AD38" s="1"/>
      <c r="AE38" s="1" t="s">
        <v>84</v>
      </c>
      <c r="AF38" s="24" t="s">
        <v>86</v>
      </c>
      <c r="AG38" s="1" t="s">
        <v>68</v>
      </c>
      <c r="AH38" s="23"/>
      <c r="AI38" s="23"/>
    </row>
    <row r="39" spans="2:35" s="29" customFormat="1" ht="22.5" customHeight="1">
      <c r="B39" s="1">
        <v>7</v>
      </c>
      <c r="C39" s="23" t="s">
        <v>78</v>
      </c>
      <c r="D39" s="24" t="s">
        <v>70</v>
      </c>
      <c r="E39" s="24">
        <v>2022</v>
      </c>
      <c r="F39" s="24">
        <v>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4">
        <v>1</v>
      </c>
      <c r="Y39" s="1">
        <v>0</v>
      </c>
      <c r="Z39" s="1"/>
      <c r="AA39" s="1"/>
      <c r="AB39" s="1"/>
      <c r="AC39" s="225">
        <v>15675000</v>
      </c>
      <c r="AD39" s="1">
        <f>+X39*AC39</f>
        <v>15675000</v>
      </c>
      <c r="AE39" s="1" t="s">
        <v>84</v>
      </c>
      <c r="AF39" s="24" t="s">
        <v>86</v>
      </c>
      <c r="AG39" s="1" t="s">
        <v>68</v>
      </c>
      <c r="AH39" s="23"/>
      <c r="AI39" s="23"/>
    </row>
    <row r="40" spans="2:35" s="29" customFormat="1" ht="22.5" customHeight="1">
      <c r="B40" s="1">
        <v>8</v>
      </c>
      <c r="C40" s="23" t="s">
        <v>75</v>
      </c>
      <c r="D40" s="24" t="s">
        <v>70</v>
      </c>
      <c r="E40" s="24">
        <v>2022</v>
      </c>
      <c r="F40" s="24">
        <v>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4">
        <v>2</v>
      </c>
      <c r="Y40" s="1">
        <v>0</v>
      </c>
      <c r="Z40" s="1"/>
      <c r="AA40" s="1"/>
      <c r="AB40" s="1"/>
      <c r="AC40" s="1"/>
      <c r="AD40" s="1"/>
      <c r="AE40" s="1" t="s">
        <v>84</v>
      </c>
      <c r="AF40" s="24" t="s">
        <v>86</v>
      </c>
      <c r="AG40" s="1" t="s">
        <v>68</v>
      </c>
      <c r="AH40" s="23"/>
      <c r="AI40" s="23"/>
    </row>
    <row r="41" spans="2:35" s="29" customFormat="1" ht="22.5" customHeight="1">
      <c r="B41" s="1">
        <v>9</v>
      </c>
      <c r="C41" s="23" t="s">
        <v>112</v>
      </c>
      <c r="D41" s="24" t="s">
        <v>70</v>
      </c>
      <c r="E41" s="24">
        <v>2022</v>
      </c>
      <c r="F41" s="24">
        <v>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4">
        <v>1</v>
      </c>
      <c r="Y41" s="1">
        <v>0</v>
      </c>
      <c r="Z41" s="1"/>
      <c r="AA41" s="1"/>
      <c r="AB41" s="1"/>
      <c r="AC41" s="1"/>
      <c r="AD41" s="1"/>
      <c r="AE41" s="1" t="s">
        <v>84</v>
      </c>
      <c r="AF41" s="24" t="s">
        <v>86</v>
      </c>
      <c r="AG41" s="1" t="s">
        <v>68</v>
      </c>
      <c r="AH41" s="23"/>
      <c r="AI41" s="23"/>
    </row>
    <row r="42" spans="2:35" s="33" customFormat="1" ht="28.5">
      <c r="B42" s="80" t="s">
        <v>81</v>
      </c>
      <c r="C42" s="81" t="s">
        <v>410</v>
      </c>
      <c r="D42" s="84"/>
      <c r="E42" s="84"/>
      <c r="F42" s="84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4"/>
      <c r="Y42" s="80"/>
      <c r="Z42" s="80"/>
      <c r="AA42" s="80"/>
      <c r="AB42" s="80"/>
      <c r="AC42" s="80"/>
      <c r="AD42" s="80"/>
      <c r="AE42" s="80"/>
      <c r="AF42" s="82"/>
      <c r="AG42" s="82"/>
      <c r="AH42" s="83" t="s">
        <v>185</v>
      </c>
      <c r="AI42" s="82"/>
    </row>
    <row r="43" spans="2:35" s="33" customFormat="1" ht="22.5" customHeight="1">
      <c r="B43" s="24">
        <v>1</v>
      </c>
      <c r="C43" s="23" t="s">
        <v>69</v>
      </c>
      <c r="D43" s="24" t="s">
        <v>70</v>
      </c>
      <c r="E43" s="24">
        <v>2022</v>
      </c>
      <c r="F43" s="24">
        <v>8</v>
      </c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4">
        <v>8</v>
      </c>
      <c r="Y43" s="4">
        <v>0</v>
      </c>
      <c r="Z43" s="213"/>
      <c r="AA43" s="213"/>
      <c r="AB43" s="213"/>
      <c r="AC43" s="221"/>
      <c r="AD43" s="221"/>
      <c r="AE43" s="1" t="s">
        <v>84</v>
      </c>
      <c r="AF43" s="24" t="s">
        <v>67</v>
      </c>
      <c r="AG43" s="1" t="s">
        <v>68</v>
      </c>
      <c r="AH43" s="215"/>
      <c r="AI43" s="215"/>
    </row>
    <row r="44" spans="2:35" s="33" customFormat="1" ht="22.5" customHeight="1">
      <c r="B44" s="24">
        <f t="shared" ref="B44:B57" si="0">+B43+1</f>
        <v>2</v>
      </c>
      <c r="C44" s="23" t="s">
        <v>162</v>
      </c>
      <c r="D44" s="24" t="s">
        <v>70</v>
      </c>
      <c r="E44" s="24">
        <v>2022</v>
      </c>
      <c r="F44" s="24">
        <v>2</v>
      </c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4">
        <v>2</v>
      </c>
      <c r="Y44" s="4">
        <v>0</v>
      </c>
      <c r="Z44" s="213"/>
      <c r="AA44" s="213"/>
      <c r="AB44" s="213"/>
      <c r="AC44" s="221"/>
      <c r="AD44" s="221"/>
      <c r="AE44" s="1" t="s">
        <v>84</v>
      </c>
      <c r="AF44" s="24" t="s">
        <v>67</v>
      </c>
      <c r="AG44" s="1" t="s">
        <v>68</v>
      </c>
      <c r="AH44" s="215"/>
      <c r="AI44" s="215"/>
    </row>
    <row r="45" spans="2:35" s="33" customFormat="1" ht="22.5" customHeight="1">
      <c r="B45" s="24">
        <f t="shared" si="0"/>
        <v>3</v>
      </c>
      <c r="C45" s="23" t="s">
        <v>121</v>
      </c>
      <c r="D45" s="24" t="s">
        <v>70</v>
      </c>
      <c r="E45" s="24">
        <v>2022</v>
      </c>
      <c r="F45" s="24">
        <v>1</v>
      </c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4">
        <v>1</v>
      </c>
      <c r="Y45" s="4">
        <v>0</v>
      </c>
      <c r="Z45" s="213"/>
      <c r="AA45" s="213"/>
      <c r="AB45" s="213"/>
      <c r="AC45" s="221"/>
      <c r="AD45" s="221"/>
      <c r="AE45" s="1" t="s">
        <v>84</v>
      </c>
      <c r="AF45" s="24" t="s">
        <v>67</v>
      </c>
      <c r="AG45" s="1" t="s">
        <v>68</v>
      </c>
      <c r="AH45" s="215"/>
      <c r="AI45" s="215"/>
    </row>
    <row r="46" spans="2:35" s="33" customFormat="1" ht="22.5" customHeight="1">
      <c r="B46" s="24">
        <f t="shared" si="0"/>
        <v>4</v>
      </c>
      <c r="C46" s="23" t="s">
        <v>108</v>
      </c>
      <c r="D46" s="24" t="s">
        <v>70</v>
      </c>
      <c r="E46" s="24">
        <v>2022</v>
      </c>
      <c r="F46" s="24">
        <v>1</v>
      </c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4">
        <v>1</v>
      </c>
      <c r="Y46" s="4">
        <v>0</v>
      </c>
      <c r="Z46" s="213"/>
      <c r="AA46" s="213"/>
      <c r="AB46" s="213"/>
      <c r="AC46" s="221"/>
      <c r="AD46" s="221"/>
      <c r="AE46" s="1" t="s">
        <v>84</v>
      </c>
      <c r="AF46" s="24" t="s">
        <v>67</v>
      </c>
      <c r="AG46" s="1" t="s">
        <v>68</v>
      </c>
      <c r="AH46" s="215"/>
      <c r="AI46" s="215"/>
    </row>
    <row r="47" spans="2:35" s="33" customFormat="1" ht="22.5" customHeight="1">
      <c r="B47" s="24">
        <f t="shared" si="0"/>
        <v>5</v>
      </c>
      <c r="C47" s="23" t="s">
        <v>71</v>
      </c>
      <c r="D47" s="24" t="s">
        <v>70</v>
      </c>
      <c r="E47" s="24">
        <v>2022</v>
      </c>
      <c r="F47" s="24">
        <v>6</v>
      </c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4">
        <v>6</v>
      </c>
      <c r="Y47" s="4">
        <v>0</v>
      </c>
      <c r="Z47" s="213"/>
      <c r="AA47" s="213"/>
      <c r="AB47" s="213"/>
      <c r="AC47" s="221"/>
      <c r="AD47" s="221"/>
      <c r="AE47" s="1" t="s">
        <v>84</v>
      </c>
      <c r="AF47" s="24" t="s">
        <v>67</v>
      </c>
      <c r="AG47" s="1" t="s">
        <v>68</v>
      </c>
      <c r="AH47" s="215"/>
      <c r="AI47" s="215"/>
    </row>
    <row r="48" spans="2:35" s="33" customFormat="1" ht="22.5" customHeight="1">
      <c r="B48" s="24">
        <f t="shared" si="0"/>
        <v>6</v>
      </c>
      <c r="C48" s="23" t="s">
        <v>72</v>
      </c>
      <c r="D48" s="24" t="s">
        <v>70</v>
      </c>
      <c r="E48" s="24">
        <v>2022</v>
      </c>
      <c r="F48" s="24">
        <v>1</v>
      </c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4">
        <v>1</v>
      </c>
      <c r="Y48" s="4">
        <v>0</v>
      </c>
      <c r="Z48" s="213"/>
      <c r="AA48" s="213"/>
      <c r="AB48" s="213"/>
      <c r="AC48" s="221"/>
      <c r="AD48" s="221"/>
      <c r="AE48" s="1" t="s">
        <v>84</v>
      </c>
      <c r="AF48" s="24" t="s">
        <v>67</v>
      </c>
      <c r="AG48" s="1" t="s">
        <v>68</v>
      </c>
      <c r="AH48" s="215"/>
      <c r="AI48" s="215"/>
    </row>
    <row r="49" spans="2:35" s="33" customFormat="1" ht="22.5" customHeight="1">
      <c r="B49" s="24">
        <f t="shared" si="0"/>
        <v>7</v>
      </c>
      <c r="C49" s="23" t="s">
        <v>163</v>
      </c>
      <c r="D49" s="24" t="s">
        <v>70</v>
      </c>
      <c r="E49" s="24">
        <v>2022</v>
      </c>
      <c r="F49" s="24">
        <v>1</v>
      </c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4">
        <v>1</v>
      </c>
      <c r="Y49" s="4">
        <v>0</v>
      </c>
      <c r="Z49" s="213"/>
      <c r="AA49" s="213"/>
      <c r="AB49" s="213"/>
      <c r="AC49" s="221"/>
      <c r="AD49" s="221"/>
      <c r="AE49" s="1" t="s">
        <v>84</v>
      </c>
      <c r="AF49" s="24" t="s">
        <v>67</v>
      </c>
      <c r="AG49" s="1" t="s">
        <v>68</v>
      </c>
      <c r="AH49" s="215"/>
      <c r="AI49" s="215"/>
    </row>
    <row r="50" spans="2:35" s="33" customFormat="1" ht="22.5" customHeight="1">
      <c r="B50" s="24">
        <f t="shared" si="0"/>
        <v>8</v>
      </c>
      <c r="C50" s="23" t="s">
        <v>164</v>
      </c>
      <c r="D50" s="24" t="s">
        <v>70</v>
      </c>
      <c r="E50" s="24">
        <v>2022</v>
      </c>
      <c r="F50" s="24">
        <v>1</v>
      </c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4">
        <v>1</v>
      </c>
      <c r="Y50" s="4">
        <v>0</v>
      </c>
      <c r="Z50" s="213"/>
      <c r="AA50" s="213"/>
      <c r="AB50" s="213"/>
      <c r="AC50" s="221"/>
      <c r="AD50" s="221"/>
      <c r="AE50" s="1" t="s">
        <v>84</v>
      </c>
      <c r="AF50" s="24" t="s">
        <v>67</v>
      </c>
      <c r="AG50" s="1" t="s">
        <v>68</v>
      </c>
      <c r="AH50" s="215"/>
      <c r="AI50" s="215"/>
    </row>
    <row r="51" spans="2:35" s="33" customFormat="1" ht="22.5" customHeight="1">
      <c r="B51" s="24">
        <f t="shared" si="0"/>
        <v>9</v>
      </c>
      <c r="C51" s="23" t="s">
        <v>165</v>
      </c>
      <c r="D51" s="24" t="s">
        <v>70</v>
      </c>
      <c r="E51" s="24">
        <v>2022</v>
      </c>
      <c r="F51" s="24">
        <v>1</v>
      </c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4">
        <v>1</v>
      </c>
      <c r="Y51" s="4">
        <v>0</v>
      </c>
      <c r="Z51" s="213"/>
      <c r="AA51" s="213"/>
      <c r="AB51" s="213"/>
      <c r="AC51" s="221"/>
      <c r="AD51" s="221"/>
      <c r="AE51" s="1" t="s">
        <v>84</v>
      </c>
      <c r="AF51" s="24" t="s">
        <v>67</v>
      </c>
      <c r="AG51" s="1" t="s">
        <v>68</v>
      </c>
      <c r="AH51" s="215"/>
      <c r="AI51" s="215"/>
    </row>
    <row r="52" spans="2:35" s="33" customFormat="1" ht="22.5" customHeight="1">
      <c r="B52" s="24">
        <f t="shared" si="0"/>
        <v>10</v>
      </c>
      <c r="C52" s="23" t="s">
        <v>166</v>
      </c>
      <c r="D52" s="24" t="s">
        <v>70</v>
      </c>
      <c r="E52" s="24">
        <v>2022</v>
      </c>
      <c r="F52" s="24">
        <v>1</v>
      </c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4">
        <v>1</v>
      </c>
      <c r="Y52" s="4">
        <v>0</v>
      </c>
      <c r="Z52" s="213"/>
      <c r="AA52" s="213"/>
      <c r="AB52" s="213"/>
      <c r="AC52" s="221"/>
      <c r="AD52" s="221"/>
      <c r="AE52" s="1" t="s">
        <v>84</v>
      </c>
      <c r="AF52" s="24" t="s">
        <v>67</v>
      </c>
      <c r="AG52" s="1" t="s">
        <v>68</v>
      </c>
      <c r="AH52" s="215"/>
      <c r="AI52" s="215"/>
    </row>
    <row r="53" spans="2:35" s="33" customFormat="1" ht="22.5" customHeight="1">
      <c r="B53" s="24">
        <f t="shared" si="0"/>
        <v>11</v>
      </c>
      <c r="C53" s="23" t="s">
        <v>167</v>
      </c>
      <c r="D53" s="24" t="s">
        <v>70</v>
      </c>
      <c r="E53" s="24">
        <v>2022</v>
      </c>
      <c r="F53" s="24">
        <v>1</v>
      </c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4">
        <v>1</v>
      </c>
      <c r="Y53" s="4">
        <v>0</v>
      </c>
      <c r="Z53" s="213"/>
      <c r="AA53" s="213"/>
      <c r="AB53" s="213"/>
      <c r="AC53" s="221"/>
      <c r="AD53" s="221"/>
      <c r="AE53" s="1" t="s">
        <v>84</v>
      </c>
      <c r="AF53" s="24" t="s">
        <v>67</v>
      </c>
      <c r="AG53" s="1" t="s">
        <v>68</v>
      </c>
      <c r="AH53" s="215"/>
      <c r="AI53" s="215"/>
    </row>
    <row r="54" spans="2:35" s="33" customFormat="1" ht="22.5" customHeight="1">
      <c r="B54" s="24">
        <f t="shared" si="0"/>
        <v>12</v>
      </c>
      <c r="C54" s="23" t="s">
        <v>73</v>
      </c>
      <c r="D54" s="24" t="s">
        <v>74</v>
      </c>
      <c r="E54" s="24">
        <v>2022</v>
      </c>
      <c r="F54" s="24">
        <v>1</v>
      </c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4">
        <v>1</v>
      </c>
      <c r="Y54" s="4">
        <v>0</v>
      </c>
      <c r="Z54" s="213"/>
      <c r="AA54" s="213"/>
      <c r="AB54" s="213"/>
      <c r="AC54" s="221"/>
      <c r="AD54" s="221"/>
      <c r="AE54" s="1" t="s">
        <v>84</v>
      </c>
      <c r="AF54" s="24" t="s">
        <v>67</v>
      </c>
      <c r="AG54" s="1" t="s">
        <v>68</v>
      </c>
      <c r="AH54" s="215"/>
      <c r="AI54" s="215"/>
    </row>
    <row r="55" spans="2:35" s="33" customFormat="1" ht="31.5" customHeight="1">
      <c r="B55" s="24">
        <f t="shared" si="0"/>
        <v>13</v>
      </c>
      <c r="C55" s="5" t="s">
        <v>168</v>
      </c>
      <c r="D55" s="24" t="s">
        <v>74</v>
      </c>
      <c r="E55" s="24">
        <v>2022</v>
      </c>
      <c r="F55" s="24">
        <v>4</v>
      </c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4">
        <v>4</v>
      </c>
      <c r="Y55" s="4">
        <v>0</v>
      </c>
      <c r="Z55" s="213"/>
      <c r="AA55" s="213"/>
      <c r="AB55" s="213"/>
      <c r="AC55" s="221"/>
      <c r="AD55" s="221"/>
      <c r="AE55" s="1" t="s">
        <v>84</v>
      </c>
      <c r="AF55" s="24" t="s">
        <v>67</v>
      </c>
      <c r="AG55" s="1" t="s">
        <v>68</v>
      </c>
      <c r="AH55" s="215"/>
      <c r="AI55" s="215"/>
    </row>
    <row r="56" spans="2:35" s="33" customFormat="1" ht="22.5" customHeight="1">
      <c r="B56" s="24">
        <f t="shared" si="0"/>
        <v>14</v>
      </c>
      <c r="C56" s="23" t="s">
        <v>78</v>
      </c>
      <c r="D56" s="24" t="s">
        <v>70</v>
      </c>
      <c r="E56" s="24">
        <v>2022</v>
      </c>
      <c r="F56" s="24">
        <v>2</v>
      </c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4">
        <v>2</v>
      </c>
      <c r="Y56" s="4">
        <v>0</v>
      </c>
      <c r="Z56" s="213"/>
      <c r="AA56" s="213"/>
      <c r="AB56" s="213"/>
      <c r="AC56" s="225">
        <v>15675000</v>
      </c>
      <c r="AD56" s="1">
        <f>+X56*AC56</f>
        <v>31350000</v>
      </c>
      <c r="AE56" s="1" t="s">
        <v>84</v>
      </c>
      <c r="AF56" s="24" t="s">
        <v>67</v>
      </c>
      <c r="AG56" s="1" t="s">
        <v>68</v>
      </c>
      <c r="AH56" s="215"/>
      <c r="AI56" s="215"/>
    </row>
    <row r="57" spans="2:35" s="33" customFormat="1" ht="22.5" customHeight="1">
      <c r="B57" s="24">
        <f t="shared" si="0"/>
        <v>15</v>
      </c>
      <c r="C57" s="23" t="s">
        <v>169</v>
      </c>
      <c r="D57" s="24" t="s">
        <v>70</v>
      </c>
      <c r="E57" s="24">
        <v>2022</v>
      </c>
      <c r="F57" s="24">
        <v>1</v>
      </c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4">
        <v>1</v>
      </c>
      <c r="Y57" s="4">
        <v>0</v>
      </c>
      <c r="Z57" s="213"/>
      <c r="AA57" s="213"/>
      <c r="AB57" s="213"/>
      <c r="AC57" s="221"/>
      <c r="AD57" s="221"/>
      <c r="AE57" s="1" t="s">
        <v>84</v>
      </c>
      <c r="AF57" s="24" t="s">
        <v>67</v>
      </c>
      <c r="AG57" s="1" t="s">
        <v>68</v>
      </c>
      <c r="AH57" s="215"/>
      <c r="AI57" s="215"/>
    </row>
    <row r="58" spans="2:35" s="29" customFormat="1" ht="22.5" customHeight="1">
      <c r="B58" s="80" t="s">
        <v>103</v>
      </c>
      <c r="C58" s="81" t="s">
        <v>120</v>
      </c>
      <c r="D58" s="84"/>
      <c r="E58" s="84"/>
      <c r="F58" s="84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4"/>
      <c r="Y58" s="86"/>
      <c r="Z58" s="86"/>
      <c r="AA58" s="86"/>
      <c r="AB58" s="86"/>
      <c r="AC58" s="86"/>
      <c r="AD58" s="86"/>
      <c r="AE58" s="86"/>
      <c r="AF58" s="84"/>
      <c r="AG58" s="86"/>
      <c r="AH58" s="87"/>
      <c r="AI58" s="87"/>
    </row>
    <row r="59" spans="2:35" s="29" customFormat="1" ht="22.5" customHeight="1">
      <c r="B59" s="1">
        <v>1</v>
      </c>
      <c r="C59" s="23" t="s">
        <v>111</v>
      </c>
      <c r="D59" s="24" t="s">
        <v>70</v>
      </c>
      <c r="E59" s="24">
        <v>2022</v>
      </c>
      <c r="F59" s="24">
        <v>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4">
        <v>2</v>
      </c>
      <c r="Y59" s="1">
        <v>0</v>
      </c>
      <c r="Z59" s="1"/>
      <c r="AA59" s="1"/>
      <c r="AB59" s="1"/>
      <c r="AC59" s="1"/>
      <c r="AD59" s="1"/>
      <c r="AE59" s="1" t="s">
        <v>84</v>
      </c>
      <c r="AF59" s="24" t="s">
        <v>133</v>
      </c>
      <c r="AG59" s="1" t="s">
        <v>68</v>
      </c>
      <c r="AH59" s="23"/>
      <c r="AI59" s="23"/>
    </row>
    <row r="60" spans="2:35" s="29" customFormat="1" ht="22.5" customHeight="1">
      <c r="B60" s="1">
        <v>2</v>
      </c>
      <c r="C60" s="23" t="s">
        <v>121</v>
      </c>
      <c r="D60" s="24" t="s">
        <v>70</v>
      </c>
      <c r="E60" s="24">
        <v>2022</v>
      </c>
      <c r="F60" s="24">
        <v>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4">
        <v>1</v>
      </c>
      <c r="Y60" s="1">
        <v>0</v>
      </c>
      <c r="Z60" s="1"/>
      <c r="AA60" s="1"/>
      <c r="AB60" s="1"/>
      <c r="AC60" s="1"/>
      <c r="AD60" s="1"/>
      <c r="AE60" s="1" t="s">
        <v>84</v>
      </c>
      <c r="AF60" s="24" t="s">
        <v>133</v>
      </c>
      <c r="AG60" s="1" t="s">
        <v>68</v>
      </c>
      <c r="AH60" s="23"/>
      <c r="AI60" s="23"/>
    </row>
    <row r="61" spans="2:35" s="29" customFormat="1" ht="22.5" customHeight="1">
      <c r="B61" s="1">
        <v>3</v>
      </c>
      <c r="C61" s="23" t="s">
        <v>71</v>
      </c>
      <c r="D61" s="24" t="s">
        <v>70</v>
      </c>
      <c r="E61" s="24">
        <v>2022</v>
      </c>
      <c r="F61" s="24">
        <v>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4">
        <v>4</v>
      </c>
      <c r="Y61" s="1">
        <v>0</v>
      </c>
      <c r="Z61" s="1"/>
      <c r="AA61" s="1"/>
      <c r="AB61" s="1"/>
      <c r="AC61" s="1"/>
      <c r="AD61" s="1"/>
      <c r="AE61" s="1" t="s">
        <v>84</v>
      </c>
      <c r="AF61" s="24" t="s">
        <v>133</v>
      </c>
      <c r="AG61" s="1" t="s">
        <v>68</v>
      </c>
      <c r="AH61" s="23"/>
      <c r="AI61" s="23"/>
    </row>
    <row r="62" spans="2:35" s="29" customFormat="1" ht="22.5" customHeight="1">
      <c r="B62" s="1">
        <v>4</v>
      </c>
      <c r="C62" s="23" t="s">
        <v>72</v>
      </c>
      <c r="D62" s="24" t="s">
        <v>70</v>
      </c>
      <c r="E62" s="24">
        <v>2022</v>
      </c>
      <c r="F62" s="24">
        <v>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4">
        <v>1</v>
      </c>
      <c r="Y62" s="1">
        <v>0</v>
      </c>
      <c r="Z62" s="1"/>
      <c r="AA62" s="1"/>
      <c r="AB62" s="1"/>
      <c r="AC62" s="1"/>
      <c r="AD62" s="1"/>
      <c r="AE62" s="1" t="s">
        <v>84</v>
      </c>
      <c r="AF62" s="24" t="s">
        <v>133</v>
      </c>
      <c r="AG62" s="1" t="s">
        <v>68</v>
      </c>
      <c r="AH62" s="23"/>
      <c r="AI62" s="23"/>
    </row>
    <row r="63" spans="2:35" s="29" customFormat="1" ht="22.5" customHeight="1">
      <c r="B63" s="1">
        <v>5</v>
      </c>
      <c r="C63" s="23" t="s">
        <v>73</v>
      </c>
      <c r="D63" s="24" t="s">
        <v>74</v>
      </c>
      <c r="E63" s="24">
        <v>2022</v>
      </c>
      <c r="F63" s="24">
        <v>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4">
        <v>1</v>
      </c>
      <c r="Y63" s="1">
        <v>0</v>
      </c>
      <c r="Z63" s="1"/>
      <c r="AA63" s="1"/>
      <c r="AB63" s="1"/>
      <c r="AC63" s="1"/>
      <c r="AD63" s="1"/>
      <c r="AE63" s="1" t="s">
        <v>84</v>
      </c>
      <c r="AF63" s="24" t="s">
        <v>133</v>
      </c>
      <c r="AG63" s="1" t="s">
        <v>68</v>
      </c>
      <c r="AH63" s="23"/>
      <c r="AI63" s="23"/>
    </row>
    <row r="64" spans="2:35" s="29" customFormat="1" ht="22.5" customHeight="1">
      <c r="B64" s="1">
        <v>6</v>
      </c>
      <c r="C64" s="23" t="s">
        <v>122</v>
      </c>
      <c r="D64" s="24" t="s">
        <v>70</v>
      </c>
      <c r="E64" s="24">
        <v>2022</v>
      </c>
      <c r="F64" s="24">
        <v>1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24">
        <v>1</v>
      </c>
      <c r="Y64" s="1">
        <v>0</v>
      </c>
      <c r="Z64" s="45"/>
      <c r="AA64" s="45"/>
      <c r="AB64" s="45"/>
      <c r="AC64" s="223">
        <v>12669000</v>
      </c>
      <c r="AD64" s="224">
        <f>+X64*AC64</f>
        <v>12669000</v>
      </c>
      <c r="AE64" s="1" t="s">
        <v>84</v>
      </c>
      <c r="AF64" s="24" t="s">
        <v>133</v>
      </c>
      <c r="AG64" s="1" t="s">
        <v>68</v>
      </c>
      <c r="AH64" s="23"/>
      <c r="AI64" s="23"/>
    </row>
    <row r="65" spans="2:38" s="29" customFormat="1" ht="22.5" customHeight="1">
      <c r="B65" s="46">
        <v>7</v>
      </c>
      <c r="C65" s="26" t="s">
        <v>112</v>
      </c>
      <c r="D65" s="27" t="s">
        <v>70</v>
      </c>
      <c r="E65" s="27">
        <v>2022</v>
      </c>
      <c r="F65" s="27">
        <v>1</v>
      </c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27">
        <v>1</v>
      </c>
      <c r="Y65" s="1">
        <v>0</v>
      </c>
      <c r="Z65" s="45"/>
      <c r="AA65" s="45"/>
      <c r="AB65" s="48"/>
      <c r="AC65" s="48"/>
      <c r="AD65" s="48"/>
      <c r="AE65" s="46" t="s">
        <v>84</v>
      </c>
      <c r="AF65" s="24" t="s">
        <v>133</v>
      </c>
      <c r="AG65" s="46" t="s">
        <v>68</v>
      </c>
      <c r="AH65" s="26"/>
      <c r="AI65" s="26"/>
    </row>
    <row r="66" spans="2:38" s="29" customFormat="1" ht="15.75">
      <c r="B66" s="88" t="s">
        <v>104</v>
      </c>
      <c r="C66" s="89" t="s">
        <v>411</v>
      </c>
      <c r="D66" s="90"/>
      <c r="E66" s="90"/>
      <c r="F66" s="90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0"/>
      <c r="Y66" s="86"/>
      <c r="Z66" s="92"/>
      <c r="AA66" s="92"/>
      <c r="AB66" s="93"/>
      <c r="AC66" s="93"/>
      <c r="AD66" s="93"/>
      <c r="AE66" s="94"/>
      <c r="AF66" s="84"/>
      <c r="AG66" s="94"/>
      <c r="AH66" s="95"/>
      <c r="AI66" s="96"/>
    </row>
    <row r="67" spans="2:38" s="29" customFormat="1" ht="22.5" customHeight="1">
      <c r="B67" s="46">
        <v>1</v>
      </c>
      <c r="C67" s="26" t="s">
        <v>176</v>
      </c>
      <c r="D67" s="27" t="s">
        <v>70</v>
      </c>
      <c r="E67" s="27">
        <v>2022</v>
      </c>
      <c r="F67" s="27">
        <v>10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27">
        <v>10</v>
      </c>
      <c r="Y67" s="1">
        <v>0</v>
      </c>
      <c r="Z67" s="45"/>
      <c r="AA67" s="45"/>
      <c r="AB67" s="48"/>
      <c r="AC67" s="48"/>
      <c r="AD67" s="48"/>
      <c r="AE67" s="46" t="s">
        <v>84</v>
      </c>
      <c r="AF67" s="24" t="s">
        <v>86</v>
      </c>
      <c r="AG67" s="46" t="s">
        <v>68</v>
      </c>
      <c r="AH67" s="26"/>
      <c r="AI67" s="26"/>
    </row>
    <row r="68" spans="2:38" s="29" customFormat="1" ht="22.5" customHeight="1">
      <c r="B68" s="46">
        <v>2</v>
      </c>
      <c r="C68" s="26" t="s">
        <v>177</v>
      </c>
      <c r="D68" s="27" t="s">
        <v>70</v>
      </c>
      <c r="E68" s="27">
        <v>2022</v>
      </c>
      <c r="F68" s="27">
        <v>1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27">
        <v>1</v>
      </c>
      <c r="Y68" s="1">
        <v>0</v>
      </c>
      <c r="Z68" s="45"/>
      <c r="AA68" s="45"/>
      <c r="AB68" s="48"/>
      <c r="AC68" s="48"/>
      <c r="AD68" s="48"/>
      <c r="AE68" s="46" t="s">
        <v>84</v>
      </c>
      <c r="AF68" s="24" t="s">
        <v>86</v>
      </c>
      <c r="AG68" s="46" t="s">
        <v>68</v>
      </c>
      <c r="AH68" s="26"/>
      <c r="AI68" s="26"/>
    </row>
    <row r="69" spans="2:38" s="29" customFormat="1" ht="22.5" customHeight="1">
      <c r="B69" s="46">
        <v>3</v>
      </c>
      <c r="C69" s="26" t="s">
        <v>71</v>
      </c>
      <c r="D69" s="27" t="s">
        <v>70</v>
      </c>
      <c r="E69" s="27">
        <v>2022</v>
      </c>
      <c r="F69" s="27">
        <v>8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27">
        <v>8</v>
      </c>
      <c r="Y69" s="1">
        <v>0</v>
      </c>
      <c r="Z69" s="45"/>
      <c r="AA69" s="45"/>
      <c r="AB69" s="48"/>
      <c r="AC69" s="48"/>
      <c r="AD69" s="48"/>
      <c r="AE69" s="46" t="s">
        <v>84</v>
      </c>
      <c r="AF69" s="24" t="s">
        <v>86</v>
      </c>
      <c r="AG69" s="46" t="s">
        <v>68</v>
      </c>
      <c r="AH69" s="26"/>
      <c r="AI69" s="26"/>
    </row>
    <row r="70" spans="2:38" s="29" customFormat="1" ht="22.5" customHeight="1">
      <c r="B70" s="46">
        <v>4</v>
      </c>
      <c r="C70" s="26" t="s">
        <v>72</v>
      </c>
      <c r="D70" s="27" t="s">
        <v>70</v>
      </c>
      <c r="E70" s="27">
        <v>2022</v>
      </c>
      <c r="F70" s="27">
        <v>8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27">
        <v>8</v>
      </c>
      <c r="Y70" s="1">
        <v>0</v>
      </c>
      <c r="Z70" s="45"/>
      <c r="AA70" s="45"/>
      <c r="AB70" s="48"/>
      <c r="AC70" s="48"/>
      <c r="AD70" s="48"/>
      <c r="AE70" s="46" t="s">
        <v>84</v>
      </c>
      <c r="AF70" s="24" t="s">
        <v>86</v>
      </c>
      <c r="AG70" s="46" t="s">
        <v>68</v>
      </c>
      <c r="AH70" s="26"/>
      <c r="AI70" s="26"/>
    </row>
    <row r="71" spans="2:38" s="29" customFormat="1" ht="22.5" customHeight="1">
      <c r="B71" s="46">
        <v>5</v>
      </c>
      <c r="C71" s="23" t="s">
        <v>73</v>
      </c>
      <c r="D71" s="27" t="s">
        <v>74</v>
      </c>
      <c r="E71" s="27">
        <v>2022</v>
      </c>
      <c r="F71" s="27">
        <v>1</v>
      </c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27">
        <v>1</v>
      </c>
      <c r="Y71" s="1">
        <v>0</v>
      </c>
      <c r="Z71" s="45"/>
      <c r="AA71" s="45"/>
      <c r="AB71" s="48"/>
      <c r="AC71" s="48"/>
      <c r="AD71" s="48"/>
      <c r="AE71" s="46" t="s">
        <v>84</v>
      </c>
      <c r="AF71" s="24" t="s">
        <v>86</v>
      </c>
      <c r="AG71" s="46" t="s">
        <v>68</v>
      </c>
      <c r="AH71" s="26"/>
      <c r="AI71" s="26"/>
    </row>
    <row r="72" spans="2:38" s="29" customFormat="1" ht="42.75" customHeight="1">
      <c r="B72" s="46">
        <v>6</v>
      </c>
      <c r="C72" s="5" t="s">
        <v>109</v>
      </c>
      <c r="D72" s="27" t="s">
        <v>74</v>
      </c>
      <c r="E72" s="27">
        <v>2022</v>
      </c>
      <c r="F72" s="27">
        <v>8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27">
        <v>8</v>
      </c>
      <c r="Y72" s="1">
        <v>0</v>
      </c>
      <c r="Z72" s="45"/>
      <c r="AA72" s="45"/>
      <c r="AB72" s="48"/>
      <c r="AC72" s="48"/>
      <c r="AD72" s="48"/>
      <c r="AE72" s="46" t="s">
        <v>84</v>
      </c>
      <c r="AF72" s="24" t="s">
        <v>86</v>
      </c>
      <c r="AG72" s="46" t="s">
        <v>68</v>
      </c>
      <c r="AH72" s="26"/>
      <c r="AI72" s="26"/>
    </row>
    <row r="73" spans="2:38" s="29" customFormat="1" ht="22.5" customHeight="1">
      <c r="B73" s="46">
        <v>7</v>
      </c>
      <c r="C73" s="26" t="s">
        <v>178</v>
      </c>
      <c r="D73" s="27" t="s">
        <v>179</v>
      </c>
      <c r="E73" s="27">
        <v>2022</v>
      </c>
      <c r="F73" s="27">
        <v>1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27">
        <v>1</v>
      </c>
      <c r="Y73" s="1">
        <v>0</v>
      </c>
      <c r="Z73" s="45"/>
      <c r="AA73" s="45"/>
      <c r="AB73" s="48"/>
      <c r="AC73" s="225">
        <v>15675000</v>
      </c>
      <c r="AD73" s="1">
        <f>+X73*AC73</f>
        <v>15675000</v>
      </c>
      <c r="AE73" s="46" t="s">
        <v>84</v>
      </c>
      <c r="AF73" s="24" t="s">
        <v>86</v>
      </c>
      <c r="AG73" s="46" t="s">
        <v>68</v>
      </c>
      <c r="AH73" s="26"/>
      <c r="AI73" s="26"/>
    </row>
    <row r="74" spans="2:38" s="29" customFormat="1" ht="22.5" customHeight="1">
      <c r="B74" s="46">
        <v>8</v>
      </c>
      <c r="C74" s="26" t="s">
        <v>180</v>
      </c>
      <c r="D74" s="27" t="s">
        <v>179</v>
      </c>
      <c r="E74" s="27">
        <v>2022</v>
      </c>
      <c r="F74" s="27">
        <v>2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27">
        <v>2</v>
      </c>
      <c r="Y74" s="1">
        <v>0</v>
      </c>
      <c r="Z74" s="45"/>
      <c r="AA74" s="45"/>
      <c r="AB74" s="48"/>
      <c r="AC74" s="223">
        <v>12669000</v>
      </c>
      <c r="AD74" s="224">
        <f>+X74*AC74</f>
        <v>25338000</v>
      </c>
      <c r="AE74" s="46" t="s">
        <v>84</v>
      </c>
      <c r="AF74" s="24" t="s">
        <v>86</v>
      </c>
      <c r="AG74" s="46" t="s">
        <v>68</v>
      </c>
      <c r="AH74" s="26"/>
      <c r="AI74" s="26"/>
    </row>
    <row r="75" spans="2:38" s="29" customFormat="1" ht="22.5" customHeight="1">
      <c r="B75" s="46">
        <v>9</v>
      </c>
      <c r="C75" s="26" t="s">
        <v>75</v>
      </c>
      <c r="D75" s="27" t="s">
        <v>70</v>
      </c>
      <c r="E75" s="27">
        <v>2022</v>
      </c>
      <c r="F75" s="27">
        <v>3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27">
        <v>3</v>
      </c>
      <c r="Y75" s="1">
        <v>0</v>
      </c>
      <c r="Z75" s="45"/>
      <c r="AA75" s="45"/>
      <c r="AB75" s="48"/>
      <c r="AC75" s="48"/>
      <c r="AD75" s="48"/>
      <c r="AE75" s="46" t="s">
        <v>84</v>
      </c>
      <c r="AF75" s="24" t="s">
        <v>86</v>
      </c>
      <c r="AG75" s="46" t="s">
        <v>68</v>
      </c>
      <c r="AH75" s="26"/>
      <c r="AI75" s="26"/>
    </row>
    <row r="76" spans="2:38" s="29" customFormat="1" ht="22.5" customHeight="1">
      <c r="B76" s="46">
        <v>10</v>
      </c>
      <c r="C76" s="26" t="s">
        <v>76</v>
      </c>
      <c r="D76" s="27" t="s">
        <v>70</v>
      </c>
      <c r="E76" s="27">
        <v>2022</v>
      </c>
      <c r="F76" s="27">
        <v>1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27">
        <v>1</v>
      </c>
      <c r="Y76" s="1">
        <v>0</v>
      </c>
      <c r="Z76" s="45"/>
      <c r="AA76" s="45"/>
      <c r="AB76" s="48"/>
      <c r="AC76" s="48"/>
      <c r="AD76" s="48"/>
      <c r="AE76" s="46" t="s">
        <v>84</v>
      </c>
      <c r="AF76" s="24" t="s">
        <v>86</v>
      </c>
      <c r="AG76" s="46" t="s">
        <v>68</v>
      </c>
      <c r="AH76" s="26"/>
      <c r="AI76" s="26"/>
    </row>
    <row r="77" spans="2:38" s="33" customFormat="1" ht="15.75">
      <c r="B77" s="88" t="s">
        <v>105</v>
      </c>
      <c r="C77" s="89" t="s">
        <v>412</v>
      </c>
      <c r="D77" s="97"/>
      <c r="E77" s="97"/>
      <c r="F77" s="97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7"/>
      <c r="Y77" s="80"/>
      <c r="Z77" s="92"/>
      <c r="AA77" s="92"/>
      <c r="AB77" s="93"/>
      <c r="AC77" s="93"/>
      <c r="AD77" s="93"/>
      <c r="AE77" s="88"/>
      <c r="AF77" s="82"/>
      <c r="AG77" s="88"/>
      <c r="AH77" s="98"/>
      <c r="AI77" s="89"/>
    </row>
    <row r="78" spans="2:38" s="29" customFormat="1" ht="22.5" customHeight="1">
      <c r="B78" s="46">
        <v>1</v>
      </c>
      <c r="C78" s="23" t="s">
        <v>69</v>
      </c>
      <c r="D78" s="27" t="s">
        <v>70</v>
      </c>
      <c r="E78" s="27">
        <v>2022</v>
      </c>
      <c r="F78" s="27">
        <v>25</v>
      </c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27">
        <v>25</v>
      </c>
      <c r="Y78" s="1">
        <v>0</v>
      </c>
      <c r="Z78" s="45"/>
      <c r="AA78" s="45"/>
      <c r="AB78" s="48"/>
      <c r="AC78" s="48"/>
      <c r="AD78" s="48"/>
      <c r="AE78" s="46" t="s">
        <v>84</v>
      </c>
      <c r="AF78" s="24" t="s">
        <v>67</v>
      </c>
      <c r="AG78" s="46" t="s">
        <v>68</v>
      </c>
      <c r="AH78" s="26"/>
      <c r="AI78" s="26"/>
    </row>
    <row r="79" spans="2:38" s="29" customFormat="1" ht="22.5" customHeight="1">
      <c r="B79" s="46">
        <v>2</v>
      </c>
      <c r="C79" s="23" t="s">
        <v>71</v>
      </c>
      <c r="D79" s="27" t="s">
        <v>70</v>
      </c>
      <c r="E79" s="27">
        <v>2022</v>
      </c>
      <c r="F79" s="27">
        <v>8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27">
        <v>8</v>
      </c>
      <c r="Y79" s="1">
        <v>0</v>
      </c>
      <c r="Z79" s="45"/>
      <c r="AA79" s="45"/>
      <c r="AB79" s="48"/>
      <c r="AC79" s="48"/>
      <c r="AD79" s="48"/>
      <c r="AE79" s="46" t="s">
        <v>84</v>
      </c>
      <c r="AF79" s="24" t="s">
        <v>67</v>
      </c>
      <c r="AG79" s="46" t="s">
        <v>68</v>
      </c>
      <c r="AH79" s="26"/>
      <c r="AI79" s="26"/>
    </row>
    <row r="80" spans="2:38" s="29" customFormat="1" ht="22.5" customHeight="1">
      <c r="B80" s="46">
        <v>3</v>
      </c>
      <c r="C80" s="23" t="s">
        <v>72</v>
      </c>
      <c r="D80" s="27" t="s">
        <v>70</v>
      </c>
      <c r="E80" s="27">
        <v>2022</v>
      </c>
      <c r="F80" s="27">
        <v>1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27">
        <v>1</v>
      </c>
      <c r="Y80" s="1">
        <v>0</v>
      </c>
      <c r="Z80" s="45"/>
      <c r="AA80" s="45"/>
      <c r="AB80" s="48"/>
      <c r="AC80" s="48"/>
      <c r="AD80" s="48"/>
      <c r="AE80" s="46" t="s">
        <v>84</v>
      </c>
      <c r="AF80" s="24" t="s">
        <v>67</v>
      </c>
      <c r="AG80" s="46" t="s">
        <v>68</v>
      </c>
      <c r="AH80" s="26"/>
      <c r="AI80" s="26"/>
      <c r="AL80" s="23"/>
    </row>
    <row r="81" spans="2:35" s="29" customFormat="1" ht="60.75" customHeight="1">
      <c r="B81" s="46">
        <v>4</v>
      </c>
      <c r="C81" s="5" t="s">
        <v>186</v>
      </c>
      <c r="D81" s="27" t="s">
        <v>123</v>
      </c>
      <c r="E81" s="27">
        <v>2022</v>
      </c>
      <c r="F81" s="27">
        <v>1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27">
        <v>1</v>
      </c>
      <c r="Y81" s="1">
        <v>0</v>
      </c>
      <c r="Z81" s="45"/>
      <c r="AA81" s="45"/>
      <c r="AB81" s="48"/>
      <c r="AC81" s="48"/>
      <c r="AD81" s="48"/>
      <c r="AE81" s="46" t="s">
        <v>84</v>
      </c>
      <c r="AF81" s="24" t="s">
        <v>67</v>
      </c>
      <c r="AG81" s="46" t="s">
        <v>68</v>
      </c>
      <c r="AH81" s="26"/>
      <c r="AI81" s="26"/>
    </row>
    <row r="82" spans="2:35" s="29" customFormat="1" ht="30">
      <c r="B82" s="46">
        <v>5</v>
      </c>
      <c r="C82" s="55" t="s">
        <v>181</v>
      </c>
      <c r="D82" s="27" t="s">
        <v>74</v>
      </c>
      <c r="E82" s="27">
        <v>2022</v>
      </c>
      <c r="F82" s="27">
        <v>3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27">
        <v>3</v>
      </c>
      <c r="Y82" s="1">
        <v>0</v>
      </c>
      <c r="Z82" s="45"/>
      <c r="AA82" s="45"/>
      <c r="AB82" s="48"/>
      <c r="AC82" s="48"/>
      <c r="AD82" s="48"/>
      <c r="AE82" s="46" t="s">
        <v>84</v>
      </c>
      <c r="AF82" s="24" t="s">
        <v>67</v>
      </c>
      <c r="AG82" s="46" t="s">
        <v>68</v>
      </c>
      <c r="AH82" s="26"/>
      <c r="AI82" s="26"/>
    </row>
    <row r="83" spans="2:35" s="29" customFormat="1" ht="15.75">
      <c r="B83" s="46">
        <v>6</v>
      </c>
      <c r="C83" s="55" t="s">
        <v>182</v>
      </c>
      <c r="D83" s="27" t="s">
        <v>74</v>
      </c>
      <c r="E83" s="27">
        <v>2022</v>
      </c>
      <c r="F83" s="27">
        <v>1</v>
      </c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27">
        <v>1</v>
      </c>
      <c r="Y83" s="1">
        <v>0</v>
      </c>
      <c r="Z83" s="45"/>
      <c r="AA83" s="45"/>
      <c r="AB83" s="48"/>
      <c r="AC83" s="48"/>
      <c r="AD83" s="48"/>
      <c r="AE83" s="46" t="s">
        <v>84</v>
      </c>
      <c r="AF83" s="24" t="s">
        <v>67</v>
      </c>
      <c r="AG83" s="46" t="s">
        <v>68</v>
      </c>
      <c r="AH83" s="26"/>
      <c r="AI83" s="26"/>
    </row>
    <row r="84" spans="2:35" s="29" customFormat="1" ht="15.75">
      <c r="B84" s="46">
        <v>7</v>
      </c>
      <c r="C84" s="55" t="s">
        <v>113</v>
      </c>
      <c r="D84" s="27" t="s">
        <v>74</v>
      </c>
      <c r="E84" s="27">
        <v>2022</v>
      </c>
      <c r="F84" s="27">
        <v>1</v>
      </c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27">
        <v>1</v>
      </c>
      <c r="Y84" s="1">
        <v>0</v>
      </c>
      <c r="Z84" s="45"/>
      <c r="AA84" s="45"/>
      <c r="AB84" s="48"/>
      <c r="AC84" s="48"/>
      <c r="AD84" s="48"/>
      <c r="AE84" s="46" t="s">
        <v>84</v>
      </c>
      <c r="AF84" s="24" t="s">
        <v>67</v>
      </c>
      <c r="AG84" s="46" t="s">
        <v>68</v>
      </c>
      <c r="AH84" s="26"/>
      <c r="AI84" s="26"/>
    </row>
    <row r="85" spans="2:35" s="29" customFormat="1" ht="15.75">
      <c r="B85" s="46">
        <v>8</v>
      </c>
      <c r="C85" s="55" t="s">
        <v>114</v>
      </c>
      <c r="D85" s="27" t="s">
        <v>74</v>
      </c>
      <c r="E85" s="27">
        <v>2022</v>
      </c>
      <c r="F85" s="27">
        <v>1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27">
        <v>1</v>
      </c>
      <c r="Y85" s="1">
        <v>0</v>
      </c>
      <c r="Z85" s="45"/>
      <c r="AA85" s="45"/>
      <c r="AB85" s="48"/>
      <c r="AC85" s="48"/>
      <c r="AD85" s="48"/>
      <c r="AE85" s="46" t="s">
        <v>84</v>
      </c>
      <c r="AF85" s="24" t="s">
        <v>67</v>
      </c>
      <c r="AG85" s="46" t="s">
        <v>68</v>
      </c>
      <c r="AH85" s="26"/>
      <c r="AI85" s="26"/>
    </row>
    <row r="86" spans="2:35" s="29" customFormat="1" ht="15.75">
      <c r="B86" s="46">
        <v>9</v>
      </c>
      <c r="C86" s="55" t="s">
        <v>115</v>
      </c>
      <c r="D86" s="27" t="s">
        <v>74</v>
      </c>
      <c r="E86" s="27">
        <v>2022</v>
      </c>
      <c r="F86" s="27">
        <v>1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27">
        <v>1</v>
      </c>
      <c r="Y86" s="1">
        <v>0</v>
      </c>
      <c r="Z86" s="45"/>
      <c r="AA86" s="45"/>
      <c r="AB86" s="48"/>
      <c r="AC86" s="48"/>
      <c r="AD86" s="48"/>
      <c r="AE86" s="46" t="s">
        <v>84</v>
      </c>
      <c r="AF86" s="24" t="s">
        <v>67</v>
      </c>
      <c r="AG86" s="46" t="s">
        <v>68</v>
      </c>
      <c r="AH86" s="26"/>
      <c r="AI86" s="26"/>
    </row>
    <row r="87" spans="2:35" s="29" customFormat="1" ht="15.75">
      <c r="B87" s="46">
        <v>10</v>
      </c>
      <c r="C87" s="55" t="s">
        <v>116</v>
      </c>
      <c r="D87" s="27" t="s">
        <v>74</v>
      </c>
      <c r="E87" s="27">
        <v>2022</v>
      </c>
      <c r="F87" s="27">
        <v>1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27">
        <v>1</v>
      </c>
      <c r="Y87" s="1">
        <v>0</v>
      </c>
      <c r="Z87" s="45"/>
      <c r="AA87" s="45"/>
      <c r="AB87" s="48"/>
      <c r="AC87" s="48"/>
      <c r="AD87" s="48"/>
      <c r="AE87" s="46" t="s">
        <v>84</v>
      </c>
      <c r="AF87" s="24" t="s">
        <v>67</v>
      </c>
      <c r="AG87" s="46" t="s">
        <v>68</v>
      </c>
      <c r="AH87" s="26"/>
      <c r="AI87" s="26"/>
    </row>
    <row r="88" spans="2:35" s="29" customFormat="1" ht="15.75">
      <c r="B88" s="46">
        <v>11</v>
      </c>
      <c r="C88" s="55" t="s">
        <v>117</v>
      </c>
      <c r="D88" s="27" t="s">
        <v>74</v>
      </c>
      <c r="E88" s="27">
        <v>2022</v>
      </c>
      <c r="F88" s="27">
        <v>3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27">
        <v>3</v>
      </c>
      <c r="Y88" s="1">
        <v>0</v>
      </c>
      <c r="Z88" s="45"/>
      <c r="AA88" s="45"/>
      <c r="AB88" s="48"/>
      <c r="AC88" s="48"/>
      <c r="AD88" s="48"/>
      <c r="AE88" s="46" t="s">
        <v>84</v>
      </c>
      <c r="AF88" s="24" t="s">
        <v>67</v>
      </c>
      <c r="AG88" s="46" t="s">
        <v>68</v>
      </c>
      <c r="AH88" s="26"/>
      <c r="AI88" s="26"/>
    </row>
    <row r="89" spans="2:35" s="29" customFormat="1" ht="15.75">
      <c r="B89" s="46">
        <v>12</v>
      </c>
      <c r="C89" s="55" t="s">
        <v>118</v>
      </c>
      <c r="D89" s="27" t="s">
        <v>74</v>
      </c>
      <c r="E89" s="27">
        <v>2022</v>
      </c>
      <c r="F89" s="27">
        <v>3</v>
      </c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27">
        <v>3</v>
      </c>
      <c r="Y89" s="1">
        <v>0</v>
      </c>
      <c r="Z89" s="45"/>
      <c r="AA89" s="45"/>
      <c r="AB89" s="48"/>
      <c r="AC89" s="48"/>
      <c r="AD89" s="48"/>
      <c r="AE89" s="46" t="s">
        <v>84</v>
      </c>
      <c r="AF89" s="24" t="s">
        <v>67</v>
      </c>
      <c r="AG89" s="46" t="s">
        <v>68</v>
      </c>
      <c r="AH89" s="26"/>
      <c r="AI89" s="26"/>
    </row>
    <row r="90" spans="2:35" s="29" customFormat="1" ht="45">
      <c r="B90" s="46">
        <v>13</v>
      </c>
      <c r="C90" s="55" t="s">
        <v>119</v>
      </c>
      <c r="D90" s="27" t="s">
        <v>124</v>
      </c>
      <c r="E90" s="27">
        <v>2022</v>
      </c>
      <c r="F90" s="27">
        <v>4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27">
        <v>4</v>
      </c>
      <c r="Y90" s="1">
        <v>0</v>
      </c>
      <c r="Z90" s="45"/>
      <c r="AA90" s="45"/>
      <c r="AB90" s="48"/>
      <c r="AC90" s="48"/>
      <c r="AD90" s="48"/>
      <c r="AE90" s="46" t="s">
        <v>84</v>
      </c>
      <c r="AF90" s="24" t="s">
        <v>67</v>
      </c>
      <c r="AG90" s="46" t="s">
        <v>68</v>
      </c>
      <c r="AH90" s="26"/>
      <c r="AI90" s="26"/>
    </row>
    <row r="91" spans="2:35" s="29" customFormat="1" ht="30" customHeight="1">
      <c r="B91" s="46">
        <v>14</v>
      </c>
      <c r="C91" s="55" t="s">
        <v>183</v>
      </c>
      <c r="D91" s="27" t="s">
        <v>70</v>
      </c>
      <c r="E91" s="27">
        <v>2022</v>
      </c>
      <c r="F91" s="27">
        <v>5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27">
        <v>5</v>
      </c>
      <c r="Y91" s="1">
        <v>0</v>
      </c>
      <c r="Z91" s="45"/>
      <c r="AA91" s="45"/>
      <c r="AB91" s="48"/>
      <c r="AC91" s="225">
        <v>15675000</v>
      </c>
      <c r="AD91" s="1">
        <f>+X91*AC91</f>
        <v>78375000</v>
      </c>
      <c r="AE91" s="46" t="s">
        <v>84</v>
      </c>
      <c r="AF91" s="24" t="s">
        <v>67</v>
      </c>
      <c r="AG91" s="46" t="s">
        <v>68</v>
      </c>
      <c r="AH91" s="26"/>
      <c r="AI91" s="26"/>
    </row>
    <row r="92" spans="2:35" s="29" customFormat="1" ht="15.75">
      <c r="B92" s="46">
        <v>15</v>
      </c>
      <c r="C92" s="55" t="s">
        <v>75</v>
      </c>
      <c r="D92" s="27" t="s">
        <v>70</v>
      </c>
      <c r="E92" s="27">
        <v>2022</v>
      </c>
      <c r="F92" s="27">
        <v>10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27">
        <v>10</v>
      </c>
      <c r="Y92" s="1">
        <v>0</v>
      </c>
      <c r="Z92" s="45"/>
      <c r="AA92" s="45"/>
      <c r="AB92" s="48"/>
      <c r="AC92" s="48"/>
      <c r="AD92" s="48"/>
      <c r="AE92" s="46" t="s">
        <v>84</v>
      </c>
      <c r="AF92" s="24" t="s">
        <v>67</v>
      </c>
      <c r="AG92" s="46" t="s">
        <v>68</v>
      </c>
      <c r="AH92" s="26"/>
      <c r="AI92" s="26"/>
    </row>
    <row r="93" spans="2:35" s="29" customFormat="1" ht="15.75">
      <c r="B93" s="46">
        <v>16</v>
      </c>
      <c r="C93" s="55" t="s">
        <v>184</v>
      </c>
      <c r="D93" s="27" t="s">
        <v>70</v>
      </c>
      <c r="E93" s="27">
        <v>2022</v>
      </c>
      <c r="F93" s="27">
        <v>2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27">
        <v>2</v>
      </c>
      <c r="Y93" s="1">
        <v>0</v>
      </c>
      <c r="Z93" s="45"/>
      <c r="AA93" s="45"/>
      <c r="AB93" s="48"/>
      <c r="AC93" s="48"/>
      <c r="AD93" s="48"/>
      <c r="AE93" s="46" t="s">
        <v>84</v>
      </c>
      <c r="AF93" s="24" t="s">
        <v>67</v>
      </c>
      <c r="AG93" s="46" t="s">
        <v>68</v>
      </c>
      <c r="AH93" s="26"/>
      <c r="AI93" s="26"/>
    </row>
    <row r="94" spans="2:35" s="29" customFormat="1" ht="15.75">
      <c r="B94" s="88" t="s">
        <v>106</v>
      </c>
      <c r="C94" s="89" t="s">
        <v>413</v>
      </c>
      <c r="D94" s="90"/>
      <c r="E94" s="90"/>
      <c r="F94" s="90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0"/>
      <c r="Y94" s="86"/>
      <c r="Z94" s="92"/>
      <c r="AA94" s="92"/>
      <c r="AB94" s="93"/>
      <c r="AC94" s="93"/>
      <c r="AD94" s="93"/>
      <c r="AE94" s="86"/>
      <c r="AF94" s="84"/>
      <c r="AG94" s="94"/>
      <c r="AH94" s="95"/>
      <c r="AI94" s="96"/>
    </row>
    <row r="95" spans="2:35" s="29" customFormat="1" ht="22.5" customHeight="1">
      <c r="B95" s="46">
        <v>1</v>
      </c>
      <c r="C95" s="26" t="s">
        <v>69</v>
      </c>
      <c r="D95" s="27" t="s">
        <v>70</v>
      </c>
      <c r="E95" s="27">
        <v>2022</v>
      </c>
      <c r="F95" s="27">
        <v>6</v>
      </c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27">
        <v>6</v>
      </c>
      <c r="Y95" s="1">
        <v>0</v>
      </c>
      <c r="Z95" s="45"/>
      <c r="AA95" s="45"/>
      <c r="AB95" s="48"/>
      <c r="AC95" s="48"/>
      <c r="AD95" s="48"/>
      <c r="AE95" s="46" t="s">
        <v>84</v>
      </c>
      <c r="AF95" s="24" t="s">
        <v>67</v>
      </c>
      <c r="AG95" s="46" t="s">
        <v>68</v>
      </c>
      <c r="AH95" s="26"/>
      <c r="AI95" s="26"/>
    </row>
    <row r="96" spans="2:35" s="29" customFormat="1" ht="22.5" customHeight="1">
      <c r="B96" s="46">
        <v>2</v>
      </c>
      <c r="C96" s="26" t="s">
        <v>162</v>
      </c>
      <c r="D96" s="27" t="s">
        <v>70</v>
      </c>
      <c r="E96" s="27">
        <v>2022</v>
      </c>
      <c r="F96" s="27">
        <v>2</v>
      </c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27">
        <v>2</v>
      </c>
      <c r="Y96" s="1">
        <v>0</v>
      </c>
      <c r="Z96" s="45"/>
      <c r="AA96" s="45"/>
      <c r="AB96" s="48"/>
      <c r="AC96" s="48"/>
      <c r="AD96" s="48"/>
      <c r="AE96" s="46" t="s">
        <v>84</v>
      </c>
      <c r="AF96" s="24" t="s">
        <v>67</v>
      </c>
      <c r="AG96" s="46" t="s">
        <v>68</v>
      </c>
      <c r="AH96" s="26"/>
      <c r="AI96" s="26"/>
    </row>
    <row r="97" spans="2:35" s="29" customFormat="1" ht="22.5" customHeight="1">
      <c r="B97" s="46">
        <v>3</v>
      </c>
      <c r="C97" s="26" t="s">
        <v>187</v>
      </c>
      <c r="D97" s="27" t="s">
        <v>70</v>
      </c>
      <c r="E97" s="27">
        <v>2022</v>
      </c>
      <c r="F97" s="27">
        <v>1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27">
        <v>1</v>
      </c>
      <c r="Y97" s="1">
        <v>0</v>
      </c>
      <c r="Z97" s="45"/>
      <c r="AA97" s="45"/>
      <c r="AB97" s="48"/>
      <c r="AC97" s="48"/>
      <c r="AD97" s="48"/>
      <c r="AE97" s="46" t="s">
        <v>84</v>
      </c>
      <c r="AF97" s="24" t="s">
        <v>67</v>
      </c>
      <c r="AG97" s="46" t="s">
        <v>68</v>
      </c>
      <c r="AH97" s="26"/>
      <c r="AI97" s="26"/>
    </row>
    <row r="98" spans="2:35" s="29" customFormat="1" ht="22.5" customHeight="1">
      <c r="B98" s="46">
        <v>4</v>
      </c>
      <c r="C98" s="26" t="s">
        <v>108</v>
      </c>
      <c r="D98" s="27" t="s">
        <v>70</v>
      </c>
      <c r="E98" s="27">
        <v>2022</v>
      </c>
      <c r="F98" s="27">
        <v>1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27">
        <v>1</v>
      </c>
      <c r="Y98" s="1">
        <v>0</v>
      </c>
      <c r="Z98" s="45"/>
      <c r="AA98" s="45"/>
      <c r="AB98" s="48"/>
      <c r="AC98" s="48"/>
      <c r="AD98" s="48"/>
      <c r="AE98" s="46" t="s">
        <v>84</v>
      </c>
      <c r="AF98" s="24" t="s">
        <v>67</v>
      </c>
      <c r="AG98" s="46" t="s">
        <v>68</v>
      </c>
      <c r="AH98" s="26"/>
      <c r="AI98" s="26"/>
    </row>
    <row r="99" spans="2:35" s="29" customFormat="1" ht="22.5" customHeight="1">
      <c r="B99" s="46">
        <v>5</v>
      </c>
      <c r="C99" s="26" t="s">
        <v>71</v>
      </c>
      <c r="D99" s="27" t="s">
        <v>70</v>
      </c>
      <c r="E99" s="27">
        <v>2022</v>
      </c>
      <c r="F99" s="27">
        <v>5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27">
        <v>5</v>
      </c>
      <c r="Y99" s="1">
        <v>0</v>
      </c>
      <c r="Z99" s="45"/>
      <c r="AA99" s="45"/>
      <c r="AB99" s="48"/>
      <c r="AC99" s="48"/>
      <c r="AD99" s="48"/>
      <c r="AE99" s="46" t="s">
        <v>84</v>
      </c>
      <c r="AF99" s="24" t="s">
        <v>67</v>
      </c>
      <c r="AG99" s="46" t="s">
        <v>68</v>
      </c>
      <c r="AH99" s="26"/>
      <c r="AI99" s="26"/>
    </row>
    <row r="100" spans="2:35" s="29" customFormat="1" ht="22.5" customHeight="1">
      <c r="B100" s="46">
        <v>6</v>
      </c>
      <c r="C100" s="26" t="s">
        <v>72</v>
      </c>
      <c r="D100" s="27" t="s">
        <v>70</v>
      </c>
      <c r="E100" s="27">
        <v>2022</v>
      </c>
      <c r="F100" s="27">
        <v>1</v>
      </c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27">
        <v>1</v>
      </c>
      <c r="Y100" s="1">
        <v>0</v>
      </c>
      <c r="Z100" s="45"/>
      <c r="AA100" s="45"/>
      <c r="AB100" s="48"/>
      <c r="AC100" s="48"/>
      <c r="AD100" s="48"/>
      <c r="AE100" s="46" t="s">
        <v>84</v>
      </c>
      <c r="AF100" s="24" t="s">
        <v>67</v>
      </c>
      <c r="AG100" s="46" t="s">
        <v>68</v>
      </c>
      <c r="AH100" s="26"/>
      <c r="AI100" s="26"/>
    </row>
    <row r="101" spans="2:35" s="29" customFormat="1" ht="22.5" customHeight="1">
      <c r="B101" s="46">
        <v>7</v>
      </c>
      <c r="C101" s="26" t="s">
        <v>163</v>
      </c>
      <c r="D101" s="27" t="s">
        <v>70</v>
      </c>
      <c r="E101" s="27">
        <v>2022</v>
      </c>
      <c r="F101" s="27">
        <v>1</v>
      </c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27">
        <v>1</v>
      </c>
      <c r="Y101" s="1">
        <v>0</v>
      </c>
      <c r="Z101" s="45"/>
      <c r="AA101" s="45"/>
      <c r="AB101" s="48"/>
      <c r="AC101" s="48"/>
      <c r="AD101" s="48"/>
      <c r="AE101" s="46" t="s">
        <v>84</v>
      </c>
      <c r="AF101" s="24" t="s">
        <v>67</v>
      </c>
      <c r="AG101" s="46" t="s">
        <v>68</v>
      </c>
      <c r="AH101" s="26"/>
      <c r="AI101" s="26"/>
    </row>
    <row r="102" spans="2:35" s="29" customFormat="1" ht="22.5" customHeight="1">
      <c r="B102" s="46">
        <v>8</v>
      </c>
      <c r="C102" s="26" t="s">
        <v>164</v>
      </c>
      <c r="D102" s="27" t="s">
        <v>70</v>
      </c>
      <c r="E102" s="27">
        <v>2022</v>
      </c>
      <c r="F102" s="27">
        <v>1</v>
      </c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27">
        <v>1</v>
      </c>
      <c r="Y102" s="1">
        <v>0</v>
      </c>
      <c r="Z102" s="45"/>
      <c r="AA102" s="45"/>
      <c r="AB102" s="48"/>
      <c r="AC102" s="48"/>
      <c r="AD102" s="48"/>
      <c r="AE102" s="46" t="s">
        <v>84</v>
      </c>
      <c r="AF102" s="24" t="s">
        <v>67</v>
      </c>
      <c r="AG102" s="46" t="s">
        <v>68</v>
      </c>
      <c r="AH102" s="26"/>
      <c r="AI102" s="26"/>
    </row>
    <row r="103" spans="2:35" s="29" customFormat="1" ht="22.5" customHeight="1">
      <c r="B103" s="46">
        <v>9</v>
      </c>
      <c r="C103" s="26" t="s">
        <v>188</v>
      </c>
      <c r="D103" s="27" t="s">
        <v>70</v>
      </c>
      <c r="E103" s="27">
        <v>2022</v>
      </c>
      <c r="F103" s="27">
        <v>1</v>
      </c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27">
        <v>1</v>
      </c>
      <c r="Y103" s="1">
        <v>0</v>
      </c>
      <c r="Z103" s="45"/>
      <c r="AA103" s="45"/>
      <c r="AB103" s="48"/>
      <c r="AC103" s="48"/>
      <c r="AD103" s="48"/>
      <c r="AE103" s="46" t="s">
        <v>84</v>
      </c>
      <c r="AF103" s="24" t="s">
        <v>67</v>
      </c>
      <c r="AG103" s="46" t="s">
        <v>68</v>
      </c>
      <c r="AH103" s="26"/>
      <c r="AI103" s="26"/>
    </row>
    <row r="104" spans="2:35" s="29" customFormat="1" ht="22.5" customHeight="1">
      <c r="B104" s="46">
        <v>10</v>
      </c>
      <c r="C104" s="26" t="s">
        <v>167</v>
      </c>
      <c r="D104" s="27" t="s">
        <v>70</v>
      </c>
      <c r="E104" s="27">
        <v>2022</v>
      </c>
      <c r="F104" s="27">
        <v>1</v>
      </c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27">
        <v>1</v>
      </c>
      <c r="Y104" s="1">
        <v>0</v>
      </c>
      <c r="Z104" s="45"/>
      <c r="AA104" s="45"/>
      <c r="AB104" s="48"/>
      <c r="AC104" s="48"/>
      <c r="AD104" s="48"/>
      <c r="AE104" s="46" t="s">
        <v>84</v>
      </c>
      <c r="AF104" s="24" t="s">
        <v>67</v>
      </c>
      <c r="AG104" s="46" t="s">
        <v>68</v>
      </c>
      <c r="AH104" s="26"/>
      <c r="AI104" s="26"/>
    </row>
    <row r="105" spans="2:35" s="29" customFormat="1" ht="22.5" customHeight="1">
      <c r="B105" s="46">
        <v>11</v>
      </c>
      <c r="C105" s="26" t="s">
        <v>73</v>
      </c>
      <c r="D105" s="27" t="s">
        <v>70</v>
      </c>
      <c r="E105" s="27">
        <v>2022</v>
      </c>
      <c r="F105" s="27">
        <v>1</v>
      </c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27">
        <v>1</v>
      </c>
      <c r="Y105" s="1">
        <v>0</v>
      </c>
      <c r="Z105" s="45"/>
      <c r="AA105" s="45"/>
      <c r="AB105" s="48"/>
      <c r="AC105" s="48"/>
      <c r="AD105" s="48"/>
      <c r="AE105" s="46" t="s">
        <v>84</v>
      </c>
      <c r="AF105" s="24" t="s">
        <v>67</v>
      </c>
      <c r="AG105" s="46" t="s">
        <v>68</v>
      </c>
      <c r="AH105" s="26"/>
      <c r="AI105" s="26"/>
    </row>
    <row r="106" spans="2:35" s="29" customFormat="1" ht="34.5" customHeight="1">
      <c r="B106" s="46">
        <v>12</v>
      </c>
      <c r="C106" s="28" t="s">
        <v>129</v>
      </c>
      <c r="D106" s="27" t="s">
        <v>74</v>
      </c>
      <c r="E106" s="27">
        <v>2022</v>
      </c>
      <c r="F106" s="27">
        <v>2</v>
      </c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27">
        <v>2</v>
      </c>
      <c r="Y106" s="1">
        <v>0</v>
      </c>
      <c r="Z106" s="45"/>
      <c r="AA106" s="45"/>
      <c r="AB106" s="48"/>
      <c r="AC106" s="48"/>
      <c r="AD106" s="48"/>
      <c r="AE106" s="46" t="s">
        <v>84</v>
      </c>
      <c r="AF106" s="24" t="s">
        <v>67</v>
      </c>
      <c r="AG106" s="46" t="s">
        <v>68</v>
      </c>
      <c r="AH106" s="26"/>
      <c r="AI106" s="26"/>
    </row>
    <row r="107" spans="2:35" s="29" customFormat="1" ht="22.5" customHeight="1">
      <c r="B107" s="46">
        <v>13</v>
      </c>
      <c r="C107" s="26" t="s">
        <v>189</v>
      </c>
      <c r="D107" s="27" t="s">
        <v>70</v>
      </c>
      <c r="E107" s="27">
        <v>2022</v>
      </c>
      <c r="F107" s="27">
        <v>1</v>
      </c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27">
        <v>1</v>
      </c>
      <c r="Y107" s="1">
        <v>0</v>
      </c>
      <c r="Z107" s="45"/>
      <c r="AA107" s="45"/>
      <c r="AB107" s="48"/>
      <c r="AC107" s="223">
        <v>12669000</v>
      </c>
      <c r="AD107" s="224">
        <f>+X107*AC107</f>
        <v>12669000</v>
      </c>
      <c r="AE107" s="46" t="s">
        <v>84</v>
      </c>
      <c r="AF107" s="24" t="s">
        <v>67</v>
      </c>
      <c r="AG107" s="46" t="s">
        <v>68</v>
      </c>
      <c r="AH107" s="26"/>
      <c r="AI107" s="26"/>
    </row>
    <row r="108" spans="2:35" s="29" customFormat="1" ht="22.5" customHeight="1">
      <c r="B108" s="46">
        <v>13</v>
      </c>
      <c r="C108" s="26" t="s">
        <v>183</v>
      </c>
      <c r="D108" s="27" t="s">
        <v>70</v>
      </c>
      <c r="E108" s="27">
        <v>2022</v>
      </c>
      <c r="F108" s="27">
        <v>1</v>
      </c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27">
        <v>1</v>
      </c>
      <c r="Y108" s="1">
        <v>0</v>
      </c>
      <c r="Z108" s="45"/>
      <c r="AA108" s="45"/>
      <c r="AB108" s="48"/>
      <c r="AC108" s="225">
        <v>15675000</v>
      </c>
      <c r="AD108" s="1">
        <f>+X108*AC108</f>
        <v>15675000</v>
      </c>
      <c r="AE108" s="46" t="s">
        <v>84</v>
      </c>
      <c r="AF108" s="24" t="s">
        <v>67</v>
      </c>
      <c r="AG108" s="46" t="s">
        <v>68</v>
      </c>
      <c r="AH108" s="26"/>
      <c r="AI108" s="26"/>
    </row>
    <row r="109" spans="2:35" s="29" customFormat="1" ht="22.5" customHeight="1">
      <c r="B109" s="46">
        <v>14</v>
      </c>
      <c r="C109" s="26" t="s">
        <v>75</v>
      </c>
      <c r="D109" s="27" t="s">
        <v>70</v>
      </c>
      <c r="E109" s="27">
        <v>2022</v>
      </c>
      <c r="F109" s="27">
        <v>2</v>
      </c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27">
        <v>2</v>
      </c>
      <c r="Y109" s="1">
        <v>0</v>
      </c>
      <c r="Z109" s="45"/>
      <c r="AA109" s="45"/>
      <c r="AB109" s="48"/>
      <c r="AC109" s="48"/>
      <c r="AD109" s="48"/>
      <c r="AE109" s="46" t="s">
        <v>84</v>
      </c>
      <c r="AF109" s="24" t="s">
        <v>67</v>
      </c>
      <c r="AG109" s="46" t="s">
        <v>68</v>
      </c>
      <c r="AH109" s="26"/>
      <c r="AI109" s="26"/>
    </row>
    <row r="110" spans="2:35" s="29" customFormat="1" ht="22.5" customHeight="1">
      <c r="B110" s="46">
        <v>15</v>
      </c>
      <c r="C110" s="26" t="s">
        <v>76</v>
      </c>
      <c r="D110" s="27" t="s">
        <v>70</v>
      </c>
      <c r="E110" s="27">
        <v>2022</v>
      </c>
      <c r="F110" s="27">
        <v>1</v>
      </c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27">
        <v>1</v>
      </c>
      <c r="Y110" s="1">
        <v>0</v>
      </c>
      <c r="Z110" s="45"/>
      <c r="AA110" s="45"/>
      <c r="AB110" s="48"/>
      <c r="AC110" s="48"/>
      <c r="AD110" s="48"/>
      <c r="AE110" s="46" t="s">
        <v>84</v>
      </c>
      <c r="AF110" s="24" t="s">
        <v>67</v>
      </c>
      <c r="AG110" s="46" t="s">
        <v>68</v>
      </c>
      <c r="AH110" s="26"/>
      <c r="AI110" s="26"/>
    </row>
    <row r="111" spans="2:35" s="29" customFormat="1" ht="22.5" customHeight="1">
      <c r="B111" s="46">
        <v>16</v>
      </c>
      <c r="C111" s="26" t="s">
        <v>190</v>
      </c>
      <c r="D111" s="27" t="s">
        <v>70</v>
      </c>
      <c r="E111" s="27">
        <v>2022</v>
      </c>
      <c r="F111" s="27">
        <v>1</v>
      </c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27">
        <v>1</v>
      </c>
      <c r="Y111" s="1">
        <v>0</v>
      </c>
      <c r="Z111" s="45"/>
      <c r="AA111" s="45"/>
      <c r="AB111" s="48"/>
      <c r="AC111" s="48"/>
      <c r="AD111" s="48"/>
      <c r="AE111" s="46" t="s">
        <v>84</v>
      </c>
      <c r="AF111" s="24" t="s">
        <v>67</v>
      </c>
      <c r="AG111" s="46" t="s">
        <v>68</v>
      </c>
      <c r="AH111" s="26"/>
      <c r="AI111" s="26"/>
    </row>
    <row r="112" spans="2:35" s="29" customFormat="1" ht="15.75">
      <c r="B112" s="80" t="s">
        <v>173</v>
      </c>
      <c r="C112" s="81" t="s">
        <v>134</v>
      </c>
      <c r="D112" s="87"/>
      <c r="E112" s="84"/>
      <c r="F112" s="84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84"/>
      <c r="Y112" s="92"/>
      <c r="Z112" s="92"/>
      <c r="AA112" s="92"/>
      <c r="AB112" s="92"/>
      <c r="AC112" s="92"/>
      <c r="AD112" s="92"/>
      <c r="AE112" s="86"/>
      <c r="AF112" s="92"/>
      <c r="AG112" s="86"/>
      <c r="AH112" s="84"/>
      <c r="AI112" s="87"/>
    </row>
    <row r="113" spans="2:36" s="29" customFormat="1" ht="22.5" customHeight="1">
      <c r="B113" s="1">
        <v>1</v>
      </c>
      <c r="C113" s="23" t="s">
        <v>111</v>
      </c>
      <c r="D113" s="24" t="s">
        <v>70</v>
      </c>
      <c r="E113" s="24">
        <v>2022</v>
      </c>
      <c r="F113" s="24">
        <v>3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24">
        <v>3</v>
      </c>
      <c r="Y113" s="1">
        <v>0</v>
      </c>
      <c r="Z113" s="45"/>
      <c r="AA113" s="45"/>
      <c r="AB113" s="45"/>
      <c r="AC113" s="45"/>
      <c r="AD113" s="45"/>
      <c r="AE113" s="1" t="s">
        <v>84</v>
      </c>
      <c r="AF113" s="1" t="s">
        <v>135</v>
      </c>
      <c r="AG113" s="1" t="s">
        <v>68</v>
      </c>
      <c r="AH113" s="23"/>
      <c r="AI113" s="23"/>
    </row>
    <row r="114" spans="2:36" s="29" customFormat="1" ht="22.5" customHeight="1">
      <c r="B114" s="1">
        <v>2</v>
      </c>
      <c r="C114" s="23" t="s">
        <v>125</v>
      </c>
      <c r="D114" s="24" t="s">
        <v>70</v>
      </c>
      <c r="E114" s="24">
        <v>2022</v>
      </c>
      <c r="F114" s="24">
        <v>1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24">
        <v>1</v>
      </c>
      <c r="Y114" s="1">
        <v>0</v>
      </c>
      <c r="Z114" s="45"/>
      <c r="AA114" s="45"/>
      <c r="AB114" s="45"/>
      <c r="AC114" s="45"/>
      <c r="AD114" s="45"/>
      <c r="AE114" s="1" t="s">
        <v>84</v>
      </c>
      <c r="AF114" s="1" t="s">
        <v>135</v>
      </c>
      <c r="AG114" s="1" t="s">
        <v>68</v>
      </c>
      <c r="AH114" s="23"/>
      <c r="AI114" s="23"/>
      <c r="AJ114" s="5"/>
    </row>
    <row r="115" spans="2:36" s="29" customFormat="1" ht="22.5" customHeight="1">
      <c r="B115" s="1">
        <v>3</v>
      </c>
      <c r="C115" s="23" t="s">
        <v>71</v>
      </c>
      <c r="D115" s="24" t="s">
        <v>70</v>
      </c>
      <c r="E115" s="24">
        <v>2022</v>
      </c>
      <c r="F115" s="24">
        <v>4</v>
      </c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24">
        <v>4</v>
      </c>
      <c r="Y115" s="1">
        <v>0</v>
      </c>
      <c r="Z115" s="45"/>
      <c r="AA115" s="45"/>
      <c r="AB115" s="45"/>
      <c r="AC115" s="45"/>
      <c r="AD115" s="45"/>
      <c r="AE115" s="1" t="s">
        <v>84</v>
      </c>
      <c r="AF115" s="1" t="s">
        <v>135</v>
      </c>
      <c r="AG115" s="1" t="s">
        <v>68</v>
      </c>
      <c r="AH115" s="23"/>
      <c r="AI115" s="23"/>
    </row>
    <row r="116" spans="2:36" s="29" customFormat="1" ht="22.5" customHeight="1">
      <c r="B116" s="1">
        <v>4</v>
      </c>
      <c r="C116" s="23" t="s">
        <v>72</v>
      </c>
      <c r="D116" s="24" t="s">
        <v>70</v>
      </c>
      <c r="E116" s="24">
        <v>2022</v>
      </c>
      <c r="F116" s="24">
        <v>1</v>
      </c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24">
        <v>1</v>
      </c>
      <c r="Y116" s="1">
        <v>0</v>
      </c>
      <c r="Z116" s="45"/>
      <c r="AA116" s="45"/>
      <c r="AB116" s="45"/>
      <c r="AC116" s="45"/>
      <c r="AD116" s="45"/>
      <c r="AE116" s="1" t="s">
        <v>84</v>
      </c>
      <c r="AF116" s="1" t="s">
        <v>135</v>
      </c>
      <c r="AG116" s="1" t="s">
        <v>68</v>
      </c>
      <c r="AH116" s="23"/>
      <c r="AI116" s="23"/>
    </row>
    <row r="117" spans="2:36" s="29" customFormat="1" ht="22.5" customHeight="1">
      <c r="B117" s="1">
        <v>5</v>
      </c>
      <c r="C117" s="23" t="s">
        <v>126</v>
      </c>
      <c r="D117" s="24" t="s">
        <v>70</v>
      </c>
      <c r="E117" s="24">
        <v>2022</v>
      </c>
      <c r="F117" s="24">
        <v>1</v>
      </c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24">
        <v>1</v>
      </c>
      <c r="Y117" s="1">
        <v>0</v>
      </c>
      <c r="Z117" s="45"/>
      <c r="AA117" s="45"/>
      <c r="AB117" s="45"/>
      <c r="AC117" s="223">
        <v>12669000</v>
      </c>
      <c r="AD117" s="224">
        <f>+X117*AC117</f>
        <v>12669000</v>
      </c>
      <c r="AE117" s="1" t="s">
        <v>84</v>
      </c>
      <c r="AF117" s="1" t="s">
        <v>135</v>
      </c>
      <c r="AG117" s="1" t="s">
        <v>68</v>
      </c>
      <c r="AH117" s="23"/>
      <c r="AI117" s="23"/>
    </row>
    <row r="118" spans="2:36" s="29" customFormat="1" ht="22.5" customHeight="1">
      <c r="B118" s="1">
        <v>6</v>
      </c>
      <c r="C118" s="23" t="s">
        <v>75</v>
      </c>
      <c r="D118" s="24" t="s">
        <v>70</v>
      </c>
      <c r="E118" s="24">
        <v>2022</v>
      </c>
      <c r="F118" s="24">
        <v>2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24">
        <v>2</v>
      </c>
      <c r="Y118" s="1">
        <v>0</v>
      </c>
      <c r="Z118" s="45"/>
      <c r="AA118" s="45"/>
      <c r="AB118" s="45"/>
      <c r="AC118" s="45"/>
      <c r="AD118" s="45"/>
      <c r="AE118" s="1" t="s">
        <v>84</v>
      </c>
      <c r="AF118" s="1" t="s">
        <v>135</v>
      </c>
      <c r="AG118" s="1" t="s">
        <v>68</v>
      </c>
      <c r="AH118" s="23"/>
      <c r="AI118" s="23"/>
    </row>
    <row r="119" spans="2:36" s="29" customFormat="1" ht="22.5" customHeight="1">
      <c r="B119" s="1">
        <v>7</v>
      </c>
      <c r="C119" s="23" t="s">
        <v>127</v>
      </c>
      <c r="D119" s="24" t="s">
        <v>70</v>
      </c>
      <c r="E119" s="24">
        <v>2022</v>
      </c>
      <c r="F119" s="24">
        <v>1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24">
        <v>1</v>
      </c>
      <c r="Y119" s="1">
        <v>0</v>
      </c>
      <c r="Z119" s="45"/>
      <c r="AA119" s="45"/>
      <c r="AB119" s="45"/>
      <c r="AC119" s="45"/>
      <c r="AD119" s="45"/>
      <c r="AE119" s="1" t="s">
        <v>84</v>
      </c>
      <c r="AF119" s="1" t="s">
        <v>135</v>
      </c>
      <c r="AG119" s="1" t="s">
        <v>68</v>
      </c>
      <c r="AH119" s="23"/>
      <c r="AI119" s="23"/>
    </row>
    <row r="120" spans="2:36" s="29" customFormat="1" ht="22.5" customHeight="1">
      <c r="B120" s="1">
        <v>8</v>
      </c>
      <c r="C120" s="23" t="s">
        <v>128</v>
      </c>
      <c r="D120" s="24" t="s">
        <v>70</v>
      </c>
      <c r="E120" s="24">
        <v>2022</v>
      </c>
      <c r="F120" s="24">
        <v>1</v>
      </c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24">
        <v>1</v>
      </c>
      <c r="Y120" s="1">
        <v>0</v>
      </c>
      <c r="Z120" s="45"/>
      <c r="AA120" s="45"/>
      <c r="AB120" s="45"/>
      <c r="AC120" s="45"/>
      <c r="AD120" s="45"/>
      <c r="AE120" s="1" t="s">
        <v>84</v>
      </c>
      <c r="AF120" s="1" t="s">
        <v>135</v>
      </c>
      <c r="AG120" s="1" t="s">
        <v>68</v>
      </c>
      <c r="AH120" s="23"/>
      <c r="AI120" s="23"/>
    </row>
    <row r="121" spans="2:36" s="29" customFormat="1" ht="22.5" customHeight="1">
      <c r="B121" s="1">
        <v>9</v>
      </c>
      <c r="C121" s="25" t="s">
        <v>73</v>
      </c>
      <c r="D121" s="24" t="s">
        <v>74</v>
      </c>
      <c r="E121" s="24">
        <v>2022</v>
      </c>
      <c r="F121" s="24">
        <v>1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24">
        <v>1</v>
      </c>
      <c r="Y121" s="1">
        <v>0</v>
      </c>
      <c r="Z121" s="45"/>
      <c r="AA121" s="45"/>
      <c r="AB121" s="45"/>
      <c r="AC121" s="45"/>
      <c r="AD121" s="45"/>
      <c r="AE121" s="1" t="s">
        <v>84</v>
      </c>
      <c r="AF121" s="1" t="s">
        <v>135</v>
      </c>
      <c r="AG121" s="1" t="s">
        <v>68</v>
      </c>
      <c r="AH121" s="23"/>
      <c r="AI121" s="23"/>
    </row>
    <row r="122" spans="2:36" s="29" customFormat="1" ht="30" customHeight="1">
      <c r="B122" s="1">
        <v>10</v>
      </c>
      <c r="C122" s="28" t="s">
        <v>129</v>
      </c>
      <c r="D122" s="24" t="s">
        <v>74</v>
      </c>
      <c r="E122" s="24">
        <v>2022</v>
      </c>
      <c r="F122" s="24">
        <v>2</v>
      </c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24">
        <v>2</v>
      </c>
      <c r="Y122" s="1">
        <v>0</v>
      </c>
      <c r="Z122" s="45"/>
      <c r="AA122" s="45"/>
      <c r="AB122" s="45"/>
      <c r="AC122" s="45"/>
      <c r="AD122" s="45"/>
      <c r="AE122" s="1" t="s">
        <v>84</v>
      </c>
      <c r="AF122" s="1" t="s">
        <v>135</v>
      </c>
      <c r="AG122" s="1" t="s">
        <v>68</v>
      </c>
      <c r="AH122" s="23"/>
      <c r="AI122" s="23"/>
    </row>
    <row r="123" spans="2:36" s="29" customFormat="1" ht="22.5" customHeight="1">
      <c r="B123" s="1">
        <v>11</v>
      </c>
      <c r="C123" s="28" t="s">
        <v>130</v>
      </c>
      <c r="D123" s="24" t="s">
        <v>70</v>
      </c>
      <c r="E123" s="24">
        <v>2022</v>
      </c>
      <c r="F123" s="24">
        <v>2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24">
        <v>2</v>
      </c>
      <c r="Y123" s="1">
        <v>0</v>
      </c>
      <c r="Z123" s="45"/>
      <c r="AA123" s="45"/>
      <c r="AB123" s="45"/>
      <c r="AC123" s="45"/>
      <c r="AD123" s="45"/>
      <c r="AE123" s="1" t="s">
        <v>84</v>
      </c>
      <c r="AF123" s="1" t="s">
        <v>135</v>
      </c>
      <c r="AG123" s="1" t="s">
        <v>68</v>
      </c>
      <c r="AH123" s="23"/>
      <c r="AI123" s="23"/>
    </row>
    <row r="124" spans="2:36" s="29" customFormat="1" ht="15.75">
      <c r="B124" s="80" t="s">
        <v>207</v>
      </c>
      <c r="C124" s="81" t="s">
        <v>131</v>
      </c>
      <c r="D124" s="87"/>
      <c r="E124" s="84"/>
      <c r="F124" s="84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84"/>
      <c r="Y124" s="92"/>
      <c r="Z124" s="92"/>
      <c r="AA124" s="92"/>
      <c r="AB124" s="92"/>
      <c r="AC124" s="92"/>
      <c r="AD124" s="92"/>
      <c r="AE124" s="86"/>
      <c r="AF124" s="92"/>
      <c r="AG124" s="86"/>
      <c r="AH124" s="84"/>
      <c r="AI124" s="87"/>
    </row>
    <row r="125" spans="2:36" s="29" customFormat="1" ht="22.5" customHeight="1">
      <c r="B125" s="1">
        <v>1</v>
      </c>
      <c r="C125" s="23" t="s">
        <v>111</v>
      </c>
      <c r="D125" s="24" t="s">
        <v>70</v>
      </c>
      <c r="E125" s="24">
        <v>2022</v>
      </c>
      <c r="F125" s="24">
        <v>4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24">
        <v>4</v>
      </c>
      <c r="Y125" s="1">
        <v>0</v>
      </c>
      <c r="Z125" s="45"/>
      <c r="AA125" s="45"/>
      <c r="AB125" s="45"/>
      <c r="AC125" s="45"/>
      <c r="AD125" s="45"/>
      <c r="AE125" s="1" t="s">
        <v>84</v>
      </c>
      <c r="AF125" s="1" t="s">
        <v>136</v>
      </c>
      <c r="AG125" s="1" t="s">
        <v>68</v>
      </c>
      <c r="AH125" s="23"/>
      <c r="AI125" s="23"/>
    </row>
    <row r="126" spans="2:36" s="29" customFormat="1" ht="22.5" customHeight="1">
      <c r="B126" s="1">
        <v>2</v>
      </c>
      <c r="C126" s="23" t="s">
        <v>132</v>
      </c>
      <c r="D126" s="24" t="s">
        <v>70</v>
      </c>
      <c r="E126" s="24">
        <v>2022</v>
      </c>
      <c r="F126" s="24">
        <v>1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24">
        <v>1</v>
      </c>
      <c r="Y126" s="1">
        <v>0</v>
      </c>
      <c r="Z126" s="45"/>
      <c r="AA126" s="45"/>
      <c r="AB126" s="45"/>
      <c r="AC126" s="45"/>
      <c r="AD126" s="45"/>
      <c r="AE126" s="1" t="s">
        <v>84</v>
      </c>
      <c r="AF126" s="1" t="s">
        <v>136</v>
      </c>
      <c r="AG126" s="1" t="s">
        <v>68</v>
      </c>
      <c r="AH126" s="23"/>
      <c r="AI126" s="23"/>
    </row>
    <row r="127" spans="2:36" s="29" customFormat="1" ht="22.5" customHeight="1">
      <c r="B127" s="1">
        <v>3</v>
      </c>
      <c r="C127" s="23" t="s">
        <v>71</v>
      </c>
      <c r="D127" s="24" t="s">
        <v>70</v>
      </c>
      <c r="E127" s="24">
        <v>2022</v>
      </c>
      <c r="F127" s="24">
        <v>4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24">
        <v>4</v>
      </c>
      <c r="Y127" s="1">
        <v>0</v>
      </c>
      <c r="Z127" s="45"/>
      <c r="AA127" s="45"/>
      <c r="AB127" s="45"/>
      <c r="AC127" s="45"/>
      <c r="AD127" s="45"/>
      <c r="AE127" s="1" t="s">
        <v>84</v>
      </c>
      <c r="AF127" s="1" t="s">
        <v>136</v>
      </c>
      <c r="AG127" s="1" t="s">
        <v>68</v>
      </c>
      <c r="AH127" s="23"/>
      <c r="AI127" s="23"/>
    </row>
    <row r="128" spans="2:36" s="29" customFormat="1" ht="22.5" customHeight="1">
      <c r="B128" s="1">
        <v>4</v>
      </c>
      <c r="C128" s="23" t="s">
        <v>72</v>
      </c>
      <c r="D128" s="24" t="s">
        <v>70</v>
      </c>
      <c r="E128" s="24">
        <v>2022</v>
      </c>
      <c r="F128" s="24">
        <v>1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24">
        <v>1</v>
      </c>
      <c r="Y128" s="1">
        <v>0</v>
      </c>
      <c r="Z128" s="45"/>
      <c r="AA128" s="45"/>
      <c r="AB128" s="45"/>
      <c r="AC128" s="45"/>
      <c r="AD128" s="45"/>
      <c r="AE128" s="1" t="s">
        <v>84</v>
      </c>
      <c r="AF128" s="1" t="s">
        <v>136</v>
      </c>
      <c r="AG128" s="1" t="s">
        <v>68</v>
      </c>
      <c r="AH128" s="23"/>
      <c r="AI128" s="23"/>
    </row>
    <row r="129" spans="2:35" s="29" customFormat="1" ht="22.5" customHeight="1">
      <c r="B129" s="1">
        <v>5</v>
      </c>
      <c r="C129" s="23" t="s">
        <v>126</v>
      </c>
      <c r="D129" s="24" t="s">
        <v>70</v>
      </c>
      <c r="E129" s="24">
        <v>2022</v>
      </c>
      <c r="F129" s="24">
        <v>1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24">
        <v>1</v>
      </c>
      <c r="Y129" s="1">
        <v>0</v>
      </c>
      <c r="Z129" s="45"/>
      <c r="AA129" s="45"/>
      <c r="AB129" s="45"/>
      <c r="AC129" s="223">
        <v>12669000</v>
      </c>
      <c r="AD129" s="224">
        <f>+X129*AC129</f>
        <v>12669000</v>
      </c>
      <c r="AE129" s="1" t="s">
        <v>84</v>
      </c>
      <c r="AF129" s="1" t="s">
        <v>136</v>
      </c>
      <c r="AG129" s="1" t="s">
        <v>68</v>
      </c>
      <c r="AH129" s="23"/>
      <c r="AI129" s="23"/>
    </row>
    <row r="130" spans="2:35" s="29" customFormat="1" ht="22.5" customHeight="1">
      <c r="B130" s="1">
        <v>6</v>
      </c>
      <c r="C130" s="23" t="s">
        <v>75</v>
      </c>
      <c r="D130" s="24" t="s">
        <v>70</v>
      </c>
      <c r="E130" s="24">
        <v>2022</v>
      </c>
      <c r="F130" s="24">
        <v>2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24">
        <v>2</v>
      </c>
      <c r="Y130" s="1">
        <v>0</v>
      </c>
      <c r="Z130" s="45"/>
      <c r="AA130" s="45"/>
      <c r="AB130" s="45"/>
      <c r="AC130" s="45"/>
      <c r="AD130" s="45"/>
      <c r="AE130" s="1" t="s">
        <v>84</v>
      </c>
      <c r="AF130" s="1" t="s">
        <v>136</v>
      </c>
      <c r="AG130" s="1" t="s">
        <v>68</v>
      </c>
      <c r="AH130" s="23"/>
      <c r="AI130" s="23"/>
    </row>
    <row r="131" spans="2:35" s="29" customFormat="1" ht="22.5" customHeight="1">
      <c r="B131" s="1">
        <v>7</v>
      </c>
      <c r="C131" s="23" t="s">
        <v>127</v>
      </c>
      <c r="D131" s="24" t="s">
        <v>70</v>
      </c>
      <c r="E131" s="24">
        <v>2022</v>
      </c>
      <c r="F131" s="24">
        <v>1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24">
        <v>1</v>
      </c>
      <c r="Y131" s="1">
        <v>0</v>
      </c>
      <c r="Z131" s="45"/>
      <c r="AA131" s="45"/>
      <c r="AB131" s="45"/>
      <c r="AC131" s="45"/>
      <c r="AD131" s="45"/>
      <c r="AE131" s="1" t="s">
        <v>84</v>
      </c>
      <c r="AF131" s="1" t="s">
        <v>136</v>
      </c>
      <c r="AG131" s="1" t="s">
        <v>68</v>
      </c>
      <c r="AH131" s="23"/>
      <c r="AI131" s="23"/>
    </row>
    <row r="132" spans="2:35" s="29" customFormat="1" ht="22.5" customHeight="1">
      <c r="B132" s="1">
        <v>8</v>
      </c>
      <c r="C132" s="23" t="s">
        <v>128</v>
      </c>
      <c r="D132" s="24" t="s">
        <v>70</v>
      </c>
      <c r="E132" s="24">
        <v>2022</v>
      </c>
      <c r="F132" s="24">
        <v>1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24">
        <v>1</v>
      </c>
      <c r="Y132" s="1">
        <v>0</v>
      </c>
      <c r="Z132" s="45"/>
      <c r="AA132" s="45"/>
      <c r="AB132" s="45"/>
      <c r="AC132" s="45"/>
      <c r="AD132" s="45"/>
      <c r="AE132" s="1" t="s">
        <v>84</v>
      </c>
      <c r="AF132" s="1" t="s">
        <v>136</v>
      </c>
      <c r="AG132" s="1" t="s">
        <v>68</v>
      </c>
      <c r="AH132" s="23"/>
      <c r="AI132" s="23"/>
    </row>
    <row r="133" spans="2:35" s="29" customFormat="1" ht="22.5" customHeight="1">
      <c r="B133" s="1">
        <v>9</v>
      </c>
      <c r="C133" s="25" t="s">
        <v>73</v>
      </c>
      <c r="D133" s="24" t="s">
        <v>74</v>
      </c>
      <c r="E133" s="24">
        <v>2022</v>
      </c>
      <c r="F133" s="24">
        <v>1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24">
        <v>1</v>
      </c>
      <c r="Y133" s="1">
        <v>0</v>
      </c>
      <c r="Z133" s="45"/>
      <c r="AA133" s="45"/>
      <c r="AB133" s="45"/>
      <c r="AC133" s="45"/>
      <c r="AD133" s="45"/>
      <c r="AE133" s="1" t="s">
        <v>84</v>
      </c>
      <c r="AF133" s="1" t="s">
        <v>136</v>
      </c>
      <c r="AG133" s="1" t="s">
        <v>68</v>
      </c>
      <c r="AH133" s="23"/>
      <c r="AI133" s="23"/>
    </row>
    <row r="134" spans="2:35" s="29" customFormat="1" ht="30">
      <c r="B134" s="1">
        <v>10</v>
      </c>
      <c r="C134" s="28" t="s">
        <v>129</v>
      </c>
      <c r="D134" s="24" t="s">
        <v>74</v>
      </c>
      <c r="E134" s="24">
        <v>2022</v>
      </c>
      <c r="F134" s="24">
        <v>2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24">
        <v>2</v>
      </c>
      <c r="Y134" s="1">
        <v>0</v>
      </c>
      <c r="Z134" s="45"/>
      <c r="AA134" s="45"/>
      <c r="AB134" s="45"/>
      <c r="AC134" s="45"/>
      <c r="AD134" s="45"/>
      <c r="AE134" s="1" t="s">
        <v>84</v>
      </c>
      <c r="AF134" s="1" t="s">
        <v>136</v>
      </c>
      <c r="AG134" s="1" t="s">
        <v>68</v>
      </c>
      <c r="AH134" s="23"/>
      <c r="AI134" s="23"/>
    </row>
    <row r="135" spans="2:35" s="29" customFormat="1" ht="15.75">
      <c r="B135" s="1">
        <v>11</v>
      </c>
      <c r="C135" s="28" t="s">
        <v>130</v>
      </c>
      <c r="D135" s="24" t="s">
        <v>70</v>
      </c>
      <c r="E135" s="24">
        <v>2022</v>
      </c>
      <c r="F135" s="24">
        <v>2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24">
        <v>2</v>
      </c>
      <c r="Y135" s="1">
        <v>0</v>
      </c>
      <c r="Z135" s="45"/>
      <c r="AA135" s="45"/>
      <c r="AB135" s="45"/>
      <c r="AC135" s="45"/>
      <c r="AD135" s="45"/>
      <c r="AE135" s="1" t="s">
        <v>84</v>
      </c>
      <c r="AF135" s="1" t="s">
        <v>136</v>
      </c>
      <c r="AG135" s="1" t="s">
        <v>68</v>
      </c>
      <c r="AH135" s="23"/>
      <c r="AI135" s="23"/>
    </row>
    <row r="136" spans="2:35" s="29" customFormat="1" ht="15.75">
      <c r="B136" s="99" t="s">
        <v>174</v>
      </c>
      <c r="C136" s="100" t="s">
        <v>209</v>
      </c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</row>
    <row r="137" spans="2:35" s="29" customFormat="1" ht="15.75">
      <c r="B137" s="58">
        <v>1</v>
      </c>
      <c r="C137" s="59" t="s">
        <v>210</v>
      </c>
      <c r="D137" s="58" t="s">
        <v>70</v>
      </c>
      <c r="E137" s="58">
        <v>2022</v>
      </c>
      <c r="F137" s="58">
        <v>3</v>
      </c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>
        <v>3</v>
      </c>
      <c r="Y137" s="58">
        <v>0</v>
      </c>
      <c r="Z137" s="58"/>
      <c r="AA137" s="58"/>
      <c r="AB137" s="58"/>
      <c r="AC137" s="58"/>
      <c r="AD137" s="58"/>
      <c r="AE137" s="58" t="s">
        <v>84</v>
      </c>
      <c r="AF137" s="58" t="s">
        <v>211</v>
      </c>
      <c r="AG137" s="58" t="s">
        <v>68</v>
      </c>
      <c r="AH137" s="57"/>
      <c r="AI137" s="57"/>
    </row>
    <row r="138" spans="2:35" s="29" customFormat="1" ht="15.75">
      <c r="B138" s="58">
        <v>2</v>
      </c>
      <c r="C138" s="59" t="s">
        <v>212</v>
      </c>
      <c r="D138" s="58" t="s">
        <v>70</v>
      </c>
      <c r="E138" s="58">
        <v>2022</v>
      </c>
      <c r="F138" s="58">
        <v>1</v>
      </c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>
        <v>1</v>
      </c>
      <c r="Y138" s="58">
        <v>0</v>
      </c>
      <c r="Z138" s="58"/>
      <c r="AA138" s="58"/>
      <c r="AB138" s="58"/>
      <c r="AC138" s="58"/>
      <c r="AD138" s="58"/>
      <c r="AE138" s="58" t="s">
        <v>84</v>
      </c>
      <c r="AF138" s="58" t="s">
        <v>211</v>
      </c>
      <c r="AG138" s="58" t="s">
        <v>68</v>
      </c>
      <c r="AH138" s="57"/>
      <c r="AI138" s="57"/>
    </row>
    <row r="139" spans="2:35" s="29" customFormat="1" ht="15.75">
      <c r="B139" s="58">
        <v>3</v>
      </c>
      <c r="C139" s="59" t="s">
        <v>71</v>
      </c>
      <c r="D139" s="58" t="s">
        <v>70</v>
      </c>
      <c r="E139" s="58">
        <v>2022</v>
      </c>
      <c r="F139" s="58">
        <v>5</v>
      </c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>
        <v>5</v>
      </c>
      <c r="Y139" s="58">
        <v>0</v>
      </c>
      <c r="Z139" s="58"/>
      <c r="AA139" s="58"/>
      <c r="AB139" s="58"/>
      <c r="AC139" s="58"/>
      <c r="AD139" s="58"/>
      <c r="AE139" s="58" t="s">
        <v>84</v>
      </c>
      <c r="AF139" s="58" t="s">
        <v>211</v>
      </c>
      <c r="AG139" s="58" t="s">
        <v>68</v>
      </c>
      <c r="AH139" s="57"/>
      <c r="AI139" s="57"/>
    </row>
    <row r="140" spans="2:35" s="29" customFormat="1" ht="15.75">
      <c r="B140" s="58">
        <v>4</v>
      </c>
      <c r="C140" s="59" t="s">
        <v>72</v>
      </c>
      <c r="D140" s="58" t="s">
        <v>70</v>
      </c>
      <c r="E140" s="58">
        <v>2022</v>
      </c>
      <c r="F140" s="58">
        <v>1</v>
      </c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>
        <v>1</v>
      </c>
      <c r="Y140" s="58">
        <v>0</v>
      </c>
      <c r="Z140" s="58"/>
      <c r="AA140" s="58"/>
      <c r="AB140" s="58"/>
      <c r="AC140" s="58"/>
      <c r="AD140" s="58"/>
      <c r="AE140" s="58" t="s">
        <v>84</v>
      </c>
      <c r="AF140" s="58" t="s">
        <v>211</v>
      </c>
      <c r="AG140" s="58" t="s">
        <v>68</v>
      </c>
      <c r="AH140" s="57"/>
      <c r="AI140" s="57"/>
    </row>
    <row r="141" spans="2:35" s="29" customFormat="1" ht="15.75">
      <c r="B141" s="58">
        <v>5</v>
      </c>
      <c r="C141" s="59" t="s">
        <v>73</v>
      </c>
      <c r="D141" s="58" t="s">
        <v>74</v>
      </c>
      <c r="E141" s="58">
        <v>2022</v>
      </c>
      <c r="F141" s="58">
        <v>2</v>
      </c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>
        <v>2</v>
      </c>
      <c r="Y141" s="58">
        <v>0</v>
      </c>
      <c r="Z141" s="58"/>
      <c r="AA141" s="58"/>
      <c r="AB141" s="58"/>
      <c r="AC141" s="58"/>
      <c r="AD141" s="58"/>
      <c r="AE141" s="58" t="s">
        <v>84</v>
      </c>
      <c r="AF141" s="58" t="s">
        <v>211</v>
      </c>
      <c r="AG141" s="58" t="s">
        <v>68</v>
      </c>
      <c r="AH141" s="57"/>
      <c r="AI141" s="57"/>
    </row>
    <row r="142" spans="2:35" s="29" customFormat="1" ht="31.5">
      <c r="B142" s="58">
        <v>6</v>
      </c>
      <c r="C142" s="60" t="s">
        <v>109</v>
      </c>
      <c r="D142" s="58" t="s">
        <v>74</v>
      </c>
      <c r="E142" s="58">
        <v>2022</v>
      </c>
      <c r="F142" s="58">
        <v>2</v>
      </c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>
        <v>2</v>
      </c>
      <c r="Y142" s="58">
        <v>0</v>
      </c>
      <c r="Z142" s="58"/>
      <c r="AA142" s="58"/>
      <c r="AB142" s="58"/>
      <c r="AC142" s="58"/>
      <c r="AD142" s="58"/>
      <c r="AE142" s="58" t="s">
        <v>84</v>
      </c>
      <c r="AF142" s="58" t="s">
        <v>211</v>
      </c>
      <c r="AG142" s="58" t="s">
        <v>68</v>
      </c>
      <c r="AH142" s="57"/>
      <c r="AI142" s="57"/>
    </row>
    <row r="143" spans="2:35" s="29" customFormat="1" ht="31.5">
      <c r="B143" s="58">
        <v>7</v>
      </c>
      <c r="C143" s="60" t="s">
        <v>213</v>
      </c>
      <c r="D143" s="58" t="s">
        <v>70</v>
      </c>
      <c r="E143" s="58">
        <v>2022</v>
      </c>
      <c r="F143" s="58">
        <v>1</v>
      </c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>
        <v>1</v>
      </c>
      <c r="Y143" s="58">
        <v>0</v>
      </c>
      <c r="Z143" s="58"/>
      <c r="AA143" s="58"/>
      <c r="AB143" s="58"/>
      <c r="AC143" s="225">
        <v>15675000</v>
      </c>
      <c r="AD143" s="1">
        <f>+X143*AC143</f>
        <v>15675000</v>
      </c>
      <c r="AE143" s="58" t="s">
        <v>84</v>
      </c>
      <c r="AF143" s="58" t="s">
        <v>211</v>
      </c>
      <c r="AG143" s="58" t="s">
        <v>68</v>
      </c>
      <c r="AH143" s="57"/>
      <c r="AI143" s="57"/>
    </row>
    <row r="144" spans="2:35" s="29" customFormat="1" ht="15.75">
      <c r="B144" s="58">
        <v>8</v>
      </c>
      <c r="C144" s="59" t="s">
        <v>75</v>
      </c>
      <c r="D144" s="58" t="s">
        <v>70</v>
      </c>
      <c r="E144" s="58">
        <v>2022</v>
      </c>
      <c r="F144" s="58">
        <v>2</v>
      </c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>
        <v>2</v>
      </c>
      <c r="Y144" s="58">
        <v>0</v>
      </c>
      <c r="Z144" s="58"/>
      <c r="AA144" s="58"/>
      <c r="AB144" s="58"/>
      <c r="AC144" s="58"/>
      <c r="AD144" s="58"/>
      <c r="AE144" s="58" t="s">
        <v>84</v>
      </c>
      <c r="AF144" s="58" t="s">
        <v>211</v>
      </c>
      <c r="AG144" s="58" t="s">
        <v>68</v>
      </c>
      <c r="AH144" s="57"/>
      <c r="AI144" s="57"/>
    </row>
    <row r="145" spans="1:35" s="29" customFormat="1" ht="15.75">
      <c r="B145" s="67"/>
      <c r="C145" s="227" t="s">
        <v>405</v>
      </c>
      <c r="D145" s="222"/>
      <c r="E145" s="222"/>
      <c r="F145" s="222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2"/>
      <c r="Y145" s="226"/>
      <c r="Z145" s="226"/>
      <c r="AA145" s="226"/>
      <c r="AB145" s="226"/>
      <c r="AC145" s="226"/>
      <c r="AD145" s="226">
        <f>SUM(AD22:AD144)</f>
        <v>295464000</v>
      </c>
      <c r="AE145" s="67"/>
      <c r="AF145" s="67"/>
      <c r="AG145" s="67"/>
      <c r="AH145" s="41"/>
      <c r="AI145" s="41"/>
    </row>
    <row r="146" spans="1:35" s="33" customFormat="1" ht="14.25" customHeight="1">
      <c r="A146" s="210"/>
      <c r="C146" s="29"/>
      <c r="E146" s="210"/>
      <c r="F146" s="49"/>
      <c r="K146" s="210"/>
      <c r="Y146" s="217"/>
      <c r="AF146" s="243" t="s">
        <v>414</v>
      </c>
      <c r="AG146" s="243"/>
      <c r="AH146" s="243"/>
      <c r="AI146" s="243"/>
    </row>
    <row r="147" spans="1:35" s="33" customFormat="1" ht="15.75">
      <c r="A147" s="210"/>
      <c r="B147" s="33" t="s">
        <v>50</v>
      </c>
      <c r="D147" s="243" t="s">
        <v>195</v>
      </c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 t="s">
        <v>51</v>
      </c>
      <c r="Z147" s="243"/>
      <c r="AA147" s="243"/>
      <c r="AB147" s="243"/>
      <c r="AC147" s="243"/>
      <c r="AD147" s="243"/>
      <c r="AE147" s="243"/>
      <c r="AF147" s="243"/>
      <c r="AG147" s="243" t="s">
        <v>52</v>
      </c>
      <c r="AH147" s="243"/>
      <c r="AI147" s="243"/>
    </row>
    <row r="148" spans="1:35" s="33" customFormat="1" ht="16.5" customHeight="1">
      <c r="A148" s="210" t="s">
        <v>53</v>
      </c>
      <c r="B148" s="210" t="s">
        <v>53</v>
      </c>
      <c r="C148" s="21" t="s">
        <v>389</v>
      </c>
      <c r="D148" s="29"/>
      <c r="E148" s="210"/>
      <c r="F148" s="49"/>
      <c r="K148" s="210"/>
      <c r="Y148" s="217"/>
      <c r="AF148" s="210"/>
      <c r="AG148" s="210"/>
    </row>
    <row r="149" spans="1:35" s="33" customFormat="1" ht="15.75">
      <c r="A149" s="210" t="s">
        <v>53</v>
      </c>
      <c r="B149" s="210" t="s">
        <v>53</v>
      </c>
      <c r="C149" s="21" t="s">
        <v>390</v>
      </c>
      <c r="D149" s="29"/>
      <c r="E149" s="210"/>
      <c r="F149" s="49"/>
      <c r="K149" s="210"/>
      <c r="Y149" s="217"/>
      <c r="AF149" s="210"/>
      <c r="AG149" s="210"/>
    </row>
    <row r="150" spans="1:35" s="33" customFormat="1" ht="15.75">
      <c r="A150" s="210" t="s">
        <v>53</v>
      </c>
      <c r="B150" s="210" t="s">
        <v>53</v>
      </c>
      <c r="C150" s="21" t="s">
        <v>391</v>
      </c>
      <c r="D150" s="29"/>
      <c r="E150" s="210"/>
      <c r="F150" s="49"/>
      <c r="K150" s="210"/>
      <c r="Y150" s="217"/>
      <c r="AF150" s="210"/>
      <c r="AG150" s="210"/>
    </row>
    <row r="151" spans="1:35" s="33" customFormat="1" ht="15.75">
      <c r="A151" s="210" t="s">
        <v>53</v>
      </c>
      <c r="B151" s="210" t="s">
        <v>53</v>
      </c>
      <c r="C151" s="21" t="s">
        <v>392</v>
      </c>
      <c r="D151" s="29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19"/>
      <c r="AD151" s="219"/>
      <c r="AE151" s="243"/>
      <c r="AF151" s="243"/>
      <c r="AG151" s="243"/>
      <c r="AH151" s="243"/>
    </row>
    <row r="152" spans="1:35" s="33" customFormat="1" ht="15.75">
      <c r="A152" s="210"/>
      <c r="B152" s="210" t="s">
        <v>53</v>
      </c>
      <c r="C152" s="33" t="s">
        <v>415</v>
      </c>
      <c r="D152" s="243" t="s">
        <v>196</v>
      </c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 t="s">
        <v>197</v>
      </c>
      <c r="Z152" s="243"/>
      <c r="AA152" s="243"/>
      <c r="AB152" s="243"/>
      <c r="AC152" s="243"/>
      <c r="AD152" s="243"/>
      <c r="AE152" s="243"/>
      <c r="AF152" s="243"/>
      <c r="AG152" s="243" t="s">
        <v>161</v>
      </c>
      <c r="AH152" s="243"/>
      <c r="AI152" s="243"/>
    </row>
    <row r="153" spans="1:35" s="33" customFormat="1" ht="14.25" customHeight="1">
      <c r="B153" s="210"/>
      <c r="D153" s="29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19"/>
      <c r="AD153" s="219"/>
      <c r="AE153" s="243"/>
      <c r="AF153" s="243"/>
      <c r="AG153" s="243"/>
      <c r="AH153" s="243"/>
      <c r="AI153" s="243"/>
    </row>
    <row r="154" spans="1:35" ht="11.25" customHeight="1"/>
  </sheetData>
  <autoFilter ref="A17:AL152" xr:uid="{449E6341-2636-43CD-B6F8-0450FE87D2F3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24" showButton="0"/>
    <filterColumn colId="25" showButton="0"/>
  </autoFilter>
  <mergeCells count="43">
    <mergeCell ref="X18:X20"/>
    <mergeCell ref="AG151:AH151"/>
    <mergeCell ref="E151:AB151"/>
    <mergeCell ref="AE151:AF151"/>
    <mergeCell ref="AI17:AI20"/>
    <mergeCell ref="AG17:AG20"/>
    <mergeCell ref="AH17:AH20"/>
    <mergeCell ref="Z18:Z20"/>
    <mergeCell ref="AA18:AA20"/>
    <mergeCell ref="AC17:AC20"/>
    <mergeCell ref="AD17:AD20"/>
    <mergeCell ref="D152:X152"/>
    <mergeCell ref="Y152:AF152"/>
    <mergeCell ref="AG152:AI152"/>
    <mergeCell ref="E153:AB153"/>
    <mergeCell ref="AE153:AF153"/>
    <mergeCell ref="AG153:AI153"/>
    <mergeCell ref="A17:A20"/>
    <mergeCell ref="B17:B20"/>
    <mergeCell ref="C17:C20"/>
    <mergeCell ref="D17:D20"/>
    <mergeCell ref="E17:E20"/>
    <mergeCell ref="Y1:AI1"/>
    <mergeCell ref="Y2:AI2"/>
    <mergeCell ref="B3:AI3"/>
    <mergeCell ref="Y4:AI4"/>
    <mergeCell ref="B5:AI5"/>
    <mergeCell ref="B6:AI6"/>
    <mergeCell ref="AE17:AE20"/>
    <mergeCell ref="AF17:AF20"/>
    <mergeCell ref="AF146:AI146"/>
    <mergeCell ref="D147:X147"/>
    <mergeCell ref="Y147:AF147"/>
    <mergeCell ref="AG147:AI147"/>
    <mergeCell ref="F17:Q17"/>
    <mergeCell ref="H19:H20"/>
    <mergeCell ref="Y17:AA17"/>
    <mergeCell ref="AB17:AB20"/>
    <mergeCell ref="I19:J19"/>
    <mergeCell ref="Y18:Y20"/>
    <mergeCell ref="F18:F20"/>
    <mergeCell ref="G18:G20"/>
    <mergeCell ref="H18:J18"/>
  </mergeCells>
  <printOptions horizontalCentered="1"/>
  <pageMargins left="0.23622047244094491" right="0.23622047244094491" top="0.46" bottom="0.74803149606299213" header="0.31496062992125984" footer="0.31496062992125984"/>
  <pageSetup paperSize="9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foxz</vt:lpstr>
      <vt:lpstr>KHNV - TBVP - 2025</vt:lpstr>
      <vt:lpstr>KHNV - TB Điện - 2025</vt:lpstr>
      <vt:lpstr>'KHNV - TBVP - 2025'!Print_Area</vt:lpstr>
      <vt:lpstr>'KHNV - TB Điện - 2025'!Print_Titles</vt:lpstr>
      <vt:lpstr>'KHNV - TBVP - 2025'!Print_Titles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2026-05-07T02:15:03Z</cp:lastPrinted>
  <dcterms:created xsi:type="dcterms:W3CDTF">2019-01-08T07:18:38Z</dcterms:created>
  <dcterms:modified xsi:type="dcterms:W3CDTF">2026-06-17T02:03:27Z</dcterms:modified>
</cp:coreProperties>
</file>