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7BB2B3E1-C713-41BD-A4F1-EC17304ABC04}" xr6:coauthVersionLast="36" xr6:coauthVersionMax="47" xr10:uidLastSave="{00000000-0000-0000-0000-000000000000}"/>
  <bookViews>
    <workbookView xWindow="-120" yWindow="-120" windowWidth="19800" windowHeight="11760" firstSheet="4" activeTab="6" xr2:uid="{00000000-000D-0000-FFFF-FFFF00000000}"/>
  </bookViews>
  <sheets>
    <sheet name="XXXXXXXXX" sheetId="4" state="veryHidden" r:id="rId1"/>
    <sheet name="foxz" sheetId="8" state="hidden" r:id="rId2"/>
    <sheet name="foxz_2" sheetId="9" state="veryHidden" r:id="rId3"/>
    <sheet name="foxz_3" sheetId="10" state="veryHidden" r:id="rId4"/>
    <sheet name="1.Khoa HIV-TB VP-2023" sheetId="3" r:id="rId5"/>
    <sheet name="2. Khoa HIV-TK điện-tầng 5" sheetId="5" r:id="rId6"/>
    <sheet name="3. Khoa HIV-TK điện-tầng 1" sheetId="6" r:id="rId7"/>
    <sheet name="Compatibility Report" sheetId="7" r:id="rId8"/>
  </sheets>
  <definedNames>
    <definedName name="_Fill" localSheetId="4" hidden="1">#REF!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4" hidden="1">'1.Khoa HIV-TB VP-2023'!$A$12:$AM$134</definedName>
    <definedName name="_xlnm._FilterDatabase" localSheetId="5" hidden="1">'2. Khoa HIV-TK điện-tầng 5'!$A$17:$AM$56</definedName>
    <definedName name="_xlnm._FilterDatabase" localSheetId="6" hidden="1">'3. Khoa HIV-TK điện-tầng 1'!$A$17:$AN$62</definedName>
    <definedName name="_xlnm.Print_Area" localSheetId="4">'1.Khoa HIV-TB VP-2023'!$A$1:$AL$303</definedName>
    <definedName name="_xlnm.Print_Titles" localSheetId="4">'1.Khoa HIV-TB VP-2023'!$12:$14</definedName>
    <definedName name="_xlnm.Print_Titles" localSheetId="5">'2. Khoa HIV-TK điện-tầng 5'!$17:$21</definedName>
    <definedName name="_xlnm.Print_Titles" localSheetId="6">'3. Khoa HIV-TK điện-tầng 1'!$17:$21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H63" i="6" l="1"/>
  <c r="Y62" i="6" l="1"/>
  <c r="Y61" i="6"/>
  <c r="Y60" i="6"/>
  <c r="Y59" i="6"/>
  <c r="Y58" i="6"/>
  <c r="Y57" i="6"/>
  <c r="Y56" i="6"/>
  <c r="Y55" i="6"/>
  <c r="Y54" i="6"/>
  <c r="Y53" i="6"/>
  <c r="Y52" i="6"/>
  <c r="Y50" i="6"/>
  <c r="Y49" i="6"/>
  <c r="Y48" i="6"/>
  <c r="Y47" i="6"/>
  <c r="AH47" i="6" s="1"/>
  <c r="Y46" i="6"/>
  <c r="Y45" i="6"/>
  <c r="Y44" i="6"/>
  <c r="Y43" i="6"/>
  <c r="Y42" i="6"/>
  <c r="Y40" i="6"/>
  <c r="Y39" i="6"/>
  <c r="Y38" i="6"/>
  <c r="Y37" i="6"/>
  <c r="Y36" i="6"/>
  <c r="Y35" i="6"/>
  <c r="Y34" i="6"/>
  <c r="Y33" i="6"/>
  <c r="AH33" i="6" s="1"/>
  <c r="Y32" i="6"/>
  <c r="Y31" i="6"/>
  <c r="Y30" i="6"/>
  <c r="Y29" i="6"/>
  <c r="Y28" i="6"/>
  <c r="Y27" i="6"/>
  <c r="Y26" i="6"/>
  <c r="Y25" i="6"/>
  <c r="Y24" i="6"/>
  <c r="Y23" i="6"/>
  <c r="Y48" i="5"/>
  <c r="Y47" i="5"/>
  <c r="AH47" i="5" s="1"/>
  <c r="Y46" i="5"/>
  <c r="Y45" i="5"/>
  <c r="Y44" i="5"/>
  <c r="Y43" i="5"/>
  <c r="Y42" i="5"/>
  <c r="Y41" i="5"/>
  <c r="Y39" i="5"/>
  <c r="Y38" i="5"/>
  <c r="Y37" i="5"/>
  <c r="AH37" i="5" s="1"/>
  <c r="Y36" i="5"/>
  <c r="Y35" i="5"/>
  <c r="Y34" i="5"/>
  <c r="Y33" i="5"/>
  <c r="Y32" i="5"/>
  <c r="Y31" i="5"/>
  <c r="Y29" i="5"/>
  <c r="AH29" i="5" s="1"/>
  <c r="Y28" i="5"/>
  <c r="Y27" i="5"/>
  <c r="Y26" i="5"/>
  <c r="Y25" i="5"/>
  <c r="Y24" i="5"/>
  <c r="Y23" i="5"/>
  <c r="AH49" i="5" l="1"/>
  <c r="AN63" i="6" s="1"/>
  <c r="AN25" i="3"/>
  <c r="AH205" i="3" l="1"/>
  <c r="AG26" i="3" l="1"/>
  <c r="AG75" i="3" l="1"/>
  <c r="AG63" i="3" l="1"/>
  <c r="AG45" i="3"/>
  <c r="AG29" i="3"/>
  <c r="AG134" i="3"/>
  <c r="AG51" i="3" l="1"/>
  <c r="AG64" i="3"/>
  <c r="AG44" i="3" l="1"/>
  <c r="AG61" i="3"/>
  <c r="AG46" i="3" l="1"/>
  <c r="AG120" i="3" l="1"/>
  <c r="AG86" i="3" l="1"/>
  <c r="AF86" i="3"/>
  <c r="AF53" i="3" l="1"/>
  <c r="AG205" i="3" l="1"/>
  <c r="L268" i="3" l="1"/>
  <c r="O268" i="3"/>
  <c r="P268" i="3"/>
  <c r="G269" i="3"/>
  <c r="Q269" i="3" s="1"/>
  <c r="R269" i="3"/>
  <c r="S269" i="3"/>
  <c r="T269" i="3"/>
  <c r="U269" i="3"/>
  <c r="G270" i="3"/>
  <c r="Q270" i="3" s="1"/>
  <c r="R270" i="3"/>
  <c r="S270" i="3"/>
  <c r="T270" i="3"/>
  <c r="P269" i="3" l="1"/>
  <c r="V269" i="3" s="1"/>
  <c r="W269" i="3" s="1"/>
  <c r="P270" i="3"/>
  <c r="V270" i="3" s="1"/>
  <c r="W27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TT xong chuyển cho phòng anh Quảng</t>
        </r>
      </text>
    </comment>
  </commentList>
</comments>
</file>

<file path=xl/sharedStrings.xml><?xml version="1.0" encoding="utf-8"?>
<sst xmlns="http://schemas.openxmlformats.org/spreadsheetml/2006/main" count="2497" uniqueCount="665">
  <si>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</si>
  <si>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</si>
  <si>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</si>
  <si>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</si>
  <si>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</si>
  <si>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</si>
  <si>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</si>
  <si>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</si>
  <si>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</si>
  <si>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</si>
  <si>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</si>
  <si>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</si>
  <si>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</si>
  <si>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</si>
  <si>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</si>
  <si>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</si>
  <si>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</si>
  <si>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</si>
  <si>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</si>
  <si>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</si>
  <si>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</si>
  <si>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</si>
  <si>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</si>
  <si>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</si>
  <si>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</si>
  <si>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</si>
  <si>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</si>
  <si>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</si>
  <si>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</si>
  <si>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</si>
  <si>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</si>
  <si>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</si>
  <si>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</si>
  <si>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</si>
  <si>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</si>
  <si>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</si>
  <si>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</si>
  <si>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</si>
  <si>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</si>
  <si>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</si>
  <si>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</si>
  <si>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</si>
  <si>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đang sd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</si>
  <si>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</si>
  <si>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</si>
  <si>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</si>
  <si>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</si>
  <si>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</si>
  <si>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</si>
  <si>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</si>
  <si>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>Thành viên tổ kiểm kê</t>
  </si>
  <si>
    <t>Trưởng phòng TC - KT</t>
  </si>
  <si>
    <t>Chủ tịch hội đồng</t>
  </si>
  <si>
    <t>-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</si>
  <si>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</si>
  <si>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</si>
  <si>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</si>
  <si>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</si>
  <si>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</si>
  <si>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</si>
  <si>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Phòng làm việc</t>
  </si>
  <si>
    <t>Ghế làm việc
-Kích thước: (550x530x865/990)mm.
- Khung nhựa, đệm tựa bọc vải tay nhựa.</t>
  </si>
  <si>
    <t>Đơn vị tính</t>
  </si>
  <si>
    <t>Nơi tài sản mới chuyển đến</t>
  </si>
  <si>
    <t xml:space="preserve">Ghi chú
</t>
  </si>
  <si>
    <t>đang SD</t>
  </si>
  <si>
    <t>Đèn led panel 45w vuông 0,6x0,6 m</t>
  </si>
  <si>
    <t>bộ</t>
  </si>
  <si>
    <t>Ổ cắm đôi 3 chấu</t>
  </si>
  <si>
    <t>Tủ điện âm tường bao gồm thiết bị</t>
  </si>
  <si>
    <t>Đầu báo khói địa chỉ (kể cả đế)</t>
  </si>
  <si>
    <t>cái</t>
  </si>
  <si>
    <t xml:space="preserve">Đầu phun sprinkler 68 độ C (loại quay xuống) + đế </t>
  </si>
  <si>
    <t>Quạt trần + hộp số</t>
  </si>
  <si>
    <t>Công tắc đôi</t>
  </si>
  <si>
    <t>Điều hòa treo tường 24.000 Btu/h + remote</t>
  </si>
  <si>
    <t>Miệng gió 200x200 + OBD</t>
  </si>
  <si>
    <t>I</t>
  </si>
  <si>
    <t>II</t>
  </si>
  <si>
    <t>Trưởng khoa PC HIV/AIDS và QLĐTNC</t>
  </si>
  <si>
    <t>Khoa HIV</t>
  </si>
  <si>
    <t>P.Kho</t>
  </si>
  <si>
    <t>P. làm việc khoa HIV/AIDS và QLĐTNC (T5.11)</t>
  </si>
  <si>
    <t>Công tắc 3</t>
  </si>
  <si>
    <t>P. làm việc</t>
  </si>
  <si>
    <t>P. Giao ban K. PC HIV/AIDS và QLĐTNC (T5.12)</t>
  </si>
  <si>
    <t>Đèn led downlight 16w</t>
  </si>
  <si>
    <t>P. giao ban</t>
  </si>
  <si>
    <t>Ổ cắm đôi 3 chấu âm sàn</t>
  </si>
  <si>
    <t>Miệng gió 800x150 + OBD</t>
  </si>
  <si>
    <t>P. CLB đồng đẳng (T1.12)</t>
  </si>
  <si>
    <t>Đèn led panel 45w 0,3x1,2 m</t>
  </si>
  <si>
    <t>Đèn led downlight 12w</t>
  </si>
  <si>
    <t>P.CLB đồng đẳng</t>
  </si>
  <si>
    <t>Công tắc 1</t>
  </si>
  <si>
    <t>Công tắc 2</t>
  </si>
  <si>
    <t>Miệng gió tươi 250x250 + OBD</t>
  </si>
  <si>
    <t>Miệng louver 700x250</t>
  </si>
  <si>
    <t>Quạt hút gắn trần 100m3/h</t>
  </si>
  <si>
    <t>Quạt kruger 1200m3/h@150Pa</t>
  </si>
  <si>
    <t>Điều hòa treo tường 18.000 Btu/h + remote</t>
  </si>
  <si>
    <t>Bồn cầu + vòi xịt + hộp giấy vệ sinh</t>
  </si>
  <si>
    <t>Lavabo treo tường và chân + vòi</t>
  </si>
  <si>
    <t>Vòi sen tắm lạnh</t>
  </si>
  <si>
    <t>Thoát sàn</t>
  </si>
  <si>
    <t xml:space="preserve">P. tư vấn xét nghiệm HIV </t>
  </si>
  <si>
    <t>Đèn led panel 45w vuông 0,3x1,2 m</t>
  </si>
  <si>
    <t>P. tư vấn</t>
  </si>
  <si>
    <t>Miệng gió tươi 200x200 + OBD</t>
  </si>
  <si>
    <t>WC công cộng trục X2/Y4</t>
  </si>
  <si>
    <t>Lavabo âm bàn + vòi</t>
  </si>
  <si>
    <t>Chậu tiểu nam + van nhấn</t>
  </si>
  <si>
    <t>Vòi rửa vệ sinh</t>
  </si>
  <si>
    <t>WC công cộng</t>
  </si>
  <si>
    <t>Miệng gió WC 150x150 + OBD</t>
  </si>
  <si>
    <t>Quạt kruger 900m3/h@150Pa</t>
  </si>
  <si>
    <t>Miệng louver 750x200 +OBD</t>
  </si>
  <si>
    <t>Bàn làm việc - BLV15-1
- Kích thước: (1.500x750x760)mm.
- Gỗ công nghiệp phủ melamine có hộc liền.</t>
  </si>
  <si>
    <t>Bàn làm việc - BLV1809-1
- Kích thước: (1.800x900x760)mm.
- Gỗ công nghiệp phun PU</t>
  </si>
  <si>
    <t>Tủ đựng dụng cụ
- Kích thước: (1.000x450x1.830)mm.
- Khung sắt sơn tĩnh điện khoang trên có 03 khoang, có 02 đợt di động. Khung cánh kính mở</t>
  </si>
  <si>
    <t>Bàn họp - BH55
- Kích thước: (5.500x2.200x760)mm
- Gỗ công nghiệp phun PU</t>
  </si>
  <si>
    <t>BH55/3</t>
  </si>
  <si>
    <t>P. Giao ban</t>
  </si>
  <si>
    <t>Ghế họp giao ban - GQ712
- Kích thước: (580x620x950)mm
- Khung thép sơn tĩnh điện, đệm tựa bọc vải, lưng trung</t>
  </si>
  <si>
    <t>P.tư vấn XN</t>
  </si>
  <si>
    <t>Ghế làm việc
- Kích thước: (550x530x865/990)mm.
- Khung nhựa, đệm tựa bọc vải tay nhựa.</t>
  </si>
  <si>
    <t>Hành lang</t>
  </si>
  <si>
    <t>Ghế sảnh chờ
- Kích thước (1.980x530x840)mm
- Khung thép sơn tĩnh điện chống hàn gì, đệm bằng nhựa đúc</t>
  </si>
  <si>
    <t>Ghế nệm xoay có tay cầm</t>
  </si>
  <si>
    <t>Tủ đựng hồ sơ sắt</t>
  </si>
  <si>
    <t>DC-B093/2</t>
  </si>
  <si>
    <t>Quạt treo tường SenKo</t>
  </si>
  <si>
    <t>DC-B103</t>
  </si>
  <si>
    <t>Bàn vi tính</t>
  </si>
  <si>
    <t>BA.VT002</t>
  </si>
  <si>
    <t>Tủ hồ sơ sắt</t>
  </si>
  <si>
    <t>DC-074/2</t>
  </si>
  <si>
    <t>Bàn làm việc 1,2m váng gỗ vân vàng</t>
  </si>
  <si>
    <t>DC-070/3</t>
  </si>
  <si>
    <t>Máy hút bụi Eletrolux 7610</t>
  </si>
  <si>
    <t>DC-A031</t>
  </si>
  <si>
    <t>P Họp</t>
  </si>
  <si>
    <t>Kho</t>
  </si>
  <si>
    <t>DC-B065/3</t>
  </si>
  <si>
    <t>Bàn gỗ tư vấn 1.2 x 0.6m</t>
  </si>
  <si>
    <t>DC-001/1</t>
  </si>
  <si>
    <t>Tủ tài liệu sắt</t>
  </si>
  <si>
    <t>DC-B074</t>
  </si>
  <si>
    <t>Tủ hồ sơ 2 buồng sắt</t>
  </si>
  <si>
    <t>DC-044/2</t>
  </si>
  <si>
    <t>DC-044/1</t>
  </si>
  <si>
    <t xml:space="preserve">Kệ để hồ sơ sắt </t>
  </si>
  <si>
    <t>Bàn làm việc 0,8m x 1,5m</t>
  </si>
  <si>
    <t>DC-B039</t>
  </si>
  <si>
    <t>Bộ Salon nhỏ</t>
  </si>
  <si>
    <t>C030</t>
  </si>
  <si>
    <t>Compatibility Report for Khoa HIV-KKTB VP 2022-T2.2023.xls</t>
  </si>
  <si>
    <t>Run on 2/20/2023 17:52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</si>
  <si>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</si>
  <si>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</si>
  <si>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</si>
  <si>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</si>
  <si>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</si>
  <si>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</si>
  <si>
    <t>Ghế nệm xếp</t>
  </si>
  <si>
    <t>Ghế tròn inox</t>
  </si>
  <si>
    <t>Ghế nệm xoay</t>
  </si>
  <si>
    <t>DC-014</t>
  </si>
  <si>
    <t>Tủ văn phòng</t>
  </si>
  <si>
    <t>Bục nói chuyện</t>
  </si>
  <si>
    <t>Tượng Bác Hồ</t>
  </si>
  <si>
    <t>DC-B076</t>
  </si>
  <si>
    <t xml:space="preserve">Bàn Inox </t>
  </si>
  <si>
    <t>DC-B116</t>
  </si>
  <si>
    <t>Tủ nhôm kính</t>
  </si>
  <si>
    <t>DC-B068/3</t>
  </si>
  <si>
    <t>Bàn làm việc vân gỗ</t>
  </si>
  <si>
    <t>DC- B042/2</t>
  </si>
  <si>
    <t>Bàn làm việc Meca</t>
  </si>
  <si>
    <t>DC- B009/2</t>
  </si>
  <si>
    <t>311/42 TC</t>
  </si>
  <si>
    <t>DC-B097/3</t>
  </si>
  <si>
    <t>311/42 CT , Tầng 2</t>
  </si>
  <si>
    <t>METHADONE SỐ 1</t>
  </si>
  <si>
    <t>M1</t>
  </si>
  <si>
    <t>Kho thuốc</t>
  </si>
  <si>
    <t>Bình chữa cháy MF24</t>
  </si>
  <si>
    <t>Việt Nam</t>
  </si>
  <si>
    <t>Me1</t>
  </si>
  <si>
    <t>Bảo vệ</t>
  </si>
  <si>
    <t>Quạt treo tường Senko</t>
  </si>
  <si>
    <t>Thang xếp 2m</t>
  </si>
  <si>
    <t>DC-B120</t>
  </si>
  <si>
    <t>Quạt treo tường Lifan</t>
  </si>
  <si>
    <t>Phòng họp</t>
  </si>
  <si>
    <t xml:space="preserve">Ghế chờ 4 chỗ, chân sắt </t>
  </si>
  <si>
    <t>P. họp</t>
  </si>
  <si>
    <t>Tủ tài liệu sắt 4 cánh có kính</t>
  </si>
  <si>
    <t>1HC, 1PK, 1BV</t>
  </si>
  <si>
    <t>Quạt treo tường Senko loại1</t>
  </si>
  <si>
    <t>DC-043/3-4</t>
  </si>
  <si>
    <t>TV/3, HC/4</t>
  </si>
  <si>
    <t>Quạt đứng Cn Senko</t>
  </si>
  <si>
    <t>DC-044</t>
  </si>
  <si>
    <t>PK</t>
  </si>
  <si>
    <t>Ngoài Sổ</t>
  </si>
  <si>
    <t>1HC, 1TV</t>
  </si>
  <si>
    <t>HỎNG</t>
  </si>
  <si>
    <t>P Khám</t>
  </si>
  <si>
    <t>DC- B016</t>
  </si>
  <si>
    <t>311/42 CT , Tầng1</t>
  </si>
  <si>
    <t>Tủ ván gỗ 3 buồng</t>
  </si>
  <si>
    <t>DC-071</t>
  </si>
  <si>
    <t>Ghế xếp nệm 190</t>
  </si>
  <si>
    <t>TCHC</t>
  </si>
  <si>
    <t>Bàn làm việc</t>
  </si>
  <si>
    <t>BALV-001</t>
  </si>
  <si>
    <t>Ghế xếp nệm</t>
  </si>
  <si>
    <t>GH-002</t>
  </si>
  <si>
    <t>kho lưu trữ</t>
  </si>
  <si>
    <t>DC-B100/1</t>
  </si>
  <si>
    <t>Cái</t>
  </si>
  <si>
    <t>1kho lưu trữ</t>
  </si>
  <si>
    <t>Tr.Thông</t>
  </si>
  <si>
    <t>Tủ hồ sơ 2 cánh 0,8m x2m</t>
  </si>
  <si>
    <t>DC-B045</t>
  </si>
  <si>
    <t>Bs Dương</t>
  </si>
  <si>
    <t>PGĐ</t>
  </si>
  <si>
    <t>BS Liên</t>
  </si>
  <si>
    <t xml:space="preserve">Ghế xếp nệm vuông </t>
  </si>
  <si>
    <t>Bàn vi tính (1,2m x 0,6m)</t>
  </si>
  <si>
    <t>DC-B046/2</t>
  </si>
  <si>
    <t>C008/1</t>
  </si>
  <si>
    <t>P. Họp</t>
  </si>
  <si>
    <t>Đang SD</t>
  </si>
  <si>
    <t>Hỏng</t>
  </si>
  <si>
    <t>Bàn hội trường 2,4m x 0,50m</t>
  </si>
  <si>
    <t>DC-B122</t>
  </si>
  <si>
    <t>Đài Loan</t>
  </si>
  <si>
    <t>Hội trường</t>
  </si>
  <si>
    <t>Nhà sinh hoạt 311/42</t>
  </si>
  <si>
    <t>Bàn tròn inox lớn</t>
  </si>
  <si>
    <t>DC-B080/1</t>
  </si>
  <si>
    <t>Nhà ăn 1, TCHC 1</t>
  </si>
  <si>
    <t>Nhà ăn</t>
  </si>
  <si>
    <t>Tủ lạnh Panasonic</t>
  </si>
  <si>
    <t>Tulanh1/27</t>
  </si>
  <si>
    <t>Máy hút khói</t>
  </si>
  <si>
    <t>DC-B063</t>
  </si>
  <si>
    <t>DC-031/5-6</t>
  </si>
  <si>
    <t>Nhà sinh hoạt</t>
  </si>
  <si>
    <t>Tủ kính</t>
  </si>
  <si>
    <t>Me2</t>
  </si>
  <si>
    <t>Máy điều hòa 18000BTU (DAIKIN)</t>
  </si>
  <si>
    <t>Kho M2</t>
  </si>
  <si>
    <t>Ghế nệm xoay nhỏ có tay</t>
  </si>
  <si>
    <t>DC-054/1-10</t>
  </si>
  <si>
    <t>METHADONE SỐ 2</t>
  </si>
  <si>
    <t xml:space="preserve">Kệ tài liệu   </t>
  </si>
  <si>
    <t>DC-B087/1</t>
  </si>
  <si>
    <t>DC-B095/2</t>
  </si>
  <si>
    <t>Giường xếp</t>
  </si>
  <si>
    <t>DC-B123</t>
  </si>
  <si>
    <t>DC-B131/1,2</t>
  </si>
  <si>
    <t>Quạt đứng Senko</t>
  </si>
  <si>
    <t>DC-017/4</t>
  </si>
  <si>
    <t>Ghế chờ 4 chỗ, chân sắt mặt nhựa</t>
  </si>
  <si>
    <t>DC-050/1-4</t>
  </si>
  <si>
    <t>H.lang</t>
  </si>
  <si>
    <t>Bàn họp oval 1m x 2,4m ván gỗ vàng</t>
  </si>
  <si>
    <t>DC-051</t>
  </si>
  <si>
    <t>DC-052/1-30</t>
  </si>
  <si>
    <t xml:space="preserve">DC-052/2,3,6,7,8,10,11,12,13,18,21,24,27,28,48 hiện đang sd( 09 cái hỏng Mã 1,4,5,7,14,15,19,22,26 đã chuyển trung tâm ngày 7/1/2018)
</t>
  </si>
  <si>
    <t>DC-030/1-55</t>
  </si>
  <si>
    <t xml:space="preserve">
hỏng 9 đổi lấy 8 cái mã (DC- 030/55,37,32,21,31,38,36,,27)
</t>
  </si>
  <si>
    <t>Bàn làm việc 1,2m váng vân vàng</t>
  </si>
  <si>
    <t>DC-053/1-6</t>
  </si>
  <si>
    <t>1HC, 2Tr.CS, 
3,4PK,5TV1,6TV2</t>
  </si>
  <si>
    <t>DC-B101/6</t>
  </si>
  <si>
    <t>TV2</t>
  </si>
  <si>
    <t>Giá để tài liệu sắt</t>
  </si>
  <si>
    <t>kho thuốc</t>
  </si>
  <si>
    <t>Tủ hồ sơ sắt 4 cánh có kính</t>
  </si>
  <si>
    <t>DC-056/1-7</t>
  </si>
  <si>
    <t>2HC, 1PH, 1Tr.CS, 1PK,1TV2, 1TV1</t>
  </si>
  <si>
    <t>Giá treo Tivi</t>
  </si>
  <si>
    <t>DC-065</t>
  </si>
  <si>
    <t>PH</t>
  </si>
  <si>
    <t>Quạt máy Sakaha</t>
  </si>
  <si>
    <t>DC-068/4,5</t>
  </si>
  <si>
    <t xml:space="preserve"> 1TV</t>
  </si>
  <si>
    <t xml:space="preserve">DC-068/1,2,3: Hỏng đã chuyển trung tâm </t>
  </si>
  <si>
    <t>Quạt máy đứng Senko</t>
  </si>
  <si>
    <t>DC-068/7,8</t>
  </si>
  <si>
    <t>1PK, 1HC</t>
  </si>
  <si>
    <t>2 cái</t>
  </si>
  <si>
    <t>Tủ sắt đựng tài liệu màu ghi</t>
  </si>
  <si>
    <t>DC-069</t>
  </si>
  <si>
    <t>kho</t>
  </si>
  <si>
    <t>DC-070/2</t>
  </si>
  <si>
    <t>BV</t>
  </si>
  <si>
    <t>01 bị hỏng DC-070/1
chuyển lên trung tâm
đổi bàn Mã DC-006/2</t>
  </si>
  <si>
    <t>DC-072</t>
  </si>
  <si>
    <t>DC-075/2-3</t>
  </si>
  <si>
    <t>HC/2; PH/3</t>
  </si>
  <si>
    <t xml:space="preserve"> 1TV,XN</t>
  </si>
  <si>
    <t>P họp</t>
  </si>
  <si>
    <t>Quạt treo tường sen ko</t>
  </si>
  <si>
    <t>DC - B44/1</t>
  </si>
  <si>
    <t xml:space="preserve">Kho T5 </t>
  </si>
  <si>
    <t>B 102/4</t>
  </si>
  <si>
    <t xml:space="preserve">Ghế nệm xếp vuông </t>
  </si>
  <si>
    <t>DC - 052/36.37</t>
  </si>
  <si>
    <t>Điều hòa Nagakawa</t>
  </si>
  <si>
    <t>BLV 1809/15</t>
  </si>
  <si>
    <t>III</t>
  </si>
  <si>
    <t>GQ712/97-116</t>
  </si>
  <si>
    <t>Ko sd</t>
  </si>
  <si>
    <t>IV</t>
  </si>
  <si>
    <t>Quạt treo tường Misubishi</t>
  </si>
  <si>
    <t>DC 078/2</t>
  </si>
  <si>
    <t>DC 059/8</t>
  </si>
  <si>
    <t>+2</t>
  </si>
  <si>
    <t>Không có trong sổ TS Khoa</t>
  </si>
  <si>
    <t>Máy huỷ tài liệu</t>
  </si>
  <si>
    <t>C020/2</t>
  </si>
  <si>
    <t>+1</t>
  </si>
  <si>
    <t>Bàn tròn</t>
  </si>
  <si>
    <t>DC-B077</t>
  </si>
  <si>
    <t>DC - 017/2</t>
  </si>
  <si>
    <t>Bàn làm việc gỗ (0,7m x 1,8m) có tủ 3 ngăn (Không có bàn)</t>
  </si>
  <si>
    <t>DC - B102/4</t>
  </si>
  <si>
    <t>Không có trong sổ tài sản Khoa</t>
  </si>
  <si>
    <t>GSC 44-47</t>
  </si>
  <si>
    <t>P. đồng đẳng</t>
  </si>
  <si>
    <t>DC -052/33,34</t>
  </si>
  <si>
    <t>DC-B117/6</t>
  </si>
  <si>
    <t>Ghế inox</t>
  </si>
  <si>
    <t>DC 052/38</t>
  </si>
  <si>
    <t>DC-B042/4</t>
  </si>
  <si>
    <t>DC-030</t>
  </si>
  <si>
    <t>DC-034/1,3</t>
  </si>
  <si>
    <t>DC 029</t>
  </si>
  <si>
    <t>DC 074/1</t>
  </si>
  <si>
    <t>Điều hoà Nagakawa</t>
  </si>
  <si>
    <t>Quạt Natifan</t>
  </si>
  <si>
    <t>A 019</t>
  </si>
  <si>
    <t>DC-034/2</t>
  </si>
  <si>
    <t>V</t>
  </si>
  <si>
    <t>VI</t>
  </si>
  <si>
    <t>GH 011</t>
  </si>
  <si>
    <t>DC-B043/3,4</t>
  </si>
  <si>
    <t>hỏng</t>
  </si>
  <si>
    <t>Bàn vi tính 1,2m x 0,6m</t>
  </si>
  <si>
    <t>DC-B018</t>
  </si>
  <si>
    <t>311/42 CT</t>
  </si>
  <si>
    <t>Ghế xếp inox gỗ</t>
  </si>
  <si>
    <t>Bộ Salon lớn</t>
  </si>
  <si>
    <t>C029</t>
  </si>
  <si>
    <t>Tủ đứng 4 ngăn gỗ</t>
  </si>
  <si>
    <t>Bình chữa cháy</t>
  </si>
  <si>
    <t>DC- B89/2</t>
  </si>
  <si>
    <t>GH</t>
  </si>
  <si>
    <t>DC-B095/3</t>
  </si>
  <si>
    <t>DC-B059/13</t>
  </si>
  <si>
    <t>Phòng bảo vệ</t>
  </si>
  <si>
    <t>Thang xếp</t>
  </si>
  <si>
    <t>DC-B106</t>
  </si>
  <si>
    <t>2015</t>
  </si>
  <si>
    <t>DC-B059/9</t>
  </si>
  <si>
    <t>Nhà s.hoạt</t>
  </si>
  <si>
    <t>Kệ sắt để máy chiếu</t>
  </si>
  <si>
    <t>DC-B073</t>
  </si>
  <si>
    <t>Ghế xoay</t>
  </si>
  <si>
    <t>DC-B101/4</t>
  </si>
  <si>
    <t>KH</t>
  </si>
  <si>
    <t>Thắng</t>
  </si>
  <si>
    <t xml:space="preserve">Két sắt </t>
  </si>
  <si>
    <t>DC-B088/2</t>
  </si>
  <si>
    <t>Két sắt Hòa Phát</t>
  </si>
  <si>
    <t>ks001</t>
  </si>
  <si>
    <t>Văn Thư</t>
  </si>
  <si>
    <t>DC-B082/2</t>
  </si>
  <si>
    <t>PHÒNG LÀM VIỆC TẦNG 5</t>
  </si>
  <si>
    <t>TS cũ 311/42 chuyển về</t>
  </si>
  <si>
    <t>PHÒNG GIAO BAN TẦNG 5</t>
  </si>
  <si>
    <t>Hành chính</t>
  </si>
  <si>
    <t>Ksd</t>
  </si>
  <si>
    <t>DC 041/2</t>
  </si>
  <si>
    <t>Kệ hồ sơ sắt</t>
  </si>
  <si>
    <t>DC-B111/3</t>
  </si>
  <si>
    <t>Kệ để hồ sơ sắt HP</t>
  </si>
  <si>
    <t>DC-B065/1,2</t>
  </si>
  <si>
    <t>Tủ hồ sơ gỗ 2 cánh 1mx2m</t>
  </si>
  <si>
    <t>DC-B047/2</t>
  </si>
  <si>
    <t>Ghế gỗ</t>
  </si>
  <si>
    <t>DC 034/4</t>
  </si>
  <si>
    <t>Bộ bàn họp 25 ghế  (BÀN)</t>
  </si>
  <si>
    <t xml:space="preserve">DC-B117 </t>
  </si>
  <si>
    <t>DC-B068</t>
  </si>
  <si>
    <t>Kho cầu thang</t>
  </si>
  <si>
    <t>Ghế xếp</t>
  </si>
  <si>
    <t>DC 030</t>
  </si>
  <si>
    <t>Bàn bóng bàn Bình Minh</t>
  </si>
  <si>
    <t>DC-B069</t>
  </si>
  <si>
    <t>DC-B034/5,6</t>
  </si>
  <si>
    <t>Kho CCDC</t>
  </si>
  <si>
    <t>Kệ sắt 5 tầng</t>
  </si>
  <si>
    <t>DC-B058/1</t>
  </si>
  <si>
    <t>DC 078/3</t>
  </si>
  <si>
    <t>Tủ gỗ 3 ngăn</t>
  </si>
  <si>
    <t>DC-B056</t>
  </si>
  <si>
    <t>315 PCT</t>
  </si>
  <si>
    <t>THIẾT BỊ ĐIỆN KHOA PC HIV/AIDS VÀ QLĐTNC TẦNG 5</t>
  </si>
  <si>
    <t>THIẾT BỊ ĐIỆN KHOA PC HIV/AIDS VÀ QLĐTNC TẦNG 1</t>
  </si>
  <si>
    <t>- Trần Liên………………...…………….</t>
  </si>
  <si>
    <t>- Trần Quốc Việt………………………...</t>
  </si>
  <si>
    <t>Nhận năm 2022</t>
  </si>
  <si>
    <t>- Trần Liên…………………………...….</t>
  </si>
  <si>
    <t xml:space="preserve">         Thành viên tổ kiểm kê</t>
  </si>
  <si>
    <t xml:space="preserve">Trưởng khoa </t>
  </si>
  <si>
    <t>Trưởng khoa</t>
  </si>
  <si>
    <t xml:space="preserve">        Thành viên tổ kiểm kê</t>
  </si>
  <si>
    <t xml:space="preserve">Bàn gỗ </t>
  </si>
  <si>
    <t>Kho 311/42 CT</t>
  </si>
  <si>
    <t>Ghế xếp (nhiều loại)</t>
  </si>
  <si>
    <t>Quạt đứng Mísubishi</t>
  </si>
  <si>
    <t>DC-079/1</t>
  </si>
  <si>
    <t>Bàn vi tính 1,2m x0,6m</t>
  </si>
  <si>
    <t>DC-B041/2</t>
  </si>
  <si>
    <t>DC-B099</t>
  </si>
  <si>
    <t>P TƯ VẤN XN HIV TẦNG 1</t>
  </si>
  <si>
    <t>TÀI SẢN THANH LÝ THEO QUYẾT ĐỊNH 443/QĐ-TTKSBT NGÀY 13/12/2023</t>
  </si>
  <si>
    <t>PHÒNG CLB ĐỒNG ĐẲNG T1</t>
  </si>
  <si>
    <t>311/42</t>
  </si>
  <si>
    <t>P.tư vấn XN HIV</t>
  </si>
  <si>
    <t>GLV 194, 110, 111</t>
  </si>
  <si>
    <t>Hành lang P. Tư vấn</t>
  </si>
  <si>
    <t>Hành lang T1</t>
  </si>
  <si>
    <t>DC 029/12</t>
  </si>
  <si>
    <t>GLV 109,112</t>
  </si>
  <si>
    <t>1HC, 1Kho</t>
  </si>
  <si>
    <t>TK PC HIV/AIDS&amp;QLĐTNC</t>
  </si>
  <si>
    <t>1. Ông. Nguyễn Đại Vĩnh</t>
  </si>
  <si>
    <t>Giám đốc</t>
  </si>
  <si>
    <t>Hỏng 02</t>
  </si>
  <si>
    <t>Nguyễn Đại Vĩnh</t>
  </si>
  <si>
    <t>- Lê Thị Bích Trâm……………………….</t>
  </si>
  <si>
    <t xml:space="preserve">BIÊN BẢN KIỂM KÊ TÀI SẢN CỐ ĐỊNH NĂM 2025
KHOA HIV/AIDS VÀ QLĐTNC </t>
  </si>
  <si>
    <t>- Lê Thị Bích Trâm………………………..</t>
  </si>
  <si>
    <t>08 Phòng làm việc
01 PTV HIV T1</t>
  </si>
  <si>
    <t>+3</t>
  </si>
  <si>
    <t>Chuyển sang Phòng CLB Đồng Đẳng T1</t>
  </si>
  <si>
    <t>-1</t>
  </si>
  <si>
    <t>P. Tư vấn HIV chuyển sang</t>
  </si>
  <si>
    <t>BLV 102, 109</t>
  </si>
  <si>
    <t>P.Làm việc tầng 5 chuyển xuống</t>
  </si>
  <si>
    <t xml:space="preserve">BLV 71,  111, 113,114, </t>
  </si>
  <si>
    <t>-2</t>
  </si>
  <si>
    <t>BLV 102, 109 chuyển xuống P. CLB Đồng Đẳng T1</t>
  </si>
  <si>
    <t>-4</t>
  </si>
  <si>
    <t>TDC 66</t>
  </si>
  <si>
    <t>TDC 67, 68</t>
  </si>
  <si>
    <t xml:space="preserve">TDC 66 chuyển chuyển xuống P. CLB Đồng Đẳng T1 </t>
  </si>
  <si>
    <t>Chuyển sang P. Trưởng khoa</t>
  </si>
  <si>
    <t>P. làm việc tầng 5 chuyển sang</t>
  </si>
  <si>
    <t>Đơn giá</t>
  </si>
  <si>
    <t>Thành tiền</t>
  </si>
  <si>
    <t>Chuyển sang P.Giao ban T5</t>
  </si>
  <si>
    <t>P.làm việc T5 chuyển sang</t>
  </si>
  <si>
    <t>Chuyển P.Giao ban T5</t>
  </si>
  <si>
    <t>Kho HIV T5 chuyển sang</t>
  </si>
  <si>
    <t>Chuyển P. Tư vấn HIV Tầng 1</t>
  </si>
  <si>
    <t>Chuyển P.Giao ban Tầng 5</t>
  </si>
  <si>
    <t xml:space="preserve">Chuyển P. CLB Đồng Đẳng T1 </t>
  </si>
  <si>
    <t>Methadone số 1 chuyển sang</t>
  </si>
  <si>
    <t>MTĐ số 1</t>
  </si>
  <si>
    <t>Bàn ghế uống nước 2016</t>
  </si>
  <si>
    <t>Cơ sở 2 chuyển ra</t>
  </si>
  <si>
    <t>Tủ tài liệu 2016:TU09K3G</t>
  </si>
  <si>
    <t>CS2</t>
  </si>
  <si>
    <t>Ghế tựa gỗ</t>
  </si>
  <si>
    <t>Ghế nệm xoay lớn</t>
  </si>
  <si>
    <t>Bàn salon tiếp khách</t>
  </si>
  <si>
    <t>HIV08/17</t>
  </si>
  <si>
    <t>Bàn làm việc DT1890H24; SX: Hoà Phát + Ghế xoay lớn GS 904, SX: Hoà Phát (kèm theo bàn nhỏ)</t>
  </si>
  <si>
    <t>HIV02/17</t>
  </si>
  <si>
    <t>Hàng rào phân luồng inox</t>
  </si>
  <si>
    <t>CDC mua mới</t>
  </si>
  <si>
    <t>Chuyển HT2 T7 (TCHC)</t>
  </si>
  <si>
    <t>PHÒNG TRƯỞNG KHOA (Kho HIV Tầng 5 cũ)</t>
  </si>
  <si>
    <t>KHO HIV TẦNG 5 (Chuyển thành phòng Trưởng Khoa)</t>
  </si>
  <si>
    <t>-3</t>
  </si>
  <si>
    <t>0</t>
  </si>
  <si>
    <t>DC-055/1</t>
  </si>
  <si>
    <t>Đã thanh lý 5 cái, còn lại 4 chuyển Tầng hầm</t>
  </si>
  <si>
    <t>Đã thanh lý 12 còn lại 17 cái chuyển Tầng hầm</t>
  </si>
  <si>
    <t>-17</t>
  </si>
  <si>
    <t>Chuyển Tầng hầm</t>
  </si>
  <si>
    <t>GLV 193, 197,198</t>
  </si>
  <si>
    <t>GLV 193, 197,198 chuyển xuống  P. CLB Đồng Đẳng T1</t>
  </si>
  <si>
    <t>GLV 195, 196, 199, 108, 200, 201</t>
  </si>
  <si>
    <t>Chuyển sang Phòng CLB Đồng Đẳng T2</t>
  </si>
  <si>
    <t xml:space="preserve"> Phòng CLB Đồng Đẳng T2 chuyển sang</t>
  </si>
  <si>
    <t>Chuyển sang P. Tư vấn HIV</t>
  </si>
  <si>
    <t>CƠ SỞ 1</t>
  </si>
  <si>
    <t>không sd</t>
  </si>
  <si>
    <t xml:space="preserve">             Đà Nẵng, ngày       tháng  01     năm 2026</t>
  </si>
  <si>
    <t>Hồ Phú Quảng</t>
  </si>
  <si>
    <t>- Nguyễn Thị Hà Vy………………………..</t>
  </si>
  <si>
    <t>Tủ hồ sơ FS 410 (có cửa sắt kính)</t>
  </si>
  <si>
    <t>21-HIV/15</t>
  </si>
  <si>
    <t>22-HIV/15</t>
  </si>
  <si>
    <t>CƠ SỞ 2</t>
  </si>
  <si>
    <t xml:space="preserve">Ghế ngồi họp boc nệm G01M (T12/14) </t>
  </si>
  <si>
    <t>02-HIV/14</t>
  </si>
  <si>
    <t>03-HIV/14</t>
  </si>
  <si>
    <t>04-HIV/14</t>
  </si>
  <si>
    <t>05-HIV/14</t>
  </si>
  <si>
    <t>06-HIV/14</t>
  </si>
  <si>
    <t>07-HIV/14</t>
  </si>
  <si>
    <t>Gía gỗ 4 tầng để tài liệu tư vấn truyền thông (T12/14)</t>
  </si>
  <si>
    <t>13-HIV/14</t>
  </si>
  <si>
    <t xml:space="preserve">Giường gấp cho bảo vệ trực đêm (T12/14) </t>
  </si>
  <si>
    <t>14-HIV/14</t>
  </si>
  <si>
    <t>Tủ hồ sơ sắt 09k5 (T12/14)</t>
  </si>
  <si>
    <t>25-HIV/14</t>
  </si>
  <si>
    <t>26-HIV/14</t>
  </si>
  <si>
    <t>27-HIV/14</t>
  </si>
  <si>
    <t>Tủ đựng file 2016: MSP : GS3.Việt Nam</t>
  </si>
  <si>
    <t>28-HIV/17</t>
  </si>
  <si>
    <t>29-HIV/17</t>
  </si>
  <si>
    <t>30-HIV/17</t>
  </si>
  <si>
    <t>31-HIV/17</t>
  </si>
  <si>
    <t>32-HIV/17</t>
  </si>
  <si>
    <t>116-HIV/17</t>
  </si>
  <si>
    <t>117-HIV/17</t>
  </si>
  <si>
    <t>118-HIV/17</t>
  </si>
  <si>
    <t>120-HIV/17</t>
  </si>
  <si>
    <t>121-HIV/17</t>
  </si>
  <si>
    <t>Tủ kính đựng tài liệu : TU08 (CAT08G)</t>
  </si>
  <si>
    <t>122-HIV/17</t>
  </si>
  <si>
    <t>Ghế xoay 2016 : G555H</t>
  </si>
  <si>
    <t>123-HIV/17</t>
  </si>
  <si>
    <t>124-HIV/17</t>
  </si>
  <si>
    <t>125-HIV/17</t>
  </si>
  <si>
    <t>126-HIV/17</t>
  </si>
  <si>
    <t>127-HIV/17</t>
  </si>
  <si>
    <t xml:space="preserve">Giường gấp cho bảo vệ trực đêm </t>
  </si>
  <si>
    <t>131-HIV/17</t>
  </si>
  <si>
    <t>Bàn gỗ + ghế vi tính (ghế xếp nệm xanh)</t>
  </si>
  <si>
    <t>144-HIV/17</t>
  </si>
  <si>
    <t>145-HIV/17</t>
  </si>
  <si>
    <t>146-HIV/17</t>
  </si>
  <si>
    <t>147-HIV/17</t>
  </si>
  <si>
    <t>148-HIV/17</t>
  </si>
  <si>
    <t>Giá để tài liệu truyền thông GVT-02-00CT</t>
  </si>
  <si>
    <t>23-HIV/15</t>
  </si>
  <si>
    <t>Gía Inox để tài liệu tư vấn truyền thông</t>
  </si>
  <si>
    <t>151-HIV/17</t>
  </si>
  <si>
    <t>152-HIV/17</t>
  </si>
  <si>
    <t>Ghế gỗ tựa (ghế Hội trường)</t>
  </si>
  <si>
    <t xml:space="preserve">Ghế xoay GX - 03 - 00; hiệu Xuân Hòa </t>
  </si>
  <si>
    <t>32-HIV/15</t>
  </si>
  <si>
    <t>33-HIV/15</t>
  </si>
  <si>
    <t>34-HIV/15</t>
  </si>
  <si>
    <t>Quạt treo tường ASIA</t>
  </si>
  <si>
    <t>08-CDC/19</t>
  </si>
  <si>
    <t>Quạt đứng</t>
  </si>
  <si>
    <t>9/CDC/20</t>
  </si>
  <si>
    <t>Quạt treo tường</t>
  </si>
  <si>
    <t>10/CDC/20</t>
  </si>
  <si>
    <t>Bàn làm việc 0,5x1</t>
  </si>
  <si>
    <t>9/YTDP</t>
  </si>
  <si>
    <t>Bàn làm việc 0,6x1,2</t>
  </si>
  <si>
    <t>7/YTDP</t>
  </si>
  <si>
    <t>11/YTDP</t>
  </si>
  <si>
    <t>ĐTDĐ Masstel Izi 20 4g Xanh</t>
  </si>
  <si>
    <t>18/HIV /2022</t>
  </si>
  <si>
    <t>Ghế Xoay SG702</t>
  </si>
  <si>
    <t>04/CDC/2024</t>
  </si>
  <si>
    <t>Bàn làm việc gỗ (0,70 x 14,0)m</t>
  </si>
  <si>
    <t>05/CDC/2024</t>
  </si>
  <si>
    <t>Giá sách GS (915 x 317 x 815) mm</t>
  </si>
  <si>
    <t>08/CDC/2024</t>
  </si>
  <si>
    <t>Bàn vi tính gỗ (0,60 x 1,20) m</t>
  </si>
  <si>
    <t>09/CDC/2024</t>
  </si>
  <si>
    <t>10/CDC/2024</t>
  </si>
  <si>
    <t>Tủ  file GS3 (915 x 317 x 815) mm</t>
  </si>
  <si>
    <t xml:space="preserve">Máy lạnh Panasonic </t>
  </si>
  <si>
    <t>TS43/YTDP</t>
  </si>
  <si>
    <t>Ghế xoay lưng lưới cao tựa đầu của công ty Hòa Phát dùng cho lãnh đạo</t>
  </si>
  <si>
    <t>03/SKSS</t>
  </si>
  <si>
    <t>Phích điện nấu nước</t>
  </si>
  <si>
    <t>1/CDC/2020</t>
  </si>
  <si>
    <t>2/CDC/2020</t>
  </si>
  <si>
    <t>Máy điều hòa LG Model F-12CE-N (HTL)</t>
  </si>
  <si>
    <t>04/SKSS</t>
  </si>
  <si>
    <t>2011</t>
  </si>
  <si>
    <t>1/YTDP</t>
  </si>
  <si>
    <t>Máy lạnh 2 mãnh LG</t>
  </si>
  <si>
    <t>2/YTDP</t>
  </si>
  <si>
    <t>Tủ tài liệu 2016: TU09K3</t>
  </si>
  <si>
    <t>295-HIV/17</t>
  </si>
  <si>
    <t>Tủ đựng hồ sơ CA- 2C-S4</t>
  </si>
  <si>
    <t>40-HIV/15</t>
  </si>
  <si>
    <t>129 TNV</t>
  </si>
  <si>
    <t>Hỏng - 129 TNV</t>
  </si>
  <si>
    <t>ghế hỏng</t>
  </si>
  <si>
    <t>ghế hỏng - 129 TNV</t>
  </si>
  <si>
    <t>hỏng - 129 TNV</t>
  </si>
  <si>
    <t>hỏng 1</t>
  </si>
  <si>
    <t>hỏng 1 cái - 129 TNV</t>
  </si>
  <si>
    <t xml:space="preserve">Hỏng - 129 TNV(bảo vệ) </t>
  </si>
  <si>
    <t>NVT</t>
  </si>
  <si>
    <t>Bộ bàn Salon tiếp khách</t>
  </si>
  <si>
    <t xml:space="preserve">Bàn làm việc DT1890H24; SX: Hòa phát + Ghế xoay lớn GS 904, SX: Hòa Phát (kèm theo bàn nhỏ) </t>
  </si>
  <si>
    <t>HIV 02/11</t>
  </si>
  <si>
    <t>HIV 01/17</t>
  </si>
  <si>
    <t>2017</t>
  </si>
  <si>
    <t>4. Ông.</t>
  </si>
  <si>
    <t>2. Ông. Hồ Phú Quảng</t>
  </si>
  <si>
    <t>- Hôm nay, ngày      tháng   01  năm 2026, tại Trung tâm Kiểm soát bệnh tât TP Đà Nẵng chúng tôi gồm:</t>
  </si>
  <si>
    <t>90-HIV/17</t>
  </si>
  <si>
    <t>Phòng KHNV chuyển sang -129 TNV</t>
  </si>
  <si>
    <t>Máy huỷ giấy</t>
  </si>
  <si>
    <t>37-HIV/17</t>
  </si>
  <si>
    <t>Cơ sở 2 chuyển ra - Phòng THCH</t>
  </si>
  <si>
    <t>Máy lạnh Panasonic 900</t>
  </si>
  <si>
    <t>TT-01/05</t>
  </si>
  <si>
    <t>Chuyển Phòng giao ban</t>
  </si>
  <si>
    <t>Chuyển P.Câu lạc bộ đồng đẳng T1</t>
  </si>
  <si>
    <t>Tủ mã 23 chưa biết ở đâu ra</t>
  </si>
  <si>
    <t>285-HIV/17</t>
  </si>
  <si>
    <t>119-HIV/17</t>
  </si>
  <si>
    <t>P cấp thuốc Methadone NVT -bàn giao toà nhà</t>
  </si>
  <si>
    <t>Bàn làm viêc 1,4m x 0,7m T7/2015)</t>
  </si>
  <si>
    <t xml:space="preserve">Bàn để máy tính HP204SHL; hiệu Hòa Phát; XX: VN </t>
  </si>
  <si>
    <t>72-HIV/15</t>
  </si>
  <si>
    <t>294-HIV/17</t>
  </si>
  <si>
    <t>03-HIV/17</t>
  </si>
  <si>
    <t>Không sd</t>
  </si>
  <si>
    <t>Đang  sd</t>
  </si>
  <si>
    <t>Đang sd</t>
  </si>
  <si>
    <t>Hỏng ghế</t>
  </si>
  <si>
    <t>Khoa SKMT chuyển sang 129 TNV</t>
  </si>
  <si>
    <t>DC-B108</t>
  </si>
  <si>
    <t>DC-052/44,46</t>
  </si>
  <si>
    <t>chuyển đi đâu</t>
  </si>
  <si>
    <t>+4</t>
  </si>
  <si>
    <t>+17</t>
  </si>
  <si>
    <t>TỔNG CỘNG</t>
  </si>
  <si>
    <t>THEO DÕI CCDC</t>
  </si>
  <si>
    <t>Quỹ toàn cầu</t>
  </si>
  <si>
    <t>BIÊN BẢN KIỂM KÊ TÀI SẢN CỐ ĐỊNH NĂM 2026</t>
  </si>
  <si>
    <t>- Hôm nay, ngày  09   tháng  01   năm 2026, tại Trung tâm Kiểm soát bệnh tât TP Đà Nẵng chúng tôi gồm:</t>
  </si>
  <si>
    <t>4. Ông. Cao Minh Thông</t>
  </si>
  <si>
    <t>P. Trưởng Khoa (T5.10)</t>
  </si>
  <si>
    <t>Đà Nẵng, ngày 09   tháng  01  năm 2026</t>
  </si>
  <si>
    <t>- Nguyễn Thị Hà Vy……………………….</t>
  </si>
  <si>
    <t>- Nguyễn Thị Vũ Cẩm………………………..</t>
  </si>
  <si>
    <t>Cao Minh Thông</t>
  </si>
  <si>
    <t>- Hôm nay, ngày  09    tháng  01   năm 2026, tại Trung tâm Kiểm soát bệnh tât TP Đà Nẵng chúng tôi gồm:</t>
  </si>
  <si>
    <t>4. Bà. Cao Minh Thông</t>
  </si>
  <si>
    <t>Đà Nẵng, ngày  09   tháng 01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</si>
</sst>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  <numFmt numFmtId="167" formatCode="#_);\(#\)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0.000"/>
    <numFmt numFmtId="175" formatCode="_(* #,##0_);_(* \(#,##0\);_(* &quot;-&quot;??_);_(@_)"/>
    <numFmt numFmtId="176" formatCode="_-* #,##0.00\ _₫_-;\-* #,##0.00\ _₫_-;_-* &quot;-&quot;??\ _₫_-;_-@_-"/>
    <numFmt numFmtId="177" formatCode="0_);\(0\)"/>
    <numFmt numFmtId="178" formatCode="_-* #,##0&quot; &quot;_ _-;\-* #,##0&quot; &quot;_ _-;_-* &quot;-&quot;??&quot; &quot;_ _-;_-@_-"/>
  </numFmts>
  <fonts count="34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1"/>
      <name val="Times New Roman"/>
      <family val="1"/>
    </font>
    <font>
      <sz val="12"/>
      <name val=".VnTime"/>
      <family val="2"/>
    </font>
    <font>
      <b/>
      <sz val="10"/>
      <name val="VNtimes new roman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8"/>
      <name val="VNtimes new roman"/>
    </font>
    <font>
      <sz val="12"/>
      <color theme="1"/>
      <name val="Times New Roman"/>
      <family val="2"/>
    </font>
    <font>
      <sz val="14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Times New Roman"/>
      <family val="1"/>
    </font>
    <font>
      <sz val="18"/>
      <color rgb="FFFF0000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66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9" fontId="2" fillId="0" borderId="0"/>
    <xf numFmtId="0" fontId="14" fillId="0" borderId="0"/>
    <xf numFmtId="0" fontId="11" fillId="0" borderId="0"/>
    <xf numFmtId="0" fontId="11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" fillId="0" borderId="0"/>
    <xf numFmtId="0" fontId="23" fillId="0" borderId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5" fillId="0" borderId="0"/>
    <xf numFmtId="165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</xf>
    <xf numFmtId="0" fontId="26" fillId="0" borderId="0" applyNumberFormat="0" applyFill="0" applyBorder="0" applyAlignment="0" applyProtection="0">
      <alignment vertical="top"/>
    </xf>
    <xf numFmtId="0" fontId="24" fillId="0" borderId="0"/>
    <xf numFmtId="0" fontId="26" fillId="0" borderId="0" applyNumberFormat="0" applyFill="0" applyBorder="0" applyAlignment="0" applyProtection="0">
      <alignment vertical="top"/>
    </xf>
    <xf numFmtId="0" fontId="26" fillId="0" borderId="0" applyNumberFormat="0" applyFill="0" applyBorder="0" applyAlignment="0" applyProtection="0">
      <alignment vertical="top"/>
    </xf>
    <xf numFmtId="9" fontId="16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</xf>
    <xf numFmtId="0" fontId="26" fillId="0" borderId="0" applyNumberFormat="0" applyFill="0" applyBorder="0" applyAlignment="0" applyProtection="0">
      <alignment vertical="top"/>
    </xf>
    <xf numFmtId="0" fontId="1" fillId="0" borderId="0"/>
    <xf numFmtId="165" fontId="1" fillId="0" borderId="0" applyFont="0" applyFill="0" applyBorder="0" applyAlignment="0" applyProtection="0"/>
    <xf numFmtId="0" fontId="25" fillId="0" borderId="0"/>
    <xf numFmtId="0" fontId="16" fillId="0" borderId="0"/>
    <xf numFmtId="0" fontId="25" fillId="0" borderId="0"/>
    <xf numFmtId="165" fontId="23" fillId="0" borderId="0" applyFont="0" applyFill="0" applyBorder="0" applyAlignment="0" applyProtection="0"/>
    <xf numFmtId="0" fontId="23" fillId="0" borderId="0"/>
    <xf numFmtId="165" fontId="16" fillId="0" borderId="0" applyFont="0" applyFill="0" applyBorder="0" applyAlignment="0" applyProtection="0"/>
    <xf numFmtId="0" fontId="1" fillId="0" borderId="0"/>
    <xf numFmtId="164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6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3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3" fillId="0" borderId="0"/>
    <xf numFmtId="0" fontId="13" fillId="0" borderId="0" applyAlignment="0">
      <alignment vertical="top" wrapText="1"/>
      <protection locked="0"/>
    </xf>
  </cellStyleXfs>
  <cellXfs count="322">
    <xf numFmtId="0" fontId="0" fillId="0" borderId="0" xfId="0"/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3" fontId="13" fillId="2" borderId="1" xfId="0" applyNumberFormat="1" applyFont="1" applyFill="1" applyBorder="1" applyAlignment="1">
      <alignment horizontal="left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/>
    <xf numFmtId="3" fontId="13" fillId="2" borderId="1" xfId="0" applyNumberFormat="1" applyFont="1" applyFill="1" applyBorder="1" applyAlignment="1">
      <alignment vertical="center"/>
    </xf>
    <xf numFmtId="0" fontId="13" fillId="2" borderId="1" xfId="0" applyFont="1" applyFill="1" applyBorder="1"/>
    <xf numFmtId="3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left"/>
    </xf>
    <xf numFmtId="0" fontId="16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166" fontId="15" fillId="2" borderId="0" xfId="7" applyNumberFormat="1" applyFont="1" applyFill="1" applyAlignment="1">
      <alignment horizontal="center"/>
    </xf>
    <xf numFmtId="3" fontId="16" fillId="2" borderId="0" xfId="0" applyNumberFormat="1" applyFont="1" applyFill="1" applyAlignment="1">
      <alignment horizontal="right"/>
    </xf>
    <xf numFmtId="166" fontId="16" fillId="2" borderId="0" xfId="7" applyNumberFormat="1" applyFont="1" applyFill="1" applyBorder="1" applyAlignment="1">
      <alignment horizontal="center"/>
    </xf>
    <xf numFmtId="167" fontId="10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left" vertical="center"/>
    </xf>
    <xf numFmtId="3" fontId="10" fillId="2" borderId="5" xfId="0" applyNumberFormat="1" applyFont="1" applyFill="1" applyBorder="1" applyAlignment="1">
      <alignment vertical="center"/>
    </xf>
    <xf numFmtId="0" fontId="15" fillId="2" borderId="0" xfId="0" applyFont="1" applyFill="1"/>
    <xf numFmtId="3" fontId="15" fillId="2" borderId="0" xfId="0" applyNumberFormat="1" applyFont="1" applyFill="1" applyAlignment="1">
      <alignment horizontal="right"/>
    </xf>
    <xf numFmtId="0" fontId="15" fillId="2" borderId="0" xfId="0" quotePrefix="1" applyFont="1" applyFill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166" fontId="15" fillId="2" borderId="0" xfId="8" applyNumberFormat="1" applyFont="1" applyFill="1" applyBorder="1"/>
    <xf numFmtId="3" fontId="13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20" fillId="2" borderId="0" xfId="0" applyFont="1" applyFill="1"/>
    <xf numFmtId="166" fontId="16" fillId="2" borderId="0" xfId="8" applyNumberFormat="1" applyFont="1" applyFill="1" applyBorder="1" applyAlignment="1">
      <alignment horizontal="center"/>
    </xf>
    <xf numFmtId="167" fontId="10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5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3" fontId="10" fillId="2" borderId="1" xfId="0" applyNumberFormat="1" applyFont="1" applyFill="1" applyBorder="1" applyAlignment="1">
      <alignment vertical="center"/>
    </xf>
    <xf numFmtId="166" fontId="16" fillId="2" borderId="0" xfId="8" applyNumberFormat="1" applyFont="1" applyFill="1" applyAlignment="1">
      <alignment horizontal="center"/>
    </xf>
    <xf numFmtId="0" fontId="21" fillId="2" borderId="0" xfId="0" applyFont="1" applyFill="1"/>
    <xf numFmtId="0" fontId="21" fillId="2" borderId="1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17" fillId="2" borderId="1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0" fillId="2" borderId="1" xfId="14" applyFont="1" applyFill="1" applyBorder="1" applyAlignment="1">
      <alignment vertical="center" wrapText="1"/>
    </xf>
    <xf numFmtId="3" fontId="10" fillId="2" borderId="7" xfId="0" applyNumberFormat="1" applyFont="1" applyFill="1" applyBorder="1" applyAlignment="1">
      <alignment vertical="center"/>
    </xf>
    <xf numFmtId="3" fontId="10" fillId="2" borderId="10" xfId="0" applyNumberFormat="1" applyFont="1" applyFill="1" applyBorder="1" applyAlignment="1">
      <alignment vertical="center"/>
    </xf>
    <xf numFmtId="0" fontId="17" fillId="2" borderId="0" xfId="0" quotePrefix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3" fontId="10" fillId="2" borderId="1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3" fontId="10" fillId="2" borderId="6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 wrapText="1"/>
    </xf>
    <xf numFmtId="49" fontId="15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wrapText="1"/>
    </xf>
    <xf numFmtId="49" fontId="16" fillId="2" borderId="0" xfId="0" applyNumberFormat="1" applyFont="1" applyFill="1"/>
    <xf numFmtId="49" fontId="16" fillId="2" borderId="0" xfId="7" applyNumberFormat="1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3" fillId="2" borderId="1" xfId="14" applyFont="1" applyFill="1" applyBorder="1" applyAlignment="1">
      <alignment horizontal="center" vertical="center"/>
    </xf>
    <xf numFmtId="49" fontId="13" fillId="2" borderId="1" xfId="0" quotePrefix="1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left" vertical="center" wrapText="1"/>
    </xf>
    <xf numFmtId="0" fontId="10" fillId="2" borderId="0" xfId="0" applyFont="1" applyFill="1"/>
    <xf numFmtId="3" fontId="13" fillId="2" borderId="1" xfId="0" quotePrefix="1" applyNumberFormat="1" applyFont="1" applyFill="1" applyBorder="1" applyAlignment="1">
      <alignment horizontal="center" vertical="center"/>
    </xf>
    <xf numFmtId="175" fontId="16" fillId="2" borderId="1" xfId="65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>
      <alignment horizontal="center" vertical="center"/>
    </xf>
    <xf numFmtId="0" fontId="13" fillId="2" borderId="1" xfId="15" applyFont="1" applyFill="1" applyBorder="1" applyAlignment="1">
      <alignment horizontal="left" vertical="center"/>
    </xf>
    <xf numFmtId="49" fontId="13" fillId="2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3" fillId="3" borderId="1" xfId="40" applyFont="1" applyFill="1" applyBorder="1" applyAlignment="1" applyProtection="1">
      <alignment horizontal="left" vertical="center" wrapText="1" shrinkToFit="1"/>
      <protection locked="0"/>
    </xf>
    <xf numFmtId="0" fontId="13" fillId="3" borderId="1" xfId="40" applyFont="1" applyFill="1" applyBorder="1" applyAlignment="1" applyProtection="1">
      <alignment horizontal="center" vertical="center" wrapText="1" shrinkToFit="1"/>
      <protection locked="0"/>
    </xf>
    <xf numFmtId="3" fontId="13" fillId="3" borderId="1" xfId="40" applyNumberFormat="1" applyFont="1" applyFill="1" applyBorder="1" applyAlignment="1" applyProtection="1">
      <alignment horizontal="right" vertical="center" wrapText="1" shrinkToFit="1"/>
      <protection locked="0"/>
    </xf>
    <xf numFmtId="0" fontId="13" fillId="3" borderId="1" xfId="39" applyFont="1" applyFill="1" applyBorder="1" applyAlignment="1" applyProtection="1">
      <alignment vertical="center" wrapText="1" shrinkToFit="1"/>
      <protection locked="0"/>
    </xf>
    <xf numFmtId="0" fontId="13" fillId="3" borderId="1" xfId="39" applyFont="1" applyFill="1" applyBorder="1" applyAlignment="1" applyProtection="1">
      <alignment horizontal="center" vertical="center" wrapText="1" shrinkToFit="1"/>
      <protection locked="0"/>
    </xf>
    <xf numFmtId="3" fontId="13" fillId="3" borderId="1" xfId="39" applyNumberFormat="1" applyFont="1" applyFill="1" applyBorder="1" applyAlignment="1" applyProtection="1">
      <alignment horizontal="right" vertical="center" wrapText="1" shrinkToFit="1"/>
      <protection locked="0"/>
    </xf>
    <xf numFmtId="3" fontId="13" fillId="2" borderId="0" xfId="0" applyNumberFormat="1" applyFont="1" applyFill="1"/>
    <xf numFmtId="0" fontId="10" fillId="3" borderId="1" xfId="39" applyFont="1" applyFill="1" applyBorder="1" applyAlignment="1" applyProtection="1">
      <alignment vertical="center" wrapText="1" shrinkToFit="1"/>
      <protection locked="0"/>
    </xf>
    <xf numFmtId="0" fontId="10" fillId="3" borderId="1" xfId="39" applyFont="1" applyFill="1" applyBorder="1" applyAlignment="1" applyProtection="1">
      <alignment horizontal="center" vertical="center" wrapText="1" shrinkToFit="1"/>
      <protection locked="0"/>
    </xf>
    <xf numFmtId="49" fontId="10" fillId="2" borderId="1" xfId="0" quotePrefix="1" applyNumberFormat="1" applyFont="1" applyFill="1" applyBorder="1" applyAlignment="1">
      <alignment horizontal="center" vertical="center"/>
    </xf>
    <xf numFmtId="3" fontId="10" fillId="3" borderId="1" xfId="39" applyNumberFormat="1" applyFont="1" applyFill="1" applyBorder="1" applyAlignment="1" applyProtection="1">
      <alignment horizontal="right" vertical="center" wrapText="1" shrinkToFit="1"/>
      <protection locked="0"/>
    </xf>
    <xf numFmtId="3" fontId="10" fillId="2" borderId="1" xfId="0" applyNumberFormat="1" applyFont="1" applyFill="1" applyBorder="1" applyAlignment="1">
      <alignment horizontal="center"/>
    </xf>
    <xf numFmtId="167" fontId="10" fillId="2" borderId="1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center" wrapText="1"/>
    </xf>
    <xf numFmtId="3" fontId="13" fillId="2" borderId="6" xfId="0" applyNumberFormat="1" applyFont="1" applyFill="1" applyBorder="1" applyAlignment="1">
      <alignment horizontal="right" vertical="center"/>
    </xf>
    <xf numFmtId="49" fontId="13" fillId="2" borderId="1" xfId="0" applyNumberFormat="1" applyFont="1" applyFill="1" applyBorder="1" applyAlignment="1">
      <alignment horizontal="center" vertical="center"/>
    </xf>
    <xf numFmtId="175" fontId="13" fillId="2" borderId="1" xfId="7" applyNumberFormat="1" applyFont="1" applyFill="1" applyBorder="1" applyAlignment="1">
      <alignment horizontal="right"/>
    </xf>
    <xf numFmtId="175" fontId="13" fillId="2" borderId="1" xfId="7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1" xfId="15" applyFont="1" applyFill="1" applyBorder="1" applyAlignment="1">
      <alignment horizontal="center" vertical="center"/>
    </xf>
    <xf numFmtId="3" fontId="13" fillId="2" borderId="1" xfId="15" applyNumberFormat="1" applyFont="1" applyFill="1" applyBorder="1" applyAlignment="1">
      <alignment horizontal="center" vertical="center"/>
    </xf>
    <xf numFmtId="3" fontId="13" fillId="2" borderId="1" xfId="15" applyNumberFormat="1" applyFont="1" applyFill="1" applyBorder="1" applyAlignment="1">
      <alignment vertical="center"/>
    </xf>
    <xf numFmtId="0" fontId="13" fillId="2" borderId="1" xfId="15" applyFont="1" applyFill="1" applyBorder="1" applyAlignment="1">
      <alignment vertical="center"/>
    </xf>
    <xf numFmtId="0" fontId="10" fillId="2" borderId="1" xfId="14" applyFont="1" applyFill="1" applyBorder="1" applyAlignment="1">
      <alignment horizontal="center" vertical="center"/>
    </xf>
    <xf numFmtId="174" fontId="13" fillId="2" borderId="1" xfId="0" applyNumberFormat="1" applyFont="1" applyFill="1" applyBorder="1" applyAlignment="1">
      <alignment horizontal="center" vertical="center" wrapText="1"/>
    </xf>
    <xf numFmtId="175" fontId="13" fillId="2" borderId="0" xfId="7" applyNumberFormat="1" applyFont="1" applyFill="1" applyAlignment="1">
      <alignment horizontal="right" vertical="center"/>
    </xf>
    <xf numFmtId="3" fontId="13" fillId="2" borderId="1" xfId="0" applyNumberFormat="1" applyFont="1" applyFill="1" applyBorder="1" applyAlignment="1">
      <alignment horizontal="right"/>
    </xf>
    <xf numFmtId="0" fontId="13" fillId="2" borderId="1" xfId="0" applyFont="1" applyFill="1" applyBorder="1" applyAlignment="1">
      <alignment vertical="center" wrapText="1"/>
    </xf>
    <xf numFmtId="175" fontId="13" fillId="2" borderId="14" xfId="7" applyNumberFormat="1" applyFont="1" applyFill="1" applyBorder="1" applyAlignment="1">
      <alignment horizontal="right" vertical="center"/>
    </xf>
    <xf numFmtId="175" fontId="13" fillId="2" borderId="1" xfId="58" applyNumberFormat="1" applyFont="1" applyFill="1" applyBorder="1" applyAlignment="1">
      <alignment horizontal="right" vertical="center" wrapText="1"/>
    </xf>
    <xf numFmtId="3" fontId="13" fillId="2" borderId="1" xfId="16" applyNumberFormat="1" applyFont="1" applyFill="1" applyBorder="1" applyAlignment="1">
      <alignment horizontal="center" vertical="center" wrapText="1"/>
    </xf>
    <xf numFmtId="0" fontId="13" fillId="2" borderId="1" xfId="16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left" vertical="center" wrapText="1"/>
    </xf>
    <xf numFmtId="3" fontId="13" fillId="2" borderId="6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3" fontId="13" fillId="2" borderId="6" xfId="0" applyNumberFormat="1" applyFont="1" applyFill="1" applyBorder="1" applyAlignment="1">
      <alignment horizontal="left" vertical="center"/>
    </xf>
    <xf numFmtId="49" fontId="13" fillId="2" borderId="6" xfId="0" quotePrefix="1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left" vertical="center" wrapText="1"/>
    </xf>
    <xf numFmtId="0" fontId="10" fillId="2" borderId="6" xfId="14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left" vertical="center"/>
    </xf>
    <xf numFmtId="49" fontId="10" fillId="2" borderId="6" xfId="0" quotePrefix="1" applyNumberFormat="1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right" vertical="center"/>
    </xf>
    <xf numFmtId="0" fontId="13" fillId="2" borderId="1" xfId="47" applyFont="1" applyFill="1" applyBorder="1" applyAlignment="1">
      <alignment horizontal="center" vertical="center" wrapText="1"/>
    </xf>
    <xf numFmtId="0" fontId="13" fillId="2" borderId="1" xfId="47" applyFont="1" applyFill="1" applyBorder="1" applyAlignment="1">
      <alignment horizontal="left" vertical="center" wrapText="1"/>
    </xf>
    <xf numFmtId="0" fontId="13" fillId="2" borderId="1" xfId="14" applyFont="1" applyFill="1" applyBorder="1" applyAlignment="1">
      <alignment horizontal="left" vertical="center" wrapText="1"/>
    </xf>
    <xf numFmtId="0" fontId="13" fillId="2" borderId="1" xfId="14" applyFont="1" applyFill="1" applyBorder="1" applyAlignment="1">
      <alignment horizontal="center" vertical="center" wrapText="1"/>
    </xf>
    <xf numFmtId="175" fontId="13" fillId="2" borderId="1" xfId="7" applyNumberFormat="1" applyFont="1" applyFill="1" applyBorder="1" applyAlignment="1">
      <alignment horizontal="right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3" borderId="1" xfId="40" applyFont="1" applyFill="1" applyBorder="1" applyAlignment="1" applyProtection="1">
      <alignment horizontal="center" vertical="center" wrapText="1" shrinkToFit="1"/>
      <protection locked="0"/>
    </xf>
    <xf numFmtId="0" fontId="17" fillId="2" borderId="1" xfId="0" applyFont="1" applyFill="1" applyBorder="1" applyAlignment="1">
      <alignment horizontal="left" vertical="center"/>
    </xf>
    <xf numFmtId="3" fontId="17" fillId="2" borderId="1" xfId="0" applyNumberFormat="1" applyFont="1" applyFill="1" applyBorder="1" applyAlignment="1">
      <alignment horizontal="right" vertical="center"/>
    </xf>
    <xf numFmtId="3" fontId="17" fillId="2" borderId="1" xfId="0" applyNumberFormat="1" applyFont="1" applyFill="1" applyBorder="1" applyAlignment="1">
      <alignment vertical="center"/>
    </xf>
    <xf numFmtId="3" fontId="17" fillId="2" borderId="1" xfId="0" applyNumberFormat="1" applyFont="1" applyFill="1" applyBorder="1" applyAlignment="1">
      <alignment horizontal="center" vertical="center"/>
    </xf>
    <xf numFmtId="49" fontId="17" fillId="2" borderId="1" xfId="59" applyNumberFormat="1" applyFont="1" applyFill="1" applyBorder="1" applyAlignment="1">
      <alignment vertical="center"/>
    </xf>
    <xf numFmtId="9" fontId="17" fillId="2" borderId="1" xfId="0" applyNumberFormat="1" applyFont="1" applyFill="1" applyBorder="1" applyAlignment="1">
      <alignment horizontal="right" vertical="center"/>
    </xf>
    <xf numFmtId="178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/>
    </xf>
    <xf numFmtId="0" fontId="17" fillId="2" borderId="1" xfId="37" applyFont="1" applyFill="1" applyBorder="1" applyAlignment="1">
      <alignment vertical="center" wrapText="1"/>
    </xf>
    <xf numFmtId="0" fontId="13" fillId="2" borderId="0" xfId="14" applyFont="1" applyFill="1" applyAlignment="1">
      <alignment horizontal="center" vertical="center"/>
    </xf>
    <xf numFmtId="3" fontId="13" fillId="2" borderId="0" xfId="0" applyNumberFormat="1" applyFont="1" applyFill="1" applyAlignment="1">
      <alignment vertical="center"/>
    </xf>
    <xf numFmtId="3" fontId="13" fillId="2" borderId="0" xfId="0" applyNumberFormat="1" applyFont="1" applyFill="1" applyAlignment="1">
      <alignment vertical="center" wrapText="1"/>
    </xf>
    <xf numFmtId="0" fontId="13" fillId="2" borderId="0" xfId="15" applyFont="1" applyFill="1" applyAlignment="1">
      <alignment vertical="center"/>
    </xf>
    <xf numFmtId="0" fontId="13" fillId="2" borderId="0" xfId="16" applyFont="1" applyFill="1" applyAlignment="1">
      <alignment horizontal="center" vertical="center"/>
    </xf>
    <xf numFmtId="49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13" fillId="2" borderId="0" xfId="15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 wrapText="1"/>
    </xf>
    <xf numFmtId="166" fontId="15" fillId="2" borderId="0" xfId="7" applyNumberFormat="1" applyFont="1" applyFill="1" applyBorder="1"/>
    <xf numFmtId="0" fontId="15" fillId="2" borderId="0" xfId="0" applyFont="1" applyFill="1" applyAlignment="1">
      <alignment wrapText="1"/>
    </xf>
    <xf numFmtId="0" fontId="10" fillId="2" borderId="6" xfId="0" applyFont="1" applyFill="1" applyBorder="1" applyAlignment="1">
      <alignment horizontal="right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right" vertical="center" wrapText="1"/>
    </xf>
    <xf numFmtId="3" fontId="13" fillId="2" borderId="1" xfId="0" applyNumberFormat="1" applyFont="1" applyFill="1" applyBorder="1" applyAlignment="1">
      <alignment vertical="center" wrapText="1"/>
    </xf>
    <xf numFmtId="0" fontId="13" fillId="2" borderId="5" xfId="14" applyFont="1" applyFill="1" applyBorder="1" applyAlignment="1">
      <alignment horizontal="left" vertical="center" wrapText="1"/>
    </xf>
    <xf numFmtId="49" fontId="13" fillId="2" borderId="1" xfId="14" applyNumberFormat="1" applyFont="1" applyFill="1" applyBorder="1" applyAlignment="1">
      <alignment horizontal="center" vertical="center" wrapText="1"/>
    </xf>
    <xf numFmtId="0" fontId="13" fillId="2" borderId="1" xfId="14" applyFont="1" applyFill="1" applyBorder="1" applyAlignment="1">
      <alignment horizontal="right" vertical="center" wrapText="1"/>
    </xf>
    <xf numFmtId="0" fontId="13" fillId="2" borderId="5" xfId="0" applyFont="1" applyFill="1" applyBorder="1" applyAlignment="1">
      <alignment vertical="center"/>
    </xf>
    <xf numFmtId="3" fontId="13" fillId="2" borderId="7" xfId="0" applyNumberFormat="1" applyFont="1" applyFill="1" applyBorder="1" applyAlignment="1">
      <alignment horizontal="left" vertical="center"/>
    </xf>
    <xf numFmtId="3" fontId="13" fillId="2" borderId="7" xfId="0" applyNumberFormat="1" applyFont="1" applyFill="1" applyBorder="1" applyAlignment="1">
      <alignment horizontal="right" vertical="center"/>
    </xf>
    <xf numFmtId="0" fontId="13" fillId="2" borderId="1" xfId="15" applyFont="1" applyFill="1" applyBorder="1" applyAlignment="1">
      <alignment vertical="center" wrapText="1"/>
    </xf>
    <xf numFmtId="0" fontId="13" fillId="2" borderId="1" xfId="0" applyFont="1" applyFill="1" applyBorder="1" applyAlignment="1">
      <alignment wrapText="1"/>
    </xf>
    <xf numFmtId="0" fontId="13" fillId="2" borderId="6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14" applyFon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0" fontId="13" fillId="2" borderId="6" xfId="15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1" xfId="15" applyFont="1" applyFill="1" applyBorder="1"/>
    <xf numFmtId="175" fontId="16" fillId="2" borderId="1" xfId="7" applyNumberFormat="1" applyFont="1" applyFill="1" applyBorder="1" applyAlignment="1">
      <alignment horizontal="right" vertical="center"/>
    </xf>
    <xf numFmtId="3" fontId="13" fillId="2" borderId="1" xfId="16" applyNumberFormat="1" applyFont="1" applyFill="1" applyBorder="1" applyAlignment="1">
      <alignment vertical="center" wrapText="1"/>
    </xf>
    <xf numFmtId="3" fontId="13" fillId="2" borderId="1" xfId="16" applyNumberFormat="1" applyFont="1" applyFill="1" applyBorder="1" applyAlignment="1">
      <alignment horizontal="left" vertical="center" wrapText="1"/>
    </xf>
    <xf numFmtId="0" fontId="13" fillId="2" borderId="1" xfId="16" applyFont="1" applyFill="1" applyBorder="1" applyAlignment="1">
      <alignment horizontal="left" vertical="center" wrapText="1"/>
    </xf>
    <xf numFmtId="0" fontId="13" fillId="2" borderId="1" xfId="16" applyFont="1" applyFill="1" applyBorder="1" applyAlignment="1">
      <alignment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vertical="center" wrapText="1"/>
    </xf>
    <xf numFmtId="174" fontId="13" fillId="2" borderId="6" xfId="0" applyNumberFormat="1" applyFont="1" applyFill="1" applyBorder="1" applyAlignment="1">
      <alignment horizontal="center" vertical="center" wrapText="1"/>
    </xf>
    <xf numFmtId="0" fontId="13" fillId="2" borderId="6" xfId="16" applyFont="1" applyFill="1" applyBorder="1" applyAlignment="1">
      <alignment horizontal="center" vertical="center"/>
    </xf>
    <xf numFmtId="3" fontId="13" fillId="2" borderId="6" xfId="16" applyNumberFormat="1" applyFont="1" applyFill="1" applyBorder="1" applyAlignment="1">
      <alignment vertical="center" wrapText="1"/>
    </xf>
    <xf numFmtId="3" fontId="13" fillId="2" borderId="6" xfId="16" applyNumberFormat="1" applyFont="1" applyFill="1" applyBorder="1" applyAlignment="1">
      <alignment horizontal="left" vertical="center" wrapText="1"/>
    </xf>
    <xf numFmtId="0" fontId="13" fillId="2" borderId="6" xfId="16" applyFont="1" applyFill="1" applyBorder="1" applyAlignment="1">
      <alignment horizontal="left" vertical="center" wrapText="1"/>
    </xf>
    <xf numFmtId="0" fontId="13" fillId="2" borderId="6" xfId="16" applyFont="1" applyFill="1" applyBorder="1" applyAlignment="1">
      <alignment vertical="center"/>
    </xf>
    <xf numFmtId="3" fontId="13" fillId="2" borderId="6" xfId="0" applyNumberFormat="1" applyFont="1" applyFill="1" applyBorder="1" applyAlignment="1">
      <alignment vertical="center"/>
    </xf>
    <xf numFmtId="0" fontId="13" fillId="2" borderId="6" xfId="15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49" fontId="13" fillId="2" borderId="1" xfId="16" applyNumberFormat="1" applyFont="1" applyFill="1" applyBorder="1" applyAlignment="1">
      <alignment horizontal="center" vertical="center"/>
    </xf>
    <xf numFmtId="0" fontId="13" fillId="2" borderId="1" xfId="16" applyFont="1" applyFill="1" applyBorder="1" applyAlignment="1">
      <alignment horizontal="right" vertical="center"/>
    </xf>
    <xf numFmtId="0" fontId="13" fillId="2" borderId="8" xfId="0" applyFont="1" applyFill="1" applyBorder="1" applyAlignment="1">
      <alignment vertical="center"/>
    </xf>
    <xf numFmtId="3" fontId="13" fillId="2" borderId="9" xfId="0" applyNumberFormat="1" applyFont="1" applyFill="1" applyBorder="1" applyAlignment="1">
      <alignment horizontal="left" vertical="center"/>
    </xf>
    <xf numFmtId="3" fontId="13" fillId="2" borderId="9" xfId="0" applyNumberFormat="1" applyFont="1" applyFill="1" applyBorder="1" applyAlignment="1">
      <alignment horizontal="right" vertical="center"/>
    </xf>
    <xf numFmtId="3" fontId="13" fillId="2" borderId="9" xfId="0" applyNumberFormat="1" applyFont="1" applyFill="1" applyBorder="1" applyAlignment="1">
      <alignment horizontal="center" vertical="center" wrapText="1"/>
    </xf>
    <xf numFmtId="49" fontId="16" fillId="2" borderId="0" xfId="0" applyNumberFormat="1" applyFont="1" applyFill="1" applyAlignment="1">
      <alignment horizontal="center"/>
    </xf>
    <xf numFmtId="166" fontId="16" fillId="2" borderId="0" xfId="7" applyNumberFormat="1" applyFont="1" applyFill="1" applyBorder="1"/>
    <xf numFmtId="49" fontId="16" fillId="2" borderId="0" xfId="7" applyNumberFormat="1" applyFont="1" applyFill="1" applyAlignment="1">
      <alignment horizontal="center"/>
    </xf>
    <xf numFmtId="3" fontId="29" fillId="2" borderId="1" xfId="0" applyNumberFormat="1" applyFont="1" applyFill="1" applyBorder="1" applyAlignment="1">
      <alignment horizontal="center" vertical="center"/>
    </xf>
    <xf numFmtId="3" fontId="29" fillId="2" borderId="1" xfId="0" applyNumberFormat="1" applyFont="1" applyFill="1" applyBorder="1" applyAlignment="1">
      <alignment horizontal="left" vertical="center" wrapText="1"/>
    </xf>
    <xf numFmtId="3" fontId="29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3" fontId="29" fillId="2" borderId="1" xfId="0" applyNumberFormat="1" applyFont="1" applyFill="1" applyBorder="1" applyAlignment="1">
      <alignment horizontal="left" vertical="center"/>
    </xf>
    <xf numFmtId="49" fontId="29" fillId="2" borderId="1" xfId="0" quotePrefix="1" applyNumberFormat="1" applyFont="1" applyFill="1" applyBorder="1" applyAlignment="1">
      <alignment horizontal="center" vertical="center"/>
    </xf>
    <xf numFmtId="3" fontId="29" fillId="2" borderId="1" xfId="0" applyNumberFormat="1" applyFont="1" applyFill="1" applyBorder="1" applyAlignment="1">
      <alignment horizontal="right" vertical="center"/>
    </xf>
    <xf numFmtId="0" fontId="29" fillId="2" borderId="0" xfId="0" applyFont="1" applyFill="1"/>
    <xf numFmtId="0" fontId="29" fillId="2" borderId="1" xfId="0" applyFont="1" applyFill="1" applyBorder="1" applyAlignment="1">
      <alignment horizontal="center" vertical="center" wrapText="1"/>
    </xf>
    <xf numFmtId="0" fontId="29" fillId="2" borderId="1" xfId="14" applyFont="1" applyFill="1" applyBorder="1" applyAlignment="1">
      <alignment horizontal="center" vertical="center"/>
    </xf>
    <xf numFmtId="49" fontId="29" fillId="2" borderId="1" xfId="0" applyNumberFormat="1" applyFont="1" applyFill="1" applyBorder="1" applyAlignment="1">
      <alignment horizontal="center" vertical="center"/>
    </xf>
    <xf numFmtId="174" fontId="29" fillId="2" borderId="1" xfId="0" applyNumberFormat="1" applyFont="1" applyFill="1" applyBorder="1" applyAlignment="1">
      <alignment horizontal="center" vertical="center" wrapText="1"/>
    </xf>
    <xf numFmtId="175" fontId="29" fillId="2" borderId="1" xfId="7" applyNumberFormat="1" applyFont="1" applyFill="1" applyBorder="1" applyAlignment="1">
      <alignment horizontal="right" vertical="center"/>
    </xf>
    <xf numFmtId="0" fontId="29" fillId="2" borderId="1" xfId="0" applyFont="1" applyFill="1" applyBorder="1" applyAlignment="1">
      <alignment horizontal="left" vertical="center"/>
    </xf>
    <xf numFmtId="0" fontId="29" fillId="2" borderId="1" xfId="15" applyFont="1" applyFill="1" applyBorder="1" applyAlignment="1">
      <alignment horizontal="center" vertical="center"/>
    </xf>
    <xf numFmtId="3" fontId="29" fillId="2" borderId="1" xfId="15" applyNumberFormat="1" applyFont="1" applyFill="1" applyBorder="1" applyAlignment="1">
      <alignment horizontal="center" vertical="center"/>
    </xf>
    <xf numFmtId="3" fontId="29" fillId="2" borderId="1" xfId="15" applyNumberFormat="1" applyFont="1" applyFill="1" applyBorder="1" applyAlignment="1">
      <alignment vertical="center"/>
    </xf>
    <xf numFmtId="0" fontId="29" fillId="2" borderId="1" xfId="15" applyFont="1" applyFill="1" applyBorder="1" applyAlignment="1">
      <alignment vertical="center"/>
    </xf>
    <xf numFmtId="0" fontId="29" fillId="2" borderId="1" xfId="0" applyFont="1" applyFill="1" applyBorder="1"/>
    <xf numFmtId="3" fontId="29" fillId="2" borderId="1" xfId="0" applyNumberFormat="1" applyFont="1" applyFill="1" applyBorder="1" applyAlignment="1">
      <alignment horizontal="right" vertical="center" wrapText="1"/>
    </xf>
    <xf numFmtId="0" fontId="29" fillId="2" borderId="1" xfId="0" applyFont="1" applyFill="1" applyBorder="1" applyAlignment="1">
      <alignment vertical="center"/>
    </xf>
    <xf numFmtId="175" fontId="29" fillId="2" borderId="1" xfId="7" applyNumberFormat="1" applyFont="1" applyFill="1" applyBorder="1" applyAlignment="1">
      <alignment horizontal="right"/>
    </xf>
    <xf numFmtId="3" fontId="29" fillId="2" borderId="1" xfId="16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right" vertical="center"/>
    </xf>
    <xf numFmtId="0" fontId="30" fillId="2" borderId="0" xfId="0" applyFont="1" applyFill="1"/>
    <xf numFmtId="175" fontId="31" fillId="2" borderId="0" xfId="7" applyNumberFormat="1" applyFont="1" applyFill="1" applyAlignment="1">
      <alignment horizontal="right" vertical="center"/>
    </xf>
    <xf numFmtId="3" fontId="32" fillId="2" borderId="1" xfId="0" applyNumberFormat="1" applyFont="1" applyFill="1" applyBorder="1" applyAlignment="1">
      <alignment horizontal="center" vertical="center"/>
    </xf>
    <xf numFmtId="3" fontId="32" fillId="2" borderId="1" xfId="0" applyNumberFormat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/>
    </xf>
    <xf numFmtId="0" fontId="29" fillId="2" borderId="1" xfId="47" quotePrefix="1" applyFont="1" applyFill="1" applyBorder="1" applyAlignment="1">
      <alignment vertical="center" wrapText="1"/>
    </xf>
    <xf numFmtId="0" fontId="29" fillId="2" borderId="1" xfId="47" applyFont="1" applyFill="1" applyBorder="1" applyAlignment="1">
      <alignment horizontal="center" vertical="center" wrapText="1"/>
    </xf>
    <xf numFmtId="164" fontId="29" fillId="2" borderId="1" xfId="53" applyFont="1" applyFill="1" applyBorder="1" applyAlignment="1">
      <alignment horizontal="right" vertical="center"/>
    </xf>
    <xf numFmtId="3" fontId="29" fillId="2" borderId="1" xfId="47" applyNumberFormat="1" applyFont="1" applyFill="1" applyBorder="1" applyAlignment="1">
      <alignment horizontal="right" vertical="center" wrapText="1"/>
    </xf>
    <xf numFmtId="0" fontId="29" fillId="2" borderId="1" xfId="32" applyFont="1" applyFill="1" applyBorder="1" applyAlignment="1">
      <alignment horizontal="left" vertical="center" wrapText="1"/>
    </xf>
    <xf numFmtId="175" fontId="29" fillId="2" borderId="1" xfId="58" applyNumberFormat="1" applyFont="1" applyFill="1" applyBorder="1" applyAlignment="1">
      <alignment horizontal="right" vertical="center" wrapText="1"/>
    </xf>
    <xf numFmtId="0" fontId="29" fillId="2" borderId="1" xfId="47" applyFont="1" applyFill="1" applyBorder="1" applyAlignment="1">
      <alignment horizontal="left" vertical="center" wrapText="1"/>
    </xf>
    <xf numFmtId="0" fontId="31" fillId="2" borderId="13" xfId="47" applyFont="1" applyFill="1" applyBorder="1" applyAlignment="1">
      <alignment horizontal="center" vertical="center" wrapText="1"/>
    </xf>
    <xf numFmtId="0" fontId="29" fillId="2" borderId="1" xfId="47" applyFont="1" applyFill="1" applyBorder="1" applyAlignment="1">
      <alignment horizontal="right" vertical="center" wrapText="1"/>
    </xf>
    <xf numFmtId="0" fontId="29" fillId="2" borderId="1" xfId="0" applyFont="1" applyFill="1" applyBorder="1" applyAlignment="1">
      <alignment horizontal="left" vertical="center" wrapText="1"/>
    </xf>
    <xf numFmtId="175" fontId="29" fillId="2" borderId="1" xfId="47" applyNumberFormat="1" applyFont="1" applyFill="1" applyBorder="1" applyAlignment="1">
      <alignment horizontal="right" vertical="center"/>
    </xf>
    <xf numFmtId="175" fontId="31" fillId="2" borderId="13" xfId="63" applyNumberFormat="1" applyFont="1" applyFill="1" applyBorder="1" applyAlignment="1">
      <alignment horizontal="left" vertical="center" wrapText="1"/>
    </xf>
    <xf numFmtId="175" fontId="31" fillId="2" borderId="13" xfId="63" applyNumberFormat="1" applyFont="1" applyFill="1" applyBorder="1" applyAlignment="1">
      <alignment horizontal="center" vertical="center" wrapText="1"/>
    </xf>
    <xf numFmtId="175" fontId="31" fillId="2" borderId="1" xfId="63" applyNumberFormat="1" applyFont="1" applyFill="1" applyBorder="1" applyAlignment="1">
      <alignment horizontal="right" vertical="center" wrapText="1"/>
    </xf>
    <xf numFmtId="175" fontId="31" fillId="2" borderId="15" xfId="63" applyNumberFormat="1" applyFont="1" applyFill="1" applyBorder="1" applyAlignment="1">
      <alignment horizontal="right" vertical="center" wrapText="1"/>
    </xf>
    <xf numFmtId="0" fontId="32" fillId="2" borderId="0" xfId="0" applyFont="1" applyFill="1"/>
    <xf numFmtId="0" fontId="33" fillId="2" borderId="13" xfId="47" applyFont="1" applyFill="1" applyBorder="1" applyAlignment="1">
      <alignment horizontal="center" vertical="center" wrapText="1"/>
    </xf>
    <xf numFmtId="0" fontId="32" fillId="2" borderId="1" xfId="14" applyFont="1" applyFill="1" applyBorder="1" applyAlignment="1">
      <alignment horizontal="center" vertical="center"/>
    </xf>
    <xf numFmtId="175" fontId="29" fillId="2" borderId="1" xfId="58" applyNumberFormat="1" applyFont="1" applyFill="1" applyBorder="1" applyAlignment="1">
      <alignment horizontal="left" vertical="center" wrapText="1"/>
    </xf>
    <xf numFmtId="175" fontId="29" fillId="2" borderId="1" xfId="58" applyNumberFormat="1" applyFont="1" applyFill="1" applyBorder="1" applyAlignment="1">
      <alignment horizontal="center" vertical="center" wrapText="1"/>
    </xf>
    <xf numFmtId="177" fontId="29" fillId="2" borderId="1" xfId="58" applyNumberFormat="1" applyFont="1" applyFill="1" applyBorder="1" applyAlignment="1">
      <alignment horizontal="center" vertical="center" wrapText="1"/>
    </xf>
    <xf numFmtId="175" fontId="29" fillId="2" borderId="1" xfId="63" applyNumberFormat="1" applyFont="1" applyFill="1" applyBorder="1" applyAlignment="1">
      <alignment horizontal="right" vertical="center" wrapText="1"/>
    </xf>
    <xf numFmtId="0" fontId="29" fillId="2" borderId="13" xfId="47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5" fillId="2" borderId="0" xfId="0" quotePrefix="1" applyFont="1" applyFill="1" applyAlignment="1">
      <alignment horizontal="left"/>
    </xf>
    <xf numFmtId="0" fontId="16" fillId="2" borderId="0" xfId="0" quotePrefix="1" applyFont="1" applyFill="1" applyAlignment="1">
      <alignment horizontal="left"/>
    </xf>
    <xf numFmtId="0" fontId="19" fillId="2" borderId="0" xfId="0" applyFont="1" applyFill="1" applyAlignment="1">
      <alignment horizont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175" fontId="13" fillId="0" borderId="1" xfId="45" applyNumberFormat="1" applyFont="1" applyFill="1" applyBorder="1" applyAlignment="1">
      <alignment vertical="center"/>
    </xf>
    <xf numFmtId="3" fontId="15" fillId="2" borderId="0" xfId="0" applyNumberFormat="1" applyFont="1" applyFill="1"/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3" fontId="10" fillId="2" borderId="5" xfId="0" applyNumberFormat="1" applyFont="1" applyFill="1" applyBorder="1" applyAlignment="1">
      <alignment horizontal="center" vertical="center"/>
    </xf>
    <xf numFmtId="3" fontId="10" fillId="2" borderId="7" xfId="0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left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0" quotePrefix="1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3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 wrapText="1"/>
    </xf>
    <xf numFmtId="3" fontId="10" fillId="2" borderId="12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0" fontId="10" fillId="2" borderId="12" xfId="0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left" vertical="center"/>
    </xf>
    <xf numFmtId="3" fontId="10" fillId="2" borderId="10" xfId="0" applyNumberFormat="1" applyFont="1" applyFill="1" applyBorder="1" applyAlignment="1">
      <alignment horizontal="left" vertical="center"/>
    </xf>
    <xf numFmtId="0" fontId="10" fillId="2" borderId="5" xfId="14" applyFont="1" applyFill="1" applyBorder="1" applyAlignment="1">
      <alignment horizontal="left" vertical="center" wrapText="1"/>
    </xf>
    <xf numFmtId="0" fontId="10" fillId="2" borderId="10" xfId="14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</cellXfs>
  <cellStyles count="66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[0] 2" xfId="53" xr:uid="{00000000-0005-0000-0000-000007000000}"/>
    <cellStyle name="Comma [0] 3" xfId="56" xr:uid="{00000000-0005-0000-0000-000008000000}"/>
    <cellStyle name="Comma [0] 3 2" xfId="60" xr:uid="{00000000-0005-0000-0000-000009000000}"/>
    <cellStyle name="Comma [0] 4" xfId="31" xr:uid="{00000000-0005-0000-0000-00000A000000}"/>
    <cellStyle name="Comma 10" xfId="63" xr:uid="{00000000-0005-0000-0000-00000B000000}"/>
    <cellStyle name="Comma 2" xfId="8" xr:uid="{00000000-0005-0000-0000-00000C000000}"/>
    <cellStyle name="Comma 2 2" xfId="59" xr:uid="{00000000-0005-0000-0000-00000D000000}"/>
    <cellStyle name="Comma 2 3" xfId="34" xr:uid="{00000000-0005-0000-0000-00000E000000}"/>
    <cellStyle name="Comma 3" xfId="45" xr:uid="{00000000-0005-0000-0000-00000F000000}"/>
    <cellStyle name="Comma 4" xfId="35" xr:uid="{00000000-0005-0000-0000-000010000000}"/>
    <cellStyle name="Comma 4 2" xfId="58" xr:uid="{00000000-0005-0000-0000-000011000000}"/>
    <cellStyle name="Comma 5" xfId="49" xr:uid="{00000000-0005-0000-0000-000012000000}"/>
    <cellStyle name="Comma 6" xfId="51" xr:uid="{00000000-0005-0000-0000-000013000000}"/>
    <cellStyle name="Comma 7" xfId="54" xr:uid="{00000000-0005-0000-0000-000014000000}"/>
    <cellStyle name="Comma 8" xfId="30" xr:uid="{00000000-0005-0000-0000-000015000000}"/>
    <cellStyle name="Comma 9" xfId="62" xr:uid="{00000000-0005-0000-0000-000016000000}"/>
    <cellStyle name="Comma0" xfId="9" xr:uid="{00000000-0005-0000-0000-000017000000}"/>
    <cellStyle name="Currency0" xfId="10" xr:uid="{00000000-0005-0000-0000-000018000000}"/>
    <cellStyle name="Date" xfId="11" xr:uid="{00000000-0005-0000-0000-000019000000}"/>
    <cellStyle name="Fixed" xfId="12" xr:uid="{00000000-0005-0000-0000-00001A000000}"/>
    <cellStyle name="Normal" xfId="0" builtinId="0"/>
    <cellStyle name="Normal - Style1" xfId="13" xr:uid="{00000000-0005-0000-0000-00001C000000}"/>
    <cellStyle name="Normal 10" xfId="55" xr:uid="{00000000-0005-0000-0000-00001D000000}"/>
    <cellStyle name="Normal 11" xfId="29" xr:uid="{00000000-0005-0000-0000-00001E000000}"/>
    <cellStyle name="Normal 12" xfId="61" xr:uid="{00000000-0005-0000-0000-00001F000000}"/>
    <cellStyle name="Normal 13" xfId="64" xr:uid="{00000000-0005-0000-0000-000020000000}"/>
    <cellStyle name="Normal 2" xfId="14" xr:uid="{00000000-0005-0000-0000-000021000000}"/>
    <cellStyle name="Normal 2 2" xfId="33" xr:uid="{00000000-0005-0000-0000-000022000000}"/>
    <cellStyle name="Normal 2 3" xfId="47" xr:uid="{00000000-0005-0000-0000-000023000000}"/>
    <cellStyle name="Normal 2 4" xfId="48" xr:uid="{00000000-0005-0000-0000-000024000000}"/>
    <cellStyle name="Normal 2 5" xfId="32" xr:uid="{00000000-0005-0000-0000-000025000000}"/>
    <cellStyle name="Normal 3" xfId="36" xr:uid="{00000000-0005-0000-0000-000026000000}"/>
    <cellStyle name="Normal 3 2" xfId="37" xr:uid="{00000000-0005-0000-0000-000027000000}"/>
    <cellStyle name="Normal 3 2 2" xfId="42" xr:uid="{00000000-0005-0000-0000-000028000000}"/>
    <cellStyle name="Normal 4" xfId="38" xr:uid="{00000000-0005-0000-0000-000029000000}"/>
    <cellStyle name="Normal 5" xfId="39" xr:uid="{00000000-0005-0000-0000-00002A000000}"/>
    <cellStyle name="Normal 5 2" xfId="40" xr:uid="{00000000-0005-0000-0000-00002B000000}"/>
    <cellStyle name="Normal 5 2 2" xfId="43" xr:uid="{00000000-0005-0000-0000-00002C000000}"/>
    <cellStyle name="Normal 6" xfId="44" xr:uid="{00000000-0005-0000-0000-00002D000000}"/>
    <cellStyle name="Normal 7" xfId="46" xr:uid="{00000000-0005-0000-0000-00002E000000}"/>
    <cellStyle name="Normal 8" xfId="50" xr:uid="{00000000-0005-0000-0000-00002F000000}"/>
    <cellStyle name="Normal 8 3" xfId="65" xr:uid="{64D98E0E-5F01-42E1-97C8-104C7C1974A7}"/>
    <cellStyle name="Normal 9" xfId="52" xr:uid="{00000000-0005-0000-0000-000030000000}"/>
    <cellStyle name="Normal 9 2" xfId="57" xr:uid="{00000000-0005-0000-0000-000031000000}"/>
    <cellStyle name="Normal_Cong cu dung cu du an LG" xfId="15" xr:uid="{00000000-0005-0000-0000-000032000000}"/>
    <cellStyle name="Normal_Tai san Du an LGap" xfId="16" xr:uid="{00000000-0005-0000-0000-000033000000}"/>
    <cellStyle name="Percent 2" xfId="17" xr:uid="{00000000-0005-0000-0000-000034000000}"/>
    <cellStyle name="Percent 2 2" xfId="41" xr:uid="{00000000-0005-0000-0000-000035000000}"/>
    <cellStyle name="똿뗦먛귟 [0.00]_PRODUCT DETAIL Q1" xfId="18" xr:uid="{00000000-0005-0000-0000-000036000000}"/>
    <cellStyle name="똿뗦먛귟_PRODUCT DETAIL Q1" xfId="19" xr:uid="{00000000-0005-0000-0000-000037000000}"/>
    <cellStyle name="믅됞 [0.00]_PRODUCT DETAIL Q1" xfId="20" xr:uid="{00000000-0005-0000-0000-000038000000}"/>
    <cellStyle name="믅됞_PRODUCT DETAIL Q1" xfId="21" xr:uid="{00000000-0005-0000-0000-000039000000}"/>
    <cellStyle name="백분율_HOBONG" xfId="22" xr:uid="{00000000-0005-0000-0000-00003A000000}"/>
    <cellStyle name="뷭?_BOOKSHIP" xfId="23" xr:uid="{00000000-0005-0000-0000-00003B000000}"/>
    <cellStyle name="콤마 [0]_1202" xfId="24" xr:uid="{00000000-0005-0000-0000-00003C000000}"/>
    <cellStyle name="콤마_1202" xfId="25" xr:uid="{00000000-0005-0000-0000-00003D000000}"/>
    <cellStyle name="통화 [0]_1202" xfId="26" xr:uid="{00000000-0005-0000-0000-00003E000000}"/>
    <cellStyle name="통화_1202" xfId="27" xr:uid="{00000000-0005-0000-0000-00003F000000}"/>
    <cellStyle name="표준_(정보부문)월별인원계획" xfId="28" xr:uid="{00000000-0005-0000-0000-00004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>
      <pane activePane="bottomRight" state="frozenSplit"/>
    </sheetView>
  </sheetViews>
  <sheetFormatPr defaultRowHeight="12.75"/>
  <sheetData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W311"/>
  <sheetViews>
    <sheetView topLeftCell="A194" zoomScale="78" zoomScaleNormal="78" zoomScaleSheetLayoutView="102" workbookViewId="0">
      <selection activeCell="AH200" sqref="AH200"/>
    </sheetView>
  </sheetViews>
  <sheetFormatPr defaultRowHeight="15.75"/>
  <cols>
    <col min="1" max="1" width="5.5703125" style="59" customWidth="1"/>
    <col min="2" max="2" width="37.85546875" style="20" customWidth="1"/>
    <col min="3" max="3" width="14" style="20" customWidth="1"/>
    <col min="4" max="4" width="8.7109375" style="20" customWidth="1"/>
    <col min="5" max="5" width="7.42578125" style="59" customWidth="1"/>
    <col min="6" max="6" width="11.5703125" style="25" hidden="1" customWidth="1"/>
    <col min="7" max="7" width="12.140625" style="20" hidden="1" customWidth="1"/>
    <col min="8" max="8" width="11.28515625" style="20" hidden="1" customWidth="1"/>
    <col min="9" max="9" width="12.42578125" style="20" hidden="1" customWidth="1"/>
    <col min="10" max="10" width="10.140625" style="20" hidden="1" customWidth="1"/>
    <col min="11" max="11" width="12.5703125" style="59" hidden="1" customWidth="1"/>
    <col min="12" max="12" width="10.85546875" style="20" hidden="1" customWidth="1"/>
    <col min="13" max="14" width="9.28515625" style="20" hidden="1" customWidth="1"/>
    <col min="15" max="15" width="10" style="20" hidden="1" customWidth="1"/>
    <col min="16" max="16" width="9.5703125" style="20" hidden="1" customWidth="1"/>
    <col min="17" max="17" width="9.42578125" style="20" hidden="1" customWidth="1"/>
    <col min="18" max="18" width="9" style="20" hidden="1" customWidth="1"/>
    <col min="19" max="19" width="6.42578125" style="20" hidden="1" customWidth="1"/>
    <col min="20" max="20" width="10.28515625" style="20" hidden="1" customWidth="1"/>
    <col min="21" max="21" width="5.7109375" style="20" hidden="1" customWidth="1"/>
    <col min="22" max="22" width="10" style="20" hidden="1" customWidth="1"/>
    <col min="23" max="23" width="7.28515625" style="20" hidden="1" customWidth="1"/>
    <col min="24" max="24" width="7.140625" style="59" customWidth="1"/>
    <col min="25" max="25" width="12" style="20" hidden="1" customWidth="1"/>
    <col min="26" max="26" width="5.5703125" style="20" hidden="1" customWidth="1"/>
    <col min="27" max="27" width="7.42578125" style="205" customWidth="1"/>
    <col min="28" max="28" width="6.140625" style="20" hidden="1" customWidth="1"/>
    <col min="29" max="29" width="5.5703125" style="20" hidden="1" customWidth="1"/>
    <col min="30" max="30" width="7.140625" style="20" hidden="1" customWidth="1"/>
    <col min="31" max="31" width="5.42578125" style="20" hidden="1" customWidth="1"/>
    <col min="32" max="33" width="12.5703125" style="22" customWidth="1"/>
    <col min="34" max="34" width="11.42578125" style="59" customWidth="1"/>
    <col min="35" max="35" width="17.28515625" style="59" customWidth="1"/>
    <col min="36" max="36" width="11.28515625" style="59" customWidth="1"/>
    <col min="37" max="37" width="11.85546875" style="59" customWidth="1"/>
    <col min="38" max="38" width="15" style="66" customWidth="1"/>
    <col min="39" max="39" width="10.85546875" style="20" bestFit="1" customWidth="1"/>
    <col min="40" max="40" width="19.7109375" style="20" customWidth="1"/>
    <col min="41" max="16384" width="9.140625" style="20"/>
  </cols>
  <sheetData>
    <row r="1" spans="1:38" ht="21.75" customHeight="1">
      <c r="A1" s="296" t="s">
        <v>43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Z1" s="282" t="s">
        <v>0</v>
      </c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</row>
    <row r="2" spans="1:38" ht="15" customHeight="1">
      <c r="A2" s="296" t="s">
        <v>44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</row>
    <row r="3" spans="1:38" ht="1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</row>
    <row r="4" spans="1:38" ht="47.25" customHeight="1">
      <c r="A4" s="297" t="s">
        <v>448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</row>
    <row r="5" spans="1:38" ht="18" customHeight="1">
      <c r="A5" s="299" t="s">
        <v>622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</row>
    <row r="6" spans="1:38" ht="15" customHeight="1">
      <c r="A6" s="292" t="s">
        <v>443</v>
      </c>
      <c r="B6" s="292"/>
      <c r="C6" s="292"/>
      <c r="D6" s="20" t="s">
        <v>444</v>
      </c>
      <c r="E6" s="56"/>
      <c r="F6" s="20"/>
      <c r="H6" s="21"/>
      <c r="I6" s="56"/>
      <c r="K6" s="21" t="s">
        <v>2</v>
      </c>
      <c r="L6" s="56"/>
      <c r="M6" s="22"/>
      <c r="S6" s="21"/>
      <c r="T6" s="23"/>
      <c r="W6" s="24"/>
      <c r="X6" s="56"/>
      <c r="Z6" s="56"/>
      <c r="AA6" s="65"/>
      <c r="AB6" s="21"/>
      <c r="AI6" s="21" t="s">
        <v>52</v>
      </c>
    </row>
    <row r="7" spans="1:38" ht="15" customHeight="1">
      <c r="A7" s="292" t="s">
        <v>621</v>
      </c>
      <c r="B7" s="292"/>
      <c r="D7" s="20" t="s">
        <v>51</v>
      </c>
      <c r="F7" s="20"/>
      <c r="H7" s="21"/>
      <c r="I7" s="56"/>
      <c r="K7" s="21"/>
      <c r="L7" s="56"/>
      <c r="M7" s="22"/>
      <c r="S7" s="21"/>
      <c r="T7" s="23"/>
      <c r="W7" s="24"/>
      <c r="X7" s="56"/>
      <c r="Z7" s="56"/>
      <c r="AA7" s="65"/>
      <c r="AB7" s="21"/>
      <c r="AI7" s="21" t="s">
        <v>54</v>
      </c>
    </row>
    <row r="8" spans="1:38" ht="15" customHeight="1">
      <c r="A8" s="292" t="s">
        <v>55</v>
      </c>
      <c r="B8" s="292"/>
      <c r="D8" s="20" t="s">
        <v>56</v>
      </c>
      <c r="E8" s="56"/>
      <c r="F8" s="20"/>
      <c r="H8" s="21"/>
      <c r="I8" s="56"/>
      <c r="K8" s="21" t="s">
        <v>3</v>
      </c>
      <c r="L8" s="56"/>
      <c r="M8" s="22"/>
      <c r="S8" s="21"/>
      <c r="T8" s="23"/>
      <c r="W8" s="24"/>
      <c r="X8" s="56"/>
      <c r="Z8" s="56"/>
      <c r="AA8" s="65"/>
      <c r="AB8" s="21"/>
      <c r="AI8" s="21" t="s">
        <v>57</v>
      </c>
    </row>
    <row r="9" spans="1:38" ht="15" customHeight="1">
      <c r="A9" s="292" t="s">
        <v>620</v>
      </c>
      <c r="B9" s="292"/>
      <c r="D9" s="20" t="s">
        <v>79</v>
      </c>
      <c r="E9" s="20"/>
      <c r="F9" s="20"/>
      <c r="K9" s="20"/>
      <c r="X9" s="20"/>
      <c r="AA9" s="67"/>
      <c r="AI9" s="21" t="s">
        <v>58</v>
      </c>
    </row>
    <row r="10" spans="1:38" ht="15" customHeight="1">
      <c r="A10" s="292" t="s">
        <v>59</v>
      </c>
      <c r="B10" s="292"/>
      <c r="E10" s="20"/>
      <c r="F10" s="20"/>
      <c r="K10" s="20"/>
      <c r="X10" s="20"/>
      <c r="AA10" s="67"/>
    </row>
    <row r="11" spans="1:38" ht="15.75" customHeight="1">
      <c r="A11" s="292" t="s">
        <v>4</v>
      </c>
      <c r="B11" s="292"/>
      <c r="AA11" s="68"/>
    </row>
    <row r="12" spans="1:38" ht="45.75" customHeight="1">
      <c r="A12" s="279" t="s">
        <v>5</v>
      </c>
      <c r="B12" s="284" t="s">
        <v>6</v>
      </c>
      <c r="C12" s="279" t="s">
        <v>7</v>
      </c>
      <c r="D12" s="279" t="s">
        <v>8</v>
      </c>
      <c r="E12" s="286" t="s">
        <v>45</v>
      </c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8"/>
      <c r="Q12" s="63"/>
      <c r="R12" s="63"/>
      <c r="S12" s="63"/>
      <c r="T12" s="63"/>
      <c r="U12" s="63"/>
      <c r="V12" s="63"/>
      <c r="W12" s="57"/>
      <c r="X12" s="289" t="s">
        <v>46</v>
      </c>
      <c r="Y12" s="290"/>
      <c r="Z12" s="291"/>
      <c r="AA12" s="289" t="s">
        <v>47</v>
      </c>
      <c r="AB12" s="290"/>
      <c r="AC12" s="291"/>
      <c r="AD12" s="279" t="s">
        <v>9</v>
      </c>
      <c r="AE12" s="279" t="s">
        <v>10</v>
      </c>
      <c r="AF12" s="279" t="s">
        <v>466</v>
      </c>
      <c r="AG12" s="279" t="s">
        <v>467</v>
      </c>
      <c r="AH12" s="279" t="s">
        <v>11</v>
      </c>
      <c r="AI12" s="279" t="s">
        <v>12</v>
      </c>
      <c r="AJ12" s="279" t="s">
        <v>13</v>
      </c>
      <c r="AK12" s="279" t="s">
        <v>49</v>
      </c>
      <c r="AL12" s="279" t="s">
        <v>14</v>
      </c>
    </row>
    <row r="13" spans="1:38" ht="33" customHeight="1">
      <c r="A13" s="280"/>
      <c r="B13" s="285"/>
      <c r="C13" s="280"/>
      <c r="D13" s="280"/>
      <c r="E13" s="58" t="s">
        <v>48</v>
      </c>
      <c r="F13" s="60" t="s">
        <v>15</v>
      </c>
      <c r="G13" s="293" t="s">
        <v>16</v>
      </c>
      <c r="H13" s="294"/>
      <c r="I13" s="295"/>
      <c r="J13" s="57" t="s">
        <v>17</v>
      </c>
      <c r="K13" s="63" t="s">
        <v>18</v>
      </c>
      <c r="L13" s="57"/>
      <c r="M13" s="57" t="s">
        <v>17</v>
      </c>
      <c r="N13" s="57" t="s">
        <v>17</v>
      </c>
      <c r="O13" s="57" t="s">
        <v>17</v>
      </c>
      <c r="P13" s="57" t="s">
        <v>19</v>
      </c>
      <c r="Q13" s="57" t="s">
        <v>19</v>
      </c>
      <c r="R13" s="57" t="s">
        <v>19</v>
      </c>
      <c r="S13" s="57" t="s">
        <v>19</v>
      </c>
      <c r="T13" s="57" t="s">
        <v>19</v>
      </c>
      <c r="U13" s="57" t="s">
        <v>19</v>
      </c>
      <c r="V13" s="57" t="s">
        <v>20</v>
      </c>
      <c r="W13" s="57"/>
      <c r="X13" s="58" t="s">
        <v>48</v>
      </c>
      <c r="Y13" s="60" t="s">
        <v>21</v>
      </c>
      <c r="Z13" s="60" t="s">
        <v>22</v>
      </c>
      <c r="AA13" s="69" t="s">
        <v>48</v>
      </c>
      <c r="AB13" s="60" t="s">
        <v>21</v>
      </c>
      <c r="AC13" s="60" t="s">
        <v>23</v>
      </c>
      <c r="AD13" s="280"/>
      <c r="AE13" s="280"/>
      <c r="AF13" s="280"/>
      <c r="AG13" s="280"/>
      <c r="AH13" s="280"/>
      <c r="AI13" s="280"/>
      <c r="AJ13" s="280"/>
      <c r="AK13" s="280"/>
      <c r="AL13" s="280"/>
    </row>
    <row r="14" spans="1:38" ht="22.5" customHeight="1">
      <c r="A14" s="63" t="s">
        <v>38</v>
      </c>
      <c r="B14" s="63" t="s">
        <v>39</v>
      </c>
      <c r="C14" s="63" t="s">
        <v>40</v>
      </c>
      <c r="D14" s="63" t="s">
        <v>41</v>
      </c>
      <c r="E14" s="63">
        <v>1</v>
      </c>
      <c r="F14" s="57">
        <v>2</v>
      </c>
      <c r="G14" s="27">
        <v>3</v>
      </c>
      <c r="H14" s="27">
        <v>4</v>
      </c>
      <c r="I14" s="57">
        <v>5</v>
      </c>
      <c r="J14" s="27">
        <v>7</v>
      </c>
      <c r="K14" s="57">
        <v>8</v>
      </c>
      <c r="L14" s="27">
        <v>9</v>
      </c>
      <c r="M14" s="57">
        <v>10</v>
      </c>
      <c r="N14" s="57"/>
      <c r="O14" s="27">
        <v>6</v>
      </c>
      <c r="P14" s="27"/>
      <c r="Q14" s="27"/>
      <c r="R14" s="27"/>
      <c r="S14" s="27"/>
      <c r="T14" s="27"/>
      <c r="U14" s="27"/>
      <c r="V14" s="27"/>
      <c r="W14" s="27">
        <v>5</v>
      </c>
      <c r="X14" s="63">
        <v>2</v>
      </c>
      <c r="Y14" s="57">
        <v>7</v>
      </c>
      <c r="Z14" s="57">
        <v>8</v>
      </c>
      <c r="AA14" s="70">
        <v>3</v>
      </c>
      <c r="AB14" s="63">
        <v>10</v>
      </c>
      <c r="AC14" s="27">
        <v>11</v>
      </c>
      <c r="AD14" s="63"/>
      <c r="AE14" s="63"/>
      <c r="AF14" s="71"/>
      <c r="AG14" s="71"/>
      <c r="AH14" s="63">
        <v>4</v>
      </c>
      <c r="AI14" s="63">
        <v>5</v>
      </c>
      <c r="AJ14" s="63">
        <v>6</v>
      </c>
      <c r="AK14" s="63">
        <v>7</v>
      </c>
      <c r="AL14" s="61">
        <v>8</v>
      </c>
    </row>
    <row r="15" spans="1:38" ht="22.5" customHeight="1">
      <c r="A15" s="63" t="s">
        <v>38</v>
      </c>
      <c r="B15" s="63" t="s">
        <v>505</v>
      </c>
      <c r="C15" s="63"/>
      <c r="D15" s="63"/>
      <c r="E15" s="63"/>
      <c r="F15" s="57"/>
      <c r="G15" s="27"/>
      <c r="H15" s="27"/>
      <c r="I15" s="57"/>
      <c r="J15" s="27"/>
      <c r="K15" s="57"/>
      <c r="L15" s="27"/>
      <c r="M15" s="57"/>
      <c r="N15" s="57"/>
      <c r="O15" s="27"/>
      <c r="P15" s="27"/>
      <c r="Q15" s="27"/>
      <c r="R15" s="27"/>
      <c r="S15" s="27"/>
      <c r="T15" s="27"/>
      <c r="U15" s="27"/>
      <c r="V15" s="27"/>
      <c r="W15" s="27"/>
      <c r="X15" s="63"/>
      <c r="Y15" s="57"/>
      <c r="Z15" s="57"/>
      <c r="AA15" s="70"/>
      <c r="AB15" s="63"/>
      <c r="AC15" s="27"/>
      <c r="AD15" s="63"/>
      <c r="AE15" s="63"/>
      <c r="AF15" s="71"/>
      <c r="AG15" s="71"/>
      <c r="AH15" s="63"/>
      <c r="AI15" s="63"/>
      <c r="AJ15" s="63"/>
      <c r="AK15" s="63"/>
      <c r="AL15" s="61"/>
    </row>
    <row r="16" spans="1:38" s="73" customFormat="1" ht="15">
      <c r="A16" s="63"/>
      <c r="B16" s="72" t="s">
        <v>383</v>
      </c>
      <c r="C16" s="63"/>
      <c r="D16" s="63"/>
      <c r="E16" s="63"/>
      <c r="F16" s="57"/>
      <c r="G16" s="27"/>
      <c r="H16" s="27"/>
      <c r="I16" s="57"/>
      <c r="J16" s="27"/>
      <c r="K16" s="57"/>
      <c r="L16" s="27"/>
      <c r="M16" s="57"/>
      <c r="N16" s="57"/>
      <c r="O16" s="27"/>
      <c r="P16" s="27"/>
      <c r="Q16" s="27"/>
      <c r="R16" s="27"/>
      <c r="S16" s="27"/>
      <c r="T16" s="27"/>
      <c r="U16" s="27"/>
      <c r="V16" s="27"/>
      <c r="W16" s="27"/>
      <c r="X16" s="63"/>
      <c r="Y16" s="57"/>
      <c r="Z16" s="57"/>
      <c r="AA16" s="70"/>
      <c r="AB16" s="63"/>
      <c r="AC16" s="27"/>
      <c r="AD16" s="63"/>
      <c r="AE16" s="63"/>
      <c r="AF16" s="71"/>
      <c r="AG16" s="71"/>
      <c r="AH16" s="63"/>
      <c r="AI16" s="63"/>
      <c r="AJ16" s="63"/>
      <c r="AK16" s="63"/>
      <c r="AL16" s="61"/>
    </row>
    <row r="17" spans="1:40" s="15" customFormat="1" ht="30">
      <c r="A17" s="10">
        <v>1</v>
      </c>
      <c r="B17" s="12" t="s">
        <v>483</v>
      </c>
      <c r="C17" s="9" t="s">
        <v>484</v>
      </c>
      <c r="D17" s="74">
        <v>2017</v>
      </c>
      <c r="E17" s="10">
        <v>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1</v>
      </c>
      <c r="Y17" s="11"/>
      <c r="Z17" s="11"/>
      <c r="AA17" s="75" t="s">
        <v>326</v>
      </c>
      <c r="AB17" s="11"/>
      <c r="AC17" s="11"/>
      <c r="AD17" s="11"/>
      <c r="AE17" s="11"/>
      <c r="AF17" s="76">
        <v>16500000</v>
      </c>
      <c r="AG17" s="76">
        <v>16500000</v>
      </c>
      <c r="AH17" s="10" t="s">
        <v>80</v>
      </c>
      <c r="AI17" s="10" t="s">
        <v>60</v>
      </c>
      <c r="AJ17" s="10" t="s">
        <v>42</v>
      </c>
      <c r="AK17" s="10" t="s">
        <v>480</v>
      </c>
      <c r="AL17" s="14" t="s">
        <v>478</v>
      </c>
    </row>
    <row r="18" spans="1:40" s="79" customFormat="1" ht="14.25">
      <c r="A18" s="57"/>
      <c r="B18" s="28" t="s">
        <v>385</v>
      </c>
      <c r="C18" s="57"/>
      <c r="D18" s="63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28"/>
      <c r="Z18" s="28"/>
      <c r="AA18" s="70"/>
      <c r="AB18" s="28"/>
      <c r="AC18" s="28"/>
      <c r="AD18" s="28"/>
      <c r="AE18" s="28"/>
      <c r="AF18" s="77"/>
      <c r="AG18" s="77"/>
      <c r="AH18" s="57"/>
      <c r="AI18" s="57"/>
      <c r="AJ18" s="57"/>
      <c r="AK18" s="57"/>
      <c r="AL18" s="78"/>
    </row>
    <row r="19" spans="1:40" s="15" customFormat="1" ht="45">
      <c r="A19" s="10">
        <v>2</v>
      </c>
      <c r="B19" s="13" t="s">
        <v>120</v>
      </c>
      <c r="C19" s="14" t="s">
        <v>121</v>
      </c>
      <c r="D19" s="9">
        <v>2022</v>
      </c>
      <c r="E19" s="10">
        <v>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80">
        <v>1</v>
      </c>
      <c r="Y19" s="11"/>
      <c r="Z19" s="11"/>
      <c r="AA19" s="75">
        <v>0</v>
      </c>
      <c r="AB19" s="11"/>
      <c r="AC19" s="11"/>
      <c r="AD19" s="11"/>
      <c r="AE19" s="11"/>
      <c r="AF19" s="81">
        <v>32000000</v>
      </c>
      <c r="AG19" s="81">
        <v>32000000</v>
      </c>
      <c r="AH19" s="10" t="s">
        <v>80</v>
      </c>
      <c r="AI19" s="10" t="s">
        <v>122</v>
      </c>
      <c r="AJ19" s="10" t="s">
        <v>42</v>
      </c>
      <c r="AK19" s="10"/>
      <c r="AL19" s="13"/>
    </row>
    <row r="20" spans="1:40" s="79" customFormat="1" ht="45">
      <c r="A20" s="10">
        <v>2</v>
      </c>
      <c r="B20" s="13" t="s">
        <v>485</v>
      </c>
      <c r="C20" s="9" t="s">
        <v>486</v>
      </c>
      <c r="D20" s="74">
        <v>2017</v>
      </c>
      <c r="E20" s="10">
        <v>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1</v>
      </c>
      <c r="Y20" s="11"/>
      <c r="Z20" s="11"/>
      <c r="AA20" s="75" t="s">
        <v>326</v>
      </c>
      <c r="AB20" s="11"/>
      <c r="AC20" s="11"/>
      <c r="AD20" s="11"/>
      <c r="AE20" s="11"/>
      <c r="AF20" s="76">
        <v>12210000</v>
      </c>
      <c r="AG20" s="76">
        <v>12210000</v>
      </c>
      <c r="AH20" s="10"/>
      <c r="AI20" s="10"/>
      <c r="AJ20" s="10"/>
      <c r="AK20" s="10" t="s">
        <v>480</v>
      </c>
      <c r="AL20" s="14" t="s">
        <v>478</v>
      </c>
    </row>
    <row r="21" spans="1:40" s="15" customFormat="1" ht="15">
      <c r="A21" s="82"/>
      <c r="B21" s="29" t="s">
        <v>257</v>
      </c>
      <c r="C21" s="83"/>
      <c r="D21" s="74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  <c r="Z21" s="11"/>
      <c r="AA21" s="84"/>
      <c r="AB21" s="11"/>
      <c r="AC21" s="11"/>
      <c r="AD21" s="11"/>
      <c r="AE21" s="11"/>
      <c r="AF21" s="76"/>
      <c r="AG21" s="76"/>
      <c r="AH21" s="10"/>
      <c r="AI21" s="10"/>
      <c r="AJ21" s="10"/>
      <c r="AK21" s="10"/>
      <c r="AL21" s="13"/>
    </row>
    <row r="22" spans="1:40" s="15" customFormat="1" ht="21.75" customHeight="1">
      <c r="A22" s="10"/>
      <c r="B22" s="85" t="s">
        <v>487</v>
      </c>
      <c r="C22" s="86"/>
      <c r="D22" s="74">
        <v>2025</v>
      </c>
      <c r="E22" s="10">
        <v>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1</v>
      </c>
      <c r="Y22" s="11"/>
      <c r="Z22" s="11"/>
      <c r="AA22" s="75" t="s">
        <v>326</v>
      </c>
      <c r="AB22" s="11"/>
      <c r="AC22" s="11"/>
      <c r="AD22" s="11"/>
      <c r="AE22" s="11"/>
      <c r="AF22" s="76">
        <v>15400000</v>
      </c>
      <c r="AG22" s="76">
        <v>15400000</v>
      </c>
      <c r="AH22" s="10" t="s">
        <v>80</v>
      </c>
      <c r="AI22" s="10"/>
      <c r="AJ22" s="10" t="s">
        <v>42</v>
      </c>
      <c r="AK22" s="10"/>
      <c r="AL22" s="14" t="s">
        <v>488</v>
      </c>
    </row>
    <row r="23" spans="1:40" s="15" customFormat="1" ht="21.75" customHeight="1">
      <c r="A23" s="10"/>
      <c r="B23" s="87" t="s">
        <v>513</v>
      </c>
      <c r="C23" s="86"/>
      <c r="D23" s="74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11"/>
      <c r="AA23" s="75"/>
      <c r="AB23" s="11"/>
      <c r="AC23" s="11"/>
      <c r="AD23" s="11"/>
      <c r="AE23" s="11"/>
      <c r="AF23" s="76"/>
      <c r="AG23" s="76"/>
      <c r="AH23" s="10"/>
      <c r="AI23" s="10"/>
      <c r="AJ23" s="10"/>
      <c r="AK23" s="10"/>
      <c r="AL23" s="14"/>
    </row>
    <row r="24" spans="1:40" s="15" customFormat="1" ht="32.25" customHeight="1">
      <c r="A24" s="10">
        <v>1</v>
      </c>
      <c r="B24" s="88" t="s">
        <v>615</v>
      </c>
      <c r="C24" s="89" t="s">
        <v>617</v>
      </c>
      <c r="D24" s="89">
        <v>2011</v>
      </c>
      <c r="E24" s="10">
        <v>1</v>
      </c>
      <c r="F24" s="10">
        <v>1</v>
      </c>
      <c r="G24" s="10" t="s">
        <v>187</v>
      </c>
      <c r="H24" s="10" t="s">
        <v>188</v>
      </c>
      <c r="I24" s="10" t="s">
        <v>204</v>
      </c>
      <c r="J24" s="10" t="s">
        <v>42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>
        <v>1</v>
      </c>
      <c r="Y24" s="10"/>
      <c r="Z24" s="10"/>
      <c r="AA24" s="75">
        <v>0</v>
      </c>
      <c r="AB24" s="11"/>
      <c r="AC24" s="11"/>
      <c r="AD24" s="11"/>
      <c r="AE24" s="11"/>
      <c r="AF24" s="90">
        <v>14562000</v>
      </c>
      <c r="AG24" s="90">
        <v>14562000</v>
      </c>
      <c r="AH24" s="10" t="s">
        <v>80</v>
      </c>
      <c r="AI24" s="10"/>
      <c r="AJ24" s="10" t="s">
        <v>641</v>
      </c>
      <c r="AK24" s="10" t="s">
        <v>480</v>
      </c>
      <c r="AL24" s="14" t="s">
        <v>606</v>
      </c>
    </row>
    <row r="25" spans="1:40" s="15" customFormat="1" ht="59.25" customHeight="1">
      <c r="A25" s="10">
        <v>2</v>
      </c>
      <c r="B25" s="91" t="s">
        <v>616</v>
      </c>
      <c r="C25" s="92" t="s">
        <v>618</v>
      </c>
      <c r="D25" s="92" t="s">
        <v>619</v>
      </c>
      <c r="E25" s="10">
        <v>1</v>
      </c>
      <c r="F25" s="10">
        <v>1</v>
      </c>
      <c r="G25" s="10" t="s">
        <v>187</v>
      </c>
      <c r="H25" s="10" t="s">
        <v>188</v>
      </c>
      <c r="I25" s="10" t="s">
        <v>204</v>
      </c>
      <c r="J25" s="10" t="s">
        <v>42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>
        <v>1</v>
      </c>
      <c r="Y25" s="10"/>
      <c r="Z25" s="10"/>
      <c r="AA25" s="75">
        <v>0</v>
      </c>
      <c r="AB25" s="11"/>
      <c r="AC25" s="11"/>
      <c r="AD25" s="11"/>
      <c r="AE25" s="11"/>
      <c r="AF25" s="93">
        <v>12210000</v>
      </c>
      <c r="AG25" s="93">
        <v>12210000</v>
      </c>
      <c r="AH25" s="10" t="s">
        <v>80</v>
      </c>
      <c r="AI25" s="10"/>
      <c r="AJ25" s="10" t="s">
        <v>643</v>
      </c>
      <c r="AK25" s="10" t="s">
        <v>480</v>
      </c>
      <c r="AL25" s="14" t="s">
        <v>606</v>
      </c>
      <c r="AN25" s="94">
        <f>SUM(AG17:AG25)</f>
        <v>102882000</v>
      </c>
    </row>
    <row r="26" spans="1:40" s="79" customFormat="1" ht="14.25">
      <c r="A26" s="57"/>
      <c r="B26" s="95" t="s">
        <v>651</v>
      </c>
      <c r="C26" s="96"/>
      <c r="D26" s="96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97"/>
      <c r="AB26" s="28"/>
      <c r="AC26" s="28"/>
      <c r="AD26" s="28"/>
      <c r="AE26" s="28"/>
      <c r="AF26" s="98"/>
      <c r="AG26" s="98">
        <f>SUM(AG17:AG25)</f>
        <v>102882000</v>
      </c>
      <c r="AH26" s="57"/>
      <c r="AI26" s="57"/>
      <c r="AJ26" s="57"/>
      <c r="AK26" s="57"/>
      <c r="AL26" s="64"/>
    </row>
    <row r="27" spans="1:40" s="79" customFormat="1" ht="14.25">
      <c r="A27" s="57"/>
      <c r="B27" s="95" t="s">
        <v>652</v>
      </c>
      <c r="C27" s="96"/>
      <c r="D27" s="96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97"/>
      <c r="AB27" s="28"/>
      <c r="AC27" s="28"/>
      <c r="AD27" s="28"/>
      <c r="AE27" s="28"/>
      <c r="AF27" s="98"/>
      <c r="AG27" s="98"/>
      <c r="AH27" s="57"/>
      <c r="AI27" s="57"/>
      <c r="AJ27" s="57"/>
      <c r="AK27" s="57"/>
      <c r="AL27" s="64"/>
    </row>
    <row r="28" spans="1:40" s="15" customFormat="1" ht="15">
      <c r="A28" s="57" t="s">
        <v>77</v>
      </c>
      <c r="B28" s="72" t="s">
        <v>431</v>
      </c>
      <c r="C28" s="62"/>
      <c r="D28" s="62"/>
      <c r="E28" s="62"/>
      <c r="F28" s="99"/>
      <c r="G28" s="100"/>
      <c r="H28" s="100"/>
      <c r="I28" s="99"/>
      <c r="J28" s="100"/>
      <c r="K28" s="99"/>
      <c r="L28" s="100"/>
      <c r="M28" s="99"/>
      <c r="N28" s="99"/>
      <c r="O28" s="100"/>
      <c r="P28" s="100"/>
      <c r="Q28" s="100"/>
      <c r="R28" s="100"/>
      <c r="S28" s="100"/>
      <c r="T28" s="100"/>
      <c r="U28" s="100"/>
      <c r="V28" s="100"/>
      <c r="W28" s="100"/>
      <c r="X28" s="62"/>
      <c r="Y28" s="99"/>
      <c r="Z28" s="99"/>
      <c r="AA28" s="101"/>
      <c r="AB28" s="62"/>
      <c r="AC28" s="100"/>
      <c r="AD28" s="62"/>
      <c r="AE28" s="62"/>
      <c r="AF28" s="102"/>
      <c r="AG28" s="102"/>
      <c r="AH28" s="62"/>
      <c r="AI28" s="62"/>
      <c r="AJ28" s="62"/>
      <c r="AK28" s="62"/>
      <c r="AL28" s="103"/>
    </row>
    <row r="29" spans="1:40" s="15" customFormat="1" ht="45">
      <c r="A29" s="10">
        <v>1</v>
      </c>
      <c r="B29" s="13" t="s">
        <v>125</v>
      </c>
      <c r="C29" s="14" t="s">
        <v>440</v>
      </c>
      <c r="D29" s="9">
        <v>2022</v>
      </c>
      <c r="E29" s="10">
        <v>2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>
        <v>2</v>
      </c>
      <c r="Y29" s="11"/>
      <c r="Z29" s="11"/>
      <c r="AA29" s="75">
        <v>0</v>
      </c>
      <c r="AB29" s="11"/>
      <c r="AC29" s="11"/>
      <c r="AD29" s="11"/>
      <c r="AE29" s="11"/>
      <c r="AF29" s="104">
        <v>660000</v>
      </c>
      <c r="AG29" s="104">
        <f>+X29*AF29</f>
        <v>1320000</v>
      </c>
      <c r="AH29" s="10" t="s">
        <v>80</v>
      </c>
      <c r="AI29" s="10" t="s">
        <v>435</v>
      </c>
      <c r="AJ29" s="14" t="s">
        <v>42</v>
      </c>
      <c r="AK29" s="10"/>
      <c r="AL29" s="14"/>
    </row>
    <row r="30" spans="1:40" s="15" customFormat="1" ht="15">
      <c r="A30" s="10">
        <v>2</v>
      </c>
      <c r="B30" s="13" t="s">
        <v>131</v>
      </c>
      <c r="C30" s="14" t="s">
        <v>132</v>
      </c>
      <c r="D30" s="9">
        <v>2018</v>
      </c>
      <c r="E30" s="10">
        <v>1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>
        <v>1</v>
      </c>
      <c r="Y30" s="11"/>
      <c r="Z30" s="11"/>
      <c r="AA30" s="105">
        <v>0</v>
      </c>
      <c r="AB30" s="11"/>
      <c r="AC30" s="11"/>
      <c r="AD30" s="11"/>
      <c r="AE30" s="11"/>
      <c r="AF30" s="76">
        <v>380000</v>
      </c>
      <c r="AG30" s="76">
        <v>380000</v>
      </c>
      <c r="AH30" s="10" t="s">
        <v>80</v>
      </c>
      <c r="AI30" s="10" t="s">
        <v>435</v>
      </c>
      <c r="AJ30" s="10" t="s">
        <v>42</v>
      </c>
      <c r="AK30" s="10" t="s">
        <v>180</v>
      </c>
      <c r="AL30" s="14"/>
    </row>
    <row r="31" spans="1:40" s="15" customFormat="1" ht="47.25" customHeight="1">
      <c r="A31" s="10">
        <v>3</v>
      </c>
      <c r="B31" s="13" t="s">
        <v>146</v>
      </c>
      <c r="C31" s="14" t="s">
        <v>147</v>
      </c>
      <c r="D31" s="9">
        <v>2011</v>
      </c>
      <c r="E31" s="10">
        <v>1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>
        <v>0</v>
      </c>
      <c r="Y31" s="11"/>
      <c r="Z31" s="11"/>
      <c r="AA31" s="105" t="s">
        <v>453</v>
      </c>
      <c r="AB31" s="11"/>
      <c r="AC31" s="11"/>
      <c r="AD31" s="11"/>
      <c r="AE31" s="11"/>
      <c r="AF31" s="76"/>
      <c r="AG31" s="76"/>
      <c r="AH31" s="10" t="s">
        <v>80</v>
      </c>
      <c r="AI31" s="10" t="s">
        <v>435</v>
      </c>
      <c r="AJ31" s="10" t="s">
        <v>42</v>
      </c>
      <c r="AK31" s="10" t="s">
        <v>180</v>
      </c>
      <c r="AL31" s="14" t="s">
        <v>452</v>
      </c>
    </row>
    <row r="32" spans="1:40" s="213" customFormat="1" ht="60" customHeight="1">
      <c r="A32" s="206">
        <v>3</v>
      </c>
      <c r="B32" s="207" t="s">
        <v>135</v>
      </c>
      <c r="C32" s="208" t="s">
        <v>430</v>
      </c>
      <c r="D32" s="209">
        <v>2013</v>
      </c>
      <c r="E32" s="206">
        <v>0</v>
      </c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>
        <v>1</v>
      </c>
      <c r="Y32" s="210"/>
      <c r="Z32" s="210"/>
      <c r="AA32" s="216" t="s">
        <v>326</v>
      </c>
      <c r="AB32" s="210"/>
      <c r="AC32" s="210"/>
      <c r="AD32" s="210"/>
      <c r="AE32" s="210"/>
      <c r="AF32" s="212">
        <v>4000000</v>
      </c>
      <c r="AG32" s="212">
        <v>4000000</v>
      </c>
      <c r="AH32" s="206"/>
      <c r="AI32" s="206"/>
      <c r="AJ32" s="206"/>
      <c r="AK32" s="206"/>
      <c r="AL32" s="208" t="s">
        <v>503</v>
      </c>
    </row>
    <row r="33" spans="1:38" s="15" customFormat="1" ht="54.75" customHeight="1">
      <c r="A33" s="10">
        <v>5</v>
      </c>
      <c r="B33" s="13" t="s">
        <v>151</v>
      </c>
      <c r="C33" s="14" t="s">
        <v>143</v>
      </c>
      <c r="D33" s="9">
        <v>2011</v>
      </c>
      <c r="E33" s="10">
        <v>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>
        <v>0</v>
      </c>
      <c r="Y33" s="11"/>
      <c r="Z33" s="11"/>
      <c r="AA33" s="105" t="s">
        <v>453</v>
      </c>
      <c r="AB33" s="11"/>
      <c r="AC33" s="11"/>
      <c r="AD33" s="11"/>
      <c r="AE33" s="11"/>
      <c r="AF33" s="76"/>
      <c r="AG33" s="76"/>
      <c r="AH33" s="10" t="s">
        <v>80</v>
      </c>
      <c r="AI33" s="10" t="s">
        <v>435</v>
      </c>
      <c r="AJ33" s="10" t="s">
        <v>42</v>
      </c>
      <c r="AK33" s="10" t="s">
        <v>180</v>
      </c>
      <c r="AL33" s="14" t="s">
        <v>502</v>
      </c>
    </row>
    <row r="34" spans="1:38" s="213" customFormat="1" ht="15">
      <c r="A34" s="206">
        <v>6</v>
      </c>
      <c r="B34" s="207" t="s">
        <v>311</v>
      </c>
      <c r="C34" s="208" t="s">
        <v>335</v>
      </c>
      <c r="D34" s="209"/>
      <c r="E34" s="206">
        <v>2</v>
      </c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>
        <v>2</v>
      </c>
      <c r="Y34" s="210"/>
      <c r="Z34" s="210"/>
      <c r="AA34" s="216">
        <v>0</v>
      </c>
      <c r="AB34" s="210"/>
      <c r="AC34" s="210"/>
      <c r="AD34" s="210"/>
      <c r="AE34" s="210"/>
      <c r="AF34" s="227">
        <v>180000</v>
      </c>
      <c r="AG34" s="227">
        <v>360000</v>
      </c>
      <c r="AH34" s="206" t="s">
        <v>80</v>
      </c>
      <c r="AI34" s="206" t="s">
        <v>435</v>
      </c>
      <c r="AJ34" s="206" t="s">
        <v>42</v>
      </c>
      <c r="AK34" s="206" t="s">
        <v>180</v>
      </c>
      <c r="AL34" s="208"/>
    </row>
    <row r="35" spans="1:38" s="213" customFormat="1" ht="15">
      <c r="A35" s="206">
        <v>7</v>
      </c>
      <c r="B35" s="207" t="s">
        <v>337</v>
      </c>
      <c r="C35" s="208" t="s">
        <v>336</v>
      </c>
      <c r="D35" s="209">
        <v>2015</v>
      </c>
      <c r="E35" s="206">
        <v>1</v>
      </c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>
        <v>1</v>
      </c>
      <c r="Y35" s="210"/>
      <c r="Z35" s="210"/>
      <c r="AA35" s="216">
        <v>0</v>
      </c>
      <c r="AB35" s="210"/>
      <c r="AC35" s="210"/>
      <c r="AD35" s="210"/>
      <c r="AE35" s="210"/>
      <c r="AF35" s="218">
        <v>1170000</v>
      </c>
      <c r="AG35" s="218">
        <v>1170000</v>
      </c>
      <c r="AH35" s="206" t="s">
        <v>80</v>
      </c>
      <c r="AI35" s="206" t="s">
        <v>435</v>
      </c>
      <c r="AJ35" s="206" t="s">
        <v>42</v>
      </c>
      <c r="AK35" s="206" t="s">
        <v>180</v>
      </c>
      <c r="AL35" s="208"/>
    </row>
    <row r="36" spans="1:38" s="213" customFormat="1" ht="15">
      <c r="A36" s="206">
        <v>8</v>
      </c>
      <c r="B36" s="207" t="s">
        <v>165</v>
      </c>
      <c r="C36" s="208" t="s">
        <v>646</v>
      </c>
      <c r="D36" s="209">
        <v>2015</v>
      </c>
      <c r="E36" s="206">
        <v>1</v>
      </c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>
        <v>1</v>
      </c>
      <c r="Y36" s="210"/>
      <c r="Z36" s="210"/>
      <c r="AA36" s="211">
        <v>0</v>
      </c>
      <c r="AB36" s="210"/>
      <c r="AC36" s="210"/>
      <c r="AD36" s="210"/>
      <c r="AE36" s="210"/>
      <c r="AF36" s="227">
        <v>130000</v>
      </c>
      <c r="AG36" s="227">
        <v>130000</v>
      </c>
      <c r="AH36" s="206" t="s">
        <v>80</v>
      </c>
      <c r="AI36" s="206" t="s">
        <v>435</v>
      </c>
      <c r="AJ36" s="206" t="s">
        <v>42</v>
      </c>
      <c r="AK36" s="206" t="s">
        <v>180</v>
      </c>
      <c r="AL36" s="208"/>
    </row>
    <row r="37" spans="1:38" s="213" customFormat="1" ht="15">
      <c r="A37" s="206">
        <v>9</v>
      </c>
      <c r="B37" s="207" t="s">
        <v>213</v>
      </c>
      <c r="C37" s="208" t="s">
        <v>350</v>
      </c>
      <c r="D37" s="209"/>
      <c r="E37" s="206">
        <v>1</v>
      </c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>
        <v>1</v>
      </c>
      <c r="Y37" s="210"/>
      <c r="Z37" s="210"/>
      <c r="AA37" s="211">
        <v>0</v>
      </c>
      <c r="AB37" s="210"/>
      <c r="AC37" s="210"/>
      <c r="AD37" s="210"/>
      <c r="AE37" s="210"/>
      <c r="AF37" s="218">
        <v>253000</v>
      </c>
      <c r="AG37" s="218">
        <v>253000</v>
      </c>
      <c r="AH37" s="206" t="s">
        <v>80</v>
      </c>
      <c r="AI37" s="206" t="s">
        <v>435</v>
      </c>
      <c r="AJ37" s="206" t="s">
        <v>42</v>
      </c>
      <c r="AK37" s="206" t="s">
        <v>180</v>
      </c>
      <c r="AL37" s="208"/>
    </row>
    <row r="38" spans="1:38" s="213" customFormat="1" ht="15">
      <c r="A38" s="206">
        <v>10</v>
      </c>
      <c r="B38" s="207" t="s">
        <v>215</v>
      </c>
      <c r="C38" s="208" t="s">
        <v>339</v>
      </c>
      <c r="D38" s="209">
        <v>2008</v>
      </c>
      <c r="E38" s="206">
        <v>1</v>
      </c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>
        <v>1</v>
      </c>
      <c r="Y38" s="210"/>
      <c r="Z38" s="210"/>
      <c r="AA38" s="211">
        <v>0</v>
      </c>
      <c r="AB38" s="210"/>
      <c r="AC38" s="210"/>
      <c r="AD38" s="210"/>
      <c r="AE38" s="210"/>
      <c r="AF38" s="218">
        <v>1500000</v>
      </c>
      <c r="AG38" s="218">
        <v>1500000</v>
      </c>
      <c r="AH38" s="206" t="s">
        <v>80</v>
      </c>
      <c r="AI38" s="206" t="s">
        <v>435</v>
      </c>
      <c r="AJ38" s="206" t="s">
        <v>42</v>
      </c>
      <c r="AK38" s="206" t="s">
        <v>180</v>
      </c>
      <c r="AL38" s="208"/>
    </row>
    <row r="39" spans="1:38" s="15" customFormat="1" ht="15">
      <c r="A39" s="10">
        <v>11</v>
      </c>
      <c r="B39" s="13" t="s">
        <v>144</v>
      </c>
      <c r="C39" s="14" t="s">
        <v>388</v>
      </c>
      <c r="D39" s="9">
        <v>2008</v>
      </c>
      <c r="E39" s="10">
        <v>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>
        <v>1</v>
      </c>
      <c r="Y39" s="11"/>
      <c r="Z39" s="11"/>
      <c r="AA39" s="75">
        <v>0</v>
      </c>
      <c r="AB39" s="11"/>
      <c r="AC39" s="11"/>
      <c r="AD39" s="11"/>
      <c r="AE39" s="11"/>
      <c r="AF39" s="76">
        <v>253000</v>
      </c>
      <c r="AG39" s="76">
        <v>253000</v>
      </c>
      <c r="AH39" s="10" t="s">
        <v>80</v>
      </c>
      <c r="AI39" s="10" t="s">
        <v>435</v>
      </c>
      <c r="AJ39" s="10" t="s">
        <v>42</v>
      </c>
      <c r="AK39" s="10" t="s">
        <v>180</v>
      </c>
      <c r="AL39" s="14"/>
    </row>
    <row r="40" spans="1:38" s="213" customFormat="1" ht="15">
      <c r="A40" s="206">
        <v>12</v>
      </c>
      <c r="B40" s="219" t="s">
        <v>353</v>
      </c>
      <c r="C40" s="209" t="s">
        <v>354</v>
      </c>
      <c r="D40" s="215">
        <v>2000</v>
      </c>
      <c r="E40" s="209">
        <v>1</v>
      </c>
      <c r="F40" s="220"/>
      <c r="G40" s="221"/>
      <c r="H40" s="221"/>
      <c r="I40" s="222"/>
      <c r="J40" s="223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09">
        <v>1</v>
      </c>
      <c r="Y40" s="210"/>
      <c r="Z40" s="210"/>
      <c r="AA40" s="216">
        <v>0</v>
      </c>
      <c r="AB40" s="210"/>
      <c r="AC40" s="210"/>
      <c r="AD40" s="210"/>
      <c r="AE40" s="210"/>
      <c r="AF40" s="225">
        <v>116000</v>
      </c>
      <c r="AG40" s="225">
        <v>116000</v>
      </c>
      <c r="AH40" s="206" t="s">
        <v>80</v>
      </c>
      <c r="AI40" s="206" t="s">
        <v>435</v>
      </c>
      <c r="AJ40" s="206" t="s">
        <v>42</v>
      </c>
      <c r="AK40" s="206" t="s">
        <v>180</v>
      </c>
      <c r="AL40" s="208"/>
    </row>
    <row r="41" spans="1:38" s="213" customFormat="1" ht="15">
      <c r="A41" s="234">
        <v>13</v>
      </c>
      <c r="B41" s="207" t="s">
        <v>319</v>
      </c>
      <c r="C41" s="208" t="s">
        <v>409</v>
      </c>
      <c r="D41" s="209">
        <v>2015</v>
      </c>
      <c r="E41" s="206">
        <v>1</v>
      </c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>
        <v>1</v>
      </c>
      <c r="Y41" s="210"/>
      <c r="Z41" s="210"/>
      <c r="AA41" s="211">
        <v>0</v>
      </c>
      <c r="AB41" s="210"/>
      <c r="AC41" s="210"/>
      <c r="AD41" s="210"/>
      <c r="AE41" s="210"/>
      <c r="AF41" s="218">
        <v>2100000</v>
      </c>
      <c r="AG41" s="218">
        <v>2100000</v>
      </c>
      <c r="AH41" s="206" t="s">
        <v>80</v>
      </c>
      <c r="AI41" s="206" t="s">
        <v>437</v>
      </c>
      <c r="AJ41" s="206" t="s">
        <v>42</v>
      </c>
      <c r="AK41" s="206" t="s">
        <v>180</v>
      </c>
      <c r="AL41" s="207"/>
    </row>
    <row r="42" spans="1:38" s="213" customFormat="1" ht="30">
      <c r="A42" s="206">
        <v>14</v>
      </c>
      <c r="B42" s="207" t="s">
        <v>190</v>
      </c>
      <c r="C42" s="208"/>
      <c r="D42" s="209">
        <v>2019</v>
      </c>
      <c r="E42" s="206">
        <v>0</v>
      </c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>
        <v>1</v>
      </c>
      <c r="Y42" s="210"/>
      <c r="Z42" s="210"/>
      <c r="AA42" s="211" t="s">
        <v>326</v>
      </c>
      <c r="AB42" s="210"/>
      <c r="AC42" s="210"/>
      <c r="AD42" s="210"/>
      <c r="AE42" s="210"/>
      <c r="AF42" s="212">
        <v>425000</v>
      </c>
      <c r="AG42" s="212">
        <v>425000</v>
      </c>
      <c r="AH42" s="206"/>
      <c r="AI42" s="206"/>
      <c r="AJ42" s="206"/>
      <c r="AK42" s="206" t="s">
        <v>476</v>
      </c>
      <c r="AL42" s="207" t="s">
        <v>475</v>
      </c>
    </row>
    <row r="43" spans="1:38" s="15" customFormat="1" ht="15">
      <c r="A43" s="57" t="s">
        <v>78</v>
      </c>
      <c r="B43" s="72" t="s">
        <v>433</v>
      </c>
      <c r="C43" s="62"/>
      <c r="D43" s="62"/>
      <c r="E43" s="62"/>
      <c r="F43" s="99"/>
      <c r="G43" s="100"/>
      <c r="H43" s="100"/>
      <c r="I43" s="99"/>
      <c r="J43" s="100"/>
      <c r="K43" s="99"/>
      <c r="L43" s="100"/>
      <c r="M43" s="99"/>
      <c r="N43" s="99"/>
      <c r="O43" s="100"/>
      <c r="P43" s="100"/>
      <c r="Q43" s="100"/>
      <c r="R43" s="100"/>
      <c r="S43" s="100"/>
      <c r="T43" s="100"/>
      <c r="U43" s="100"/>
      <c r="V43" s="100"/>
      <c r="W43" s="100"/>
      <c r="X43" s="62"/>
      <c r="Y43" s="99"/>
      <c r="Z43" s="99"/>
      <c r="AA43" s="101"/>
      <c r="AB43" s="62"/>
      <c r="AC43" s="100"/>
      <c r="AD43" s="62"/>
      <c r="AE43" s="62"/>
      <c r="AF43" s="102"/>
      <c r="AG43" s="102"/>
      <c r="AH43" s="62"/>
      <c r="AI43" s="62"/>
      <c r="AJ43" s="62"/>
      <c r="AK43" s="62"/>
      <c r="AL43" s="103"/>
    </row>
    <row r="44" spans="1:38" s="15" customFormat="1" ht="60">
      <c r="A44" s="10">
        <v>1</v>
      </c>
      <c r="B44" s="13" t="s">
        <v>117</v>
      </c>
      <c r="C44" s="14" t="s">
        <v>455</v>
      </c>
      <c r="D44" s="9">
        <v>2022</v>
      </c>
      <c r="E44" s="10">
        <v>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>
        <v>2</v>
      </c>
      <c r="Y44" s="11"/>
      <c r="Z44" s="11"/>
      <c r="AA44" s="105" t="s">
        <v>322</v>
      </c>
      <c r="AB44" s="11"/>
      <c r="AC44" s="11"/>
      <c r="AD44" s="11"/>
      <c r="AE44" s="11"/>
      <c r="AF44" s="81">
        <v>2500000</v>
      </c>
      <c r="AG44" s="76">
        <f>+X44*AF44</f>
        <v>5000000</v>
      </c>
      <c r="AH44" s="10" t="s">
        <v>80</v>
      </c>
      <c r="AI44" s="10" t="s">
        <v>334</v>
      </c>
      <c r="AJ44" s="10" t="s">
        <v>42</v>
      </c>
      <c r="AK44" s="10"/>
      <c r="AL44" s="14" t="s">
        <v>456</v>
      </c>
    </row>
    <row r="45" spans="1:38" s="15" customFormat="1" ht="45">
      <c r="A45" s="10">
        <v>2</v>
      </c>
      <c r="B45" s="13" t="s">
        <v>61</v>
      </c>
      <c r="C45" s="14" t="s">
        <v>499</v>
      </c>
      <c r="D45" s="9">
        <v>2022</v>
      </c>
      <c r="E45" s="10">
        <v>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>
        <v>3</v>
      </c>
      <c r="Y45" s="11"/>
      <c r="Z45" s="11"/>
      <c r="AA45" s="75" t="s">
        <v>451</v>
      </c>
      <c r="AB45" s="11"/>
      <c r="AC45" s="11"/>
      <c r="AD45" s="11"/>
      <c r="AE45" s="11"/>
      <c r="AF45" s="104">
        <v>660000</v>
      </c>
      <c r="AG45" s="104">
        <f>+X45*AF45</f>
        <v>1980000</v>
      </c>
      <c r="AH45" s="10" t="s">
        <v>80</v>
      </c>
      <c r="AI45" s="10" t="s">
        <v>334</v>
      </c>
      <c r="AJ45" s="10" t="s">
        <v>42</v>
      </c>
      <c r="AK45" s="10"/>
      <c r="AL45" s="14" t="s">
        <v>456</v>
      </c>
    </row>
    <row r="46" spans="1:38" s="15" customFormat="1" ht="60">
      <c r="A46" s="10">
        <v>3</v>
      </c>
      <c r="B46" s="13" t="s">
        <v>127</v>
      </c>
      <c r="C46" s="14" t="s">
        <v>333</v>
      </c>
      <c r="D46" s="9">
        <v>2022</v>
      </c>
      <c r="E46" s="10">
        <v>4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>
        <v>4</v>
      </c>
      <c r="Y46" s="11"/>
      <c r="Z46" s="11"/>
      <c r="AA46" s="105">
        <v>0</v>
      </c>
      <c r="AB46" s="11"/>
      <c r="AC46" s="11"/>
      <c r="AD46" s="11"/>
      <c r="AE46" s="11"/>
      <c r="AF46" s="81">
        <v>2590000</v>
      </c>
      <c r="AG46" s="76">
        <f>+AF46*X46</f>
        <v>10360000</v>
      </c>
      <c r="AH46" s="10" t="s">
        <v>80</v>
      </c>
      <c r="AI46" s="10" t="s">
        <v>438</v>
      </c>
      <c r="AJ46" s="10" t="s">
        <v>42</v>
      </c>
      <c r="AK46" s="10"/>
      <c r="AL46" s="13"/>
    </row>
    <row r="47" spans="1:38" s="15" customFormat="1" ht="30">
      <c r="A47" s="10">
        <v>4</v>
      </c>
      <c r="B47" s="13" t="s">
        <v>151</v>
      </c>
      <c r="C47" s="14" t="s">
        <v>143</v>
      </c>
      <c r="D47" s="9">
        <v>2011</v>
      </c>
      <c r="E47" s="10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1</v>
      </c>
      <c r="Y47" s="11"/>
      <c r="Z47" s="11"/>
      <c r="AA47" s="105" t="s">
        <v>326</v>
      </c>
      <c r="AB47" s="11"/>
      <c r="AC47" s="11"/>
      <c r="AD47" s="11"/>
      <c r="AE47" s="11"/>
      <c r="AF47" s="76">
        <v>1464000</v>
      </c>
      <c r="AG47" s="76">
        <v>1464000</v>
      </c>
      <c r="AH47" s="10" t="s">
        <v>80</v>
      </c>
      <c r="AI47" s="10" t="s">
        <v>334</v>
      </c>
      <c r="AJ47" s="10" t="s">
        <v>42</v>
      </c>
      <c r="AK47" s="10" t="s">
        <v>180</v>
      </c>
      <c r="AL47" s="14" t="s">
        <v>454</v>
      </c>
    </row>
    <row r="48" spans="1:38" s="15" customFormat="1" ht="30">
      <c r="A48" s="10">
        <v>5</v>
      </c>
      <c r="B48" s="13" t="s">
        <v>135</v>
      </c>
      <c r="C48" s="14" t="s">
        <v>430</v>
      </c>
      <c r="D48" s="9">
        <v>2013</v>
      </c>
      <c r="E48" s="10">
        <v>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>
        <v>0</v>
      </c>
      <c r="Y48" s="11"/>
      <c r="Z48" s="11"/>
      <c r="AA48" s="105" t="s">
        <v>453</v>
      </c>
      <c r="AB48" s="11"/>
      <c r="AC48" s="11"/>
      <c r="AD48" s="11"/>
      <c r="AE48" s="11"/>
      <c r="AF48" s="76"/>
      <c r="AG48" s="76"/>
      <c r="AH48" s="10" t="s">
        <v>80</v>
      </c>
      <c r="AI48" s="10" t="s">
        <v>334</v>
      </c>
      <c r="AJ48" s="10" t="s">
        <v>42</v>
      </c>
      <c r="AK48" s="10" t="s">
        <v>180</v>
      </c>
      <c r="AL48" s="14" t="s">
        <v>504</v>
      </c>
    </row>
    <row r="49" spans="1:38" s="213" customFormat="1" ht="15">
      <c r="A49" s="206">
        <v>6</v>
      </c>
      <c r="B49" s="207" t="s">
        <v>135</v>
      </c>
      <c r="C49" s="208" t="s">
        <v>136</v>
      </c>
      <c r="D49" s="209">
        <v>2014</v>
      </c>
      <c r="E49" s="206">
        <v>1</v>
      </c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>
        <v>1</v>
      </c>
      <c r="Y49" s="210"/>
      <c r="Z49" s="210"/>
      <c r="AA49" s="216" t="s">
        <v>493</v>
      </c>
      <c r="AB49" s="210"/>
      <c r="AC49" s="210"/>
      <c r="AD49" s="210"/>
      <c r="AE49" s="210"/>
      <c r="AF49" s="218">
        <v>4000000</v>
      </c>
      <c r="AG49" s="218">
        <v>4000000</v>
      </c>
      <c r="AH49" s="206" t="s">
        <v>80</v>
      </c>
      <c r="AI49" s="206" t="s">
        <v>334</v>
      </c>
      <c r="AJ49" s="206" t="s">
        <v>42</v>
      </c>
      <c r="AK49" s="206" t="s">
        <v>180</v>
      </c>
      <c r="AL49" s="208"/>
    </row>
    <row r="50" spans="1:38" s="15" customFormat="1" ht="30">
      <c r="A50" s="10">
        <v>7</v>
      </c>
      <c r="B50" s="13" t="s">
        <v>146</v>
      </c>
      <c r="C50" s="14" t="s">
        <v>147</v>
      </c>
      <c r="D50" s="9">
        <v>2011</v>
      </c>
      <c r="E50" s="10">
        <v>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>
        <v>1</v>
      </c>
      <c r="Y50" s="11"/>
      <c r="Z50" s="11"/>
      <c r="AA50" s="105" t="s">
        <v>326</v>
      </c>
      <c r="AB50" s="11"/>
      <c r="AC50" s="11"/>
      <c r="AD50" s="11"/>
      <c r="AE50" s="11"/>
      <c r="AF50" s="76">
        <v>2970000</v>
      </c>
      <c r="AG50" s="76">
        <v>2970000</v>
      </c>
      <c r="AH50" s="10"/>
      <c r="AI50" s="10"/>
      <c r="AJ50" s="10"/>
      <c r="AK50" s="10"/>
      <c r="AL50" s="14" t="s">
        <v>454</v>
      </c>
    </row>
    <row r="51" spans="1:38" s="15" customFormat="1" ht="75">
      <c r="A51" s="10">
        <v>8</v>
      </c>
      <c r="B51" s="13" t="s">
        <v>119</v>
      </c>
      <c r="C51" s="14" t="s">
        <v>461</v>
      </c>
      <c r="D51" s="9">
        <v>2022</v>
      </c>
      <c r="E51" s="10">
        <v>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>
        <v>1</v>
      </c>
      <c r="Y51" s="11"/>
      <c r="Z51" s="11"/>
      <c r="AA51" s="105" t="s">
        <v>326</v>
      </c>
      <c r="AB51" s="11"/>
      <c r="AC51" s="11"/>
      <c r="AD51" s="11"/>
      <c r="AE51" s="11"/>
      <c r="AF51" s="81">
        <v>3280000</v>
      </c>
      <c r="AG51" s="76">
        <f>+X51*AF51</f>
        <v>3280000</v>
      </c>
      <c r="AH51" s="10"/>
      <c r="AI51" s="10"/>
      <c r="AJ51" s="10"/>
      <c r="AK51" s="10"/>
      <c r="AL51" s="14" t="s">
        <v>456</v>
      </c>
    </row>
    <row r="52" spans="1:38" s="15" customFormat="1" ht="30">
      <c r="A52" s="10">
        <v>9</v>
      </c>
      <c r="B52" s="13" t="s">
        <v>345</v>
      </c>
      <c r="C52" s="14"/>
      <c r="D52" s="9"/>
      <c r="E52" s="10">
        <v>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>
        <v>1</v>
      </c>
      <c r="Y52" s="11"/>
      <c r="Z52" s="11"/>
      <c r="AA52" s="105" t="s">
        <v>326</v>
      </c>
      <c r="AB52" s="11"/>
      <c r="AC52" s="11"/>
      <c r="AD52" s="11"/>
      <c r="AE52" s="11"/>
      <c r="AF52" s="76">
        <v>425000</v>
      </c>
      <c r="AG52" s="76">
        <v>425000</v>
      </c>
      <c r="AH52" s="10"/>
      <c r="AI52" s="10"/>
      <c r="AJ52" s="10"/>
      <c r="AK52" s="10"/>
      <c r="AL52" s="13" t="s">
        <v>475</v>
      </c>
    </row>
    <row r="53" spans="1:38" s="15" customFormat="1" ht="15">
      <c r="A53" s="10">
        <v>10</v>
      </c>
      <c r="B53" s="13" t="s">
        <v>229</v>
      </c>
      <c r="C53" s="14" t="s">
        <v>647</v>
      </c>
      <c r="D53" s="9">
        <v>2011</v>
      </c>
      <c r="E53" s="10">
        <v>2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>
        <v>2</v>
      </c>
      <c r="Y53" s="11"/>
      <c r="Z53" s="11"/>
      <c r="AA53" s="105">
        <v>0</v>
      </c>
      <c r="AB53" s="11"/>
      <c r="AC53" s="11"/>
      <c r="AD53" s="11"/>
      <c r="AE53" s="11"/>
      <c r="AF53" s="106">
        <f>180000</f>
        <v>180000</v>
      </c>
      <c r="AG53" s="106">
        <v>360000</v>
      </c>
      <c r="AH53" s="10" t="s">
        <v>80</v>
      </c>
      <c r="AI53" s="10" t="s">
        <v>334</v>
      </c>
      <c r="AJ53" s="14" t="s">
        <v>445</v>
      </c>
      <c r="AK53" s="10" t="s">
        <v>180</v>
      </c>
      <c r="AL53" s="13"/>
    </row>
    <row r="54" spans="1:38" s="15" customFormat="1" ht="15">
      <c r="A54" s="10">
        <v>11</v>
      </c>
      <c r="B54" s="13" t="s">
        <v>423</v>
      </c>
      <c r="C54" s="14"/>
      <c r="D54" s="9"/>
      <c r="E54" s="10">
        <v>2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>
        <v>2</v>
      </c>
      <c r="Y54" s="11"/>
      <c r="Z54" s="11"/>
      <c r="AA54" s="75">
        <v>0</v>
      </c>
      <c r="AB54" s="11"/>
      <c r="AC54" s="11"/>
      <c r="AD54" s="11"/>
      <c r="AE54" s="11"/>
      <c r="AF54" s="76"/>
      <c r="AG54" s="76"/>
      <c r="AH54" s="10" t="s">
        <v>80</v>
      </c>
      <c r="AI54" s="10" t="s">
        <v>334</v>
      </c>
      <c r="AJ54" s="10" t="s">
        <v>42</v>
      </c>
      <c r="AK54" s="10" t="s">
        <v>412</v>
      </c>
      <c r="AL54" s="14"/>
    </row>
    <row r="55" spans="1:38" s="213" customFormat="1" ht="15">
      <c r="A55" s="206">
        <v>12</v>
      </c>
      <c r="B55" s="207" t="s">
        <v>215</v>
      </c>
      <c r="C55" s="208" t="s">
        <v>216</v>
      </c>
      <c r="D55" s="209"/>
      <c r="E55" s="206">
        <v>1</v>
      </c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>
        <v>1</v>
      </c>
      <c r="Y55" s="210"/>
      <c r="Z55" s="210"/>
      <c r="AA55" s="211">
        <v>0</v>
      </c>
      <c r="AB55" s="210"/>
      <c r="AC55" s="210"/>
      <c r="AD55" s="210"/>
      <c r="AE55" s="210"/>
      <c r="AF55" s="212">
        <v>885000</v>
      </c>
      <c r="AG55" s="212">
        <v>885000</v>
      </c>
      <c r="AH55" s="206" t="s">
        <v>80</v>
      </c>
      <c r="AI55" s="206" t="s">
        <v>334</v>
      </c>
      <c r="AJ55" s="206" t="s">
        <v>42</v>
      </c>
      <c r="AK55" s="206" t="s">
        <v>180</v>
      </c>
      <c r="AL55" s="208"/>
    </row>
    <row r="56" spans="1:38" s="213" customFormat="1" ht="15">
      <c r="A56" s="206">
        <v>13</v>
      </c>
      <c r="B56" s="207" t="s">
        <v>337</v>
      </c>
      <c r="C56" s="208" t="s">
        <v>398</v>
      </c>
      <c r="D56" s="209">
        <v>2015</v>
      </c>
      <c r="E56" s="206">
        <v>8</v>
      </c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>
        <v>8</v>
      </c>
      <c r="Y56" s="210"/>
      <c r="Z56" s="210"/>
      <c r="AA56" s="211">
        <v>0</v>
      </c>
      <c r="AB56" s="210"/>
      <c r="AC56" s="210"/>
      <c r="AD56" s="210"/>
      <c r="AE56" s="210"/>
      <c r="AF56" s="218">
        <v>1170000</v>
      </c>
      <c r="AG56" s="218">
        <v>9360000</v>
      </c>
      <c r="AH56" s="206" t="s">
        <v>80</v>
      </c>
      <c r="AI56" s="206" t="s">
        <v>334</v>
      </c>
      <c r="AJ56" s="206" t="s">
        <v>42</v>
      </c>
      <c r="AK56" s="206" t="s">
        <v>180</v>
      </c>
      <c r="AL56" s="208"/>
    </row>
    <row r="57" spans="1:38" s="213" customFormat="1" ht="15">
      <c r="A57" s="206">
        <v>14</v>
      </c>
      <c r="B57" s="207" t="s">
        <v>166</v>
      </c>
      <c r="C57" s="208" t="s">
        <v>439</v>
      </c>
      <c r="D57" s="209"/>
      <c r="E57" s="206">
        <v>1</v>
      </c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>
        <v>1</v>
      </c>
      <c r="Y57" s="210"/>
      <c r="Z57" s="210"/>
      <c r="AA57" s="211">
        <v>0</v>
      </c>
      <c r="AB57" s="210"/>
      <c r="AC57" s="210"/>
      <c r="AD57" s="210"/>
      <c r="AE57" s="210"/>
      <c r="AF57" s="218">
        <v>381818</v>
      </c>
      <c r="AG57" s="218">
        <v>381818</v>
      </c>
      <c r="AH57" s="206" t="s">
        <v>80</v>
      </c>
      <c r="AI57" s="206" t="s">
        <v>334</v>
      </c>
      <c r="AJ57" s="206" t="s">
        <v>235</v>
      </c>
      <c r="AK57" s="206" t="s">
        <v>180</v>
      </c>
      <c r="AL57" s="207"/>
    </row>
    <row r="58" spans="1:38" s="213" customFormat="1" ht="30">
      <c r="A58" s="206">
        <v>15</v>
      </c>
      <c r="B58" s="207" t="s">
        <v>135</v>
      </c>
      <c r="C58" s="208" t="s">
        <v>343</v>
      </c>
      <c r="D58" s="209">
        <v>2014</v>
      </c>
      <c r="E58" s="206">
        <v>0</v>
      </c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>
        <v>1</v>
      </c>
      <c r="Y58" s="210"/>
      <c r="Z58" s="210"/>
      <c r="AA58" s="211" t="s">
        <v>326</v>
      </c>
      <c r="AB58" s="210"/>
      <c r="AC58" s="210"/>
      <c r="AD58" s="210"/>
      <c r="AE58" s="210"/>
      <c r="AF58" s="212">
        <v>2970000</v>
      </c>
      <c r="AG58" s="212">
        <v>2970000</v>
      </c>
      <c r="AH58" s="206"/>
      <c r="AI58" s="206"/>
      <c r="AJ58" s="206"/>
      <c r="AK58" s="206"/>
      <c r="AL58" s="207" t="s">
        <v>475</v>
      </c>
    </row>
    <row r="59" spans="1:38" s="15" customFormat="1" ht="35.25" customHeight="1">
      <c r="A59" s="10"/>
      <c r="B59" s="78" t="s">
        <v>632</v>
      </c>
      <c r="C59" s="64"/>
      <c r="D59" s="113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>
        <v>1</v>
      </c>
      <c r="Y59" s="11"/>
      <c r="Z59" s="11"/>
      <c r="AA59" s="75"/>
      <c r="AB59" s="11"/>
      <c r="AC59" s="11"/>
      <c r="AD59" s="11"/>
      <c r="AE59" s="11"/>
      <c r="AF59" s="76"/>
      <c r="AG59" s="76"/>
      <c r="AH59" s="10"/>
      <c r="AI59" s="10"/>
      <c r="AJ59" s="10"/>
      <c r="AK59" s="10"/>
      <c r="AL59" s="13"/>
    </row>
    <row r="60" spans="1:38" s="73" customFormat="1" ht="15">
      <c r="A60" s="63" t="s">
        <v>315</v>
      </c>
      <c r="B60" s="72" t="s">
        <v>383</v>
      </c>
      <c r="C60" s="63"/>
      <c r="D60" s="63"/>
      <c r="E60" s="63"/>
      <c r="F60" s="57"/>
      <c r="G60" s="27"/>
      <c r="H60" s="27"/>
      <c r="I60" s="57"/>
      <c r="J60" s="27"/>
      <c r="K60" s="57"/>
      <c r="L60" s="27"/>
      <c r="M60" s="57"/>
      <c r="N60" s="57"/>
      <c r="O60" s="27"/>
      <c r="P60" s="27"/>
      <c r="Q60" s="27"/>
      <c r="R60" s="27"/>
      <c r="S60" s="27"/>
      <c r="T60" s="27"/>
      <c r="U60" s="27"/>
      <c r="V60" s="27"/>
      <c r="W60" s="27"/>
      <c r="X60" s="63"/>
      <c r="Y60" s="57"/>
      <c r="Z60" s="57"/>
      <c r="AA60" s="70"/>
      <c r="AB60" s="63"/>
      <c r="AC60" s="27"/>
      <c r="AD60" s="63"/>
      <c r="AE60" s="63"/>
      <c r="AF60" s="71"/>
      <c r="AG60" s="71"/>
      <c r="AH60" s="63"/>
      <c r="AI60" s="63"/>
      <c r="AJ60" s="63"/>
      <c r="AK60" s="63"/>
      <c r="AL60" s="61"/>
    </row>
    <row r="61" spans="1:38" s="15" customFormat="1" ht="60">
      <c r="A61" s="10">
        <v>1</v>
      </c>
      <c r="B61" s="13" t="s">
        <v>117</v>
      </c>
      <c r="C61" s="14" t="s">
        <v>457</v>
      </c>
      <c r="D61" s="9">
        <v>2022</v>
      </c>
      <c r="E61" s="10">
        <v>6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>
        <v>4</v>
      </c>
      <c r="Y61" s="11"/>
      <c r="Z61" s="11"/>
      <c r="AA61" s="75" t="s">
        <v>458</v>
      </c>
      <c r="AB61" s="11"/>
      <c r="AC61" s="11"/>
      <c r="AD61" s="11"/>
      <c r="AE61" s="11"/>
      <c r="AF61" s="81">
        <v>2500000</v>
      </c>
      <c r="AG61" s="76">
        <f>+X61*AF61</f>
        <v>10000000</v>
      </c>
      <c r="AH61" s="10" t="s">
        <v>80</v>
      </c>
      <c r="AI61" s="10" t="s">
        <v>60</v>
      </c>
      <c r="AJ61" s="10" t="s">
        <v>42</v>
      </c>
      <c r="AK61" s="10"/>
      <c r="AL61" s="14" t="s">
        <v>459</v>
      </c>
    </row>
    <row r="62" spans="1:38" s="15" customFormat="1" ht="45">
      <c r="A62" s="10">
        <v>2</v>
      </c>
      <c r="B62" s="13" t="s">
        <v>118</v>
      </c>
      <c r="C62" s="14" t="s">
        <v>314</v>
      </c>
      <c r="D62" s="9">
        <v>2022</v>
      </c>
      <c r="E62" s="10">
        <v>1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>
        <v>1</v>
      </c>
      <c r="Y62" s="11"/>
      <c r="Z62" s="11"/>
      <c r="AA62" s="105">
        <v>0</v>
      </c>
      <c r="AB62" s="11"/>
      <c r="AC62" s="11"/>
      <c r="AD62" s="11"/>
      <c r="AE62" s="11"/>
      <c r="AF62" s="81">
        <v>7900000</v>
      </c>
      <c r="AG62" s="81">
        <v>7900000</v>
      </c>
      <c r="AH62" s="10" t="s">
        <v>80</v>
      </c>
      <c r="AI62" s="10" t="s">
        <v>60</v>
      </c>
      <c r="AJ62" s="10" t="s">
        <v>42</v>
      </c>
      <c r="AK62" s="10"/>
      <c r="AL62" s="14"/>
    </row>
    <row r="63" spans="1:38" s="15" customFormat="1" ht="60">
      <c r="A63" s="10">
        <v>3</v>
      </c>
      <c r="B63" s="13" t="s">
        <v>61</v>
      </c>
      <c r="C63" s="14" t="s">
        <v>501</v>
      </c>
      <c r="D63" s="9">
        <v>2022</v>
      </c>
      <c r="E63" s="10">
        <v>9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>
        <v>6</v>
      </c>
      <c r="Y63" s="11"/>
      <c r="Z63" s="11"/>
      <c r="AA63" s="75" t="s">
        <v>492</v>
      </c>
      <c r="AB63" s="11"/>
      <c r="AC63" s="11"/>
      <c r="AD63" s="11"/>
      <c r="AE63" s="11"/>
      <c r="AF63" s="104">
        <v>660000</v>
      </c>
      <c r="AG63" s="104">
        <f>+X63*AF63</f>
        <v>3960000</v>
      </c>
      <c r="AH63" s="10" t="s">
        <v>80</v>
      </c>
      <c r="AI63" s="14" t="s">
        <v>450</v>
      </c>
      <c r="AJ63" s="10" t="s">
        <v>42</v>
      </c>
      <c r="AK63" s="10"/>
      <c r="AL63" s="14" t="s">
        <v>500</v>
      </c>
    </row>
    <row r="64" spans="1:38" s="15" customFormat="1" ht="75">
      <c r="A64" s="10">
        <v>4</v>
      </c>
      <c r="B64" s="13" t="s">
        <v>119</v>
      </c>
      <c r="C64" s="14" t="s">
        <v>462</v>
      </c>
      <c r="D64" s="9">
        <v>2022</v>
      </c>
      <c r="E64" s="10">
        <v>3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>
        <v>2</v>
      </c>
      <c r="Y64" s="11"/>
      <c r="Z64" s="11"/>
      <c r="AA64" s="105" t="s">
        <v>453</v>
      </c>
      <c r="AB64" s="11"/>
      <c r="AC64" s="11"/>
      <c r="AD64" s="11"/>
      <c r="AE64" s="11"/>
      <c r="AF64" s="81">
        <v>3280000</v>
      </c>
      <c r="AG64" s="76">
        <f>+X64*AF64</f>
        <v>6560000</v>
      </c>
      <c r="AH64" s="10" t="s">
        <v>80</v>
      </c>
      <c r="AI64" s="10" t="s">
        <v>60</v>
      </c>
      <c r="AJ64" s="10" t="s">
        <v>42</v>
      </c>
      <c r="AK64" s="10"/>
      <c r="AL64" s="14" t="s">
        <v>463</v>
      </c>
    </row>
    <row r="65" spans="1:38" s="15" customFormat="1" ht="30">
      <c r="A65" s="10">
        <v>5</v>
      </c>
      <c r="B65" s="13" t="s">
        <v>129</v>
      </c>
      <c r="C65" s="114" t="s">
        <v>130</v>
      </c>
      <c r="D65" s="74">
        <v>2012</v>
      </c>
      <c r="E65" s="10">
        <v>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>
        <v>0</v>
      </c>
      <c r="Y65" s="11"/>
      <c r="Z65" s="11"/>
      <c r="AA65" s="105" t="s">
        <v>453</v>
      </c>
      <c r="AB65" s="11"/>
      <c r="AC65" s="11"/>
      <c r="AD65" s="11"/>
      <c r="AE65" s="11"/>
      <c r="AF65" s="76"/>
      <c r="AG65" s="76"/>
      <c r="AH65" s="10" t="s">
        <v>80</v>
      </c>
      <c r="AI65" s="10" t="s">
        <v>60</v>
      </c>
      <c r="AJ65" s="10" t="s">
        <v>42</v>
      </c>
      <c r="AK65" s="10" t="s">
        <v>180</v>
      </c>
      <c r="AL65" s="14" t="s">
        <v>630</v>
      </c>
    </row>
    <row r="66" spans="1:38" s="15" customFormat="1" ht="15">
      <c r="A66" s="10">
        <v>6</v>
      </c>
      <c r="B66" s="13" t="s">
        <v>133</v>
      </c>
      <c r="C66" s="109" t="s">
        <v>134</v>
      </c>
      <c r="D66" s="74"/>
      <c r="E66" s="10">
        <v>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1"/>
      <c r="Z66" s="11"/>
      <c r="AA66" s="105">
        <v>0</v>
      </c>
      <c r="AB66" s="11"/>
      <c r="AC66" s="11"/>
      <c r="AD66" s="11"/>
      <c r="AE66" s="11"/>
      <c r="AF66" s="107">
        <v>1500000</v>
      </c>
      <c r="AG66" s="115">
        <v>1500000</v>
      </c>
      <c r="AH66" s="10" t="s">
        <v>80</v>
      </c>
      <c r="AI66" s="10" t="s">
        <v>60</v>
      </c>
      <c r="AJ66" s="10" t="s">
        <v>42</v>
      </c>
      <c r="AK66" s="10" t="s">
        <v>180</v>
      </c>
      <c r="AL66" s="14"/>
    </row>
    <row r="67" spans="1:38" s="213" customFormat="1" ht="15">
      <c r="A67" s="206">
        <v>7</v>
      </c>
      <c r="B67" s="207" t="s">
        <v>148</v>
      </c>
      <c r="C67" s="214" t="s">
        <v>149</v>
      </c>
      <c r="D67" s="215">
        <v>2008</v>
      </c>
      <c r="E67" s="206">
        <v>1</v>
      </c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>
        <v>1</v>
      </c>
      <c r="Y67" s="210"/>
      <c r="Z67" s="210"/>
      <c r="AA67" s="216">
        <v>0</v>
      </c>
      <c r="AB67" s="210"/>
      <c r="AC67" s="210"/>
      <c r="AD67" s="210"/>
      <c r="AE67" s="210"/>
      <c r="AF67" s="212">
        <v>1120000</v>
      </c>
      <c r="AG67" s="212">
        <v>1120000</v>
      </c>
      <c r="AH67" s="206" t="s">
        <v>80</v>
      </c>
      <c r="AI67" s="206" t="s">
        <v>60</v>
      </c>
      <c r="AJ67" s="206" t="s">
        <v>42</v>
      </c>
      <c r="AK67" s="206" t="s">
        <v>180</v>
      </c>
      <c r="AL67" s="208"/>
    </row>
    <row r="68" spans="1:38" s="213" customFormat="1" ht="15">
      <c r="A68" s="206">
        <v>8</v>
      </c>
      <c r="B68" s="207" t="s">
        <v>152</v>
      </c>
      <c r="C68" s="209" t="s">
        <v>153</v>
      </c>
      <c r="D68" s="215">
        <v>2008</v>
      </c>
      <c r="E68" s="206">
        <v>1</v>
      </c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>
        <v>1</v>
      </c>
      <c r="Y68" s="210"/>
      <c r="Z68" s="210"/>
      <c r="AA68" s="216" t="s">
        <v>493</v>
      </c>
      <c r="AB68" s="210"/>
      <c r="AC68" s="210"/>
      <c r="AD68" s="210"/>
      <c r="AE68" s="210"/>
      <c r="AF68" s="212">
        <v>800000</v>
      </c>
      <c r="AG68" s="212">
        <v>800000</v>
      </c>
      <c r="AH68" s="206" t="s">
        <v>80</v>
      </c>
      <c r="AI68" s="206" t="s">
        <v>60</v>
      </c>
      <c r="AJ68" s="206" t="s">
        <v>42</v>
      </c>
      <c r="AK68" s="206" t="s">
        <v>180</v>
      </c>
      <c r="AL68" s="208"/>
    </row>
    <row r="69" spans="1:38" s="15" customFormat="1" ht="30">
      <c r="A69" s="10">
        <v>9</v>
      </c>
      <c r="B69" s="13" t="s">
        <v>154</v>
      </c>
      <c r="C69" s="9" t="s">
        <v>155</v>
      </c>
      <c r="D69" s="74">
        <v>2012</v>
      </c>
      <c r="E69" s="10">
        <v>1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>
        <v>0</v>
      </c>
      <c r="Y69" s="11"/>
      <c r="Z69" s="11"/>
      <c r="AA69" s="105" t="s">
        <v>453</v>
      </c>
      <c r="AB69" s="11"/>
      <c r="AC69" s="11"/>
      <c r="AD69" s="11"/>
      <c r="AE69" s="11"/>
      <c r="AF69" s="76"/>
      <c r="AG69" s="76"/>
      <c r="AH69" s="10" t="s">
        <v>80</v>
      </c>
      <c r="AI69" s="10" t="s">
        <v>60</v>
      </c>
      <c r="AJ69" s="10" t="s">
        <v>42</v>
      </c>
      <c r="AK69" s="10" t="s">
        <v>180</v>
      </c>
      <c r="AL69" s="14" t="s">
        <v>464</v>
      </c>
    </row>
    <row r="70" spans="1:38" s="15" customFormat="1" ht="15">
      <c r="A70" s="10">
        <v>10</v>
      </c>
      <c r="B70" s="13" t="s">
        <v>168</v>
      </c>
      <c r="C70" s="9" t="s">
        <v>167</v>
      </c>
      <c r="D70" s="74">
        <v>2005</v>
      </c>
      <c r="E70" s="10">
        <v>1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>
        <v>1</v>
      </c>
      <c r="Y70" s="11"/>
      <c r="Z70" s="11"/>
      <c r="AA70" s="105">
        <v>0</v>
      </c>
      <c r="AB70" s="11"/>
      <c r="AC70" s="11"/>
      <c r="AD70" s="11"/>
      <c r="AE70" s="11"/>
      <c r="AF70" s="107">
        <v>534667</v>
      </c>
      <c r="AG70" s="107">
        <v>534667</v>
      </c>
      <c r="AH70" s="10" t="s">
        <v>80</v>
      </c>
      <c r="AI70" s="10" t="s">
        <v>60</v>
      </c>
      <c r="AJ70" s="10" t="s">
        <v>42</v>
      </c>
      <c r="AK70" s="10" t="s">
        <v>180</v>
      </c>
      <c r="AL70" s="14"/>
    </row>
    <row r="71" spans="1:38" s="15" customFormat="1" ht="30">
      <c r="A71" s="10">
        <v>11</v>
      </c>
      <c r="B71" s="13" t="s">
        <v>330</v>
      </c>
      <c r="C71" s="9" t="s">
        <v>181</v>
      </c>
      <c r="D71" s="74">
        <v>2005</v>
      </c>
      <c r="E71" s="10">
        <v>1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>
        <v>1</v>
      </c>
      <c r="Y71" s="11"/>
      <c r="Z71" s="11"/>
      <c r="AA71" s="105">
        <v>0</v>
      </c>
      <c r="AB71" s="11"/>
      <c r="AC71" s="11"/>
      <c r="AD71" s="11"/>
      <c r="AE71" s="11"/>
      <c r="AF71" s="76">
        <v>534667</v>
      </c>
      <c r="AG71" s="76">
        <v>534667</v>
      </c>
      <c r="AH71" s="10" t="s">
        <v>80</v>
      </c>
      <c r="AI71" s="10" t="s">
        <v>60</v>
      </c>
      <c r="AJ71" s="10" t="s">
        <v>42</v>
      </c>
      <c r="AK71" s="10" t="s">
        <v>180</v>
      </c>
      <c r="AL71" s="14"/>
    </row>
    <row r="72" spans="1:38" s="15" customFormat="1" ht="30">
      <c r="A72" s="10">
        <v>12</v>
      </c>
      <c r="B72" s="12" t="s">
        <v>230</v>
      </c>
      <c r="C72" s="9" t="s">
        <v>231</v>
      </c>
      <c r="D72" s="74"/>
      <c r="E72" s="10">
        <v>1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>
        <v>0</v>
      </c>
      <c r="Y72" s="11"/>
      <c r="Z72" s="11"/>
      <c r="AA72" s="75" t="s">
        <v>453</v>
      </c>
      <c r="AB72" s="11"/>
      <c r="AC72" s="11"/>
      <c r="AD72" s="11"/>
      <c r="AE72" s="11"/>
      <c r="AF72" s="76"/>
      <c r="AG72" s="76"/>
      <c r="AH72" s="10" t="s">
        <v>80</v>
      </c>
      <c r="AI72" s="10" t="s">
        <v>60</v>
      </c>
      <c r="AJ72" s="10" t="s">
        <v>42</v>
      </c>
      <c r="AK72" s="10" t="s">
        <v>180</v>
      </c>
      <c r="AL72" s="14" t="s">
        <v>468</v>
      </c>
    </row>
    <row r="73" spans="1:38" s="213" customFormat="1" ht="30">
      <c r="A73" s="206">
        <v>13</v>
      </c>
      <c r="B73" s="226" t="s">
        <v>479</v>
      </c>
      <c r="C73" s="242" t="s">
        <v>539</v>
      </c>
      <c r="D73" s="215">
        <v>2017</v>
      </c>
      <c r="E73" s="206">
        <v>0</v>
      </c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>
        <v>1</v>
      </c>
      <c r="Y73" s="210"/>
      <c r="Z73" s="210"/>
      <c r="AA73" s="211" t="s">
        <v>326</v>
      </c>
      <c r="AB73" s="210"/>
      <c r="AC73" s="210"/>
      <c r="AD73" s="210"/>
      <c r="AE73" s="210"/>
      <c r="AF73" s="212">
        <v>3540000</v>
      </c>
      <c r="AG73" s="212">
        <v>3540000</v>
      </c>
      <c r="AH73" s="206" t="s">
        <v>80</v>
      </c>
      <c r="AI73" s="206" t="s">
        <v>60</v>
      </c>
      <c r="AJ73" s="206" t="s">
        <v>42</v>
      </c>
      <c r="AK73" s="206" t="s">
        <v>480</v>
      </c>
      <c r="AL73" s="208" t="s">
        <v>478</v>
      </c>
    </row>
    <row r="74" spans="1:38" s="79" customFormat="1" ht="14.25">
      <c r="A74" s="57" t="s">
        <v>318</v>
      </c>
      <c r="B74" s="28" t="s">
        <v>385</v>
      </c>
      <c r="C74" s="57"/>
      <c r="D74" s="63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28"/>
      <c r="Z74" s="28"/>
      <c r="AA74" s="70"/>
      <c r="AB74" s="28"/>
      <c r="AC74" s="28"/>
      <c r="AD74" s="28"/>
      <c r="AE74" s="28"/>
      <c r="AF74" s="77"/>
      <c r="AG74" s="77"/>
      <c r="AH74" s="57"/>
      <c r="AI74" s="57"/>
      <c r="AJ74" s="57"/>
      <c r="AK74" s="57"/>
      <c r="AL74" s="78"/>
    </row>
    <row r="75" spans="1:38" s="15" customFormat="1" ht="60">
      <c r="A75" s="10">
        <v>2</v>
      </c>
      <c r="B75" s="13" t="s">
        <v>123</v>
      </c>
      <c r="C75" s="14" t="s">
        <v>316</v>
      </c>
      <c r="D75" s="9">
        <v>2022</v>
      </c>
      <c r="E75" s="10">
        <v>20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>
        <v>20</v>
      </c>
      <c r="Y75" s="11"/>
      <c r="Z75" s="11"/>
      <c r="AA75" s="105">
        <v>0</v>
      </c>
      <c r="AB75" s="11"/>
      <c r="AC75" s="11"/>
      <c r="AD75" s="11"/>
      <c r="AE75" s="11"/>
      <c r="AF75" s="81">
        <v>960000</v>
      </c>
      <c r="AG75" s="76">
        <f>+AF75*X75</f>
        <v>19200000</v>
      </c>
      <c r="AH75" s="10" t="s">
        <v>80</v>
      </c>
      <c r="AI75" s="10" t="s">
        <v>122</v>
      </c>
      <c r="AJ75" s="10" t="s">
        <v>42</v>
      </c>
      <c r="AK75" s="10"/>
      <c r="AL75" s="13"/>
    </row>
    <row r="76" spans="1:38" s="213" customFormat="1" ht="30">
      <c r="A76" s="206">
        <v>3</v>
      </c>
      <c r="B76" s="226" t="s">
        <v>230</v>
      </c>
      <c r="C76" s="209" t="s">
        <v>231</v>
      </c>
      <c r="D76" s="215"/>
      <c r="E76" s="206">
        <v>0</v>
      </c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>
        <v>1</v>
      </c>
      <c r="Y76" s="210"/>
      <c r="Z76" s="210"/>
      <c r="AA76" s="216" t="s">
        <v>326</v>
      </c>
      <c r="AB76" s="210"/>
      <c r="AC76" s="210"/>
      <c r="AD76" s="210"/>
      <c r="AE76" s="210"/>
      <c r="AF76" s="225">
        <v>850000</v>
      </c>
      <c r="AG76" s="225">
        <v>850000</v>
      </c>
      <c r="AH76" s="206"/>
      <c r="AI76" s="206"/>
      <c r="AJ76" s="206"/>
      <c r="AK76" s="206" t="s">
        <v>180</v>
      </c>
      <c r="AL76" s="207" t="s">
        <v>469</v>
      </c>
    </row>
    <row r="77" spans="1:38" s="15" customFormat="1" ht="30">
      <c r="A77" s="10">
        <v>4</v>
      </c>
      <c r="B77" s="13" t="s">
        <v>172</v>
      </c>
      <c r="C77" s="9" t="s">
        <v>173</v>
      </c>
      <c r="D77" s="74">
        <v>2015</v>
      </c>
      <c r="E77" s="10">
        <v>0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>
        <v>1</v>
      </c>
      <c r="Y77" s="11"/>
      <c r="Z77" s="11"/>
      <c r="AA77" s="105" t="s">
        <v>326</v>
      </c>
      <c r="AB77" s="11"/>
      <c r="AC77" s="11"/>
      <c r="AD77" s="11"/>
      <c r="AE77" s="11"/>
      <c r="AF77" s="116">
        <v>800000</v>
      </c>
      <c r="AG77" s="116">
        <v>800000</v>
      </c>
      <c r="AH77" s="10"/>
      <c r="AI77" s="10"/>
      <c r="AJ77" s="10"/>
      <c r="AK77" s="10" t="s">
        <v>180</v>
      </c>
      <c r="AL77" s="13" t="s">
        <v>471</v>
      </c>
    </row>
    <row r="78" spans="1:38" s="15" customFormat="1" ht="30">
      <c r="A78" s="10">
        <v>5</v>
      </c>
      <c r="B78" s="13" t="s">
        <v>245</v>
      </c>
      <c r="C78" s="86" t="s">
        <v>246</v>
      </c>
      <c r="D78" s="74">
        <v>2010</v>
      </c>
      <c r="E78" s="10">
        <v>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>
        <v>1</v>
      </c>
      <c r="Y78" s="11"/>
      <c r="Z78" s="11"/>
      <c r="AA78" s="105" t="s">
        <v>326</v>
      </c>
      <c r="AB78" s="11"/>
      <c r="AC78" s="11"/>
      <c r="AD78" s="11"/>
      <c r="AE78" s="11"/>
      <c r="AF78" s="107"/>
      <c r="AG78" s="107"/>
      <c r="AH78" s="10"/>
      <c r="AI78" s="10"/>
      <c r="AJ78" s="10"/>
      <c r="AK78" s="10" t="s">
        <v>180</v>
      </c>
      <c r="AL78" s="13" t="s">
        <v>471</v>
      </c>
    </row>
    <row r="79" spans="1:38" s="213" customFormat="1" ht="30">
      <c r="A79" s="206">
        <v>6</v>
      </c>
      <c r="B79" s="207" t="s">
        <v>327</v>
      </c>
      <c r="C79" s="214" t="s">
        <v>328</v>
      </c>
      <c r="D79" s="215">
        <v>2011</v>
      </c>
      <c r="E79" s="206">
        <v>0</v>
      </c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>
        <v>1</v>
      </c>
      <c r="Y79" s="210"/>
      <c r="Z79" s="210"/>
      <c r="AA79" s="216" t="s">
        <v>326</v>
      </c>
      <c r="AB79" s="210"/>
      <c r="AC79" s="210"/>
      <c r="AD79" s="210"/>
      <c r="AE79" s="210"/>
      <c r="AF79" s="212">
        <v>860000</v>
      </c>
      <c r="AG79" s="212">
        <v>860000</v>
      </c>
      <c r="AH79" s="206"/>
      <c r="AI79" s="206"/>
      <c r="AJ79" s="206"/>
      <c r="AK79" s="206" t="s">
        <v>180</v>
      </c>
      <c r="AL79" s="207" t="s">
        <v>471</v>
      </c>
    </row>
    <row r="80" spans="1:38" s="213" customFormat="1" ht="30">
      <c r="A80" s="206">
        <v>7</v>
      </c>
      <c r="B80" s="207" t="s">
        <v>191</v>
      </c>
      <c r="C80" s="208" t="s">
        <v>192</v>
      </c>
      <c r="D80" s="209">
        <v>2015</v>
      </c>
      <c r="E80" s="206">
        <v>0</v>
      </c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>
        <v>1</v>
      </c>
      <c r="Y80" s="210"/>
      <c r="Z80" s="210"/>
      <c r="AA80" s="216" t="s">
        <v>326</v>
      </c>
      <c r="AB80" s="210"/>
      <c r="AC80" s="210"/>
      <c r="AD80" s="210"/>
      <c r="AE80" s="210"/>
      <c r="AF80" s="212">
        <v>750000</v>
      </c>
      <c r="AG80" s="212">
        <v>750000</v>
      </c>
      <c r="AH80" s="206"/>
      <c r="AI80" s="206"/>
      <c r="AJ80" s="206"/>
      <c r="AK80" s="206" t="s">
        <v>476</v>
      </c>
      <c r="AL80" s="207" t="s">
        <v>475</v>
      </c>
    </row>
    <row r="81" spans="1:39" s="213" customFormat="1" ht="30">
      <c r="A81" s="206">
        <v>8</v>
      </c>
      <c r="B81" s="207" t="s">
        <v>202</v>
      </c>
      <c r="C81" s="208" t="s">
        <v>203</v>
      </c>
      <c r="D81" s="209">
        <v>2010</v>
      </c>
      <c r="E81" s="206">
        <v>0</v>
      </c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>
        <v>1</v>
      </c>
      <c r="Y81" s="210"/>
      <c r="Z81" s="210"/>
      <c r="AA81" s="216" t="s">
        <v>326</v>
      </c>
      <c r="AB81" s="210"/>
      <c r="AC81" s="210"/>
      <c r="AD81" s="210"/>
      <c r="AE81" s="210"/>
      <c r="AF81" s="218">
        <v>460000</v>
      </c>
      <c r="AG81" s="218">
        <v>460000</v>
      </c>
      <c r="AH81" s="206"/>
      <c r="AI81" s="206"/>
      <c r="AJ81" s="206"/>
      <c r="AK81" s="206" t="s">
        <v>476</v>
      </c>
      <c r="AL81" s="207" t="s">
        <v>475</v>
      </c>
    </row>
    <row r="82" spans="1:39" s="213" customFormat="1" ht="33.75" customHeight="1">
      <c r="A82" s="206">
        <v>9</v>
      </c>
      <c r="B82" s="207" t="s">
        <v>129</v>
      </c>
      <c r="C82" s="217" t="s">
        <v>130</v>
      </c>
      <c r="D82" s="215">
        <v>2012</v>
      </c>
      <c r="E82" s="206">
        <v>0</v>
      </c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>
        <v>1</v>
      </c>
      <c r="Y82" s="210"/>
      <c r="Z82" s="210"/>
      <c r="AA82" s="216" t="s">
        <v>326</v>
      </c>
      <c r="AB82" s="210"/>
      <c r="AC82" s="210"/>
      <c r="AD82" s="210"/>
      <c r="AE82" s="210"/>
      <c r="AF82" s="218">
        <v>2000000</v>
      </c>
      <c r="AG82" s="218">
        <v>2000000</v>
      </c>
      <c r="AH82" s="206"/>
      <c r="AI82" s="206"/>
      <c r="AJ82" s="206"/>
      <c r="AK82" s="206" t="s">
        <v>476</v>
      </c>
      <c r="AL82" s="207" t="s">
        <v>469</v>
      </c>
    </row>
    <row r="83" spans="1:39" s="15" customFormat="1" ht="30">
      <c r="A83" s="10">
        <v>10</v>
      </c>
      <c r="B83" s="117" t="s">
        <v>169</v>
      </c>
      <c r="C83" s="114" t="s">
        <v>408</v>
      </c>
      <c r="D83" s="74">
        <v>2011</v>
      </c>
      <c r="E83" s="10">
        <v>1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>
        <v>0</v>
      </c>
      <c r="Y83" s="11"/>
      <c r="Z83" s="11"/>
      <c r="AA83" s="105" t="s">
        <v>453</v>
      </c>
      <c r="AB83" s="11"/>
      <c r="AC83" s="11"/>
      <c r="AD83" s="11"/>
      <c r="AE83" s="11"/>
      <c r="AF83" s="76"/>
      <c r="AG83" s="76"/>
      <c r="AH83" s="10" t="s">
        <v>80</v>
      </c>
      <c r="AI83" s="10" t="s">
        <v>122</v>
      </c>
      <c r="AJ83" s="10" t="s">
        <v>42</v>
      </c>
      <c r="AK83" s="10" t="s">
        <v>180</v>
      </c>
      <c r="AL83" s="14" t="s">
        <v>489</v>
      </c>
    </row>
    <row r="84" spans="1:39" s="15" customFormat="1" ht="30">
      <c r="A84" s="10">
        <v>11</v>
      </c>
      <c r="B84" s="12" t="s">
        <v>170</v>
      </c>
      <c r="C84" s="9" t="s">
        <v>171</v>
      </c>
      <c r="D84" s="74">
        <v>2011</v>
      </c>
      <c r="E84" s="10">
        <v>1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>
        <v>0</v>
      </c>
      <c r="Y84" s="11"/>
      <c r="Z84" s="11"/>
      <c r="AA84" s="105" t="s">
        <v>453</v>
      </c>
      <c r="AB84" s="11"/>
      <c r="AC84" s="11"/>
      <c r="AD84" s="11"/>
      <c r="AE84" s="11"/>
      <c r="AF84" s="76"/>
      <c r="AG84" s="76"/>
      <c r="AH84" s="10" t="s">
        <v>80</v>
      </c>
      <c r="AI84" s="10" t="s">
        <v>122</v>
      </c>
      <c r="AJ84" s="10" t="s">
        <v>42</v>
      </c>
      <c r="AK84" s="10" t="s">
        <v>180</v>
      </c>
      <c r="AL84" s="14" t="s">
        <v>489</v>
      </c>
    </row>
    <row r="85" spans="1:39" s="15" customFormat="1" ht="33.75" customHeight="1">
      <c r="A85" s="10">
        <v>12</v>
      </c>
      <c r="B85" s="13" t="s">
        <v>148</v>
      </c>
      <c r="C85" s="86" t="s">
        <v>150</v>
      </c>
      <c r="D85" s="74">
        <v>2008</v>
      </c>
      <c r="E85" s="10">
        <v>1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>
        <v>1</v>
      </c>
      <c r="Y85" s="11"/>
      <c r="Z85" s="11"/>
      <c r="AA85" s="75">
        <v>0</v>
      </c>
      <c r="AB85" s="11"/>
      <c r="AC85" s="11"/>
      <c r="AD85" s="11"/>
      <c r="AE85" s="11"/>
      <c r="AF85" s="107"/>
      <c r="AG85" s="107"/>
      <c r="AH85" s="10" t="s">
        <v>80</v>
      </c>
      <c r="AI85" s="10" t="s">
        <v>122</v>
      </c>
      <c r="AJ85" s="10" t="s">
        <v>42</v>
      </c>
      <c r="AK85" s="10" t="s">
        <v>180</v>
      </c>
      <c r="AL85" s="14"/>
    </row>
    <row r="86" spans="1:39" s="213" customFormat="1" ht="33.75" customHeight="1">
      <c r="A86" s="206">
        <v>13</v>
      </c>
      <c r="B86" s="207" t="s">
        <v>166</v>
      </c>
      <c r="C86" s="208" t="s">
        <v>342</v>
      </c>
      <c r="D86" s="209">
        <v>2010</v>
      </c>
      <c r="E86" s="206">
        <v>0</v>
      </c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>
        <v>4</v>
      </c>
      <c r="Y86" s="210"/>
      <c r="Z86" s="210"/>
      <c r="AA86" s="216" t="s">
        <v>649</v>
      </c>
      <c r="AB86" s="210"/>
      <c r="AC86" s="210"/>
      <c r="AD86" s="210"/>
      <c r="AE86" s="210"/>
      <c r="AF86" s="218">
        <f>381818</f>
        <v>381818</v>
      </c>
      <c r="AG86" s="218">
        <f>381818*4</f>
        <v>1527272</v>
      </c>
      <c r="AH86" s="220" t="s">
        <v>184</v>
      </c>
      <c r="AI86" s="220" t="s">
        <v>184</v>
      </c>
      <c r="AJ86" s="206" t="s">
        <v>506</v>
      </c>
      <c r="AK86" s="206" t="s">
        <v>476</v>
      </c>
      <c r="AL86" s="207" t="s">
        <v>475</v>
      </c>
    </row>
    <row r="87" spans="1:39" s="15" customFormat="1" ht="33.75" customHeight="1">
      <c r="A87" s="10">
        <v>14</v>
      </c>
      <c r="B87" s="13" t="s">
        <v>164</v>
      </c>
      <c r="C87" s="14" t="s">
        <v>340</v>
      </c>
      <c r="D87" s="9">
        <v>2010</v>
      </c>
      <c r="E87" s="10">
        <v>0</v>
      </c>
      <c r="F87" s="10">
        <v>22</v>
      </c>
      <c r="G87" s="10" t="s">
        <v>187</v>
      </c>
      <c r="H87" s="10" t="s">
        <v>188</v>
      </c>
      <c r="I87" s="10" t="s">
        <v>188</v>
      </c>
      <c r="J87" s="10" t="s">
        <v>42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>
        <v>17</v>
      </c>
      <c r="Y87" s="11"/>
      <c r="Z87" s="11"/>
      <c r="AA87" s="105" t="s">
        <v>650</v>
      </c>
      <c r="AB87" s="11"/>
      <c r="AC87" s="11"/>
      <c r="AD87" s="11"/>
      <c r="AE87" s="11"/>
      <c r="AF87" s="76"/>
      <c r="AG87" s="76"/>
      <c r="AH87" s="109" t="s">
        <v>184</v>
      </c>
      <c r="AI87" s="109" t="s">
        <v>184</v>
      </c>
      <c r="AJ87" s="10" t="s">
        <v>506</v>
      </c>
      <c r="AK87" s="10" t="s">
        <v>476</v>
      </c>
      <c r="AL87" s="13" t="s">
        <v>475</v>
      </c>
    </row>
    <row r="88" spans="1:39" s="213" customFormat="1" ht="33.75" customHeight="1">
      <c r="A88" s="206">
        <v>15</v>
      </c>
      <c r="B88" s="207" t="s">
        <v>197</v>
      </c>
      <c r="C88" s="208" t="s">
        <v>341</v>
      </c>
      <c r="D88" s="209">
        <v>2010</v>
      </c>
      <c r="E88" s="206">
        <v>0</v>
      </c>
      <c r="F88" s="206">
        <v>3</v>
      </c>
      <c r="G88" s="206" t="s">
        <v>187</v>
      </c>
      <c r="H88" s="206" t="s">
        <v>188</v>
      </c>
      <c r="I88" s="206" t="s">
        <v>198</v>
      </c>
      <c r="J88" s="206" t="s">
        <v>42</v>
      </c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>
        <v>2</v>
      </c>
      <c r="Y88" s="210"/>
      <c r="Z88" s="210"/>
      <c r="AA88" s="211" t="s">
        <v>322</v>
      </c>
      <c r="AB88" s="210"/>
      <c r="AC88" s="210"/>
      <c r="AD88" s="210"/>
      <c r="AE88" s="210"/>
      <c r="AF88" s="229">
        <v>2172727</v>
      </c>
      <c r="AG88" s="229">
        <v>4345454</v>
      </c>
      <c r="AH88" s="220" t="s">
        <v>184</v>
      </c>
      <c r="AI88" s="206" t="s">
        <v>441</v>
      </c>
      <c r="AJ88" s="206" t="s">
        <v>506</v>
      </c>
      <c r="AK88" s="206" t="s">
        <v>476</v>
      </c>
      <c r="AL88" s="207" t="s">
        <v>475</v>
      </c>
      <c r="AM88" s="230"/>
    </row>
    <row r="89" spans="1:39" s="15" customFormat="1" ht="33.75" customHeight="1">
      <c r="A89" s="10">
        <v>16</v>
      </c>
      <c r="B89" s="13" t="s">
        <v>344</v>
      </c>
      <c r="C89" s="74"/>
      <c r="D89" s="9">
        <v>2022</v>
      </c>
      <c r="E89" s="10">
        <v>0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>
        <v>1</v>
      </c>
      <c r="Y89" s="11"/>
      <c r="Z89" s="11"/>
      <c r="AA89" s="105" t="s">
        <v>326</v>
      </c>
      <c r="AB89" s="11"/>
      <c r="AC89" s="11"/>
      <c r="AD89" s="11"/>
      <c r="AE89" s="11"/>
      <c r="AF89" s="76">
        <v>7740000</v>
      </c>
      <c r="AG89" s="76">
        <v>7740000</v>
      </c>
      <c r="AH89" s="109" t="s">
        <v>184</v>
      </c>
      <c r="AI89" s="10" t="s">
        <v>185</v>
      </c>
      <c r="AJ89" s="10" t="s">
        <v>506</v>
      </c>
      <c r="AK89" s="10" t="s">
        <v>476</v>
      </c>
      <c r="AL89" s="13" t="s">
        <v>653</v>
      </c>
    </row>
    <row r="90" spans="1:39" s="79" customFormat="1" ht="39" customHeight="1">
      <c r="A90" s="57" t="s">
        <v>348</v>
      </c>
      <c r="B90" s="78" t="s">
        <v>490</v>
      </c>
      <c r="C90" s="86"/>
      <c r="D90" s="74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  <c r="Z90" s="11"/>
      <c r="AA90" s="75"/>
      <c r="AB90" s="11"/>
      <c r="AC90" s="11"/>
      <c r="AD90" s="11"/>
      <c r="AE90" s="11"/>
      <c r="AF90" s="76"/>
      <c r="AG90" s="76"/>
      <c r="AH90" s="10"/>
      <c r="AI90" s="10"/>
      <c r="AJ90" s="10"/>
      <c r="AK90" s="10"/>
      <c r="AL90" s="14"/>
    </row>
    <row r="91" spans="1:39" s="15" customFormat="1" ht="45">
      <c r="A91" s="10">
        <v>1</v>
      </c>
      <c r="B91" s="13" t="s">
        <v>154</v>
      </c>
      <c r="C91" s="9" t="s">
        <v>155</v>
      </c>
      <c r="D91" s="74">
        <v>2012</v>
      </c>
      <c r="E91" s="10">
        <v>0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>
        <v>1</v>
      </c>
      <c r="Y91" s="11"/>
      <c r="Z91" s="11"/>
      <c r="AA91" s="75" t="s">
        <v>326</v>
      </c>
      <c r="AB91" s="11"/>
      <c r="AC91" s="11"/>
      <c r="AD91" s="11"/>
      <c r="AE91" s="11"/>
      <c r="AF91" s="118"/>
      <c r="AG91" s="118"/>
      <c r="AH91" s="10"/>
      <c r="AI91" s="10"/>
      <c r="AJ91" s="10"/>
      <c r="AK91" s="10" t="s">
        <v>180</v>
      </c>
      <c r="AL91" s="14" t="s">
        <v>465</v>
      </c>
    </row>
    <row r="92" spans="1:39" s="250" customFormat="1" ht="30">
      <c r="A92" s="206">
        <v>3</v>
      </c>
      <c r="B92" s="207" t="s">
        <v>477</v>
      </c>
      <c r="C92" s="214"/>
      <c r="D92" s="215"/>
      <c r="E92" s="206">
        <v>0</v>
      </c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>
        <v>1</v>
      </c>
      <c r="Y92" s="210"/>
      <c r="Z92" s="210"/>
      <c r="AA92" s="211" t="s">
        <v>326</v>
      </c>
      <c r="AB92" s="210"/>
      <c r="AC92" s="210"/>
      <c r="AD92" s="210"/>
      <c r="AE92" s="210"/>
      <c r="AF92" s="212">
        <v>2220000</v>
      </c>
      <c r="AG92" s="212">
        <v>2220000</v>
      </c>
      <c r="AH92" s="206"/>
      <c r="AI92" s="206"/>
      <c r="AJ92" s="206"/>
      <c r="AK92" s="206" t="s">
        <v>480</v>
      </c>
      <c r="AL92" s="208" t="s">
        <v>478</v>
      </c>
    </row>
    <row r="93" spans="1:39" s="250" customFormat="1" ht="30">
      <c r="A93" s="206">
        <v>4</v>
      </c>
      <c r="B93" s="207" t="s">
        <v>479</v>
      </c>
      <c r="C93" s="251" t="s">
        <v>640</v>
      </c>
      <c r="D93" s="252">
        <v>2017</v>
      </c>
      <c r="E93" s="206">
        <v>0</v>
      </c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>
        <v>1</v>
      </c>
      <c r="Y93" s="210"/>
      <c r="Z93" s="210"/>
      <c r="AA93" s="211" t="s">
        <v>326</v>
      </c>
      <c r="AB93" s="210"/>
      <c r="AC93" s="210"/>
      <c r="AD93" s="210"/>
      <c r="AE93" s="210"/>
      <c r="AF93" s="240">
        <v>3540000</v>
      </c>
      <c r="AG93" s="240">
        <v>3540000</v>
      </c>
      <c r="AH93" s="206"/>
      <c r="AI93" s="206"/>
      <c r="AJ93" s="206"/>
      <c r="AK93" s="206" t="s">
        <v>480</v>
      </c>
      <c r="AL93" s="208" t="s">
        <v>478</v>
      </c>
    </row>
    <row r="94" spans="1:39" s="250" customFormat="1" ht="30">
      <c r="A94" s="206">
        <v>5</v>
      </c>
      <c r="B94" s="207" t="s">
        <v>481</v>
      </c>
      <c r="C94" s="214"/>
      <c r="D94" s="215"/>
      <c r="E94" s="206">
        <v>0</v>
      </c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>
        <v>3</v>
      </c>
      <c r="Y94" s="210"/>
      <c r="Z94" s="210"/>
      <c r="AA94" s="211" t="s">
        <v>451</v>
      </c>
      <c r="AB94" s="210"/>
      <c r="AC94" s="210"/>
      <c r="AD94" s="210"/>
      <c r="AE94" s="210"/>
      <c r="AF94" s="212">
        <v>850000</v>
      </c>
      <c r="AG94" s="212">
        <v>2550000</v>
      </c>
      <c r="AH94" s="206"/>
      <c r="AI94" s="206"/>
      <c r="AJ94" s="206"/>
      <c r="AK94" s="206" t="s">
        <v>480</v>
      </c>
      <c r="AL94" s="208" t="s">
        <v>478</v>
      </c>
    </row>
    <row r="95" spans="1:39" s="250" customFormat="1" ht="30">
      <c r="A95" s="206">
        <v>6</v>
      </c>
      <c r="B95" s="207" t="s">
        <v>482</v>
      </c>
      <c r="C95" s="214"/>
      <c r="D95" s="215"/>
      <c r="E95" s="206">
        <v>0</v>
      </c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>
        <v>1</v>
      </c>
      <c r="Y95" s="210"/>
      <c r="Z95" s="210"/>
      <c r="AA95" s="211" t="s">
        <v>326</v>
      </c>
      <c r="AB95" s="210"/>
      <c r="AC95" s="210"/>
      <c r="AD95" s="210"/>
      <c r="AE95" s="210"/>
      <c r="AF95" s="212">
        <v>770000</v>
      </c>
      <c r="AG95" s="212">
        <v>770000</v>
      </c>
      <c r="AH95" s="206"/>
      <c r="AI95" s="206"/>
      <c r="AJ95" s="206"/>
      <c r="AK95" s="206" t="s">
        <v>480</v>
      </c>
      <c r="AL95" s="208" t="s">
        <v>478</v>
      </c>
    </row>
    <row r="96" spans="1:39" s="250" customFormat="1" ht="45">
      <c r="A96" s="206">
        <v>7</v>
      </c>
      <c r="B96" s="207" t="s">
        <v>625</v>
      </c>
      <c r="C96" s="257" t="s">
        <v>626</v>
      </c>
      <c r="D96" s="257">
        <v>2017</v>
      </c>
      <c r="E96" s="206">
        <v>0</v>
      </c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>
        <v>1</v>
      </c>
      <c r="Y96" s="210"/>
      <c r="Z96" s="210"/>
      <c r="AA96" s="211" t="s">
        <v>326</v>
      </c>
      <c r="AB96" s="210"/>
      <c r="AC96" s="210"/>
      <c r="AD96" s="210"/>
      <c r="AE96" s="210"/>
      <c r="AF96" s="212">
        <v>6850000</v>
      </c>
      <c r="AG96" s="212">
        <v>6850000</v>
      </c>
      <c r="AH96" s="206"/>
      <c r="AI96" s="206"/>
      <c r="AJ96" s="206"/>
      <c r="AK96" s="206" t="s">
        <v>480</v>
      </c>
      <c r="AL96" s="208" t="s">
        <v>627</v>
      </c>
    </row>
    <row r="97" spans="1:38" s="79" customFormat="1" ht="35.25" customHeight="1">
      <c r="A97" s="57" t="s">
        <v>349</v>
      </c>
      <c r="B97" s="78" t="s">
        <v>491</v>
      </c>
      <c r="C97" s="57"/>
      <c r="D97" s="63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28"/>
      <c r="Z97" s="28"/>
      <c r="AA97" s="70"/>
      <c r="AB97" s="28"/>
      <c r="AC97" s="28"/>
      <c r="AD97" s="28"/>
      <c r="AE97" s="28"/>
      <c r="AF97" s="77"/>
      <c r="AG97" s="77"/>
      <c r="AH97" s="57"/>
      <c r="AI97" s="57"/>
      <c r="AJ97" s="57"/>
      <c r="AK97" s="57"/>
      <c r="AL97" s="78"/>
    </row>
    <row r="98" spans="1:38" s="15" customFormat="1" ht="30">
      <c r="A98" s="10">
        <v>1</v>
      </c>
      <c r="B98" s="13" t="s">
        <v>172</v>
      </c>
      <c r="C98" s="9" t="s">
        <v>173</v>
      </c>
      <c r="D98" s="74">
        <v>2015</v>
      </c>
      <c r="E98" s="10">
        <v>1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>
        <v>0</v>
      </c>
      <c r="Y98" s="11"/>
      <c r="Z98" s="11"/>
      <c r="AA98" s="105" t="s">
        <v>453</v>
      </c>
      <c r="AB98" s="11"/>
      <c r="AC98" s="11"/>
      <c r="AD98" s="11"/>
      <c r="AE98" s="11"/>
      <c r="AF98" s="76"/>
      <c r="AG98" s="76"/>
      <c r="AH98" s="10" t="s">
        <v>80</v>
      </c>
      <c r="AI98" s="10" t="s">
        <v>142</v>
      </c>
      <c r="AJ98" s="10" t="s">
        <v>317</v>
      </c>
      <c r="AK98" s="10" t="s">
        <v>180</v>
      </c>
      <c r="AL98" s="14" t="s">
        <v>470</v>
      </c>
    </row>
    <row r="99" spans="1:38" s="15" customFormat="1" ht="30">
      <c r="A99" s="10">
        <v>2</v>
      </c>
      <c r="B99" s="13" t="s">
        <v>245</v>
      </c>
      <c r="C99" s="86" t="s">
        <v>246</v>
      </c>
      <c r="D99" s="74">
        <v>2010</v>
      </c>
      <c r="E99" s="10">
        <v>1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0</v>
      </c>
      <c r="Y99" s="11"/>
      <c r="Z99" s="11"/>
      <c r="AA99" s="105" t="s">
        <v>453</v>
      </c>
      <c r="AB99" s="11"/>
      <c r="AC99" s="11"/>
      <c r="AD99" s="11"/>
      <c r="AE99" s="11"/>
      <c r="AF99" s="76"/>
      <c r="AG99" s="76"/>
      <c r="AH99" s="10" t="s">
        <v>80</v>
      </c>
      <c r="AI99" s="10" t="s">
        <v>142</v>
      </c>
      <c r="AJ99" s="10" t="s">
        <v>317</v>
      </c>
      <c r="AK99" s="10" t="s">
        <v>180</v>
      </c>
      <c r="AL99" s="14" t="s">
        <v>470</v>
      </c>
    </row>
    <row r="100" spans="1:38" s="15" customFormat="1" ht="30">
      <c r="A100" s="10">
        <v>3</v>
      </c>
      <c r="B100" s="13" t="s">
        <v>327</v>
      </c>
      <c r="C100" s="86" t="s">
        <v>328</v>
      </c>
      <c r="D100" s="74">
        <v>2011</v>
      </c>
      <c r="E100" s="10">
        <v>1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>
        <v>0</v>
      </c>
      <c r="Y100" s="11"/>
      <c r="Z100" s="11"/>
      <c r="AA100" s="75" t="s">
        <v>453</v>
      </c>
      <c r="AB100" s="11"/>
      <c r="AC100" s="11"/>
      <c r="AD100" s="11"/>
      <c r="AE100" s="11"/>
      <c r="AF100" s="76"/>
      <c r="AG100" s="76"/>
      <c r="AH100" s="10" t="s">
        <v>80</v>
      </c>
      <c r="AI100" s="10" t="s">
        <v>142</v>
      </c>
      <c r="AJ100" s="10" t="s">
        <v>317</v>
      </c>
      <c r="AK100" s="10" t="s">
        <v>180</v>
      </c>
      <c r="AL100" s="14" t="s">
        <v>470</v>
      </c>
    </row>
    <row r="101" spans="1:38" s="15" customFormat="1" ht="15">
      <c r="A101" s="63" t="s">
        <v>348</v>
      </c>
      <c r="B101" s="29" t="s">
        <v>183</v>
      </c>
      <c r="C101" s="14"/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  <c r="Z101" s="11"/>
      <c r="AA101" s="84"/>
      <c r="AB101" s="11"/>
      <c r="AC101" s="11"/>
      <c r="AD101" s="11"/>
      <c r="AE101" s="11"/>
      <c r="AF101" s="76"/>
      <c r="AG101" s="76"/>
      <c r="AH101" s="10"/>
      <c r="AI101" s="120"/>
      <c r="AJ101" s="10"/>
      <c r="AK101" s="10"/>
      <c r="AL101" s="13"/>
    </row>
    <row r="102" spans="1:38" s="15" customFormat="1" ht="45">
      <c r="A102" s="10">
        <v>1</v>
      </c>
      <c r="B102" s="13" t="s">
        <v>190</v>
      </c>
      <c r="C102" s="14"/>
      <c r="D102" s="9">
        <v>2019</v>
      </c>
      <c r="E102" s="10">
        <v>1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>
        <v>0</v>
      </c>
      <c r="Y102" s="11"/>
      <c r="Z102" s="11"/>
      <c r="AA102" s="75" t="s">
        <v>453</v>
      </c>
      <c r="AB102" s="11"/>
      <c r="AC102" s="11"/>
      <c r="AD102" s="11"/>
      <c r="AE102" s="11"/>
      <c r="AF102" s="76"/>
      <c r="AG102" s="76"/>
      <c r="AH102" s="109" t="s">
        <v>188</v>
      </c>
      <c r="AI102" s="10" t="s">
        <v>386</v>
      </c>
      <c r="AJ102" s="10" t="s">
        <v>42</v>
      </c>
      <c r="AK102" s="10"/>
      <c r="AL102" s="13" t="s">
        <v>472</v>
      </c>
    </row>
    <row r="103" spans="1:38" s="15" customFormat="1" ht="30">
      <c r="A103" s="10">
        <v>2</v>
      </c>
      <c r="B103" s="13" t="s">
        <v>191</v>
      </c>
      <c r="C103" s="14" t="s">
        <v>192</v>
      </c>
      <c r="D103" s="9">
        <v>2015</v>
      </c>
      <c r="E103" s="10">
        <v>1</v>
      </c>
      <c r="F103" s="10">
        <v>1</v>
      </c>
      <c r="G103" s="10" t="s">
        <v>187</v>
      </c>
      <c r="H103" s="10" t="s">
        <v>188</v>
      </c>
      <c r="I103" s="10" t="s">
        <v>142</v>
      </c>
      <c r="J103" s="10" t="s">
        <v>42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>
        <v>0</v>
      </c>
      <c r="Y103" s="11"/>
      <c r="Z103" s="11"/>
      <c r="AA103" s="105" t="s">
        <v>453</v>
      </c>
      <c r="AB103" s="11"/>
      <c r="AC103" s="11"/>
      <c r="AD103" s="11"/>
      <c r="AE103" s="11"/>
      <c r="AF103" s="76"/>
      <c r="AG103" s="76"/>
      <c r="AH103" s="109" t="s">
        <v>188</v>
      </c>
      <c r="AI103" s="10" t="s">
        <v>142</v>
      </c>
      <c r="AJ103" s="10" t="s">
        <v>42</v>
      </c>
      <c r="AK103" s="10"/>
      <c r="AL103" s="13" t="s">
        <v>473</v>
      </c>
    </row>
    <row r="104" spans="1:38" s="15" customFormat="1" ht="66.75" customHeight="1">
      <c r="A104" s="10">
        <v>3</v>
      </c>
      <c r="B104" s="13" t="s">
        <v>166</v>
      </c>
      <c r="C104" s="14" t="s">
        <v>342</v>
      </c>
      <c r="D104" s="9">
        <v>2010</v>
      </c>
      <c r="E104" s="10">
        <v>4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>
        <v>0</v>
      </c>
      <c r="Y104" s="11"/>
      <c r="Z104" s="11"/>
      <c r="AA104" s="105" t="s">
        <v>460</v>
      </c>
      <c r="AB104" s="11"/>
      <c r="AC104" s="11"/>
      <c r="AD104" s="11"/>
      <c r="AE104" s="11"/>
      <c r="AF104" s="76"/>
      <c r="AG104" s="76"/>
      <c r="AH104" s="109" t="s">
        <v>184</v>
      </c>
      <c r="AI104" s="109" t="s">
        <v>184</v>
      </c>
      <c r="AJ104" s="10" t="s">
        <v>506</v>
      </c>
      <c r="AK104" s="10"/>
      <c r="AL104" s="13" t="s">
        <v>495</v>
      </c>
    </row>
    <row r="105" spans="1:38" s="15" customFormat="1" ht="60.75" customHeight="1">
      <c r="A105" s="10">
        <v>4</v>
      </c>
      <c r="B105" s="13" t="s">
        <v>164</v>
      </c>
      <c r="C105" s="14" t="s">
        <v>340</v>
      </c>
      <c r="D105" s="9">
        <v>2010</v>
      </c>
      <c r="E105" s="10">
        <v>17</v>
      </c>
      <c r="F105" s="10">
        <v>22</v>
      </c>
      <c r="G105" s="10" t="s">
        <v>187</v>
      </c>
      <c r="H105" s="10" t="s">
        <v>188</v>
      </c>
      <c r="I105" s="10" t="s">
        <v>188</v>
      </c>
      <c r="J105" s="10" t="s">
        <v>42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>
        <v>0</v>
      </c>
      <c r="Y105" s="11"/>
      <c r="Z105" s="11"/>
      <c r="AA105" s="105" t="s">
        <v>497</v>
      </c>
      <c r="AB105" s="11"/>
      <c r="AC105" s="11"/>
      <c r="AD105" s="11"/>
      <c r="AE105" s="11"/>
      <c r="AF105" s="76"/>
      <c r="AG105" s="76"/>
      <c r="AH105" s="109" t="s">
        <v>184</v>
      </c>
      <c r="AI105" s="109" t="s">
        <v>184</v>
      </c>
      <c r="AJ105" s="10" t="s">
        <v>506</v>
      </c>
      <c r="AK105" s="121"/>
      <c r="AL105" s="13" t="s">
        <v>496</v>
      </c>
    </row>
    <row r="106" spans="1:38" s="15" customFormat="1" ht="32.25" customHeight="1">
      <c r="A106" s="10">
        <v>5</v>
      </c>
      <c r="B106" s="13" t="s">
        <v>197</v>
      </c>
      <c r="C106" s="14" t="s">
        <v>341</v>
      </c>
      <c r="D106" s="9">
        <v>2010</v>
      </c>
      <c r="E106" s="10">
        <v>2</v>
      </c>
      <c r="F106" s="10">
        <v>3</v>
      </c>
      <c r="G106" s="10" t="s">
        <v>187</v>
      </c>
      <c r="H106" s="10" t="s">
        <v>188</v>
      </c>
      <c r="I106" s="10" t="s">
        <v>198</v>
      </c>
      <c r="J106" s="10" t="s">
        <v>42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>
        <v>0</v>
      </c>
      <c r="Y106" s="11"/>
      <c r="Z106" s="11"/>
      <c r="AA106" s="75" t="s">
        <v>458</v>
      </c>
      <c r="AB106" s="11"/>
      <c r="AC106" s="11"/>
      <c r="AD106" s="11"/>
      <c r="AE106" s="11"/>
      <c r="AF106" s="76"/>
      <c r="AG106" s="76"/>
      <c r="AH106" s="109" t="s">
        <v>184</v>
      </c>
      <c r="AI106" s="10" t="s">
        <v>441</v>
      </c>
      <c r="AJ106" s="10" t="s">
        <v>506</v>
      </c>
      <c r="AK106" s="9"/>
      <c r="AL106" s="13" t="s">
        <v>498</v>
      </c>
    </row>
    <row r="107" spans="1:38" s="15" customFormat="1" ht="38.25" customHeight="1">
      <c r="A107" s="10">
        <v>6</v>
      </c>
      <c r="B107" s="13" t="s">
        <v>202</v>
      </c>
      <c r="C107" s="14" t="s">
        <v>203</v>
      </c>
      <c r="D107" s="9">
        <v>2010</v>
      </c>
      <c r="E107" s="10">
        <v>1</v>
      </c>
      <c r="F107" s="10">
        <v>1</v>
      </c>
      <c r="G107" s="10" t="s">
        <v>187</v>
      </c>
      <c r="H107" s="10" t="s">
        <v>188</v>
      </c>
      <c r="I107" s="10" t="s">
        <v>126</v>
      </c>
      <c r="J107" s="10" t="s">
        <v>42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>
        <v>0</v>
      </c>
      <c r="Y107" s="11"/>
      <c r="Z107" s="11"/>
      <c r="AA107" s="105" t="s">
        <v>453</v>
      </c>
      <c r="AB107" s="11"/>
      <c r="AC107" s="11"/>
      <c r="AD107" s="11"/>
      <c r="AE107" s="11"/>
      <c r="AF107" s="76"/>
      <c r="AG107" s="76"/>
      <c r="AH107" s="109" t="s">
        <v>184</v>
      </c>
      <c r="AI107" s="10" t="s">
        <v>126</v>
      </c>
      <c r="AJ107" s="10" t="s">
        <v>207</v>
      </c>
      <c r="AK107" s="121"/>
      <c r="AL107" s="13" t="s">
        <v>473</v>
      </c>
    </row>
    <row r="108" spans="1:38" s="15" customFormat="1" ht="45">
      <c r="A108" s="10">
        <v>7</v>
      </c>
      <c r="B108" s="13" t="s">
        <v>135</v>
      </c>
      <c r="C108" s="14" t="s">
        <v>343</v>
      </c>
      <c r="D108" s="9">
        <v>2014</v>
      </c>
      <c r="E108" s="10">
        <v>1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v>0</v>
      </c>
      <c r="Y108" s="11"/>
      <c r="Z108" s="11"/>
      <c r="AA108" s="105" t="s">
        <v>453</v>
      </c>
      <c r="AB108" s="11"/>
      <c r="AC108" s="11"/>
      <c r="AD108" s="11"/>
      <c r="AE108" s="11"/>
      <c r="AF108" s="76"/>
      <c r="AG108" s="76"/>
      <c r="AH108" s="109" t="s">
        <v>184</v>
      </c>
      <c r="AI108" s="10" t="s">
        <v>204</v>
      </c>
      <c r="AJ108" s="10" t="s">
        <v>207</v>
      </c>
      <c r="AK108" s="121"/>
      <c r="AL108" s="13" t="s">
        <v>631</v>
      </c>
    </row>
    <row r="109" spans="1:38" s="15" customFormat="1" ht="48.75" customHeight="1">
      <c r="A109" s="10">
        <v>8</v>
      </c>
      <c r="B109" s="13" t="s">
        <v>344</v>
      </c>
      <c r="C109" s="74"/>
      <c r="D109" s="9">
        <v>2022</v>
      </c>
      <c r="E109" s="10">
        <v>1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>
        <v>0</v>
      </c>
      <c r="Y109" s="11"/>
      <c r="Z109" s="11"/>
      <c r="AA109" s="105" t="s">
        <v>453</v>
      </c>
      <c r="AB109" s="11"/>
      <c r="AC109" s="11"/>
      <c r="AD109" s="11"/>
      <c r="AE109" s="11"/>
      <c r="AF109" s="76"/>
      <c r="AG109" s="76"/>
      <c r="AH109" s="109" t="s">
        <v>184</v>
      </c>
      <c r="AI109" s="10" t="s">
        <v>185</v>
      </c>
      <c r="AJ109" s="10" t="s">
        <v>506</v>
      </c>
      <c r="AK109" s="121"/>
      <c r="AL109" s="14" t="s">
        <v>498</v>
      </c>
    </row>
    <row r="110" spans="1:38" s="15" customFormat="1" ht="45">
      <c r="A110" s="10">
        <v>9</v>
      </c>
      <c r="B110" s="13" t="s">
        <v>345</v>
      </c>
      <c r="C110" s="14"/>
      <c r="D110" s="9"/>
      <c r="E110" s="10">
        <v>1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>
        <v>0</v>
      </c>
      <c r="Y110" s="11"/>
      <c r="Z110" s="11"/>
      <c r="AA110" s="75" t="s">
        <v>453</v>
      </c>
      <c r="AB110" s="11"/>
      <c r="AC110" s="11"/>
      <c r="AD110" s="11"/>
      <c r="AE110" s="11"/>
      <c r="AF110" s="76"/>
      <c r="AG110" s="76"/>
      <c r="AH110" s="109" t="s">
        <v>184</v>
      </c>
      <c r="AI110" s="10" t="s">
        <v>184</v>
      </c>
      <c r="AJ110" s="10" t="s">
        <v>42</v>
      </c>
      <c r="AK110" s="121"/>
      <c r="AL110" s="14" t="s">
        <v>474</v>
      </c>
    </row>
    <row r="111" spans="1:38" s="15" customFormat="1" ht="15">
      <c r="A111" s="82" t="s">
        <v>349</v>
      </c>
      <c r="B111" s="29" t="s">
        <v>257</v>
      </c>
      <c r="C111" s="83"/>
      <c r="D111" s="74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  <c r="Z111" s="11"/>
      <c r="AA111" s="84"/>
      <c r="AB111" s="11"/>
      <c r="AC111" s="11"/>
      <c r="AD111" s="11"/>
      <c r="AE111" s="11"/>
      <c r="AF111" s="76"/>
      <c r="AG111" s="76"/>
      <c r="AH111" s="10"/>
      <c r="AI111" s="10"/>
      <c r="AJ111" s="10"/>
      <c r="AK111" s="10"/>
      <c r="AL111" s="13"/>
    </row>
    <row r="112" spans="1:38" s="15" customFormat="1" ht="15">
      <c r="A112" s="10">
        <v>1</v>
      </c>
      <c r="B112" s="11" t="s">
        <v>253</v>
      </c>
      <c r="C112" s="109" t="s">
        <v>346</v>
      </c>
      <c r="D112" s="74">
        <v>2012</v>
      </c>
      <c r="E112" s="10">
        <v>1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>
        <v>1</v>
      </c>
      <c r="Y112" s="11"/>
      <c r="Z112" s="11"/>
      <c r="AA112" s="105">
        <v>0</v>
      </c>
      <c r="AB112" s="11"/>
      <c r="AC112" s="11"/>
      <c r="AD112" s="11"/>
      <c r="AE112" s="11"/>
      <c r="AF112" s="76"/>
      <c r="AG112" s="76"/>
      <c r="AH112" s="109" t="s">
        <v>252</v>
      </c>
      <c r="AI112" s="10" t="s">
        <v>254</v>
      </c>
      <c r="AJ112" s="10" t="s">
        <v>235</v>
      </c>
      <c r="AK112" s="10"/>
      <c r="AL112" s="14"/>
    </row>
    <row r="113" spans="1:39" s="213" customFormat="1" ht="15">
      <c r="A113" s="206">
        <v>2</v>
      </c>
      <c r="B113" s="207" t="s">
        <v>258</v>
      </c>
      <c r="C113" s="208" t="s">
        <v>259</v>
      </c>
      <c r="D113" s="215">
        <v>2012</v>
      </c>
      <c r="E113" s="208">
        <v>1</v>
      </c>
      <c r="F113" s="208">
        <v>1</v>
      </c>
      <c r="G113" s="208" t="s">
        <v>187</v>
      </c>
      <c r="H113" s="208" t="s">
        <v>227</v>
      </c>
      <c r="I113" s="208" t="s">
        <v>228</v>
      </c>
      <c r="J113" s="208" t="s">
        <v>42</v>
      </c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>
        <v>1</v>
      </c>
      <c r="Y113" s="210"/>
      <c r="Z113" s="210"/>
      <c r="AA113" s="216">
        <v>0</v>
      </c>
      <c r="AB113" s="210"/>
      <c r="AC113" s="210"/>
      <c r="AD113" s="210"/>
      <c r="AE113" s="210"/>
      <c r="AF113" s="218">
        <v>247500</v>
      </c>
      <c r="AG113" s="218">
        <v>247500</v>
      </c>
      <c r="AH113" s="220" t="s">
        <v>252</v>
      </c>
      <c r="AI113" s="206" t="s">
        <v>204</v>
      </c>
      <c r="AJ113" s="209" t="s">
        <v>42</v>
      </c>
      <c r="AK113" s="206"/>
      <c r="AL113" s="208"/>
    </row>
    <row r="114" spans="1:39" s="15" customFormat="1" ht="15">
      <c r="A114" s="10">
        <v>3</v>
      </c>
      <c r="B114" s="13" t="s">
        <v>186</v>
      </c>
      <c r="C114" s="14" t="s">
        <v>260</v>
      </c>
      <c r="D114" s="74">
        <v>2012</v>
      </c>
      <c r="E114" s="14">
        <v>1</v>
      </c>
      <c r="F114" s="14">
        <v>1</v>
      </c>
      <c r="G114" s="14" t="s">
        <v>187</v>
      </c>
      <c r="H114" s="14" t="s">
        <v>252</v>
      </c>
      <c r="I114" s="14" t="s">
        <v>189</v>
      </c>
      <c r="J114" s="14" t="s">
        <v>42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>
        <v>1</v>
      </c>
      <c r="Y114" s="11"/>
      <c r="Z114" s="11"/>
      <c r="AA114" s="105">
        <v>0</v>
      </c>
      <c r="AB114" s="11"/>
      <c r="AC114" s="11"/>
      <c r="AD114" s="11"/>
      <c r="AE114" s="11"/>
      <c r="AF114" s="107"/>
      <c r="AG114" s="107"/>
      <c r="AH114" s="109" t="s">
        <v>252</v>
      </c>
      <c r="AI114" s="10" t="s">
        <v>189</v>
      </c>
      <c r="AJ114" s="9" t="s">
        <v>42</v>
      </c>
      <c r="AK114" s="10"/>
      <c r="AL114" s="14"/>
    </row>
    <row r="115" spans="1:39" s="213" customFormat="1" ht="15">
      <c r="A115" s="206">
        <v>4</v>
      </c>
      <c r="B115" s="207" t="s">
        <v>191</v>
      </c>
      <c r="C115" s="208" t="s">
        <v>192</v>
      </c>
      <c r="D115" s="215">
        <v>2015</v>
      </c>
      <c r="E115" s="208">
        <v>1</v>
      </c>
      <c r="F115" s="208">
        <v>1</v>
      </c>
      <c r="G115" s="208" t="s">
        <v>187</v>
      </c>
      <c r="H115" s="208" t="s">
        <v>252</v>
      </c>
      <c r="I115" s="208" t="s">
        <v>252</v>
      </c>
      <c r="J115" s="208" t="s">
        <v>42</v>
      </c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>
        <v>1</v>
      </c>
      <c r="Y115" s="210"/>
      <c r="Z115" s="210"/>
      <c r="AA115" s="216">
        <v>0</v>
      </c>
      <c r="AB115" s="210"/>
      <c r="AC115" s="210"/>
      <c r="AD115" s="210"/>
      <c r="AE115" s="210"/>
      <c r="AF115" s="218">
        <v>750000</v>
      </c>
      <c r="AG115" s="218">
        <v>750000</v>
      </c>
      <c r="AH115" s="220" t="s">
        <v>252</v>
      </c>
      <c r="AI115" s="208" t="s">
        <v>252</v>
      </c>
      <c r="AJ115" s="209" t="s">
        <v>42</v>
      </c>
      <c r="AK115" s="206"/>
      <c r="AL115" s="208"/>
    </row>
    <row r="116" spans="1:39" s="213" customFormat="1" ht="15">
      <c r="A116" s="206">
        <v>5</v>
      </c>
      <c r="B116" s="207" t="s">
        <v>261</v>
      </c>
      <c r="C116" s="208" t="s">
        <v>262</v>
      </c>
      <c r="D116" s="215">
        <v>2016</v>
      </c>
      <c r="E116" s="208">
        <v>1</v>
      </c>
      <c r="F116" s="208">
        <v>1</v>
      </c>
      <c r="G116" s="208" t="s">
        <v>187</v>
      </c>
      <c r="H116" s="208" t="s">
        <v>252</v>
      </c>
      <c r="I116" s="208" t="s">
        <v>189</v>
      </c>
      <c r="J116" s="208" t="s">
        <v>42</v>
      </c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>
        <v>1</v>
      </c>
      <c r="Y116" s="210"/>
      <c r="Z116" s="210"/>
      <c r="AA116" s="216">
        <v>0</v>
      </c>
      <c r="AB116" s="210"/>
      <c r="AC116" s="210"/>
      <c r="AD116" s="210"/>
      <c r="AE116" s="210"/>
      <c r="AF116" s="218">
        <v>550000</v>
      </c>
      <c r="AG116" s="218">
        <v>550000</v>
      </c>
      <c r="AH116" s="220" t="s">
        <v>252</v>
      </c>
      <c r="AI116" s="206" t="s">
        <v>189</v>
      </c>
      <c r="AJ116" s="209" t="s">
        <v>42</v>
      </c>
      <c r="AK116" s="206"/>
      <c r="AL116" s="208"/>
    </row>
    <row r="117" spans="1:39" s="213" customFormat="1" ht="15">
      <c r="A117" s="206">
        <v>6</v>
      </c>
      <c r="B117" s="207" t="s">
        <v>190</v>
      </c>
      <c r="C117" s="208" t="s">
        <v>263</v>
      </c>
      <c r="D117" s="215">
        <v>2017</v>
      </c>
      <c r="E117" s="208">
        <v>2</v>
      </c>
      <c r="F117" s="208">
        <v>2</v>
      </c>
      <c r="G117" s="208" t="s">
        <v>187</v>
      </c>
      <c r="H117" s="208" t="s">
        <v>252</v>
      </c>
      <c r="I117" s="208" t="s">
        <v>206</v>
      </c>
      <c r="J117" s="208" t="s">
        <v>42</v>
      </c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>
        <v>2</v>
      </c>
      <c r="Y117" s="210"/>
      <c r="Z117" s="210"/>
      <c r="AA117" s="216">
        <v>0</v>
      </c>
      <c r="AB117" s="210"/>
      <c r="AC117" s="210"/>
      <c r="AD117" s="210"/>
      <c r="AE117" s="210"/>
      <c r="AF117" s="218">
        <v>350000</v>
      </c>
      <c r="AG117" s="218">
        <v>700000</v>
      </c>
      <c r="AH117" s="220" t="s">
        <v>252</v>
      </c>
      <c r="AI117" s="228" t="s">
        <v>206</v>
      </c>
      <c r="AJ117" s="209" t="s">
        <v>42</v>
      </c>
      <c r="AK117" s="206"/>
      <c r="AL117" s="208"/>
    </row>
    <row r="118" spans="1:39" s="213" customFormat="1" ht="15">
      <c r="A118" s="206">
        <v>7</v>
      </c>
      <c r="B118" s="207" t="s">
        <v>266</v>
      </c>
      <c r="C118" s="208" t="s">
        <v>267</v>
      </c>
      <c r="D118" s="215">
        <v>2011</v>
      </c>
      <c r="E118" s="208">
        <v>4</v>
      </c>
      <c r="F118" s="208">
        <v>4</v>
      </c>
      <c r="G118" s="208" t="s">
        <v>187</v>
      </c>
      <c r="H118" s="208" t="s">
        <v>252</v>
      </c>
      <c r="I118" s="208" t="s">
        <v>268</v>
      </c>
      <c r="J118" s="208" t="s">
        <v>42</v>
      </c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>
        <v>4</v>
      </c>
      <c r="Y118" s="210"/>
      <c r="Z118" s="210"/>
      <c r="AA118" s="216">
        <v>0</v>
      </c>
      <c r="AB118" s="210"/>
      <c r="AC118" s="210"/>
      <c r="AD118" s="210"/>
      <c r="AE118" s="210"/>
      <c r="AF118" s="218">
        <v>2304545</v>
      </c>
      <c r="AG118" s="218">
        <v>9218180</v>
      </c>
      <c r="AH118" s="220" t="s">
        <v>252</v>
      </c>
      <c r="AI118" s="208" t="s">
        <v>268</v>
      </c>
      <c r="AJ118" s="209" t="s">
        <v>42</v>
      </c>
      <c r="AK118" s="206"/>
      <c r="AL118" s="208"/>
    </row>
    <row r="119" spans="1:39" s="213" customFormat="1" ht="15">
      <c r="A119" s="206">
        <v>8</v>
      </c>
      <c r="B119" s="207" t="s">
        <v>269</v>
      </c>
      <c r="C119" s="208" t="s">
        <v>270</v>
      </c>
      <c r="D119" s="215">
        <v>2011</v>
      </c>
      <c r="E119" s="208">
        <v>1</v>
      </c>
      <c r="F119" s="208">
        <v>1</v>
      </c>
      <c r="G119" s="208" t="s">
        <v>187</v>
      </c>
      <c r="H119" s="208" t="s">
        <v>252</v>
      </c>
      <c r="I119" s="208" t="s">
        <v>196</v>
      </c>
      <c r="J119" s="208" t="s">
        <v>42</v>
      </c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>
        <v>1</v>
      </c>
      <c r="Y119" s="210"/>
      <c r="Z119" s="210"/>
      <c r="AA119" s="216">
        <v>0</v>
      </c>
      <c r="AB119" s="210"/>
      <c r="AC119" s="210"/>
      <c r="AD119" s="210"/>
      <c r="AE119" s="210"/>
      <c r="AF119" s="218">
        <v>2854545</v>
      </c>
      <c r="AG119" s="218">
        <v>2854545</v>
      </c>
      <c r="AH119" s="220" t="s">
        <v>252</v>
      </c>
      <c r="AI119" s="206" t="s">
        <v>196</v>
      </c>
      <c r="AJ119" s="209" t="s">
        <v>42</v>
      </c>
      <c r="AK119" s="206"/>
      <c r="AL119" s="208"/>
    </row>
    <row r="120" spans="1:39" s="213" customFormat="1" ht="15.75" customHeight="1">
      <c r="A120" s="206">
        <v>9</v>
      </c>
      <c r="B120" s="207" t="s">
        <v>229</v>
      </c>
      <c r="C120" s="208" t="s">
        <v>271</v>
      </c>
      <c r="D120" s="215">
        <v>2011</v>
      </c>
      <c r="E120" s="208">
        <v>15</v>
      </c>
      <c r="F120" s="208">
        <v>15</v>
      </c>
      <c r="G120" s="208" t="s">
        <v>187</v>
      </c>
      <c r="H120" s="208" t="s">
        <v>252</v>
      </c>
      <c r="I120" s="208" t="s">
        <v>252</v>
      </c>
      <c r="J120" s="208" t="s">
        <v>42</v>
      </c>
      <c r="K120" s="208" t="s">
        <v>272</v>
      </c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>
        <v>15</v>
      </c>
      <c r="Y120" s="210"/>
      <c r="Z120" s="210"/>
      <c r="AA120" s="216">
        <v>0</v>
      </c>
      <c r="AB120" s="210"/>
      <c r="AC120" s="210"/>
      <c r="AD120" s="210"/>
      <c r="AE120" s="210"/>
      <c r="AF120" s="231">
        <v>228000</v>
      </c>
      <c r="AG120" s="227">
        <f>+AF120*15</f>
        <v>3420000</v>
      </c>
      <c r="AH120" s="220" t="s">
        <v>252</v>
      </c>
      <c r="AI120" s="228" t="s">
        <v>196</v>
      </c>
      <c r="AJ120" s="209" t="s">
        <v>42</v>
      </c>
      <c r="AK120" s="206"/>
      <c r="AL120" s="208"/>
    </row>
    <row r="121" spans="1:39" s="213" customFormat="1" ht="44.25" customHeight="1">
      <c r="A121" s="206">
        <v>10</v>
      </c>
      <c r="B121" s="207" t="s">
        <v>275</v>
      </c>
      <c r="C121" s="208" t="s">
        <v>276</v>
      </c>
      <c r="D121" s="215">
        <v>2011</v>
      </c>
      <c r="E121" s="208">
        <v>6</v>
      </c>
      <c r="F121" s="208">
        <v>6</v>
      </c>
      <c r="G121" s="208" t="s">
        <v>187</v>
      </c>
      <c r="H121" s="208" t="s">
        <v>252</v>
      </c>
      <c r="I121" s="208" t="s">
        <v>277</v>
      </c>
      <c r="J121" s="208" t="s">
        <v>42</v>
      </c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>
        <v>6</v>
      </c>
      <c r="Y121" s="210"/>
      <c r="Z121" s="210"/>
      <c r="AA121" s="216">
        <v>0</v>
      </c>
      <c r="AB121" s="210"/>
      <c r="AC121" s="210"/>
      <c r="AD121" s="210"/>
      <c r="AE121" s="210"/>
      <c r="AF121" s="218">
        <v>1590909</v>
      </c>
      <c r="AG121" s="218">
        <v>9545455</v>
      </c>
      <c r="AH121" s="220" t="s">
        <v>252</v>
      </c>
      <c r="AI121" s="208" t="s">
        <v>277</v>
      </c>
      <c r="AJ121" s="209" t="s">
        <v>42</v>
      </c>
      <c r="AK121" s="206"/>
      <c r="AL121" s="208"/>
    </row>
    <row r="122" spans="1:39" s="15" customFormat="1" ht="15">
      <c r="A122" s="10">
        <v>11</v>
      </c>
      <c r="B122" s="13" t="s">
        <v>255</v>
      </c>
      <c r="C122" s="14" t="s">
        <v>256</v>
      </c>
      <c r="D122" s="74">
        <v>2011</v>
      </c>
      <c r="E122" s="14">
        <v>4</v>
      </c>
      <c r="F122" s="14">
        <v>1</v>
      </c>
      <c r="G122" s="14" t="s">
        <v>187</v>
      </c>
      <c r="H122" s="14" t="s">
        <v>252</v>
      </c>
      <c r="I122" s="14" t="s">
        <v>279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>
        <v>4</v>
      </c>
      <c r="Y122" s="11"/>
      <c r="Z122" s="11"/>
      <c r="AA122" s="105">
        <v>0</v>
      </c>
      <c r="AB122" s="11"/>
      <c r="AC122" s="11"/>
      <c r="AD122" s="11"/>
      <c r="AE122" s="11"/>
      <c r="AF122" s="107">
        <v>490909</v>
      </c>
      <c r="AG122" s="107">
        <v>1963636</v>
      </c>
      <c r="AH122" s="109" t="s">
        <v>252</v>
      </c>
      <c r="AI122" s="14" t="s">
        <v>279</v>
      </c>
      <c r="AJ122" s="9" t="s">
        <v>42</v>
      </c>
      <c r="AK122" s="10"/>
      <c r="AL122" s="14"/>
    </row>
    <row r="123" spans="1:39" s="213" customFormat="1" ht="15">
      <c r="A123" s="206">
        <v>12</v>
      </c>
      <c r="B123" s="207" t="s">
        <v>255</v>
      </c>
      <c r="C123" s="208" t="s">
        <v>278</v>
      </c>
      <c r="D123" s="215">
        <v>2011</v>
      </c>
      <c r="E123" s="208">
        <v>1</v>
      </c>
      <c r="F123" s="208">
        <v>1</v>
      </c>
      <c r="G123" s="208" t="s">
        <v>187</v>
      </c>
      <c r="H123" s="208" t="s">
        <v>252</v>
      </c>
      <c r="I123" s="208" t="s">
        <v>279</v>
      </c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>
        <v>1</v>
      </c>
      <c r="Y123" s="210"/>
      <c r="Z123" s="210"/>
      <c r="AA123" s="216">
        <v>0</v>
      </c>
      <c r="AB123" s="210"/>
      <c r="AC123" s="210"/>
      <c r="AD123" s="210"/>
      <c r="AE123" s="210"/>
      <c r="AF123" s="218">
        <v>117500</v>
      </c>
      <c r="AG123" s="218">
        <v>117500</v>
      </c>
      <c r="AH123" s="220" t="s">
        <v>252</v>
      </c>
      <c r="AI123" s="208" t="s">
        <v>279</v>
      </c>
      <c r="AJ123" s="209" t="s">
        <v>42</v>
      </c>
      <c r="AK123" s="206"/>
      <c r="AL123" s="208"/>
    </row>
    <row r="124" spans="1:39" s="213" customFormat="1" ht="15">
      <c r="A124" s="206">
        <v>13</v>
      </c>
      <c r="B124" s="207" t="s">
        <v>280</v>
      </c>
      <c r="C124" s="208" t="s">
        <v>494</v>
      </c>
      <c r="D124" s="215">
        <v>2011</v>
      </c>
      <c r="E124" s="208">
        <v>2</v>
      </c>
      <c r="F124" s="208">
        <v>2</v>
      </c>
      <c r="G124" s="208" t="s">
        <v>187</v>
      </c>
      <c r="H124" s="208" t="s">
        <v>252</v>
      </c>
      <c r="I124" s="208" t="s">
        <v>281</v>
      </c>
      <c r="J124" s="208" t="s">
        <v>42</v>
      </c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>
        <v>1</v>
      </c>
      <c r="Y124" s="210"/>
      <c r="Z124" s="210"/>
      <c r="AA124" s="216" t="s">
        <v>453</v>
      </c>
      <c r="AB124" s="210"/>
      <c r="AC124" s="210"/>
      <c r="AD124" s="210"/>
      <c r="AE124" s="210"/>
      <c r="AF124" s="218">
        <v>1595455</v>
      </c>
      <c r="AG124" s="218">
        <v>1595455</v>
      </c>
      <c r="AH124" s="220" t="s">
        <v>252</v>
      </c>
      <c r="AI124" s="206" t="s">
        <v>281</v>
      </c>
      <c r="AJ124" s="209" t="s">
        <v>42</v>
      </c>
      <c r="AK124" s="232"/>
      <c r="AL124" s="233"/>
      <c r="AM124" s="213" t="s">
        <v>648</v>
      </c>
    </row>
    <row r="125" spans="1:39" s="213" customFormat="1" ht="41.25" customHeight="1">
      <c r="A125" s="206">
        <v>14</v>
      </c>
      <c r="B125" s="207" t="s">
        <v>282</v>
      </c>
      <c r="C125" s="208" t="s">
        <v>283</v>
      </c>
      <c r="D125" s="215">
        <v>2011</v>
      </c>
      <c r="E125" s="208">
        <v>7</v>
      </c>
      <c r="F125" s="208">
        <v>7</v>
      </c>
      <c r="G125" s="208" t="s">
        <v>187</v>
      </c>
      <c r="H125" s="208" t="s">
        <v>252</v>
      </c>
      <c r="I125" s="208" t="s">
        <v>284</v>
      </c>
      <c r="J125" s="208" t="s">
        <v>42</v>
      </c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>
        <v>7</v>
      </c>
      <c r="Y125" s="210"/>
      <c r="Z125" s="210"/>
      <c r="AA125" s="216">
        <v>0</v>
      </c>
      <c r="AB125" s="210"/>
      <c r="AC125" s="210"/>
      <c r="AD125" s="210"/>
      <c r="AE125" s="210"/>
      <c r="AF125" s="218">
        <v>2700000</v>
      </c>
      <c r="AG125" s="218">
        <v>18900000</v>
      </c>
      <c r="AH125" s="220" t="s">
        <v>252</v>
      </c>
      <c r="AI125" s="228" t="s">
        <v>284</v>
      </c>
      <c r="AJ125" s="209" t="s">
        <v>42</v>
      </c>
      <c r="AK125" s="206"/>
      <c r="AL125" s="208"/>
    </row>
    <row r="126" spans="1:39" s="15" customFormat="1" ht="15">
      <c r="A126" s="10">
        <v>15</v>
      </c>
      <c r="B126" s="13" t="s">
        <v>285</v>
      </c>
      <c r="C126" s="14" t="s">
        <v>286</v>
      </c>
      <c r="D126" s="74">
        <v>2011</v>
      </c>
      <c r="E126" s="14">
        <v>1</v>
      </c>
      <c r="F126" s="14">
        <v>1</v>
      </c>
      <c r="G126" s="14" t="s">
        <v>187</v>
      </c>
      <c r="H126" s="14" t="s">
        <v>252</v>
      </c>
      <c r="I126" s="14" t="s">
        <v>287</v>
      </c>
      <c r="J126" s="14" t="s">
        <v>42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>
        <v>1</v>
      </c>
      <c r="Y126" s="11"/>
      <c r="Z126" s="11"/>
      <c r="AA126" s="105">
        <v>0</v>
      </c>
      <c r="AB126" s="11"/>
      <c r="AC126" s="11"/>
      <c r="AD126" s="11"/>
      <c r="AE126" s="11"/>
      <c r="AF126" s="107"/>
      <c r="AG126" s="107"/>
      <c r="AH126" s="109" t="s">
        <v>252</v>
      </c>
      <c r="AI126" s="10" t="s">
        <v>287</v>
      </c>
      <c r="AJ126" s="9" t="s">
        <v>42</v>
      </c>
      <c r="AK126" s="10"/>
      <c r="AL126" s="14"/>
    </row>
    <row r="127" spans="1:39" s="213" customFormat="1" ht="17.25" customHeight="1">
      <c r="A127" s="206">
        <v>16</v>
      </c>
      <c r="B127" s="207" t="s">
        <v>288</v>
      </c>
      <c r="C127" s="208" t="s">
        <v>289</v>
      </c>
      <c r="D127" s="215">
        <v>2011</v>
      </c>
      <c r="E127" s="208">
        <v>2</v>
      </c>
      <c r="F127" s="208"/>
      <c r="G127" s="208" t="s">
        <v>187</v>
      </c>
      <c r="H127" s="208" t="s">
        <v>252</v>
      </c>
      <c r="I127" s="208" t="s">
        <v>290</v>
      </c>
      <c r="J127" s="208" t="s">
        <v>42</v>
      </c>
      <c r="K127" s="208"/>
      <c r="L127" s="208"/>
      <c r="M127" s="208" t="s">
        <v>291</v>
      </c>
      <c r="N127" s="208"/>
      <c r="O127" s="208"/>
      <c r="P127" s="208" t="s">
        <v>289</v>
      </c>
      <c r="Q127" s="208"/>
      <c r="R127" s="208"/>
      <c r="S127" s="208"/>
      <c r="T127" s="208"/>
      <c r="U127" s="208"/>
      <c r="V127" s="208"/>
      <c r="W127" s="208"/>
      <c r="X127" s="208">
        <v>2</v>
      </c>
      <c r="Y127" s="210"/>
      <c r="Z127" s="210"/>
      <c r="AA127" s="216">
        <v>0</v>
      </c>
      <c r="AB127" s="210"/>
      <c r="AC127" s="210"/>
      <c r="AD127" s="210"/>
      <c r="AE127" s="210"/>
      <c r="AF127" s="218">
        <v>487000</v>
      </c>
      <c r="AG127" s="218">
        <v>974000</v>
      </c>
      <c r="AH127" s="220" t="s">
        <v>252</v>
      </c>
      <c r="AI127" s="206" t="s">
        <v>305</v>
      </c>
      <c r="AJ127" s="209" t="s">
        <v>42</v>
      </c>
      <c r="AK127" s="206"/>
      <c r="AL127" s="208"/>
    </row>
    <row r="128" spans="1:39" s="213" customFormat="1" ht="15">
      <c r="A128" s="206">
        <v>17</v>
      </c>
      <c r="B128" s="207" t="s">
        <v>292</v>
      </c>
      <c r="C128" s="208" t="s">
        <v>293</v>
      </c>
      <c r="D128" s="215">
        <v>2011</v>
      </c>
      <c r="E128" s="208">
        <v>2</v>
      </c>
      <c r="F128" s="208"/>
      <c r="G128" s="208" t="s">
        <v>187</v>
      </c>
      <c r="H128" s="208" t="s">
        <v>252</v>
      </c>
      <c r="I128" s="208" t="s">
        <v>294</v>
      </c>
      <c r="J128" s="208" t="s">
        <v>42</v>
      </c>
      <c r="K128" s="208"/>
      <c r="L128" s="208"/>
      <c r="M128" s="208" t="s">
        <v>295</v>
      </c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>
        <v>2</v>
      </c>
      <c r="Y128" s="210"/>
      <c r="Z128" s="210"/>
      <c r="AA128" s="216">
        <v>0</v>
      </c>
      <c r="AB128" s="210"/>
      <c r="AC128" s="210"/>
      <c r="AD128" s="210"/>
      <c r="AE128" s="210"/>
      <c r="AF128" s="218">
        <v>487000</v>
      </c>
      <c r="AG128" s="218">
        <v>974000</v>
      </c>
      <c r="AH128" s="220" t="s">
        <v>252</v>
      </c>
      <c r="AI128" s="208" t="s">
        <v>294</v>
      </c>
      <c r="AJ128" s="209" t="s">
        <v>42</v>
      </c>
      <c r="AK128" s="206"/>
      <c r="AL128" s="208"/>
    </row>
    <row r="129" spans="1:38" s="213" customFormat="1" ht="15">
      <c r="A129" s="206">
        <v>18</v>
      </c>
      <c r="B129" s="207" t="s">
        <v>296</v>
      </c>
      <c r="C129" s="208" t="s">
        <v>297</v>
      </c>
      <c r="D129" s="215">
        <v>2011</v>
      </c>
      <c r="E129" s="208">
        <v>1</v>
      </c>
      <c r="F129" s="208">
        <v>1</v>
      </c>
      <c r="G129" s="208" t="s">
        <v>187</v>
      </c>
      <c r="H129" s="208" t="s">
        <v>252</v>
      </c>
      <c r="I129" s="208" t="s">
        <v>298</v>
      </c>
      <c r="J129" s="208" t="s">
        <v>42</v>
      </c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>
        <v>1</v>
      </c>
      <c r="Y129" s="210"/>
      <c r="Z129" s="210"/>
      <c r="AA129" s="216">
        <v>0</v>
      </c>
      <c r="AB129" s="210"/>
      <c r="AC129" s="210"/>
      <c r="AD129" s="210"/>
      <c r="AE129" s="210"/>
      <c r="AF129" s="218">
        <v>2700000</v>
      </c>
      <c r="AG129" s="218">
        <v>2700000</v>
      </c>
      <c r="AH129" s="220" t="s">
        <v>252</v>
      </c>
      <c r="AI129" s="206" t="s">
        <v>298</v>
      </c>
      <c r="AJ129" s="209" t="s">
        <v>42</v>
      </c>
      <c r="AK129" s="206"/>
      <c r="AL129" s="208"/>
    </row>
    <row r="130" spans="1:38" s="213" customFormat="1" ht="15">
      <c r="A130" s="206">
        <v>20</v>
      </c>
      <c r="B130" s="207" t="s">
        <v>135</v>
      </c>
      <c r="C130" s="208" t="s">
        <v>302</v>
      </c>
      <c r="D130" s="215">
        <v>2012</v>
      </c>
      <c r="E130" s="208">
        <v>1</v>
      </c>
      <c r="F130" s="208">
        <v>1</v>
      </c>
      <c r="G130" s="208" t="s">
        <v>187</v>
      </c>
      <c r="H130" s="208" t="s">
        <v>252</v>
      </c>
      <c r="I130" s="208" t="s">
        <v>287</v>
      </c>
      <c r="J130" s="208" t="s">
        <v>42</v>
      </c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>
        <v>1</v>
      </c>
      <c r="Y130" s="210"/>
      <c r="Z130" s="210"/>
      <c r="AA130" s="216">
        <v>0</v>
      </c>
      <c r="AB130" s="210"/>
      <c r="AC130" s="210"/>
      <c r="AD130" s="210"/>
      <c r="AE130" s="210"/>
      <c r="AF130" s="227">
        <v>4000000</v>
      </c>
      <c r="AG130" s="227">
        <v>4000000</v>
      </c>
      <c r="AH130" s="220" t="s">
        <v>252</v>
      </c>
      <c r="AI130" s="206" t="s">
        <v>306</v>
      </c>
      <c r="AJ130" s="209" t="s">
        <v>42</v>
      </c>
      <c r="AK130" s="206"/>
      <c r="AL130" s="208"/>
    </row>
    <row r="131" spans="1:38" s="15" customFormat="1" ht="15">
      <c r="A131" s="10">
        <v>21</v>
      </c>
      <c r="B131" s="13" t="s">
        <v>190</v>
      </c>
      <c r="C131" s="14" t="s">
        <v>303</v>
      </c>
      <c r="D131" s="74">
        <v>2014</v>
      </c>
      <c r="E131" s="14">
        <v>2</v>
      </c>
      <c r="F131" s="14">
        <v>2</v>
      </c>
      <c r="G131" s="14" t="s">
        <v>187</v>
      </c>
      <c r="H131" s="14" t="s">
        <v>252</v>
      </c>
      <c r="I131" s="14" t="s">
        <v>304</v>
      </c>
      <c r="J131" s="14" t="s">
        <v>42</v>
      </c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>
        <v>2</v>
      </c>
      <c r="Y131" s="11"/>
      <c r="Z131" s="11"/>
      <c r="AA131" s="105">
        <v>0</v>
      </c>
      <c r="AB131" s="11"/>
      <c r="AC131" s="11"/>
      <c r="AD131" s="11"/>
      <c r="AE131" s="11"/>
      <c r="AF131" s="107">
        <v>380000</v>
      </c>
      <c r="AG131" s="107">
        <v>760000</v>
      </c>
      <c r="AH131" s="109" t="s">
        <v>252</v>
      </c>
      <c r="AI131" s="14" t="s">
        <v>304</v>
      </c>
      <c r="AJ131" s="9" t="s">
        <v>42</v>
      </c>
      <c r="AK131" s="10"/>
      <c r="AL131" s="14"/>
    </row>
    <row r="132" spans="1:38" s="15" customFormat="1" ht="15">
      <c r="A132" s="10">
        <v>22</v>
      </c>
      <c r="B132" s="13" t="s">
        <v>313</v>
      </c>
      <c r="C132" s="14"/>
      <c r="D132" s="74">
        <v>2022</v>
      </c>
      <c r="E132" s="14">
        <v>1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>
        <v>1</v>
      </c>
      <c r="Y132" s="11"/>
      <c r="Z132" s="11"/>
      <c r="AA132" s="105">
        <v>0</v>
      </c>
      <c r="AB132" s="11"/>
      <c r="AC132" s="11"/>
      <c r="AD132" s="11"/>
      <c r="AE132" s="11"/>
      <c r="AF132" s="76">
        <v>7740000</v>
      </c>
      <c r="AG132" s="76">
        <v>7740000</v>
      </c>
      <c r="AH132" s="109" t="s">
        <v>252</v>
      </c>
      <c r="AI132" s="14" t="s">
        <v>185</v>
      </c>
      <c r="AJ132" s="9" t="s">
        <v>42</v>
      </c>
      <c r="AK132" s="10"/>
      <c r="AL132" s="14" t="s">
        <v>653</v>
      </c>
    </row>
    <row r="133" spans="1:38" s="213" customFormat="1" ht="15">
      <c r="A133" s="206">
        <v>23</v>
      </c>
      <c r="B133" s="207" t="s">
        <v>135</v>
      </c>
      <c r="C133" s="208" t="s">
        <v>347</v>
      </c>
      <c r="D133" s="215">
        <v>2010</v>
      </c>
      <c r="E133" s="206">
        <v>1</v>
      </c>
      <c r="F133" s="206">
        <v>1</v>
      </c>
      <c r="G133" s="206" t="s">
        <v>187</v>
      </c>
      <c r="H133" s="206" t="s">
        <v>188</v>
      </c>
      <c r="I133" s="206" t="s">
        <v>204</v>
      </c>
      <c r="J133" s="206" t="s">
        <v>42</v>
      </c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>
        <v>1</v>
      </c>
      <c r="Y133" s="206"/>
      <c r="Z133" s="206"/>
      <c r="AA133" s="211">
        <v>0</v>
      </c>
      <c r="AB133" s="210"/>
      <c r="AC133" s="210"/>
      <c r="AD133" s="210"/>
      <c r="AE133" s="210"/>
      <c r="AF133" s="218">
        <v>2172727</v>
      </c>
      <c r="AG133" s="218">
        <v>2172727</v>
      </c>
      <c r="AH133" s="220" t="s">
        <v>252</v>
      </c>
      <c r="AI133" s="206" t="s">
        <v>208</v>
      </c>
      <c r="AJ133" s="206" t="s">
        <v>42</v>
      </c>
      <c r="AK133" s="209"/>
      <c r="AL133" s="208"/>
    </row>
    <row r="134" spans="1:38" s="15" customFormat="1" ht="45">
      <c r="A134" s="122">
        <v>24</v>
      </c>
      <c r="B134" s="123" t="s">
        <v>125</v>
      </c>
      <c r="C134" s="124" t="s">
        <v>436</v>
      </c>
      <c r="D134" s="125">
        <v>2022</v>
      </c>
      <c r="E134" s="122">
        <v>3</v>
      </c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>
        <v>3</v>
      </c>
      <c r="Y134" s="126"/>
      <c r="Z134" s="126"/>
      <c r="AA134" s="127" t="s">
        <v>493</v>
      </c>
      <c r="AB134" s="126"/>
      <c r="AC134" s="126"/>
      <c r="AD134" s="126"/>
      <c r="AE134" s="126"/>
      <c r="AF134" s="104">
        <v>660000</v>
      </c>
      <c r="AG134" s="104">
        <f>+X134*AF134</f>
        <v>1980000</v>
      </c>
      <c r="AH134" s="122" t="s">
        <v>80</v>
      </c>
      <c r="AI134" s="122" t="s">
        <v>334</v>
      </c>
      <c r="AJ134" s="122" t="s">
        <v>42</v>
      </c>
      <c r="AK134" s="122"/>
      <c r="AL134" s="123"/>
    </row>
    <row r="135" spans="1:38" s="79" customFormat="1" ht="21.75" customHeight="1">
      <c r="A135" s="57" t="s">
        <v>39</v>
      </c>
      <c r="B135" s="128" t="s">
        <v>513</v>
      </c>
      <c r="C135" s="58"/>
      <c r="D135" s="129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1"/>
      <c r="Z135" s="131"/>
      <c r="AA135" s="132"/>
      <c r="AB135" s="131"/>
      <c r="AC135" s="131"/>
      <c r="AD135" s="131"/>
      <c r="AE135" s="131"/>
      <c r="AF135" s="133"/>
      <c r="AG135" s="133"/>
      <c r="AH135" s="130"/>
      <c r="AI135" s="130"/>
      <c r="AJ135" s="130"/>
      <c r="AK135" s="130"/>
      <c r="AL135" s="64"/>
    </row>
    <row r="136" spans="1:38" s="213" customFormat="1" ht="21.75" customHeight="1">
      <c r="A136" s="206">
        <v>1</v>
      </c>
      <c r="B136" s="239" t="s">
        <v>510</v>
      </c>
      <c r="C136" s="236" t="s">
        <v>511</v>
      </c>
      <c r="D136" s="236">
        <v>2015</v>
      </c>
      <c r="E136" s="206">
        <v>1</v>
      </c>
      <c r="F136" s="206">
        <v>1</v>
      </c>
      <c r="G136" s="206" t="s">
        <v>187</v>
      </c>
      <c r="H136" s="206" t="s">
        <v>188</v>
      </c>
      <c r="I136" s="206" t="s">
        <v>204</v>
      </c>
      <c r="J136" s="206" t="s">
        <v>42</v>
      </c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>
        <v>1</v>
      </c>
      <c r="Y136" s="206"/>
      <c r="Z136" s="206"/>
      <c r="AA136" s="211">
        <v>0</v>
      </c>
      <c r="AB136" s="210"/>
      <c r="AC136" s="210"/>
      <c r="AD136" s="210"/>
      <c r="AE136" s="210"/>
      <c r="AF136" s="240">
        <v>6540000</v>
      </c>
      <c r="AG136" s="240">
        <v>6540000</v>
      </c>
      <c r="AH136" s="206" t="s">
        <v>80</v>
      </c>
      <c r="AI136" s="206"/>
      <c r="AJ136" s="206" t="s">
        <v>641</v>
      </c>
      <c r="AK136" s="206" t="s">
        <v>480</v>
      </c>
      <c r="AL136" s="208" t="s">
        <v>606</v>
      </c>
    </row>
    <row r="137" spans="1:38" s="213" customFormat="1" ht="21.75" customHeight="1">
      <c r="A137" s="206">
        <v>2</v>
      </c>
      <c r="B137" s="239" t="s">
        <v>510</v>
      </c>
      <c r="C137" s="236" t="s">
        <v>512</v>
      </c>
      <c r="D137" s="236">
        <v>2015</v>
      </c>
      <c r="E137" s="206">
        <v>1</v>
      </c>
      <c r="F137" s="206">
        <v>1</v>
      </c>
      <c r="G137" s="206" t="s">
        <v>187</v>
      </c>
      <c r="H137" s="206" t="s">
        <v>188</v>
      </c>
      <c r="I137" s="206" t="s">
        <v>204</v>
      </c>
      <c r="J137" s="206" t="s">
        <v>42</v>
      </c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>
        <v>1</v>
      </c>
      <c r="Y137" s="206"/>
      <c r="Z137" s="206"/>
      <c r="AA137" s="211">
        <v>0</v>
      </c>
      <c r="AB137" s="210"/>
      <c r="AC137" s="210"/>
      <c r="AD137" s="210"/>
      <c r="AE137" s="210"/>
      <c r="AF137" s="240">
        <v>6540000</v>
      </c>
      <c r="AG137" s="240">
        <v>6540000</v>
      </c>
      <c r="AH137" s="206" t="s">
        <v>80</v>
      </c>
      <c r="AI137" s="206"/>
      <c r="AJ137" s="206" t="s">
        <v>641</v>
      </c>
      <c r="AK137" s="206" t="s">
        <v>480</v>
      </c>
      <c r="AL137" s="208" t="s">
        <v>606</v>
      </c>
    </row>
    <row r="138" spans="1:38" s="213" customFormat="1" ht="21.75" customHeight="1">
      <c r="A138" s="206">
        <v>3</v>
      </c>
      <c r="B138" s="241" t="s">
        <v>514</v>
      </c>
      <c r="C138" s="236" t="s">
        <v>515</v>
      </c>
      <c r="D138" s="236">
        <v>2014</v>
      </c>
      <c r="E138" s="206">
        <v>1</v>
      </c>
      <c r="F138" s="206">
        <v>1</v>
      </c>
      <c r="G138" s="206" t="s">
        <v>187</v>
      </c>
      <c r="H138" s="206" t="s">
        <v>188</v>
      </c>
      <c r="I138" s="206" t="s">
        <v>204</v>
      </c>
      <c r="J138" s="206" t="s">
        <v>42</v>
      </c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>
        <v>1</v>
      </c>
      <c r="Y138" s="206"/>
      <c r="Z138" s="206"/>
      <c r="AA138" s="211">
        <v>0</v>
      </c>
      <c r="AB138" s="210"/>
      <c r="AC138" s="210"/>
      <c r="AD138" s="210"/>
      <c r="AE138" s="210"/>
      <c r="AF138" s="240">
        <v>400000</v>
      </c>
      <c r="AG138" s="240">
        <v>400000</v>
      </c>
      <c r="AH138" s="206" t="s">
        <v>80</v>
      </c>
      <c r="AI138" s="206"/>
      <c r="AJ138" s="206" t="s">
        <v>642</v>
      </c>
      <c r="AK138" s="206" t="s">
        <v>480</v>
      </c>
      <c r="AL138" s="208" t="s">
        <v>606</v>
      </c>
    </row>
    <row r="139" spans="1:38" s="213" customFormat="1" ht="21.75" customHeight="1">
      <c r="A139" s="206">
        <v>4</v>
      </c>
      <c r="B139" s="241" t="s">
        <v>514</v>
      </c>
      <c r="C139" s="236" t="s">
        <v>516</v>
      </c>
      <c r="D139" s="236">
        <v>2014</v>
      </c>
      <c r="E139" s="206">
        <v>1</v>
      </c>
      <c r="F139" s="206">
        <v>1</v>
      </c>
      <c r="G139" s="206" t="s">
        <v>187</v>
      </c>
      <c r="H139" s="206" t="s">
        <v>188</v>
      </c>
      <c r="I139" s="206" t="s">
        <v>204</v>
      </c>
      <c r="J139" s="206" t="s">
        <v>42</v>
      </c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>
        <v>1</v>
      </c>
      <c r="Y139" s="206"/>
      <c r="Z139" s="206"/>
      <c r="AA139" s="211">
        <v>0</v>
      </c>
      <c r="AB139" s="210"/>
      <c r="AC139" s="210"/>
      <c r="AD139" s="210"/>
      <c r="AE139" s="210"/>
      <c r="AF139" s="240">
        <v>400000</v>
      </c>
      <c r="AG139" s="240">
        <v>400000</v>
      </c>
      <c r="AH139" s="206" t="s">
        <v>80</v>
      </c>
      <c r="AI139" s="206"/>
      <c r="AJ139" s="206" t="s">
        <v>642</v>
      </c>
      <c r="AK139" s="206" t="s">
        <v>480</v>
      </c>
      <c r="AL139" s="208" t="s">
        <v>606</v>
      </c>
    </row>
    <row r="140" spans="1:38" s="213" customFormat="1" ht="21.75" customHeight="1">
      <c r="A140" s="206">
        <v>5</v>
      </c>
      <c r="B140" s="241" t="s">
        <v>514</v>
      </c>
      <c r="C140" s="236" t="s">
        <v>517</v>
      </c>
      <c r="D140" s="236">
        <v>2014</v>
      </c>
      <c r="E140" s="206">
        <v>1</v>
      </c>
      <c r="F140" s="206">
        <v>1</v>
      </c>
      <c r="G140" s="206" t="s">
        <v>187</v>
      </c>
      <c r="H140" s="206" t="s">
        <v>188</v>
      </c>
      <c r="I140" s="206" t="s">
        <v>204</v>
      </c>
      <c r="J140" s="206" t="s">
        <v>42</v>
      </c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>
        <v>1</v>
      </c>
      <c r="Y140" s="206"/>
      <c r="Z140" s="206"/>
      <c r="AA140" s="211">
        <v>0</v>
      </c>
      <c r="AB140" s="210"/>
      <c r="AC140" s="210"/>
      <c r="AD140" s="210"/>
      <c r="AE140" s="210"/>
      <c r="AF140" s="240">
        <v>400000</v>
      </c>
      <c r="AG140" s="240">
        <v>400000</v>
      </c>
      <c r="AH140" s="206" t="s">
        <v>80</v>
      </c>
      <c r="AI140" s="206"/>
      <c r="AJ140" s="206" t="s">
        <v>642</v>
      </c>
      <c r="AK140" s="206" t="s">
        <v>480</v>
      </c>
      <c r="AL140" s="208" t="s">
        <v>606</v>
      </c>
    </row>
    <row r="141" spans="1:38" s="213" customFormat="1" ht="21.75" customHeight="1">
      <c r="A141" s="206">
        <v>6</v>
      </c>
      <c r="B141" s="241" t="s">
        <v>514</v>
      </c>
      <c r="C141" s="236" t="s">
        <v>518</v>
      </c>
      <c r="D141" s="236">
        <v>2014</v>
      </c>
      <c r="E141" s="206">
        <v>1</v>
      </c>
      <c r="F141" s="206">
        <v>1</v>
      </c>
      <c r="G141" s="206" t="s">
        <v>187</v>
      </c>
      <c r="H141" s="206" t="s">
        <v>188</v>
      </c>
      <c r="I141" s="206" t="s">
        <v>204</v>
      </c>
      <c r="J141" s="206" t="s">
        <v>42</v>
      </c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>
        <v>1</v>
      </c>
      <c r="Y141" s="206"/>
      <c r="Z141" s="206"/>
      <c r="AA141" s="211">
        <v>0</v>
      </c>
      <c r="AB141" s="210"/>
      <c r="AC141" s="210"/>
      <c r="AD141" s="210"/>
      <c r="AE141" s="210"/>
      <c r="AF141" s="240">
        <v>400000</v>
      </c>
      <c r="AG141" s="240">
        <v>400000</v>
      </c>
      <c r="AH141" s="206" t="s">
        <v>80</v>
      </c>
      <c r="AI141" s="206"/>
      <c r="AJ141" s="206" t="s">
        <v>642</v>
      </c>
      <c r="AK141" s="206" t="s">
        <v>480</v>
      </c>
      <c r="AL141" s="208" t="s">
        <v>606</v>
      </c>
    </row>
    <row r="142" spans="1:38" s="213" customFormat="1" ht="21.75" customHeight="1">
      <c r="A142" s="206">
        <v>7</v>
      </c>
      <c r="B142" s="241" t="s">
        <v>514</v>
      </c>
      <c r="C142" s="236" t="s">
        <v>519</v>
      </c>
      <c r="D142" s="236">
        <v>2014</v>
      </c>
      <c r="E142" s="206">
        <v>1</v>
      </c>
      <c r="F142" s="206">
        <v>1</v>
      </c>
      <c r="G142" s="206" t="s">
        <v>187</v>
      </c>
      <c r="H142" s="206" t="s">
        <v>188</v>
      </c>
      <c r="I142" s="206" t="s">
        <v>204</v>
      </c>
      <c r="J142" s="206" t="s">
        <v>42</v>
      </c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>
        <v>1</v>
      </c>
      <c r="Y142" s="206"/>
      <c r="Z142" s="206"/>
      <c r="AA142" s="211">
        <v>0</v>
      </c>
      <c r="AB142" s="210"/>
      <c r="AC142" s="210"/>
      <c r="AD142" s="210"/>
      <c r="AE142" s="210"/>
      <c r="AF142" s="240">
        <v>400000</v>
      </c>
      <c r="AG142" s="240">
        <v>400000</v>
      </c>
      <c r="AH142" s="206" t="s">
        <v>80</v>
      </c>
      <c r="AI142" s="206"/>
      <c r="AJ142" s="206" t="s">
        <v>642</v>
      </c>
      <c r="AK142" s="206" t="s">
        <v>480</v>
      </c>
      <c r="AL142" s="208" t="s">
        <v>606</v>
      </c>
    </row>
    <row r="143" spans="1:38" s="213" customFormat="1" ht="21.75" customHeight="1">
      <c r="A143" s="206">
        <v>8</v>
      </c>
      <c r="B143" s="241" t="s">
        <v>514</v>
      </c>
      <c r="C143" s="236" t="s">
        <v>520</v>
      </c>
      <c r="D143" s="236">
        <v>2014</v>
      </c>
      <c r="E143" s="206">
        <v>1</v>
      </c>
      <c r="F143" s="206">
        <v>1</v>
      </c>
      <c r="G143" s="206" t="s">
        <v>187</v>
      </c>
      <c r="H143" s="206" t="s">
        <v>188</v>
      </c>
      <c r="I143" s="206" t="s">
        <v>204</v>
      </c>
      <c r="J143" s="206" t="s">
        <v>42</v>
      </c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>
        <v>1</v>
      </c>
      <c r="Y143" s="206"/>
      <c r="Z143" s="206"/>
      <c r="AA143" s="211">
        <v>0</v>
      </c>
      <c r="AB143" s="210"/>
      <c r="AC143" s="210"/>
      <c r="AD143" s="210"/>
      <c r="AE143" s="210"/>
      <c r="AF143" s="240">
        <v>400000</v>
      </c>
      <c r="AG143" s="240">
        <v>400000</v>
      </c>
      <c r="AH143" s="206" t="s">
        <v>80</v>
      </c>
      <c r="AI143" s="206"/>
      <c r="AJ143" s="206" t="s">
        <v>642</v>
      </c>
      <c r="AK143" s="206" t="s">
        <v>480</v>
      </c>
      <c r="AL143" s="208" t="s">
        <v>606</v>
      </c>
    </row>
    <row r="144" spans="1:38" s="213" customFormat="1" ht="36" customHeight="1">
      <c r="A144" s="206">
        <v>9</v>
      </c>
      <c r="B144" s="241" t="s">
        <v>521</v>
      </c>
      <c r="C144" s="236" t="s">
        <v>522</v>
      </c>
      <c r="D144" s="236">
        <v>2014</v>
      </c>
      <c r="E144" s="206">
        <v>1</v>
      </c>
      <c r="F144" s="206">
        <v>1</v>
      </c>
      <c r="G144" s="206" t="s">
        <v>187</v>
      </c>
      <c r="H144" s="206" t="s">
        <v>188</v>
      </c>
      <c r="I144" s="206" t="s">
        <v>204</v>
      </c>
      <c r="J144" s="206" t="s">
        <v>42</v>
      </c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>
        <v>1</v>
      </c>
      <c r="Y144" s="206"/>
      <c r="Z144" s="206"/>
      <c r="AA144" s="211">
        <v>0</v>
      </c>
      <c r="AB144" s="210"/>
      <c r="AC144" s="210"/>
      <c r="AD144" s="210"/>
      <c r="AE144" s="210"/>
      <c r="AF144" s="240">
        <v>1100000</v>
      </c>
      <c r="AG144" s="240">
        <v>1100000</v>
      </c>
      <c r="AH144" s="206" t="s">
        <v>80</v>
      </c>
      <c r="AI144" s="206"/>
      <c r="AJ144" s="206" t="s">
        <v>641</v>
      </c>
      <c r="AK144" s="206" t="s">
        <v>480</v>
      </c>
      <c r="AL144" s="208" t="s">
        <v>606</v>
      </c>
    </row>
    <row r="145" spans="1:38" s="213" customFormat="1" ht="21.75" customHeight="1">
      <c r="A145" s="206">
        <v>10</v>
      </c>
      <c r="B145" s="241" t="s">
        <v>523</v>
      </c>
      <c r="C145" s="236" t="s">
        <v>524</v>
      </c>
      <c r="D145" s="236">
        <v>2014</v>
      </c>
      <c r="E145" s="206">
        <v>1</v>
      </c>
      <c r="F145" s="206">
        <v>1</v>
      </c>
      <c r="G145" s="206" t="s">
        <v>187</v>
      </c>
      <c r="H145" s="206" t="s">
        <v>188</v>
      </c>
      <c r="I145" s="206" t="s">
        <v>204</v>
      </c>
      <c r="J145" s="206" t="s">
        <v>42</v>
      </c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>
        <v>1</v>
      </c>
      <c r="Y145" s="206"/>
      <c r="Z145" s="206"/>
      <c r="AA145" s="211">
        <v>0</v>
      </c>
      <c r="AB145" s="210"/>
      <c r="AC145" s="210"/>
      <c r="AD145" s="210"/>
      <c r="AE145" s="210"/>
      <c r="AF145" s="240">
        <v>1500000</v>
      </c>
      <c r="AG145" s="240">
        <v>1500000</v>
      </c>
      <c r="AH145" s="206" t="s">
        <v>80</v>
      </c>
      <c r="AI145" s="206"/>
      <c r="AJ145" s="206" t="s">
        <v>235</v>
      </c>
      <c r="AK145" s="206" t="s">
        <v>480</v>
      </c>
      <c r="AL145" s="208" t="s">
        <v>606</v>
      </c>
    </row>
    <row r="146" spans="1:38" s="213" customFormat="1" ht="21.75" customHeight="1">
      <c r="A146" s="206">
        <v>11</v>
      </c>
      <c r="B146" s="241" t="s">
        <v>525</v>
      </c>
      <c r="C146" s="236" t="s">
        <v>526</v>
      </c>
      <c r="D146" s="236">
        <v>2014</v>
      </c>
      <c r="E146" s="206">
        <v>1</v>
      </c>
      <c r="F146" s="206">
        <v>1</v>
      </c>
      <c r="G146" s="206" t="s">
        <v>187</v>
      </c>
      <c r="H146" s="206" t="s">
        <v>188</v>
      </c>
      <c r="I146" s="206" t="s">
        <v>204</v>
      </c>
      <c r="J146" s="206" t="s">
        <v>42</v>
      </c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>
        <v>1</v>
      </c>
      <c r="Y146" s="206"/>
      <c r="Z146" s="206"/>
      <c r="AA146" s="211">
        <v>0</v>
      </c>
      <c r="AB146" s="210"/>
      <c r="AC146" s="210"/>
      <c r="AD146" s="210"/>
      <c r="AE146" s="210"/>
      <c r="AF146" s="240">
        <v>4800000</v>
      </c>
      <c r="AG146" s="240">
        <v>4800000</v>
      </c>
      <c r="AH146" s="206" t="s">
        <v>80</v>
      </c>
      <c r="AI146" s="206"/>
      <c r="AJ146" s="206" t="s">
        <v>643</v>
      </c>
      <c r="AK146" s="206" t="s">
        <v>480</v>
      </c>
      <c r="AL146" s="208" t="s">
        <v>606</v>
      </c>
    </row>
    <row r="147" spans="1:38" s="213" customFormat="1" ht="21.75" customHeight="1">
      <c r="A147" s="206">
        <v>12</v>
      </c>
      <c r="B147" s="241" t="s">
        <v>525</v>
      </c>
      <c r="C147" s="236" t="s">
        <v>527</v>
      </c>
      <c r="D147" s="236">
        <v>2014</v>
      </c>
      <c r="E147" s="206">
        <v>1</v>
      </c>
      <c r="F147" s="206">
        <v>1</v>
      </c>
      <c r="G147" s="206" t="s">
        <v>187</v>
      </c>
      <c r="H147" s="206" t="s">
        <v>188</v>
      </c>
      <c r="I147" s="206" t="s">
        <v>204</v>
      </c>
      <c r="J147" s="206" t="s">
        <v>42</v>
      </c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>
        <v>1</v>
      </c>
      <c r="Y147" s="206"/>
      <c r="Z147" s="206"/>
      <c r="AA147" s="211">
        <v>0</v>
      </c>
      <c r="AB147" s="210"/>
      <c r="AC147" s="210"/>
      <c r="AD147" s="210"/>
      <c r="AE147" s="210"/>
      <c r="AF147" s="240">
        <v>4800000</v>
      </c>
      <c r="AG147" s="240">
        <v>4800000</v>
      </c>
      <c r="AH147" s="206" t="s">
        <v>80</v>
      </c>
      <c r="AI147" s="206"/>
      <c r="AJ147" s="206" t="s">
        <v>643</v>
      </c>
      <c r="AK147" s="206" t="s">
        <v>480</v>
      </c>
      <c r="AL147" s="208" t="s">
        <v>606</v>
      </c>
    </row>
    <row r="148" spans="1:38" s="213" customFormat="1" ht="21.75" customHeight="1">
      <c r="A148" s="206">
        <v>13</v>
      </c>
      <c r="B148" s="241" t="s">
        <v>525</v>
      </c>
      <c r="C148" s="236" t="s">
        <v>528</v>
      </c>
      <c r="D148" s="236">
        <v>2014</v>
      </c>
      <c r="E148" s="206">
        <v>1</v>
      </c>
      <c r="F148" s="206">
        <v>1</v>
      </c>
      <c r="G148" s="206" t="s">
        <v>187</v>
      </c>
      <c r="H148" s="206" t="s">
        <v>188</v>
      </c>
      <c r="I148" s="206" t="s">
        <v>204</v>
      </c>
      <c r="J148" s="206" t="s">
        <v>42</v>
      </c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>
        <v>1</v>
      </c>
      <c r="Y148" s="206"/>
      <c r="Z148" s="206"/>
      <c r="AA148" s="211">
        <v>0</v>
      </c>
      <c r="AB148" s="210"/>
      <c r="AC148" s="210"/>
      <c r="AD148" s="210"/>
      <c r="AE148" s="210"/>
      <c r="AF148" s="240">
        <v>4800000</v>
      </c>
      <c r="AG148" s="240">
        <v>4800000</v>
      </c>
      <c r="AH148" s="206" t="s">
        <v>80</v>
      </c>
      <c r="AI148" s="206"/>
      <c r="AJ148" s="206" t="s">
        <v>643</v>
      </c>
      <c r="AK148" s="206" t="s">
        <v>480</v>
      </c>
      <c r="AL148" s="208" t="s">
        <v>606</v>
      </c>
    </row>
    <row r="149" spans="1:38" s="213" customFormat="1" ht="21.75" customHeight="1">
      <c r="A149" s="206">
        <v>14</v>
      </c>
      <c r="B149" s="241" t="s">
        <v>529</v>
      </c>
      <c r="C149" s="236" t="s">
        <v>530</v>
      </c>
      <c r="D149" s="236">
        <v>2017</v>
      </c>
      <c r="E149" s="206">
        <v>1</v>
      </c>
      <c r="F149" s="206">
        <v>1</v>
      </c>
      <c r="G149" s="206" t="s">
        <v>187</v>
      </c>
      <c r="H149" s="206" t="s">
        <v>188</v>
      </c>
      <c r="I149" s="206" t="s">
        <v>204</v>
      </c>
      <c r="J149" s="206" t="s">
        <v>42</v>
      </c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>
        <v>1</v>
      </c>
      <c r="Y149" s="206"/>
      <c r="Z149" s="206"/>
      <c r="AA149" s="211">
        <v>0</v>
      </c>
      <c r="AB149" s="210"/>
      <c r="AC149" s="210"/>
      <c r="AD149" s="210"/>
      <c r="AE149" s="210"/>
      <c r="AF149" s="240">
        <v>4050000</v>
      </c>
      <c r="AG149" s="240">
        <v>4050000</v>
      </c>
      <c r="AH149" s="206" t="s">
        <v>80</v>
      </c>
      <c r="AI149" s="206"/>
      <c r="AJ149" s="206" t="s">
        <v>643</v>
      </c>
      <c r="AK149" s="206" t="s">
        <v>480</v>
      </c>
      <c r="AL149" s="208" t="s">
        <v>606</v>
      </c>
    </row>
    <row r="150" spans="1:38" s="213" customFormat="1" ht="21.75" customHeight="1">
      <c r="A150" s="206">
        <v>15</v>
      </c>
      <c r="B150" s="241" t="s">
        <v>529</v>
      </c>
      <c r="C150" s="236" t="s">
        <v>531</v>
      </c>
      <c r="D150" s="236">
        <v>2017</v>
      </c>
      <c r="E150" s="206">
        <v>1</v>
      </c>
      <c r="F150" s="206">
        <v>1</v>
      </c>
      <c r="G150" s="206" t="s">
        <v>187</v>
      </c>
      <c r="H150" s="206" t="s">
        <v>188</v>
      </c>
      <c r="I150" s="206" t="s">
        <v>204</v>
      </c>
      <c r="J150" s="206" t="s">
        <v>42</v>
      </c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>
        <v>1</v>
      </c>
      <c r="Y150" s="206"/>
      <c r="Z150" s="206"/>
      <c r="AA150" s="211">
        <v>0</v>
      </c>
      <c r="AB150" s="210"/>
      <c r="AC150" s="210"/>
      <c r="AD150" s="210"/>
      <c r="AE150" s="210"/>
      <c r="AF150" s="240">
        <v>4050000</v>
      </c>
      <c r="AG150" s="240">
        <v>4050000</v>
      </c>
      <c r="AH150" s="206" t="s">
        <v>80</v>
      </c>
      <c r="AI150" s="206"/>
      <c r="AJ150" s="206" t="s">
        <v>643</v>
      </c>
      <c r="AK150" s="206" t="s">
        <v>480</v>
      </c>
      <c r="AL150" s="208" t="s">
        <v>606</v>
      </c>
    </row>
    <row r="151" spans="1:38" s="213" customFormat="1" ht="21.75" customHeight="1">
      <c r="A151" s="206">
        <v>16</v>
      </c>
      <c r="B151" s="241" t="s">
        <v>529</v>
      </c>
      <c r="C151" s="236" t="s">
        <v>532</v>
      </c>
      <c r="D151" s="236">
        <v>2017</v>
      </c>
      <c r="E151" s="206">
        <v>1</v>
      </c>
      <c r="F151" s="206">
        <v>1</v>
      </c>
      <c r="G151" s="206" t="s">
        <v>187</v>
      </c>
      <c r="H151" s="206" t="s">
        <v>188</v>
      </c>
      <c r="I151" s="206" t="s">
        <v>204</v>
      </c>
      <c r="J151" s="206" t="s">
        <v>42</v>
      </c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>
        <v>1</v>
      </c>
      <c r="Y151" s="206"/>
      <c r="Z151" s="206"/>
      <c r="AA151" s="211">
        <v>0</v>
      </c>
      <c r="AB151" s="210"/>
      <c r="AC151" s="210"/>
      <c r="AD151" s="210"/>
      <c r="AE151" s="210"/>
      <c r="AF151" s="240">
        <v>4050000</v>
      </c>
      <c r="AG151" s="240">
        <v>4050000</v>
      </c>
      <c r="AH151" s="206" t="s">
        <v>80</v>
      </c>
      <c r="AI151" s="206"/>
      <c r="AJ151" s="206" t="s">
        <v>643</v>
      </c>
      <c r="AK151" s="206" t="s">
        <v>480</v>
      </c>
      <c r="AL151" s="208" t="s">
        <v>606</v>
      </c>
    </row>
    <row r="152" spans="1:38" s="213" customFormat="1" ht="21.75" customHeight="1">
      <c r="A152" s="206">
        <v>17</v>
      </c>
      <c r="B152" s="241" t="s">
        <v>529</v>
      </c>
      <c r="C152" s="236" t="s">
        <v>533</v>
      </c>
      <c r="D152" s="236">
        <v>2017</v>
      </c>
      <c r="E152" s="206">
        <v>1</v>
      </c>
      <c r="F152" s="206">
        <v>1</v>
      </c>
      <c r="G152" s="206" t="s">
        <v>187</v>
      </c>
      <c r="H152" s="206" t="s">
        <v>188</v>
      </c>
      <c r="I152" s="206" t="s">
        <v>204</v>
      </c>
      <c r="J152" s="206" t="s">
        <v>42</v>
      </c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>
        <v>1</v>
      </c>
      <c r="Y152" s="206"/>
      <c r="Z152" s="206"/>
      <c r="AA152" s="211">
        <v>0</v>
      </c>
      <c r="AB152" s="210"/>
      <c r="AC152" s="210"/>
      <c r="AD152" s="210"/>
      <c r="AE152" s="210"/>
      <c r="AF152" s="240">
        <v>4050000</v>
      </c>
      <c r="AG152" s="240">
        <v>4050000</v>
      </c>
      <c r="AH152" s="206" t="s">
        <v>80</v>
      </c>
      <c r="AI152" s="206"/>
      <c r="AJ152" s="206" t="s">
        <v>643</v>
      </c>
      <c r="AK152" s="206" t="s">
        <v>480</v>
      </c>
      <c r="AL152" s="208" t="s">
        <v>606</v>
      </c>
    </row>
    <row r="153" spans="1:38" s="213" customFormat="1" ht="21.75" customHeight="1">
      <c r="A153" s="206">
        <v>18</v>
      </c>
      <c r="B153" s="241" t="s">
        <v>529</v>
      </c>
      <c r="C153" s="236" t="s">
        <v>534</v>
      </c>
      <c r="D153" s="236">
        <v>2017</v>
      </c>
      <c r="E153" s="206">
        <v>1</v>
      </c>
      <c r="F153" s="206">
        <v>1</v>
      </c>
      <c r="G153" s="206" t="s">
        <v>187</v>
      </c>
      <c r="H153" s="206" t="s">
        <v>188</v>
      </c>
      <c r="I153" s="206" t="s">
        <v>204</v>
      </c>
      <c r="J153" s="206" t="s">
        <v>42</v>
      </c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>
        <v>1</v>
      </c>
      <c r="Y153" s="206"/>
      <c r="Z153" s="206"/>
      <c r="AA153" s="211">
        <v>0</v>
      </c>
      <c r="AB153" s="210"/>
      <c r="AC153" s="210"/>
      <c r="AD153" s="210"/>
      <c r="AE153" s="210"/>
      <c r="AF153" s="240">
        <v>4050000</v>
      </c>
      <c r="AG153" s="240">
        <v>4050000</v>
      </c>
      <c r="AH153" s="206" t="s">
        <v>80</v>
      </c>
      <c r="AI153" s="206"/>
      <c r="AJ153" s="206" t="s">
        <v>643</v>
      </c>
      <c r="AK153" s="206" t="s">
        <v>480</v>
      </c>
      <c r="AL153" s="208" t="s">
        <v>606</v>
      </c>
    </row>
    <row r="154" spans="1:38" s="213" customFormat="1" ht="21.75" customHeight="1">
      <c r="A154" s="206">
        <v>19</v>
      </c>
      <c r="B154" s="241" t="s">
        <v>529</v>
      </c>
      <c r="C154" s="236" t="s">
        <v>535</v>
      </c>
      <c r="D154" s="236">
        <v>2017</v>
      </c>
      <c r="E154" s="206">
        <v>1</v>
      </c>
      <c r="F154" s="206">
        <v>1</v>
      </c>
      <c r="G154" s="206" t="s">
        <v>187</v>
      </c>
      <c r="H154" s="206" t="s">
        <v>188</v>
      </c>
      <c r="I154" s="206" t="s">
        <v>204</v>
      </c>
      <c r="J154" s="206" t="s">
        <v>42</v>
      </c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>
        <v>1</v>
      </c>
      <c r="Y154" s="206"/>
      <c r="Z154" s="206"/>
      <c r="AA154" s="211">
        <v>0</v>
      </c>
      <c r="AB154" s="210"/>
      <c r="AC154" s="210"/>
      <c r="AD154" s="210"/>
      <c r="AE154" s="210"/>
      <c r="AF154" s="240">
        <v>4050000</v>
      </c>
      <c r="AG154" s="240">
        <v>4050000</v>
      </c>
      <c r="AH154" s="206" t="s">
        <v>80</v>
      </c>
      <c r="AI154" s="206"/>
      <c r="AJ154" s="206" t="s">
        <v>643</v>
      </c>
      <c r="AK154" s="206" t="s">
        <v>480</v>
      </c>
      <c r="AL154" s="208" t="s">
        <v>606</v>
      </c>
    </row>
    <row r="155" spans="1:38" s="213" customFormat="1" ht="21.75" customHeight="1">
      <c r="A155" s="206">
        <v>20</v>
      </c>
      <c r="B155" s="241" t="s">
        <v>529</v>
      </c>
      <c r="C155" s="236" t="s">
        <v>536</v>
      </c>
      <c r="D155" s="236">
        <v>2017</v>
      </c>
      <c r="E155" s="206">
        <v>1</v>
      </c>
      <c r="F155" s="206">
        <v>1</v>
      </c>
      <c r="G155" s="206" t="s">
        <v>187</v>
      </c>
      <c r="H155" s="206" t="s">
        <v>188</v>
      </c>
      <c r="I155" s="206" t="s">
        <v>204</v>
      </c>
      <c r="J155" s="206" t="s">
        <v>42</v>
      </c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>
        <v>1</v>
      </c>
      <c r="Y155" s="206"/>
      <c r="Z155" s="206"/>
      <c r="AA155" s="211">
        <v>0</v>
      </c>
      <c r="AB155" s="210"/>
      <c r="AC155" s="210"/>
      <c r="AD155" s="210"/>
      <c r="AE155" s="210"/>
      <c r="AF155" s="240">
        <v>4050000</v>
      </c>
      <c r="AG155" s="240">
        <v>4050000</v>
      </c>
      <c r="AH155" s="206" t="s">
        <v>80</v>
      </c>
      <c r="AI155" s="206"/>
      <c r="AJ155" s="206" t="s">
        <v>643</v>
      </c>
      <c r="AK155" s="206" t="s">
        <v>480</v>
      </c>
      <c r="AL155" s="208" t="s">
        <v>606</v>
      </c>
    </row>
    <row r="156" spans="1:38" s="213" customFormat="1" ht="21.75" customHeight="1">
      <c r="A156" s="206">
        <v>21</v>
      </c>
      <c r="B156" s="241" t="s">
        <v>529</v>
      </c>
      <c r="C156" s="236" t="s">
        <v>537</v>
      </c>
      <c r="D156" s="236">
        <v>2017</v>
      </c>
      <c r="E156" s="206">
        <v>1</v>
      </c>
      <c r="F156" s="206">
        <v>1</v>
      </c>
      <c r="G156" s="206" t="s">
        <v>187</v>
      </c>
      <c r="H156" s="206" t="s">
        <v>188</v>
      </c>
      <c r="I156" s="206" t="s">
        <v>204</v>
      </c>
      <c r="J156" s="206" t="s">
        <v>42</v>
      </c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>
        <v>1</v>
      </c>
      <c r="Y156" s="206"/>
      <c r="Z156" s="206"/>
      <c r="AA156" s="211">
        <v>0</v>
      </c>
      <c r="AB156" s="210"/>
      <c r="AC156" s="210"/>
      <c r="AD156" s="210"/>
      <c r="AE156" s="210"/>
      <c r="AF156" s="240">
        <v>4050000</v>
      </c>
      <c r="AG156" s="240">
        <v>4050000</v>
      </c>
      <c r="AH156" s="206" t="s">
        <v>80</v>
      </c>
      <c r="AI156" s="206"/>
      <c r="AJ156" s="206" t="s">
        <v>643</v>
      </c>
      <c r="AK156" s="206" t="s">
        <v>480</v>
      </c>
      <c r="AL156" s="208" t="s">
        <v>606</v>
      </c>
    </row>
    <row r="157" spans="1:38" s="213" customFormat="1" ht="21.75" customHeight="1">
      <c r="A157" s="206">
        <v>22</v>
      </c>
      <c r="B157" s="241" t="s">
        <v>529</v>
      </c>
      <c r="C157" s="236" t="s">
        <v>634</v>
      </c>
      <c r="D157" s="236">
        <v>2017</v>
      </c>
      <c r="E157" s="206">
        <v>1</v>
      </c>
      <c r="F157" s="206">
        <v>1</v>
      </c>
      <c r="G157" s="206" t="s">
        <v>187</v>
      </c>
      <c r="H157" s="206" t="s">
        <v>188</v>
      </c>
      <c r="I157" s="206" t="s">
        <v>204</v>
      </c>
      <c r="J157" s="206" t="s">
        <v>42</v>
      </c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>
        <v>1</v>
      </c>
      <c r="Y157" s="206"/>
      <c r="Z157" s="206"/>
      <c r="AA157" s="211">
        <v>0</v>
      </c>
      <c r="AB157" s="210"/>
      <c r="AC157" s="210"/>
      <c r="AD157" s="210"/>
      <c r="AE157" s="210"/>
      <c r="AF157" s="240">
        <v>4050000</v>
      </c>
      <c r="AG157" s="240">
        <v>4050000</v>
      </c>
      <c r="AH157" s="206" t="s">
        <v>80</v>
      </c>
      <c r="AI157" s="206"/>
      <c r="AJ157" s="206" t="s">
        <v>643</v>
      </c>
      <c r="AK157" s="206" t="s">
        <v>480</v>
      </c>
      <c r="AL157" s="208" t="s">
        <v>606</v>
      </c>
    </row>
    <row r="158" spans="1:38" s="213" customFormat="1" ht="21.75" customHeight="1">
      <c r="A158" s="206">
        <v>23</v>
      </c>
      <c r="B158" s="241" t="s">
        <v>529</v>
      </c>
      <c r="C158" s="236" t="s">
        <v>538</v>
      </c>
      <c r="D158" s="236">
        <v>2017</v>
      </c>
      <c r="E158" s="206">
        <v>1</v>
      </c>
      <c r="F158" s="206">
        <v>1</v>
      </c>
      <c r="G158" s="206" t="s">
        <v>187</v>
      </c>
      <c r="H158" s="206" t="s">
        <v>188</v>
      </c>
      <c r="I158" s="206" t="s">
        <v>204</v>
      </c>
      <c r="J158" s="206" t="s">
        <v>42</v>
      </c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>
        <v>1</v>
      </c>
      <c r="Y158" s="206"/>
      <c r="Z158" s="206"/>
      <c r="AA158" s="211">
        <v>0</v>
      </c>
      <c r="AB158" s="210"/>
      <c r="AC158" s="210"/>
      <c r="AD158" s="210"/>
      <c r="AE158" s="210"/>
      <c r="AF158" s="240">
        <v>4050000</v>
      </c>
      <c r="AG158" s="240">
        <v>4050000</v>
      </c>
      <c r="AH158" s="206" t="s">
        <v>80</v>
      </c>
      <c r="AI158" s="206"/>
      <c r="AJ158" s="206" t="s">
        <v>643</v>
      </c>
      <c r="AK158" s="206" t="s">
        <v>480</v>
      </c>
      <c r="AL158" s="208" t="s">
        <v>606</v>
      </c>
    </row>
    <row r="159" spans="1:38" s="213" customFormat="1" ht="37.5" customHeight="1">
      <c r="A159" s="206">
        <v>24</v>
      </c>
      <c r="B159" s="241" t="s">
        <v>540</v>
      </c>
      <c r="C159" s="236" t="s">
        <v>541</v>
      </c>
      <c r="D159" s="236">
        <v>2017</v>
      </c>
      <c r="E159" s="206">
        <v>1</v>
      </c>
      <c r="F159" s="206">
        <v>1</v>
      </c>
      <c r="G159" s="206" t="s">
        <v>187</v>
      </c>
      <c r="H159" s="206" t="s">
        <v>188</v>
      </c>
      <c r="I159" s="206" t="s">
        <v>204</v>
      </c>
      <c r="J159" s="206" t="s">
        <v>42</v>
      </c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>
        <v>1</v>
      </c>
      <c r="Y159" s="206"/>
      <c r="Z159" s="206"/>
      <c r="AA159" s="211">
        <v>0</v>
      </c>
      <c r="AB159" s="210"/>
      <c r="AC159" s="210"/>
      <c r="AD159" s="210"/>
      <c r="AE159" s="210"/>
      <c r="AF159" s="240">
        <v>3300000</v>
      </c>
      <c r="AG159" s="240">
        <v>3300000</v>
      </c>
      <c r="AH159" s="206" t="s">
        <v>80</v>
      </c>
      <c r="AI159" s="206"/>
      <c r="AJ159" s="206" t="s">
        <v>235</v>
      </c>
      <c r="AK159" s="206" t="s">
        <v>480</v>
      </c>
      <c r="AL159" s="208" t="s">
        <v>606</v>
      </c>
    </row>
    <row r="160" spans="1:38" s="15" customFormat="1" ht="21.75" customHeight="1">
      <c r="A160" s="10">
        <v>25</v>
      </c>
      <c r="B160" s="135" t="s">
        <v>542</v>
      </c>
      <c r="C160" s="134" t="s">
        <v>543</v>
      </c>
      <c r="D160" s="134">
        <v>2017</v>
      </c>
      <c r="E160" s="10">
        <v>1</v>
      </c>
      <c r="F160" s="10">
        <v>1</v>
      </c>
      <c r="G160" s="10" t="s">
        <v>187</v>
      </c>
      <c r="H160" s="10" t="s">
        <v>188</v>
      </c>
      <c r="I160" s="10" t="s">
        <v>204</v>
      </c>
      <c r="J160" s="10" t="s">
        <v>42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>
        <v>1</v>
      </c>
      <c r="Y160" s="10"/>
      <c r="Z160" s="10"/>
      <c r="AA160" s="75">
        <v>0</v>
      </c>
      <c r="AB160" s="11"/>
      <c r="AC160" s="11"/>
      <c r="AD160" s="11"/>
      <c r="AE160" s="11"/>
      <c r="AF160" s="119">
        <v>790000</v>
      </c>
      <c r="AG160" s="119">
        <v>790000</v>
      </c>
      <c r="AH160" s="10" t="s">
        <v>80</v>
      </c>
      <c r="AI160" s="10"/>
      <c r="AJ160" s="10" t="s">
        <v>643</v>
      </c>
      <c r="AK160" s="10" t="s">
        <v>480</v>
      </c>
      <c r="AL160" s="14" t="s">
        <v>606</v>
      </c>
    </row>
    <row r="161" spans="1:38" s="15" customFormat="1" ht="21.75" customHeight="1">
      <c r="A161" s="10">
        <v>26</v>
      </c>
      <c r="B161" s="135" t="s">
        <v>542</v>
      </c>
      <c r="C161" s="134" t="s">
        <v>544</v>
      </c>
      <c r="D161" s="134">
        <v>2017</v>
      </c>
      <c r="E161" s="10">
        <v>1</v>
      </c>
      <c r="F161" s="10">
        <v>1</v>
      </c>
      <c r="G161" s="10" t="s">
        <v>187</v>
      </c>
      <c r="H161" s="10" t="s">
        <v>188</v>
      </c>
      <c r="I161" s="10" t="s">
        <v>204</v>
      </c>
      <c r="J161" s="10" t="s">
        <v>42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>
        <v>1</v>
      </c>
      <c r="Y161" s="10"/>
      <c r="Z161" s="10"/>
      <c r="AA161" s="75">
        <v>0</v>
      </c>
      <c r="AB161" s="11"/>
      <c r="AC161" s="11"/>
      <c r="AD161" s="11"/>
      <c r="AE161" s="11"/>
      <c r="AF161" s="119">
        <v>790000</v>
      </c>
      <c r="AG161" s="119">
        <v>790000</v>
      </c>
      <c r="AH161" s="10" t="s">
        <v>80</v>
      </c>
      <c r="AI161" s="10"/>
      <c r="AJ161" s="10" t="s">
        <v>643</v>
      </c>
      <c r="AK161" s="10" t="s">
        <v>480</v>
      </c>
      <c r="AL161" s="14" t="s">
        <v>606</v>
      </c>
    </row>
    <row r="162" spans="1:38" s="15" customFormat="1" ht="21.75" customHeight="1">
      <c r="A162" s="10">
        <v>27</v>
      </c>
      <c r="B162" s="135" t="s">
        <v>542</v>
      </c>
      <c r="C162" s="134" t="s">
        <v>545</v>
      </c>
      <c r="D162" s="134">
        <v>2017</v>
      </c>
      <c r="E162" s="10">
        <v>1</v>
      </c>
      <c r="F162" s="10">
        <v>1</v>
      </c>
      <c r="G162" s="10" t="s">
        <v>187</v>
      </c>
      <c r="H162" s="10" t="s">
        <v>188</v>
      </c>
      <c r="I162" s="10" t="s">
        <v>204</v>
      </c>
      <c r="J162" s="10" t="s">
        <v>42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>
        <v>1</v>
      </c>
      <c r="Y162" s="10"/>
      <c r="Z162" s="10"/>
      <c r="AA162" s="75">
        <v>0</v>
      </c>
      <c r="AB162" s="11"/>
      <c r="AC162" s="11"/>
      <c r="AD162" s="11"/>
      <c r="AE162" s="11"/>
      <c r="AF162" s="119">
        <v>790000</v>
      </c>
      <c r="AG162" s="119">
        <v>790000</v>
      </c>
      <c r="AH162" s="10" t="s">
        <v>80</v>
      </c>
      <c r="AI162" s="10"/>
      <c r="AJ162" s="10" t="s">
        <v>643</v>
      </c>
      <c r="AK162" s="10" t="s">
        <v>480</v>
      </c>
      <c r="AL162" s="14" t="s">
        <v>606</v>
      </c>
    </row>
    <row r="163" spans="1:38" s="15" customFormat="1" ht="31.5" customHeight="1">
      <c r="A163" s="10">
        <v>28</v>
      </c>
      <c r="B163" s="135" t="s">
        <v>542</v>
      </c>
      <c r="C163" s="134" t="s">
        <v>546</v>
      </c>
      <c r="D163" s="134">
        <v>2017</v>
      </c>
      <c r="E163" s="10">
        <v>1</v>
      </c>
      <c r="F163" s="10">
        <v>1</v>
      </c>
      <c r="G163" s="10" t="s">
        <v>187</v>
      </c>
      <c r="H163" s="10" t="s">
        <v>188</v>
      </c>
      <c r="I163" s="10" t="s">
        <v>204</v>
      </c>
      <c r="J163" s="10" t="s">
        <v>42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>
        <v>1</v>
      </c>
      <c r="Y163" s="10"/>
      <c r="Z163" s="10"/>
      <c r="AA163" s="75">
        <v>0</v>
      </c>
      <c r="AB163" s="11"/>
      <c r="AC163" s="11"/>
      <c r="AD163" s="11"/>
      <c r="AE163" s="11"/>
      <c r="AF163" s="119">
        <v>790000</v>
      </c>
      <c r="AG163" s="119">
        <v>790000</v>
      </c>
      <c r="AH163" s="10" t="s">
        <v>80</v>
      </c>
      <c r="AI163" s="10"/>
      <c r="AJ163" s="10" t="s">
        <v>235</v>
      </c>
      <c r="AK163" s="10" t="s">
        <v>480</v>
      </c>
      <c r="AL163" s="14" t="s">
        <v>607</v>
      </c>
    </row>
    <row r="164" spans="1:38" s="15" customFormat="1" ht="21.75" customHeight="1">
      <c r="A164" s="10">
        <v>29</v>
      </c>
      <c r="B164" s="135" t="s">
        <v>542</v>
      </c>
      <c r="C164" s="134" t="s">
        <v>547</v>
      </c>
      <c r="D164" s="134">
        <v>2017</v>
      </c>
      <c r="E164" s="10">
        <v>1</v>
      </c>
      <c r="F164" s="10">
        <v>1</v>
      </c>
      <c r="G164" s="10" t="s">
        <v>187</v>
      </c>
      <c r="H164" s="10" t="s">
        <v>188</v>
      </c>
      <c r="I164" s="10" t="s">
        <v>204</v>
      </c>
      <c r="J164" s="10" t="s">
        <v>42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>
        <v>1</v>
      </c>
      <c r="Y164" s="10"/>
      <c r="Z164" s="10"/>
      <c r="AA164" s="75">
        <v>0</v>
      </c>
      <c r="AB164" s="11"/>
      <c r="AC164" s="11"/>
      <c r="AD164" s="11"/>
      <c r="AE164" s="11"/>
      <c r="AF164" s="119">
        <v>790000</v>
      </c>
      <c r="AG164" s="119">
        <v>790000</v>
      </c>
      <c r="AH164" s="10" t="s">
        <v>80</v>
      </c>
      <c r="AI164" s="10"/>
      <c r="AJ164" s="10" t="s">
        <v>643</v>
      </c>
      <c r="AK164" s="10" t="s">
        <v>480</v>
      </c>
      <c r="AL164" s="14" t="s">
        <v>606</v>
      </c>
    </row>
    <row r="165" spans="1:38" s="15" customFormat="1" ht="21.75" customHeight="1">
      <c r="A165" s="10">
        <v>30</v>
      </c>
      <c r="B165" s="135" t="s">
        <v>548</v>
      </c>
      <c r="C165" s="134" t="s">
        <v>549</v>
      </c>
      <c r="D165" s="134">
        <v>2017</v>
      </c>
      <c r="E165" s="10">
        <v>1</v>
      </c>
      <c r="F165" s="10">
        <v>1</v>
      </c>
      <c r="G165" s="10" t="s">
        <v>187</v>
      </c>
      <c r="H165" s="10" t="s">
        <v>188</v>
      </c>
      <c r="I165" s="10" t="s">
        <v>204</v>
      </c>
      <c r="J165" s="10" t="s">
        <v>42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>
        <v>1</v>
      </c>
      <c r="Y165" s="10"/>
      <c r="Z165" s="10"/>
      <c r="AA165" s="75">
        <v>0</v>
      </c>
      <c r="AB165" s="11"/>
      <c r="AC165" s="11"/>
      <c r="AD165" s="11"/>
      <c r="AE165" s="11"/>
      <c r="AF165" s="119">
        <v>850000</v>
      </c>
      <c r="AG165" s="119">
        <v>850000</v>
      </c>
      <c r="AH165" s="10" t="s">
        <v>80</v>
      </c>
      <c r="AI165" s="10"/>
      <c r="AJ165" s="10" t="s">
        <v>643</v>
      </c>
      <c r="AK165" s="10" t="s">
        <v>480</v>
      </c>
      <c r="AL165" s="14" t="s">
        <v>606</v>
      </c>
    </row>
    <row r="166" spans="1:38" s="15" customFormat="1" ht="21.75" customHeight="1">
      <c r="A166" s="10">
        <v>31</v>
      </c>
      <c r="B166" s="135" t="s">
        <v>550</v>
      </c>
      <c r="C166" s="134" t="s">
        <v>551</v>
      </c>
      <c r="D166" s="134">
        <v>2017</v>
      </c>
      <c r="E166" s="10">
        <v>1</v>
      </c>
      <c r="F166" s="10">
        <v>1</v>
      </c>
      <c r="G166" s="10" t="s">
        <v>187</v>
      </c>
      <c r="H166" s="10" t="s">
        <v>188</v>
      </c>
      <c r="I166" s="10" t="s">
        <v>204</v>
      </c>
      <c r="J166" s="10" t="s">
        <v>42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>
        <v>1</v>
      </c>
      <c r="Y166" s="10"/>
      <c r="Z166" s="10"/>
      <c r="AA166" s="75">
        <v>0</v>
      </c>
      <c r="AB166" s="11"/>
      <c r="AC166" s="11"/>
      <c r="AD166" s="11"/>
      <c r="AE166" s="11"/>
      <c r="AF166" s="119">
        <v>2150000</v>
      </c>
      <c r="AG166" s="119">
        <v>2150000</v>
      </c>
      <c r="AH166" s="10" t="s">
        <v>80</v>
      </c>
      <c r="AI166" s="10"/>
      <c r="AJ166" s="10" t="s">
        <v>643</v>
      </c>
      <c r="AK166" s="10" t="s">
        <v>480</v>
      </c>
      <c r="AL166" s="14" t="s">
        <v>606</v>
      </c>
    </row>
    <row r="167" spans="1:38" s="15" customFormat="1" ht="21.75" customHeight="1">
      <c r="A167" s="10">
        <v>32</v>
      </c>
      <c r="B167" s="135" t="s">
        <v>550</v>
      </c>
      <c r="C167" s="134" t="s">
        <v>552</v>
      </c>
      <c r="D167" s="134">
        <v>2017</v>
      </c>
      <c r="E167" s="10">
        <v>1</v>
      </c>
      <c r="F167" s="10">
        <v>1</v>
      </c>
      <c r="G167" s="10" t="s">
        <v>187</v>
      </c>
      <c r="H167" s="10" t="s">
        <v>188</v>
      </c>
      <c r="I167" s="10" t="s">
        <v>204</v>
      </c>
      <c r="J167" s="10" t="s">
        <v>42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>
        <v>1</v>
      </c>
      <c r="Y167" s="10"/>
      <c r="Z167" s="10"/>
      <c r="AA167" s="75">
        <v>0</v>
      </c>
      <c r="AB167" s="11"/>
      <c r="AC167" s="11"/>
      <c r="AD167" s="11"/>
      <c r="AE167" s="11"/>
      <c r="AF167" s="119">
        <v>2150000</v>
      </c>
      <c r="AG167" s="119">
        <v>2150000</v>
      </c>
      <c r="AH167" s="10" t="s">
        <v>80</v>
      </c>
      <c r="AI167" s="10"/>
      <c r="AJ167" s="10" t="s">
        <v>643</v>
      </c>
      <c r="AK167" s="10" t="s">
        <v>480</v>
      </c>
      <c r="AL167" s="14" t="s">
        <v>606</v>
      </c>
    </row>
    <row r="168" spans="1:38" s="15" customFormat="1" ht="31.5" customHeight="1">
      <c r="A168" s="10">
        <v>33</v>
      </c>
      <c r="B168" s="135" t="s">
        <v>550</v>
      </c>
      <c r="C168" s="134" t="s">
        <v>553</v>
      </c>
      <c r="D168" s="134">
        <v>2017</v>
      </c>
      <c r="E168" s="10">
        <v>1</v>
      </c>
      <c r="F168" s="10">
        <v>1</v>
      </c>
      <c r="G168" s="10" t="s">
        <v>187</v>
      </c>
      <c r="H168" s="10" t="s">
        <v>188</v>
      </c>
      <c r="I168" s="10" t="s">
        <v>204</v>
      </c>
      <c r="J168" s="10" t="s">
        <v>42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>
        <v>1</v>
      </c>
      <c r="Y168" s="10"/>
      <c r="Z168" s="10"/>
      <c r="AA168" s="75">
        <v>0</v>
      </c>
      <c r="AB168" s="11"/>
      <c r="AC168" s="11"/>
      <c r="AD168" s="11"/>
      <c r="AE168" s="11"/>
      <c r="AF168" s="119">
        <v>2150000</v>
      </c>
      <c r="AG168" s="119">
        <v>2150000</v>
      </c>
      <c r="AH168" s="10" t="s">
        <v>80</v>
      </c>
      <c r="AI168" s="10"/>
      <c r="AJ168" s="10" t="s">
        <v>608</v>
      </c>
      <c r="AK168" s="10" t="s">
        <v>480</v>
      </c>
      <c r="AL168" s="14" t="s">
        <v>609</v>
      </c>
    </row>
    <row r="169" spans="1:38" s="15" customFormat="1" ht="21.75" customHeight="1">
      <c r="A169" s="10">
        <v>34</v>
      </c>
      <c r="B169" s="135" t="s">
        <v>550</v>
      </c>
      <c r="C169" s="134" t="s">
        <v>534</v>
      </c>
      <c r="D169" s="134">
        <v>2017</v>
      </c>
      <c r="E169" s="10">
        <v>1</v>
      </c>
      <c r="F169" s="10">
        <v>1</v>
      </c>
      <c r="G169" s="10" t="s">
        <v>187</v>
      </c>
      <c r="H169" s="10" t="s">
        <v>188</v>
      </c>
      <c r="I169" s="10" t="s">
        <v>204</v>
      </c>
      <c r="J169" s="10" t="s">
        <v>42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>
        <v>1</v>
      </c>
      <c r="Y169" s="10"/>
      <c r="Z169" s="10"/>
      <c r="AA169" s="75">
        <v>0</v>
      </c>
      <c r="AB169" s="11"/>
      <c r="AC169" s="11"/>
      <c r="AD169" s="11"/>
      <c r="AE169" s="11"/>
      <c r="AF169" s="119">
        <v>2150000</v>
      </c>
      <c r="AG169" s="119">
        <v>2150000</v>
      </c>
      <c r="AH169" s="10" t="s">
        <v>80</v>
      </c>
      <c r="AI169" s="10"/>
      <c r="AJ169" s="10" t="s">
        <v>608</v>
      </c>
      <c r="AK169" s="10" t="s">
        <v>480</v>
      </c>
      <c r="AL169" s="14" t="s">
        <v>606</v>
      </c>
    </row>
    <row r="170" spans="1:38" s="15" customFormat="1" ht="21.75" customHeight="1">
      <c r="A170" s="10">
        <v>35</v>
      </c>
      <c r="B170" s="135" t="s">
        <v>550</v>
      </c>
      <c r="C170" s="134" t="s">
        <v>555</v>
      </c>
      <c r="D170" s="134">
        <v>2017</v>
      </c>
      <c r="E170" s="10">
        <v>1</v>
      </c>
      <c r="F170" s="10">
        <v>1</v>
      </c>
      <c r="G170" s="10" t="s">
        <v>187</v>
      </c>
      <c r="H170" s="10" t="s">
        <v>188</v>
      </c>
      <c r="I170" s="10" t="s">
        <v>204</v>
      </c>
      <c r="J170" s="10" t="s">
        <v>42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>
        <v>1</v>
      </c>
      <c r="Y170" s="10"/>
      <c r="Z170" s="10"/>
      <c r="AA170" s="75">
        <v>0</v>
      </c>
      <c r="AB170" s="11"/>
      <c r="AC170" s="11"/>
      <c r="AD170" s="11"/>
      <c r="AE170" s="11"/>
      <c r="AF170" s="119">
        <v>2150000</v>
      </c>
      <c r="AG170" s="119">
        <v>2150000</v>
      </c>
      <c r="AH170" s="10" t="s">
        <v>80</v>
      </c>
      <c r="AI170" s="10"/>
      <c r="AJ170" s="10" t="s">
        <v>643</v>
      </c>
      <c r="AK170" s="10" t="s">
        <v>480</v>
      </c>
      <c r="AL170" s="14" t="s">
        <v>606</v>
      </c>
    </row>
    <row r="171" spans="1:38" s="213" customFormat="1" ht="21.75" customHeight="1">
      <c r="A171" s="206">
        <v>36</v>
      </c>
      <c r="B171" s="241" t="s">
        <v>556</v>
      </c>
      <c r="C171" s="236" t="s">
        <v>557</v>
      </c>
      <c r="D171" s="236">
        <v>2015</v>
      </c>
      <c r="E171" s="206">
        <v>1</v>
      </c>
      <c r="F171" s="206">
        <v>1</v>
      </c>
      <c r="G171" s="206" t="s">
        <v>187</v>
      </c>
      <c r="H171" s="206" t="s">
        <v>188</v>
      </c>
      <c r="I171" s="206" t="s">
        <v>204</v>
      </c>
      <c r="J171" s="206" t="s">
        <v>42</v>
      </c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>
        <v>1</v>
      </c>
      <c r="Y171" s="206"/>
      <c r="Z171" s="206"/>
      <c r="AA171" s="211">
        <v>0</v>
      </c>
      <c r="AB171" s="210"/>
      <c r="AC171" s="210"/>
      <c r="AD171" s="210"/>
      <c r="AE171" s="210"/>
      <c r="AF171" s="240">
        <v>3080000</v>
      </c>
      <c r="AG171" s="240">
        <v>3080000</v>
      </c>
      <c r="AH171" s="206" t="s">
        <v>80</v>
      </c>
      <c r="AI171" s="206"/>
      <c r="AJ171" s="206" t="s">
        <v>643</v>
      </c>
      <c r="AK171" s="206" t="s">
        <v>480</v>
      </c>
      <c r="AL171" s="208" t="s">
        <v>606</v>
      </c>
    </row>
    <row r="172" spans="1:38" s="213" customFormat="1" ht="21.75" customHeight="1">
      <c r="A172" s="206">
        <v>37</v>
      </c>
      <c r="B172" s="241" t="s">
        <v>558</v>
      </c>
      <c r="C172" s="236" t="s">
        <v>559</v>
      </c>
      <c r="D172" s="236">
        <v>2017</v>
      </c>
      <c r="E172" s="206">
        <v>1</v>
      </c>
      <c r="F172" s="206">
        <v>1</v>
      </c>
      <c r="G172" s="206" t="s">
        <v>187</v>
      </c>
      <c r="H172" s="206" t="s">
        <v>188</v>
      </c>
      <c r="I172" s="206" t="s">
        <v>204</v>
      </c>
      <c r="J172" s="206" t="s">
        <v>42</v>
      </c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>
        <v>1</v>
      </c>
      <c r="Y172" s="206"/>
      <c r="Z172" s="206"/>
      <c r="AA172" s="211">
        <v>0</v>
      </c>
      <c r="AB172" s="210"/>
      <c r="AC172" s="210"/>
      <c r="AD172" s="210"/>
      <c r="AE172" s="210"/>
      <c r="AF172" s="240">
        <v>770000</v>
      </c>
      <c r="AG172" s="240">
        <v>770000</v>
      </c>
      <c r="AH172" s="206" t="s">
        <v>80</v>
      </c>
      <c r="AI172" s="206"/>
      <c r="AJ172" s="206" t="s">
        <v>643</v>
      </c>
      <c r="AK172" s="206" t="s">
        <v>480</v>
      </c>
      <c r="AL172" s="208" t="s">
        <v>606</v>
      </c>
    </row>
    <row r="173" spans="1:38" s="213" customFormat="1" ht="21.75" customHeight="1">
      <c r="A173" s="206">
        <v>38</v>
      </c>
      <c r="B173" s="241" t="s">
        <v>558</v>
      </c>
      <c r="C173" s="236" t="s">
        <v>560</v>
      </c>
      <c r="D173" s="236">
        <v>2017</v>
      </c>
      <c r="E173" s="206">
        <v>1</v>
      </c>
      <c r="F173" s="206">
        <v>1</v>
      </c>
      <c r="G173" s="206" t="s">
        <v>187</v>
      </c>
      <c r="H173" s="206" t="s">
        <v>188</v>
      </c>
      <c r="I173" s="206" t="s">
        <v>204</v>
      </c>
      <c r="J173" s="206" t="s">
        <v>42</v>
      </c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>
        <v>1</v>
      </c>
      <c r="Y173" s="206"/>
      <c r="Z173" s="206"/>
      <c r="AA173" s="211">
        <v>0</v>
      </c>
      <c r="AB173" s="210"/>
      <c r="AC173" s="210"/>
      <c r="AD173" s="210"/>
      <c r="AE173" s="210"/>
      <c r="AF173" s="240">
        <v>770000</v>
      </c>
      <c r="AG173" s="240">
        <v>770000</v>
      </c>
      <c r="AH173" s="206" t="s">
        <v>80</v>
      </c>
      <c r="AI173" s="206"/>
      <c r="AJ173" s="206" t="s">
        <v>643</v>
      </c>
      <c r="AK173" s="206" t="s">
        <v>480</v>
      </c>
      <c r="AL173" s="208" t="s">
        <v>606</v>
      </c>
    </row>
    <row r="174" spans="1:38" s="213" customFormat="1" ht="21.75" customHeight="1">
      <c r="A174" s="206">
        <v>39</v>
      </c>
      <c r="B174" s="241" t="s">
        <v>561</v>
      </c>
      <c r="C174" s="236"/>
      <c r="D174" s="236">
        <v>2017</v>
      </c>
      <c r="E174" s="206">
        <v>5</v>
      </c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>
        <v>5</v>
      </c>
      <c r="Y174" s="210"/>
      <c r="Z174" s="210"/>
      <c r="AA174" s="211" t="s">
        <v>493</v>
      </c>
      <c r="AB174" s="210"/>
      <c r="AC174" s="210"/>
      <c r="AD174" s="210"/>
      <c r="AE174" s="210"/>
      <c r="AF174" s="240">
        <v>850000</v>
      </c>
      <c r="AG174" s="240">
        <v>4250000</v>
      </c>
      <c r="AH174" s="206" t="s">
        <v>80</v>
      </c>
      <c r="AI174" s="206"/>
      <c r="AJ174" s="206" t="s">
        <v>641</v>
      </c>
      <c r="AK174" s="206" t="s">
        <v>480</v>
      </c>
      <c r="AL174" s="208" t="s">
        <v>606</v>
      </c>
    </row>
    <row r="175" spans="1:38" s="213" customFormat="1" ht="21.75" customHeight="1">
      <c r="A175" s="206">
        <v>40</v>
      </c>
      <c r="B175" s="241" t="s">
        <v>562</v>
      </c>
      <c r="C175" s="236" t="s">
        <v>563</v>
      </c>
      <c r="D175" s="236">
        <v>2015</v>
      </c>
      <c r="E175" s="206">
        <v>1</v>
      </c>
      <c r="F175" s="206">
        <v>1</v>
      </c>
      <c r="G175" s="206" t="s">
        <v>187</v>
      </c>
      <c r="H175" s="206" t="s">
        <v>188</v>
      </c>
      <c r="I175" s="206" t="s">
        <v>204</v>
      </c>
      <c r="J175" s="206" t="s">
        <v>42</v>
      </c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>
        <v>1</v>
      </c>
      <c r="Y175" s="206"/>
      <c r="Z175" s="206"/>
      <c r="AA175" s="211">
        <v>0</v>
      </c>
      <c r="AB175" s="210"/>
      <c r="AC175" s="210"/>
      <c r="AD175" s="210"/>
      <c r="AE175" s="210"/>
      <c r="AF175" s="240">
        <v>880000</v>
      </c>
      <c r="AG175" s="240">
        <v>880000</v>
      </c>
      <c r="AH175" s="206" t="s">
        <v>80</v>
      </c>
      <c r="AI175" s="206"/>
      <c r="AJ175" s="206" t="s">
        <v>643</v>
      </c>
      <c r="AK175" s="206" t="s">
        <v>480</v>
      </c>
      <c r="AL175" s="208" t="s">
        <v>606</v>
      </c>
    </row>
    <row r="176" spans="1:38" s="213" customFormat="1" ht="21.75" customHeight="1">
      <c r="A176" s="206">
        <v>41</v>
      </c>
      <c r="B176" s="241" t="s">
        <v>562</v>
      </c>
      <c r="C176" s="236" t="s">
        <v>564</v>
      </c>
      <c r="D176" s="236">
        <v>2015</v>
      </c>
      <c r="E176" s="206">
        <v>1</v>
      </c>
      <c r="F176" s="206">
        <v>1</v>
      </c>
      <c r="G176" s="206" t="s">
        <v>187</v>
      </c>
      <c r="H176" s="206" t="s">
        <v>188</v>
      </c>
      <c r="I176" s="206" t="s">
        <v>204</v>
      </c>
      <c r="J176" s="206" t="s">
        <v>42</v>
      </c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>
        <v>1</v>
      </c>
      <c r="Y176" s="206"/>
      <c r="Z176" s="206"/>
      <c r="AA176" s="211">
        <v>0</v>
      </c>
      <c r="AB176" s="210"/>
      <c r="AC176" s="210"/>
      <c r="AD176" s="210"/>
      <c r="AE176" s="210"/>
      <c r="AF176" s="240">
        <v>880000</v>
      </c>
      <c r="AG176" s="240">
        <v>880000</v>
      </c>
      <c r="AH176" s="206" t="s">
        <v>80</v>
      </c>
      <c r="AI176" s="206"/>
      <c r="AJ176" s="206" t="s">
        <v>352</v>
      </c>
      <c r="AK176" s="206" t="s">
        <v>480</v>
      </c>
      <c r="AL176" s="208" t="s">
        <v>610</v>
      </c>
    </row>
    <row r="177" spans="1:38" s="213" customFormat="1" ht="21.75" customHeight="1">
      <c r="A177" s="206">
        <v>42</v>
      </c>
      <c r="B177" s="241" t="s">
        <v>562</v>
      </c>
      <c r="C177" s="236" t="s">
        <v>565</v>
      </c>
      <c r="D177" s="236">
        <v>2015</v>
      </c>
      <c r="E177" s="206">
        <v>1</v>
      </c>
      <c r="F177" s="206">
        <v>1</v>
      </c>
      <c r="G177" s="206" t="s">
        <v>187</v>
      </c>
      <c r="H177" s="206" t="s">
        <v>188</v>
      </c>
      <c r="I177" s="206" t="s">
        <v>204</v>
      </c>
      <c r="J177" s="206" t="s">
        <v>42</v>
      </c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>
        <v>1</v>
      </c>
      <c r="Y177" s="206"/>
      <c r="Z177" s="206"/>
      <c r="AA177" s="211">
        <v>0</v>
      </c>
      <c r="AB177" s="210"/>
      <c r="AC177" s="210"/>
      <c r="AD177" s="210"/>
      <c r="AE177" s="210"/>
      <c r="AF177" s="240">
        <v>880000</v>
      </c>
      <c r="AG177" s="240">
        <v>880000</v>
      </c>
      <c r="AH177" s="206" t="s">
        <v>80</v>
      </c>
      <c r="AI177" s="206"/>
      <c r="AJ177" s="206" t="s">
        <v>643</v>
      </c>
      <c r="AK177" s="206" t="s">
        <v>480</v>
      </c>
      <c r="AL177" s="208" t="s">
        <v>606</v>
      </c>
    </row>
    <row r="178" spans="1:38" s="213" customFormat="1" ht="31.5" customHeight="1">
      <c r="A178" s="206">
        <v>43</v>
      </c>
      <c r="B178" s="241" t="s">
        <v>566</v>
      </c>
      <c r="C178" s="236" t="s">
        <v>567</v>
      </c>
      <c r="D178" s="236">
        <v>2019</v>
      </c>
      <c r="E178" s="206">
        <v>2</v>
      </c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>
        <v>2</v>
      </c>
      <c r="Y178" s="210"/>
      <c r="Z178" s="210"/>
      <c r="AA178" s="211" t="s">
        <v>493</v>
      </c>
      <c r="AB178" s="210"/>
      <c r="AC178" s="210"/>
      <c r="AD178" s="210"/>
      <c r="AE178" s="210"/>
      <c r="AF178" s="240">
        <v>500000</v>
      </c>
      <c r="AG178" s="240">
        <v>1000000</v>
      </c>
      <c r="AH178" s="206" t="s">
        <v>80</v>
      </c>
      <c r="AI178" s="206"/>
      <c r="AJ178" s="206" t="s">
        <v>611</v>
      </c>
      <c r="AK178" s="206" t="s">
        <v>480</v>
      </c>
      <c r="AL178" s="208" t="s">
        <v>612</v>
      </c>
    </row>
    <row r="179" spans="1:38" s="213" customFormat="1" ht="21.75" customHeight="1">
      <c r="A179" s="206">
        <v>44</v>
      </c>
      <c r="B179" s="241" t="s">
        <v>568</v>
      </c>
      <c r="C179" s="236" t="s">
        <v>569</v>
      </c>
      <c r="D179" s="236">
        <v>2020</v>
      </c>
      <c r="E179" s="206">
        <v>2</v>
      </c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>
        <v>2</v>
      </c>
      <c r="Y179" s="210"/>
      <c r="Z179" s="210"/>
      <c r="AA179" s="211" t="s">
        <v>493</v>
      </c>
      <c r="AB179" s="210"/>
      <c r="AC179" s="210"/>
      <c r="AD179" s="210"/>
      <c r="AE179" s="210"/>
      <c r="AF179" s="240">
        <v>500000</v>
      </c>
      <c r="AG179" s="240">
        <v>1000000</v>
      </c>
      <c r="AH179" s="206" t="s">
        <v>80</v>
      </c>
      <c r="AI179" s="206"/>
      <c r="AJ179" s="206" t="s">
        <v>643</v>
      </c>
      <c r="AK179" s="206" t="s">
        <v>480</v>
      </c>
      <c r="AL179" s="208" t="s">
        <v>606</v>
      </c>
    </row>
    <row r="180" spans="1:38" s="213" customFormat="1" ht="21.75" customHeight="1">
      <c r="A180" s="206">
        <v>45</v>
      </c>
      <c r="B180" s="241" t="s">
        <v>570</v>
      </c>
      <c r="C180" s="236" t="s">
        <v>571</v>
      </c>
      <c r="D180" s="236">
        <v>2020</v>
      </c>
      <c r="E180" s="206">
        <v>3</v>
      </c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>
        <v>3</v>
      </c>
      <c r="Y180" s="210"/>
      <c r="Z180" s="210"/>
      <c r="AA180" s="211" t="s">
        <v>493</v>
      </c>
      <c r="AB180" s="210"/>
      <c r="AC180" s="210"/>
      <c r="AD180" s="210"/>
      <c r="AE180" s="210"/>
      <c r="AF180" s="240">
        <v>450000</v>
      </c>
      <c r="AG180" s="240">
        <v>1350000</v>
      </c>
      <c r="AH180" s="206" t="s">
        <v>80</v>
      </c>
      <c r="AI180" s="206"/>
      <c r="AJ180" s="206" t="s">
        <v>643</v>
      </c>
      <c r="AK180" s="206" t="s">
        <v>480</v>
      </c>
      <c r="AL180" s="208" t="s">
        <v>606</v>
      </c>
    </row>
    <row r="181" spans="1:38" s="213" customFormat="1" ht="40.5" customHeight="1">
      <c r="A181" s="206">
        <v>46</v>
      </c>
      <c r="B181" s="241" t="s">
        <v>572</v>
      </c>
      <c r="C181" s="236" t="s">
        <v>573</v>
      </c>
      <c r="D181" s="236"/>
      <c r="E181" s="206">
        <v>1</v>
      </c>
      <c r="F181" s="206">
        <v>1</v>
      </c>
      <c r="G181" s="206" t="s">
        <v>187</v>
      </c>
      <c r="H181" s="206" t="s">
        <v>188</v>
      </c>
      <c r="I181" s="206" t="s">
        <v>204</v>
      </c>
      <c r="J181" s="206" t="s">
        <v>42</v>
      </c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>
        <v>1</v>
      </c>
      <c r="Y181" s="206"/>
      <c r="Z181" s="206"/>
      <c r="AA181" s="211">
        <v>0</v>
      </c>
      <c r="AB181" s="210"/>
      <c r="AC181" s="210"/>
      <c r="AD181" s="210"/>
      <c r="AE181" s="210"/>
      <c r="AF181" s="243">
        <v>900000</v>
      </c>
      <c r="AG181" s="243">
        <v>900000</v>
      </c>
      <c r="AH181" s="206" t="s">
        <v>80</v>
      </c>
      <c r="AI181" s="206"/>
      <c r="AJ181" s="206" t="s">
        <v>352</v>
      </c>
      <c r="AK181" s="206" t="s">
        <v>480</v>
      </c>
      <c r="AL181" s="208" t="s">
        <v>613</v>
      </c>
    </row>
    <row r="182" spans="1:38" s="213" customFormat="1" ht="21.75" customHeight="1">
      <c r="A182" s="206">
        <v>47</v>
      </c>
      <c r="B182" s="241" t="s">
        <v>574</v>
      </c>
      <c r="C182" s="236" t="s">
        <v>575</v>
      </c>
      <c r="D182" s="236"/>
      <c r="E182" s="206">
        <v>1</v>
      </c>
      <c r="F182" s="206">
        <v>1</v>
      </c>
      <c r="G182" s="206" t="s">
        <v>187</v>
      </c>
      <c r="H182" s="206" t="s">
        <v>188</v>
      </c>
      <c r="I182" s="206" t="s">
        <v>204</v>
      </c>
      <c r="J182" s="206" t="s">
        <v>42</v>
      </c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>
        <v>1</v>
      </c>
      <c r="Y182" s="206"/>
      <c r="Z182" s="206"/>
      <c r="AA182" s="211">
        <v>0</v>
      </c>
      <c r="AB182" s="210"/>
      <c r="AC182" s="210"/>
      <c r="AD182" s="210"/>
      <c r="AE182" s="210"/>
      <c r="AF182" s="243">
        <v>700000</v>
      </c>
      <c r="AG182" s="243">
        <v>700000</v>
      </c>
      <c r="AH182" s="206" t="s">
        <v>80</v>
      </c>
      <c r="AI182" s="206"/>
      <c r="AJ182" s="206" t="s">
        <v>643</v>
      </c>
      <c r="AK182" s="206" t="s">
        <v>480</v>
      </c>
      <c r="AL182" s="208" t="s">
        <v>606</v>
      </c>
    </row>
    <row r="183" spans="1:38" s="213" customFormat="1" ht="21.75" customHeight="1">
      <c r="A183" s="206">
        <v>48</v>
      </c>
      <c r="B183" s="241" t="s">
        <v>574</v>
      </c>
      <c r="C183" s="236" t="s">
        <v>576</v>
      </c>
      <c r="D183" s="236"/>
      <c r="E183" s="206">
        <v>1</v>
      </c>
      <c r="F183" s="206">
        <v>1</v>
      </c>
      <c r="G183" s="206" t="s">
        <v>187</v>
      </c>
      <c r="H183" s="206" t="s">
        <v>188</v>
      </c>
      <c r="I183" s="206" t="s">
        <v>204</v>
      </c>
      <c r="J183" s="206" t="s">
        <v>42</v>
      </c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>
        <v>1</v>
      </c>
      <c r="Y183" s="206"/>
      <c r="Z183" s="206"/>
      <c r="AA183" s="211">
        <v>0</v>
      </c>
      <c r="AB183" s="210"/>
      <c r="AC183" s="210"/>
      <c r="AD183" s="210"/>
      <c r="AE183" s="210"/>
      <c r="AF183" s="243">
        <v>1100000</v>
      </c>
      <c r="AG183" s="243">
        <v>1100000</v>
      </c>
      <c r="AH183" s="206" t="s">
        <v>80</v>
      </c>
      <c r="AI183" s="206"/>
      <c r="AJ183" s="206" t="s">
        <v>235</v>
      </c>
      <c r="AK183" s="206" t="s">
        <v>480</v>
      </c>
      <c r="AL183" s="208" t="s">
        <v>606</v>
      </c>
    </row>
    <row r="184" spans="1:38" s="213" customFormat="1" ht="21.75" customHeight="1">
      <c r="A184" s="206">
        <v>49</v>
      </c>
      <c r="B184" s="244" t="s">
        <v>577</v>
      </c>
      <c r="C184" s="236" t="s">
        <v>578</v>
      </c>
      <c r="D184" s="236"/>
      <c r="E184" s="206">
        <v>1</v>
      </c>
      <c r="F184" s="206">
        <v>1</v>
      </c>
      <c r="G184" s="206" t="s">
        <v>187</v>
      </c>
      <c r="H184" s="206" t="s">
        <v>188</v>
      </c>
      <c r="I184" s="206" t="s">
        <v>204</v>
      </c>
      <c r="J184" s="206" t="s">
        <v>42</v>
      </c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>
        <v>1</v>
      </c>
      <c r="Y184" s="206"/>
      <c r="Z184" s="206"/>
      <c r="AA184" s="211">
        <v>0</v>
      </c>
      <c r="AB184" s="210"/>
      <c r="AC184" s="210"/>
      <c r="AD184" s="210"/>
      <c r="AE184" s="210"/>
      <c r="AF184" s="225">
        <v>549000</v>
      </c>
      <c r="AG184" s="240">
        <v>549000</v>
      </c>
      <c r="AH184" s="206" t="s">
        <v>80</v>
      </c>
      <c r="AI184" s="206"/>
      <c r="AJ184" s="206" t="s">
        <v>643</v>
      </c>
      <c r="AK184" s="206" t="s">
        <v>480</v>
      </c>
      <c r="AL184" s="208" t="s">
        <v>606</v>
      </c>
    </row>
    <row r="185" spans="1:38" s="213" customFormat="1" ht="21.75" customHeight="1">
      <c r="A185" s="206">
        <v>51</v>
      </c>
      <c r="B185" s="244" t="s">
        <v>579</v>
      </c>
      <c r="C185" s="236" t="s">
        <v>580</v>
      </c>
      <c r="D185" s="236"/>
      <c r="E185" s="206">
        <v>1</v>
      </c>
      <c r="F185" s="206">
        <v>1</v>
      </c>
      <c r="G185" s="206" t="s">
        <v>187</v>
      </c>
      <c r="H185" s="206" t="s">
        <v>188</v>
      </c>
      <c r="I185" s="206" t="s">
        <v>204</v>
      </c>
      <c r="J185" s="206" t="s">
        <v>42</v>
      </c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>
        <v>1</v>
      </c>
      <c r="Y185" s="206"/>
      <c r="Z185" s="206"/>
      <c r="AA185" s="211">
        <v>0</v>
      </c>
      <c r="AB185" s="210"/>
      <c r="AC185" s="210"/>
      <c r="AD185" s="210"/>
      <c r="AE185" s="210"/>
      <c r="AF185" s="240">
        <v>1900000</v>
      </c>
      <c r="AG185" s="245">
        <v>1900000</v>
      </c>
      <c r="AH185" s="206" t="s">
        <v>80</v>
      </c>
      <c r="AI185" s="206"/>
      <c r="AJ185" s="206" t="s">
        <v>643</v>
      </c>
      <c r="AK185" s="206" t="s">
        <v>480</v>
      </c>
      <c r="AL185" s="208" t="s">
        <v>606</v>
      </c>
    </row>
    <row r="186" spans="1:38" s="213" customFormat="1" ht="21.75" customHeight="1">
      <c r="A186" s="206">
        <v>52</v>
      </c>
      <c r="B186" s="244" t="s">
        <v>581</v>
      </c>
      <c r="C186" s="236" t="s">
        <v>582</v>
      </c>
      <c r="D186" s="236"/>
      <c r="E186" s="206">
        <v>1</v>
      </c>
      <c r="F186" s="206">
        <v>1</v>
      </c>
      <c r="G186" s="206" t="s">
        <v>187</v>
      </c>
      <c r="H186" s="206" t="s">
        <v>188</v>
      </c>
      <c r="I186" s="206" t="s">
        <v>204</v>
      </c>
      <c r="J186" s="206" t="s">
        <v>42</v>
      </c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>
        <v>1</v>
      </c>
      <c r="Y186" s="206"/>
      <c r="Z186" s="206"/>
      <c r="AA186" s="211">
        <v>0</v>
      </c>
      <c r="AB186" s="210"/>
      <c r="AC186" s="210"/>
      <c r="AD186" s="210"/>
      <c r="AE186" s="210"/>
      <c r="AF186" s="240">
        <v>2450000</v>
      </c>
      <c r="AG186" s="245">
        <v>2450000</v>
      </c>
      <c r="AH186" s="206" t="s">
        <v>80</v>
      </c>
      <c r="AI186" s="206"/>
      <c r="AJ186" s="206" t="s">
        <v>643</v>
      </c>
      <c r="AK186" s="206" t="s">
        <v>480</v>
      </c>
      <c r="AL186" s="208" t="s">
        <v>606</v>
      </c>
    </row>
    <row r="187" spans="1:38" s="213" customFormat="1" ht="21.75" customHeight="1">
      <c r="A187" s="206">
        <v>53</v>
      </c>
      <c r="B187" s="244" t="s">
        <v>583</v>
      </c>
      <c r="C187" s="236" t="s">
        <v>584</v>
      </c>
      <c r="D187" s="236"/>
      <c r="E187" s="206">
        <v>1</v>
      </c>
      <c r="F187" s="206">
        <v>1</v>
      </c>
      <c r="G187" s="206" t="s">
        <v>187</v>
      </c>
      <c r="H187" s="206" t="s">
        <v>188</v>
      </c>
      <c r="I187" s="206" t="s">
        <v>204</v>
      </c>
      <c r="J187" s="206" t="s">
        <v>42</v>
      </c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>
        <v>1</v>
      </c>
      <c r="Y187" s="206"/>
      <c r="Z187" s="206"/>
      <c r="AA187" s="211">
        <v>0</v>
      </c>
      <c r="AB187" s="210"/>
      <c r="AC187" s="210"/>
      <c r="AD187" s="210"/>
      <c r="AE187" s="210"/>
      <c r="AF187" s="240">
        <v>6100000</v>
      </c>
      <c r="AG187" s="245">
        <v>6100000</v>
      </c>
      <c r="AH187" s="206" t="s">
        <v>80</v>
      </c>
      <c r="AI187" s="206"/>
      <c r="AJ187" s="206" t="s">
        <v>643</v>
      </c>
      <c r="AK187" s="206" t="s">
        <v>480</v>
      </c>
      <c r="AL187" s="208" t="s">
        <v>606</v>
      </c>
    </row>
    <row r="188" spans="1:38" s="213" customFormat="1" ht="21.75" customHeight="1">
      <c r="A188" s="206">
        <v>54</v>
      </c>
      <c r="B188" s="244" t="s">
        <v>585</v>
      </c>
      <c r="C188" s="236" t="s">
        <v>586</v>
      </c>
      <c r="D188" s="236"/>
      <c r="E188" s="206">
        <v>1</v>
      </c>
      <c r="F188" s="206">
        <v>1</v>
      </c>
      <c r="G188" s="206" t="s">
        <v>187</v>
      </c>
      <c r="H188" s="206" t="s">
        <v>188</v>
      </c>
      <c r="I188" s="206" t="s">
        <v>204</v>
      </c>
      <c r="J188" s="206" t="s">
        <v>42</v>
      </c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>
        <v>1</v>
      </c>
      <c r="Y188" s="206"/>
      <c r="Z188" s="206"/>
      <c r="AA188" s="211">
        <v>0</v>
      </c>
      <c r="AB188" s="210"/>
      <c r="AC188" s="210"/>
      <c r="AD188" s="210"/>
      <c r="AE188" s="210"/>
      <c r="AF188" s="240">
        <v>2000000</v>
      </c>
      <c r="AG188" s="245">
        <v>2000000</v>
      </c>
      <c r="AH188" s="206" t="s">
        <v>80</v>
      </c>
      <c r="AI188" s="206"/>
      <c r="AJ188" s="206" t="s">
        <v>643</v>
      </c>
      <c r="AK188" s="206" t="s">
        <v>480</v>
      </c>
      <c r="AL188" s="208" t="s">
        <v>606</v>
      </c>
    </row>
    <row r="189" spans="1:38" s="213" customFormat="1" ht="46.5" customHeight="1">
      <c r="A189" s="206">
        <v>55</v>
      </c>
      <c r="B189" s="244" t="s">
        <v>588</v>
      </c>
      <c r="C189" s="236" t="s">
        <v>587</v>
      </c>
      <c r="D189" s="236"/>
      <c r="E189" s="206">
        <v>5</v>
      </c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>
        <v>5</v>
      </c>
      <c r="Y189" s="210"/>
      <c r="Z189" s="210"/>
      <c r="AA189" s="211" t="s">
        <v>493</v>
      </c>
      <c r="AB189" s="210"/>
      <c r="AC189" s="210"/>
      <c r="AD189" s="210"/>
      <c r="AE189" s="210"/>
      <c r="AF189" s="212">
        <v>6100000</v>
      </c>
      <c r="AG189" s="212">
        <v>30500000</v>
      </c>
      <c r="AH189" s="206" t="s">
        <v>80</v>
      </c>
      <c r="AI189" s="206"/>
      <c r="AJ189" s="206" t="s">
        <v>643</v>
      </c>
      <c r="AK189" s="206" t="s">
        <v>480</v>
      </c>
      <c r="AL189" s="208" t="s">
        <v>606</v>
      </c>
    </row>
    <row r="190" spans="1:38" s="213" customFormat="1" ht="62.25" customHeight="1">
      <c r="A190" s="206">
        <v>56</v>
      </c>
      <c r="B190" s="241" t="s">
        <v>589</v>
      </c>
      <c r="C190" s="236" t="s">
        <v>590</v>
      </c>
      <c r="D190" s="236">
        <v>2005</v>
      </c>
      <c r="E190" s="206">
        <v>1</v>
      </c>
      <c r="F190" s="206">
        <v>1</v>
      </c>
      <c r="G190" s="206" t="s">
        <v>187</v>
      </c>
      <c r="H190" s="206" t="s">
        <v>188</v>
      </c>
      <c r="I190" s="206" t="s">
        <v>204</v>
      </c>
      <c r="J190" s="206" t="s">
        <v>42</v>
      </c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>
        <v>1</v>
      </c>
      <c r="Y190" s="206"/>
      <c r="Z190" s="206"/>
      <c r="AA190" s="211">
        <v>0</v>
      </c>
      <c r="AB190" s="210"/>
      <c r="AC190" s="210"/>
      <c r="AD190" s="210"/>
      <c r="AE190" s="210"/>
      <c r="AF190" s="240">
        <v>8780000</v>
      </c>
      <c r="AG190" s="240">
        <v>8780000</v>
      </c>
      <c r="AH190" s="206" t="s">
        <v>80</v>
      </c>
      <c r="AI190" s="206"/>
      <c r="AJ190" s="206" t="s">
        <v>506</v>
      </c>
      <c r="AK190" s="206" t="s">
        <v>480</v>
      </c>
      <c r="AL190" s="208" t="s">
        <v>635</v>
      </c>
    </row>
    <row r="191" spans="1:38" s="213" customFormat="1" ht="62.25" customHeight="1">
      <c r="A191" s="206">
        <v>57</v>
      </c>
      <c r="B191" s="246" t="s">
        <v>636</v>
      </c>
      <c r="C191" s="247" t="s">
        <v>638</v>
      </c>
      <c r="D191" s="236">
        <v>2015</v>
      </c>
      <c r="E191" s="206">
        <v>1</v>
      </c>
      <c r="F191" s="206">
        <v>1</v>
      </c>
      <c r="G191" s="206" t="s">
        <v>187</v>
      </c>
      <c r="H191" s="206" t="s">
        <v>188</v>
      </c>
      <c r="I191" s="206" t="s">
        <v>204</v>
      </c>
      <c r="J191" s="206" t="s">
        <v>42</v>
      </c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>
        <v>1</v>
      </c>
      <c r="Y191" s="206"/>
      <c r="Z191" s="206"/>
      <c r="AA191" s="211">
        <v>0</v>
      </c>
      <c r="AB191" s="210"/>
      <c r="AC191" s="210"/>
      <c r="AD191" s="210"/>
      <c r="AE191" s="210"/>
      <c r="AF191" s="248">
        <v>2600000</v>
      </c>
      <c r="AG191" s="248">
        <v>2600000</v>
      </c>
      <c r="AH191" s="206" t="s">
        <v>80</v>
      </c>
      <c r="AI191" s="206"/>
      <c r="AJ191" s="206" t="s">
        <v>235</v>
      </c>
      <c r="AK191" s="206" t="s">
        <v>480</v>
      </c>
      <c r="AL191" s="208" t="s">
        <v>606</v>
      </c>
    </row>
    <row r="192" spans="1:38" s="213" customFormat="1" ht="62.25" customHeight="1">
      <c r="A192" s="206">
        <v>58</v>
      </c>
      <c r="B192" s="246" t="s">
        <v>637</v>
      </c>
      <c r="C192" s="247" t="s">
        <v>639</v>
      </c>
      <c r="D192" s="236">
        <v>2017</v>
      </c>
      <c r="E192" s="206">
        <v>1</v>
      </c>
      <c r="F192" s="206">
        <v>1</v>
      </c>
      <c r="G192" s="206" t="s">
        <v>187</v>
      </c>
      <c r="H192" s="206" t="s">
        <v>188</v>
      </c>
      <c r="I192" s="206" t="s">
        <v>204</v>
      </c>
      <c r="J192" s="206" t="s">
        <v>42</v>
      </c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>
        <v>1</v>
      </c>
      <c r="Y192" s="206"/>
      <c r="Z192" s="206"/>
      <c r="AA192" s="211">
        <v>0</v>
      </c>
      <c r="AB192" s="210"/>
      <c r="AC192" s="210"/>
      <c r="AD192" s="210"/>
      <c r="AE192" s="210"/>
      <c r="AF192" s="249">
        <v>1510000</v>
      </c>
      <c r="AG192" s="249">
        <v>1510000</v>
      </c>
      <c r="AH192" s="206" t="s">
        <v>80</v>
      </c>
      <c r="AI192" s="206"/>
      <c r="AJ192" s="206" t="s">
        <v>235</v>
      </c>
      <c r="AK192" s="206" t="s">
        <v>480</v>
      </c>
      <c r="AL192" s="208" t="s">
        <v>606</v>
      </c>
    </row>
    <row r="193" spans="1:39" s="213" customFormat="1" ht="39.75" customHeight="1">
      <c r="A193" s="206">
        <v>59</v>
      </c>
      <c r="B193" s="253" t="s">
        <v>591</v>
      </c>
      <c r="C193" s="254" t="s">
        <v>592</v>
      </c>
      <c r="D193" s="255">
        <v>2013</v>
      </c>
      <c r="E193" s="206">
        <v>1</v>
      </c>
      <c r="F193" s="206">
        <v>1</v>
      </c>
      <c r="G193" s="206" t="s">
        <v>187</v>
      </c>
      <c r="H193" s="206" t="s">
        <v>188</v>
      </c>
      <c r="I193" s="206" t="s">
        <v>204</v>
      </c>
      <c r="J193" s="206" t="s">
        <v>42</v>
      </c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>
        <v>1</v>
      </c>
      <c r="Y193" s="206"/>
      <c r="Z193" s="206"/>
      <c r="AA193" s="211">
        <v>0</v>
      </c>
      <c r="AB193" s="210"/>
      <c r="AC193" s="210"/>
      <c r="AD193" s="210"/>
      <c r="AE193" s="210"/>
      <c r="AF193" s="240">
        <v>3650000</v>
      </c>
      <c r="AG193" s="240">
        <v>3650000</v>
      </c>
      <c r="AH193" s="206" t="s">
        <v>80</v>
      </c>
      <c r="AI193" s="206"/>
      <c r="AJ193" s="206" t="s">
        <v>642</v>
      </c>
      <c r="AK193" s="206" t="s">
        <v>480</v>
      </c>
      <c r="AL193" s="208" t="s">
        <v>606</v>
      </c>
    </row>
    <row r="194" spans="1:39" s="213" customFormat="1" ht="30" customHeight="1">
      <c r="A194" s="206">
        <v>60</v>
      </c>
      <c r="B194" s="253" t="s">
        <v>593</v>
      </c>
      <c r="C194" s="254" t="s">
        <v>594</v>
      </c>
      <c r="D194" s="255">
        <v>2020</v>
      </c>
      <c r="E194" s="206">
        <v>1</v>
      </c>
      <c r="F194" s="206">
        <v>1</v>
      </c>
      <c r="G194" s="206" t="s">
        <v>187</v>
      </c>
      <c r="H194" s="206" t="s">
        <v>188</v>
      </c>
      <c r="I194" s="206" t="s">
        <v>204</v>
      </c>
      <c r="J194" s="206" t="s">
        <v>42</v>
      </c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>
        <v>1</v>
      </c>
      <c r="Y194" s="206"/>
      <c r="Z194" s="206"/>
      <c r="AA194" s="211">
        <v>0</v>
      </c>
      <c r="AB194" s="210"/>
      <c r="AC194" s="210"/>
      <c r="AD194" s="210"/>
      <c r="AE194" s="210"/>
      <c r="AF194" s="240">
        <v>900000</v>
      </c>
      <c r="AG194" s="240">
        <v>900000</v>
      </c>
      <c r="AH194" s="206" t="s">
        <v>80</v>
      </c>
      <c r="AI194" s="206"/>
      <c r="AJ194" s="206" t="s">
        <v>235</v>
      </c>
      <c r="AK194" s="206" t="s">
        <v>480</v>
      </c>
      <c r="AL194" s="208" t="s">
        <v>610</v>
      </c>
    </row>
    <row r="195" spans="1:39" s="213" customFormat="1" ht="30" customHeight="1">
      <c r="A195" s="206">
        <v>61</v>
      </c>
      <c r="B195" s="253" t="s">
        <v>568</v>
      </c>
      <c r="C195" s="254" t="s">
        <v>595</v>
      </c>
      <c r="D195" s="255">
        <v>2020</v>
      </c>
      <c r="E195" s="206">
        <v>1</v>
      </c>
      <c r="F195" s="206">
        <v>1</v>
      </c>
      <c r="G195" s="206" t="s">
        <v>187</v>
      </c>
      <c r="H195" s="206" t="s">
        <v>188</v>
      </c>
      <c r="I195" s="206" t="s">
        <v>204</v>
      </c>
      <c r="J195" s="206" t="s">
        <v>42</v>
      </c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>
        <v>1</v>
      </c>
      <c r="Y195" s="206"/>
      <c r="Z195" s="206"/>
      <c r="AA195" s="211">
        <v>0</v>
      </c>
      <c r="AB195" s="210"/>
      <c r="AC195" s="210"/>
      <c r="AD195" s="210"/>
      <c r="AE195" s="210"/>
      <c r="AF195" s="240">
        <v>500000</v>
      </c>
      <c r="AG195" s="240">
        <v>500000</v>
      </c>
      <c r="AH195" s="206" t="s">
        <v>80</v>
      </c>
      <c r="AI195" s="206"/>
      <c r="AJ195" s="206" t="s">
        <v>643</v>
      </c>
      <c r="AK195" s="206" t="s">
        <v>480</v>
      </c>
      <c r="AL195" s="208" t="s">
        <v>606</v>
      </c>
    </row>
    <row r="196" spans="1:39" s="213" customFormat="1" ht="32.25" customHeight="1">
      <c r="A196" s="206">
        <v>62</v>
      </c>
      <c r="B196" s="253" t="s">
        <v>596</v>
      </c>
      <c r="C196" s="254" t="s">
        <v>597</v>
      </c>
      <c r="D196" s="255" t="s">
        <v>598</v>
      </c>
      <c r="E196" s="206">
        <v>1</v>
      </c>
      <c r="F196" s="206">
        <v>1</v>
      </c>
      <c r="G196" s="206" t="s">
        <v>187</v>
      </c>
      <c r="H196" s="206" t="s">
        <v>188</v>
      </c>
      <c r="I196" s="206" t="s">
        <v>204</v>
      </c>
      <c r="J196" s="206" t="s">
        <v>42</v>
      </c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>
        <v>1</v>
      </c>
      <c r="Y196" s="206"/>
      <c r="Z196" s="206"/>
      <c r="AA196" s="211">
        <v>0</v>
      </c>
      <c r="AB196" s="210"/>
      <c r="AC196" s="210"/>
      <c r="AD196" s="210"/>
      <c r="AE196" s="210"/>
      <c r="AF196" s="240">
        <v>6660000</v>
      </c>
      <c r="AG196" s="240">
        <v>6660000</v>
      </c>
      <c r="AH196" s="206" t="s">
        <v>80</v>
      </c>
      <c r="AI196" s="206"/>
      <c r="AJ196" s="206" t="s">
        <v>641</v>
      </c>
      <c r="AK196" s="206" t="s">
        <v>480</v>
      </c>
      <c r="AL196" s="208" t="s">
        <v>614</v>
      </c>
    </row>
    <row r="197" spans="1:39" s="213" customFormat="1" ht="28.5" customHeight="1">
      <c r="A197" s="206">
        <v>63</v>
      </c>
      <c r="B197" s="253" t="s">
        <v>215</v>
      </c>
      <c r="C197" s="254" t="s">
        <v>599</v>
      </c>
      <c r="D197" s="255">
        <v>0</v>
      </c>
      <c r="E197" s="206">
        <v>1</v>
      </c>
      <c r="F197" s="206">
        <v>1</v>
      </c>
      <c r="G197" s="206" t="s">
        <v>187</v>
      </c>
      <c r="H197" s="206" t="s">
        <v>188</v>
      </c>
      <c r="I197" s="206" t="s">
        <v>204</v>
      </c>
      <c r="J197" s="206" t="s">
        <v>42</v>
      </c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>
        <v>1</v>
      </c>
      <c r="Y197" s="206"/>
      <c r="Z197" s="206"/>
      <c r="AA197" s="211">
        <v>0</v>
      </c>
      <c r="AB197" s="210"/>
      <c r="AC197" s="210"/>
      <c r="AD197" s="210"/>
      <c r="AE197" s="210"/>
      <c r="AF197" s="240">
        <v>1000000</v>
      </c>
      <c r="AG197" s="240">
        <v>1000000</v>
      </c>
      <c r="AH197" s="206" t="s">
        <v>80</v>
      </c>
      <c r="AI197" s="206"/>
      <c r="AJ197" s="206" t="s">
        <v>643</v>
      </c>
      <c r="AK197" s="206" t="s">
        <v>480</v>
      </c>
      <c r="AL197" s="208" t="s">
        <v>606</v>
      </c>
    </row>
    <row r="198" spans="1:39" s="213" customFormat="1" ht="21.75" customHeight="1">
      <c r="A198" s="206">
        <v>64</v>
      </c>
      <c r="B198" s="253" t="s">
        <v>600</v>
      </c>
      <c r="C198" s="254" t="s">
        <v>601</v>
      </c>
      <c r="D198" s="255">
        <v>2001</v>
      </c>
      <c r="E198" s="206">
        <v>1</v>
      </c>
      <c r="F198" s="206">
        <v>1</v>
      </c>
      <c r="G198" s="206" t="s">
        <v>187</v>
      </c>
      <c r="H198" s="206" t="s">
        <v>188</v>
      </c>
      <c r="I198" s="206" t="s">
        <v>204</v>
      </c>
      <c r="J198" s="206" t="s">
        <v>42</v>
      </c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>
        <v>1</v>
      </c>
      <c r="Y198" s="206"/>
      <c r="Z198" s="206"/>
      <c r="AA198" s="211">
        <v>0</v>
      </c>
      <c r="AB198" s="210"/>
      <c r="AC198" s="210"/>
      <c r="AD198" s="210"/>
      <c r="AE198" s="210"/>
      <c r="AF198" s="240">
        <v>9700000</v>
      </c>
      <c r="AG198" s="240">
        <v>9700000</v>
      </c>
      <c r="AH198" s="206" t="s">
        <v>80</v>
      </c>
      <c r="AI198" s="206"/>
      <c r="AJ198" s="206" t="s">
        <v>641</v>
      </c>
      <c r="AK198" s="206" t="s">
        <v>480</v>
      </c>
      <c r="AL198" s="208" t="s">
        <v>614</v>
      </c>
    </row>
    <row r="199" spans="1:39" s="213" customFormat="1" ht="21.75" customHeight="1">
      <c r="A199" s="206">
        <v>65</v>
      </c>
      <c r="B199" s="241" t="s">
        <v>550</v>
      </c>
      <c r="C199" s="236" t="s">
        <v>554</v>
      </c>
      <c r="D199" s="236">
        <v>2017</v>
      </c>
      <c r="E199" s="206">
        <v>1</v>
      </c>
      <c r="F199" s="206">
        <v>1</v>
      </c>
      <c r="G199" s="206" t="s">
        <v>187</v>
      </c>
      <c r="H199" s="206" t="s">
        <v>188</v>
      </c>
      <c r="I199" s="206" t="s">
        <v>204</v>
      </c>
      <c r="J199" s="206" t="s">
        <v>42</v>
      </c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>
        <v>1</v>
      </c>
      <c r="Y199" s="206"/>
      <c r="Z199" s="206"/>
      <c r="AA199" s="211">
        <v>0</v>
      </c>
      <c r="AB199" s="210"/>
      <c r="AC199" s="210"/>
      <c r="AD199" s="210"/>
      <c r="AE199" s="210"/>
      <c r="AF199" s="240">
        <v>2150000</v>
      </c>
      <c r="AG199" s="240">
        <v>2150000</v>
      </c>
      <c r="AH199" s="206" t="s">
        <v>80</v>
      </c>
      <c r="AI199" s="206"/>
      <c r="AJ199" s="206" t="s">
        <v>644</v>
      </c>
      <c r="AK199" s="206" t="s">
        <v>480</v>
      </c>
      <c r="AL199" s="208" t="s">
        <v>606</v>
      </c>
    </row>
    <row r="200" spans="1:39" s="213" customFormat="1" ht="21.75" customHeight="1">
      <c r="A200" s="206">
        <v>66</v>
      </c>
      <c r="B200" s="253" t="s">
        <v>602</v>
      </c>
      <c r="C200" s="254" t="s">
        <v>633</v>
      </c>
      <c r="D200" s="255">
        <v>2017</v>
      </c>
      <c r="E200" s="206">
        <v>1</v>
      </c>
      <c r="F200" s="206">
        <v>1</v>
      </c>
      <c r="G200" s="206" t="s">
        <v>187</v>
      </c>
      <c r="H200" s="206" t="s">
        <v>188</v>
      </c>
      <c r="I200" s="206" t="s">
        <v>204</v>
      </c>
      <c r="J200" s="206" t="s">
        <v>42</v>
      </c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>
        <v>1</v>
      </c>
      <c r="Y200" s="206"/>
      <c r="Z200" s="206"/>
      <c r="AA200" s="211">
        <v>0</v>
      </c>
      <c r="AB200" s="210"/>
      <c r="AC200" s="210"/>
      <c r="AD200" s="210"/>
      <c r="AE200" s="210"/>
      <c r="AF200" s="240">
        <v>3540000</v>
      </c>
      <c r="AG200" s="240">
        <v>3540000</v>
      </c>
      <c r="AH200" s="206" t="s">
        <v>80</v>
      </c>
      <c r="AI200" s="206"/>
      <c r="AJ200" s="206" t="s">
        <v>643</v>
      </c>
      <c r="AK200" s="206" t="s">
        <v>480</v>
      </c>
      <c r="AL200" s="208" t="s">
        <v>606</v>
      </c>
    </row>
    <row r="201" spans="1:39" s="213" customFormat="1" ht="21.75" customHeight="1">
      <c r="A201" s="206">
        <v>67</v>
      </c>
      <c r="B201" s="253" t="s">
        <v>602</v>
      </c>
      <c r="C201" s="254" t="s">
        <v>603</v>
      </c>
      <c r="D201" s="255">
        <v>2017</v>
      </c>
      <c r="E201" s="206">
        <v>1</v>
      </c>
      <c r="F201" s="206">
        <v>1</v>
      </c>
      <c r="G201" s="206" t="s">
        <v>187</v>
      </c>
      <c r="H201" s="206" t="s">
        <v>188</v>
      </c>
      <c r="I201" s="206" t="s">
        <v>204</v>
      </c>
      <c r="J201" s="206" t="s">
        <v>42</v>
      </c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>
        <v>1</v>
      </c>
      <c r="Y201" s="206"/>
      <c r="Z201" s="206"/>
      <c r="AA201" s="211">
        <v>0</v>
      </c>
      <c r="AB201" s="210"/>
      <c r="AC201" s="210"/>
      <c r="AD201" s="210"/>
      <c r="AE201" s="210"/>
      <c r="AF201" s="240">
        <v>3950000</v>
      </c>
      <c r="AG201" s="240">
        <v>3950000</v>
      </c>
      <c r="AH201" s="206" t="s">
        <v>80</v>
      </c>
      <c r="AI201" s="206"/>
      <c r="AJ201" s="206" t="s">
        <v>643</v>
      </c>
      <c r="AK201" s="206" t="s">
        <v>480</v>
      </c>
      <c r="AL201" s="208" t="s">
        <v>606</v>
      </c>
    </row>
    <row r="202" spans="1:39" s="213" customFormat="1" ht="21.75" customHeight="1">
      <c r="A202" s="206">
        <v>68</v>
      </c>
      <c r="B202" s="241" t="s">
        <v>604</v>
      </c>
      <c r="C202" s="236" t="s">
        <v>605</v>
      </c>
      <c r="D202" s="236">
        <v>2015</v>
      </c>
      <c r="E202" s="206">
        <v>1</v>
      </c>
      <c r="F202" s="206">
        <v>1</v>
      </c>
      <c r="G202" s="206" t="s">
        <v>187</v>
      </c>
      <c r="H202" s="206" t="s">
        <v>188</v>
      </c>
      <c r="I202" s="206" t="s">
        <v>204</v>
      </c>
      <c r="J202" s="206" t="s">
        <v>42</v>
      </c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>
        <v>1</v>
      </c>
      <c r="Y202" s="206"/>
      <c r="Z202" s="206"/>
      <c r="AA202" s="211">
        <v>0</v>
      </c>
      <c r="AB202" s="210"/>
      <c r="AC202" s="210"/>
      <c r="AD202" s="210"/>
      <c r="AE202" s="210"/>
      <c r="AF202" s="256">
        <v>3520000</v>
      </c>
      <c r="AG202" s="256">
        <v>3520000</v>
      </c>
      <c r="AH202" s="206" t="s">
        <v>80</v>
      </c>
      <c r="AI202" s="206"/>
      <c r="AJ202" s="206" t="s">
        <v>641</v>
      </c>
      <c r="AK202" s="206" t="s">
        <v>480</v>
      </c>
      <c r="AL202" s="208" t="s">
        <v>606</v>
      </c>
    </row>
    <row r="203" spans="1:39" s="213" customFormat="1" ht="46.5" customHeight="1">
      <c r="A203" s="206">
        <v>71</v>
      </c>
      <c r="B203" s="235" t="s">
        <v>542</v>
      </c>
      <c r="C203" s="236" t="s">
        <v>623</v>
      </c>
      <c r="D203" s="236">
        <v>2017</v>
      </c>
      <c r="E203" s="206">
        <v>0</v>
      </c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>
        <v>1</v>
      </c>
      <c r="Y203" s="206"/>
      <c r="Z203" s="206"/>
      <c r="AA203" s="211" t="s">
        <v>326</v>
      </c>
      <c r="AB203" s="210"/>
      <c r="AC203" s="210"/>
      <c r="AD203" s="210"/>
      <c r="AE203" s="210"/>
      <c r="AF203" s="237">
        <v>1750000</v>
      </c>
      <c r="AG203" s="238">
        <v>1750000</v>
      </c>
      <c r="AH203" s="206" t="s">
        <v>80</v>
      </c>
      <c r="AI203" s="206"/>
      <c r="AJ203" s="206" t="s">
        <v>643</v>
      </c>
      <c r="AK203" s="206" t="s">
        <v>480</v>
      </c>
      <c r="AL203" s="233" t="s">
        <v>624</v>
      </c>
    </row>
    <row r="204" spans="1:39" s="15" customFormat="1" ht="46.5" customHeight="1">
      <c r="A204" s="10">
        <v>72</v>
      </c>
      <c r="B204" s="136" t="s">
        <v>628</v>
      </c>
      <c r="C204" s="137" t="s">
        <v>629</v>
      </c>
      <c r="D204" s="137">
        <v>2005</v>
      </c>
      <c r="E204" s="10">
        <v>0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>
        <v>1</v>
      </c>
      <c r="Y204" s="10"/>
      <c r="Z204" s="10"/>
      <c r="AA204" s="75" t="s">
        <v>326</v>
      </c>
      <c r="AB204" s="11"/>
      <c r="AC204" s="11"/>
      <c r="AD204" s="11"/>
      <c r="AE204" s="11"/>
      <c r="AF204" s="138">
        <v>7500000</v>
      </c>
      <c r="AG204" s="138">
        <v>7500000</v>
      </c>
      <c r="AH204" s="10" t="s">
        <v>80</v>
      </c>
      <c r="AI204" s="10"/>
      <c r="AJ204" s="10" t="s">
        <v>643</v>
      </c>
      <c r="AK204" s="10" t="s">
        <v>480</v>
      </c>
      <c r="AL204" s="64" t="s">
        <v>645</v>
      </c>
    </row>
    <row r="205" spans="1:39" s="15" customFormat="1" ht="15" customHeight="1">
      <c r="A205" s="139"/>
      <c r="B205" s="140" t="s">
        <v>651</v>
      </c>
      <c r="C205" s="141"/>
      <c r="D205" s="140"/>
      <c r="E205" s="139"/>
      <c r="F205" s="139"/>
      <c r="G205" s="142"/>
      <c r="H205" s="142"/>
      <c r="I205" s="142"/>
      <c r="J205" s="143"/>
      <c r="K205" s="143"/>
      <c r="L205" s="144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39"/>
      <c r="Z205" s="143"/>
      <c r="AA205" s="142"/>
      <c r="AB205" s="145"/>
      <c r="AC205" s="143"/>
      <c r="AD205" s="143"/>
      <c r="AE205" s="146"/>
      <c r="AF205" s="50"/>
      <c r="AG205" s="57">
        <f>SUM(AG29:AG204)</f>
        <v>428116876</v>
      </c>
      <c r="AH205" s="147">
        <f>SUM(AH145:AH204)</f>
        <v>0</v>
      </c>
      <c r="AI205" s="139"/>
      <c r="AJ205" s="139"/>
      <c r="AK205" s="148"/>
      <c r="AL205" s="149"/>
      <c r="AM205" s="150"/>
    </row>
    <row r="206" spans="1:39" s="30" customFormat="1" ht="13.5" customHeight="1">
      <c r="A206" s="18"/>
      <c r="B206" s="73"/>
      <c r="C206" s="19"/>
      <c r="D206" s="151"/>
      <c r="E206" s="19"/>
      <c r="F206" s="19"/>
      <c r="G206" s="18"/>
      <c r="H206" s="152"/>
      <c r="I206" s="153"/>
      <c r="J206" s="154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19"/>
      <c r="X206" s="155"/>
      <c r="Y206" s="19"/>
      <c r="Z206" s="73"/>
      <c r="AA206" s="156"/>
      <c r="AB206" s="73"/>
      <c r="AC206" s="73"/>
      <c r="AD206" s="73"/>
      <c r="AE206" s="73"/>
      <c r="AF206" s="157"/>
      <c r="AG206" s="157"/>
      <c r="AH206" s="158"/>
      <c r="AI206" s="18"/>
      <c r="AJ206" s="18"/>
      <c r="AK206" s="18"/>
      <c r="AL206" s="159"/>
      <c r="AM206" s="15"/>
    </row>
    <row r="207" spans="1:39" s="30" customFormat="1" ht="13.5" customHeight="1">
      <c r="A207" s="56"/>
      <c r="E207" s="56"/>
      <c r="F207" s="31"/>
      <c r="K207" s="56"/>
      <c r="X207" s="56"/>
      <c r="AA207" s="65"/>
      <c r="AB207" s="160"/>
      <c r="AF207" s="23"/>
      <c r="AG207" s="23"/>
      <c r="AH207" s="56"/>
      <c r="AI207" s="282" t="s">
        <v>507</v>
      </c>
      <c r="AJ207" s="282"/>
      <c r="AK207" s="282"/>
      <c r="AL207" s="282"/>
    </row>
    <row r="208" spans="1:39" s="30" customFormat="1" ht="18.75" customHeight="1">
      <c r="A208" s="56"/>
      <c r="B208" s="30" t="s">
        <v>50</v>
      </c>
      <c r="C208" s="282" t="s">
        <v>442</v>
      </c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AA208" s="282" t="s">
        <v>51</v>
      </c>
      <c r="AB208" s="282"/>
      <c r="AC208" s="282"/>
      <c r="AD208" s="282"/>
      <c r="AE208" s="282"/>
      <c r="AF208" s="282"/>
      <c r="AG208" s="282"/>
      <c r="AH208" s="282"/>
      <c r="AI208" s="282"/>
      <c r="AJ208" s="282" t="s">
        <v>52</v>
      </c>
      <c r="AK208" s="282"/>
      <c r="AL208" s="282"/>
    </row>
    <row r="209" spans="1:257" s="30" customFormat="1" ht="18.75" customHeight="1">
      <c r="A209" s="56"/>
      <c r="B209" s="32" t="s">
        <v>415</v>
      </c>
      <c r="C209" s="20"/>
      <c r="E209" s="56"/>
      <c r="F209" s="31"/>
      <c r="K209" s="56"/>
      <c r="X209" s="56"/>
      <c r="AA209" s="65"/>
      <c r="AB209" s="160"/>
      <c r="AF209" s="23"/>
      <c r="AG209" s="23"/>
      <c r="AH209" s="56"/>
      <c r="AI209" s="56"/>
      <c r="AJ209" s="56"/>
      <c r="AK209" s="56"/>
      <c r="AL209" s="161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  <c r="HI209" s="33"/>
      <c r="HJ209" s="33"/>
      <c r="HK209" s="33"/>
      <c r="HL209" s="33"/>
      <c r="HM209" s="33"/>
      <c r="HN209" s="33"/>
      <c r="HO209" s="33"/>
      <c r="HP209" s="33"/>
      <c r="HQ209" s="33"/>
      <c r="HR209" s="33"/>
      <c r="HS209" s="33"/>
      <c r="HT209" s="33"/>
      <c r="HU209" s="33"/>
      <c r="HV209" s="33"/>
      <c r="HW209" s="33"/>
      <c r="HX209" s="33"/>
      <c r="HY209" s="33"/>
      <c r="HZ209" s="33"/>
      <c r="IA209" s="33"/>
      <c r="IB209" s="33"/>
      <c r="IC209" s="33"/>
      <c r="ID209" s="33"/>
      <c r="IE209" s="33"/>
      <c r="IF209" s="33"/>
      <c r="IG209" s="33"/>
      <c r="IH209" s="33"/>
      <c r="II209" s="33"/>
      <c r="IJ209" s="33"/>
      <c r="IK209" s="33"/>
      <c r="IL209" s="33"/>
      <c r="IM209" s="33"/>
      <c r="IN209" s="33"/>
      <c r="IO209" s="33"/>
      <c r="IP209" s="33"/>
      <c r="IQ209" s="33"/>
      <c r="IR209" s="33"/>
      <c r="IS209" s="33"/>
      <c r="IT209" s="33"/>
      <c r="IU209" s="33"/>
      <c r="IV209" s="33"/>
      <c r="IW209" s="33"/>
    </row>
    <row r="210" spans="1:257" s="33" customFormat="1" ht="18.75" customHeight="1">
      <c r="A210" s="56"/>
      <c r="B210" s="32" t="s">
        <v>416</v>
      </c>
      <c r="C210" s="20"/>
      <c r="D210" s="30"/>
      <c r="E210" s="56"/>
      <c r="F210" s="31"/>
      <c r="G210" s="30"/>
      <c r="H210" s="30"/>
      <c r="I210" s="30"/>
      <c r="J210" s="30"/>
      <c r="K210" s="56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56"/>
      <c r="Y210" s="30"/>
      <c r="Z210" s="30"/>
      <c r="AA210" s="65"/>
      <c r="AB210" s="160"/>
      <c r="AC210" s="30"/>
      <c r="AD210" s="30"/>
      <c r="AE210" s="30"/>
      <c r="AF210" s="23"/>
      <c r="AG210" s="23"/>
      <c r="AH210" s="56"/>
      <c r="AI210" s="56"/>
      <c r="AJ210" s="56"/>
      <c r="AK210" s="56"/>
      <c r="AL210" s="161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  <c r="FS210" s="30"/>
      <c r="FT210" s="30"/>
      <c r="FU210" s="30"/>
      <c r="FV210" s="30"/>
      <c r="FW210" s="30"/>
      <c r="FX210" s="30"/>
      <c r="FY210" s="30"/>
      <c r="FZ210" s="30"/>
      <c r="GA210" s="30"/>
      <c r="GB210" s="30"/>
      <c r="GC210" s="30"/>
      <c r="GD210" s="30"/>
      <c r="GE210" s="30"/>
      <c r="GF210" s="30"/>
      <c r="GG210" s="30"/>
      <c r="GH210" s="30"/>
      <c r="GI210" s="30"/>
      <c r="GJ210" s="30"/>
      <c r="GK210" s="30"/>
      <c r="GL210" s="30"/>
      <c r="GM210" s="30"/>
      <c r="GN210" s="30"/>
      <c r="GO210" s="30"/>
      <c r="GP210" s="30"/>
      <c r="GQ210" s="30"/>
      <c r="GR210" s="30"/>
      <c r="GS210" s="30"/>
      <c r="GT210" s="30"/>
      <c r="GU210" s="30"/>
      <c r="GV210" s="30"/>
      <c r="GW210" s="30"/>
      <c r="GX210" s="30"/>
      <c r="GY210" s="30"/>
      <c r="GZ210" s="30"/>
      <c r="HA210" s="30"/>
      <c r="HB210" s="30"/>
      <c r="HC210" s="30"/>
      <c r="HD210" s="30"/>
      <c r="HE210" s="30"/>
      <c r="HF210" s="30"/>
      <c r="HG210" s="30"/>
      <c r="HH210" s="30"/>
      <c r="HI210" s="30"/>
      <c r="HJ210" s="30"/>
      <c r="HK210" s="30"/>
      <c r="HL210" s="30"/>
      <c r="HM210" s="30"/>
      <c r="HN210" s="30"/>
      <c r="HO210" s="30"/>
      <c r="HP210" s="30"/>
      <c r="HQ210" s="30"/>
      <c r="HR210" s="30"/>
      <c r="HS210" s="30"/>
      <c r="HT210" s="30"/>
      <c r="HU210" s="30"/>
      <c r="HV210" s="30"/>
      <c r="HW210" s="30"/>
      <c r="HX210" s="30"/>
      <c r="HY210" s="30"/>
      <c r="HZ210" s="30"/>
      <c r="IA210" s="30"/>
      <c r="IB210" s="30"/>
      <c r="IC210" s="30"/>
      <c r="ID210" s="30"/>
      <c r="IE210" s="30"/>
      <c r="IF210" s="30"/>
      <c r="IG210" s="30"/>
      <c r="IH210" s="30"/>
      <c r="II210" s="30"/>
      <c r="IJ210" s="30"/>
      <c r="IK210" s="30"/>
      <c r="IL210" s="30"/>
      <c r="IM210" s="30"/>
      <c r="IN210" s="30"/>
      <c r="IO210" s="30"/>
      <c r="IP210" s="30"/>
      <c r="IQ210" s="30"/>
      <c r="IR210" s="30"/>
      <c r="IS210" s="30"/>
      <c r="IT210" s="30"/>
      <c r="IU210" s="30"/>
      <c r="IV210" s="30"/>
      <c r="IW210" s="30"/>
    </row>
    <row r="211" spans="1:257" s="30" customFormat="1" ht="18.75" customHeight="1">
      <c r="A211" s="34"/>
      <c r="B211" s="32" t="s">
        <v>449</v>
      </c>
      <c r="C211" s="33"/>
      <c r="D211" s="20"/>
      <c r="E211" s="56"/>
      <c r="F211" s="31"/>
      <c r="K211" s="56"/>
      <c r="X211" s="56"/>
      <c r="AA211" s="65"/>
      <c r="AB211" s="35"/>
      <c r="AF211" s="23"/>
      <c r="AG211" s="23"/>
      <c r="AJ211" s="56"/>
      <c r="AK211" s="56"/>
      <c r="AL211" s="161"/>
    </row>
    <row r="212" spans="1:257" s="30" customFormat="1" ht="20.25" customHeight="1">
      <c r="A212" s="56"/>
      <c r="B212" s="32" t="s">
        <v>509</v>
      </c>
      <c r="C212" s="20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  <c r="AA212" s="282"/>
      <c r="AB212" s="282"/>
      <c r="AC212" s="282"/>
      <c r="AD212" s="282"/>
      <c r="AE212" s="282"/>
      <c r="AF212" s="282"/>
      <c r="AG212" s="282"/>
      <c r="AH212" s="282"/>
      <c r="AI212" s="282"/>
      <c r="AJ212" s="282"/>
      <c r="AK212" s="282"/>
      <c r="AL212" s="282"/>
    </row>
    <row r="213" spans="1:257" s="30" customFormat="1">
      <c r="A213" s="56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AA213" s="282" t="s">
        <v>508</v>
      </c>
      <c r="AB213" s="282"/>
      <c r="AC213" s="282"/>
      <c r="AD213" s="282"/>
      <c r="AE213" s="282"/>
      <c r="AF213" s="282"/>
      <c r="AG213" s="282"/>
      <c r="AH213" s="282"/>
      <c r="AI213" s="282"/>
      <c r="AJ213" s="282" t="s">
        <v>446</v>
      </c>
      <c r="AK213" s="282"/>
      <c r="AL213" s="282"/>
    </row>
    <row r="214" spans="1:257" s="30" customFormat="1">
      <c r="A214" s="56"/>
      <c r="E214" s="56"/>
      <c r="F214" s="31"/>
      <c r="K214" s="56"/>
      <c r="X214" s="56"/>
      <c r="AA214" s="65"/>
      <c r="AB214" s="160"/>
      <c r="AF214" s="23"/>
      <c r="AG214" s="23"/>
      <c r="AH214" s="56"/>
      <c r="AI214" s="56"/>
      <c r="AJ214" s="56"/>
      <c r="AK214" s="56"/>
      <c r="AL214" s="161"/>
    </row>
    <row r="215" spans="1:257" s="30" customFormat="1">
      <c r="A215" s="56"/>
      <c r="E215" s="56"/>
      <c r="F215" s="31"/>
      <c r="K215" s="56"/>
      <c r="X215" s="56"/>
      <c r="AA215" s="65"/>
      <c r="AB215" s="160"/>
      <c r="AF215" s="23"/>
      <c r="AG215" s="23"/>
      <c r="AH215" s="56"/>
      <c r="AI215" s="56"/>
      <c r="AJ215" s="56"/>
      <c r="AK215" s="56"/>
      <c r="AL215" s="161"/>
    </row>
    <row r="216" spans="1:257" s="30" customFormat="1">
      <c r="A216" s="56"/>
      <c r="E216" s="56"/>
      <c r="F216" s="31"/>
      <c r="K216" s="56"/>
      <c r="X216" s="56"/>
      <c r="AA216" s="65"/>
      <c r="AB216" s="160"/>
      <c r="AF216" s="23"/>
      <c r="AG216" s="23"/>
      <c r="AH216" s="56"/>
      <c r="AI216" s="56"/>
      <c r="AJ216" s="56"/>
      <c r="AK216" s="56"/>
      <c r="AL216" s="161"/>
    </row>
    <row r="217" spans="1:257" s="30" customFormat="1">
      <c r="A217" s="56"/>
      <c r="C217" s="20"/>
      <c r="D217" s="20"/>
      <c r="E217" s="59"/>
      <c r="F217" s="25"/>
      <c r="G217" s="20"/>
      <c r="H217" s="20"/>
      <c r="I217" s="20"/>
      <c r="J217" s="20"/>
      <c r="K217" s="59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59"/>
      <c r="Y217" s="20"/>
      <c r="Z217" s="20"/>
      <c r="AA217" s="65"/>
      <c r="AB217" s="160"/>
      <c r="AF217" s="23"/>
      <c r="AG217" s="23"/>
      <c r="AH217" s="56"/>
      <c r="AI217" s="56"/>
      <c r="AJ217" s="56"/>
      <c r="AK217" s="56"/>
      <c r="AL217" s="161"/>
    </row>
    <row r="218" spans="1:257" s="30" customFormat="1">
      <c r="A218" s="56"/>
      <c r="E218" s="56"/>
      <c r="F218" s="31"/>
      <c r="K218" s="56"/>
      <c r="X218" s="56"/>
      <c r="AA218" s="65"/>
      <c r="AB218" s="160"/>
      <c r="AF218" s="23"/>
      <c r="AG218" s="23"/>
      <c r="AH218" s="56"/>
      <c r="AI218" s="56"/>
      <c r="AJ218" s="56"/>
      <c r="AK218" s="56"/>
      <c r="AL218" s="161"/>
    </row>
    <row r="219" spans="1:257" s="30" customFormat="1">
      <c r="A219" s="56"/>
      <c r="E219" s="56"/>
      <c r="F219" s="31"/>
      <c r="K219" s="56"/>
      <c r="X219" s="56"/>
      <c r="AA219" s="65"/>
      <c r="AB219" s="160"/>
      <c r="AF219" s="23"/>
      <c r="AG219" s="23"/>
      <c r="AH219" s="56"/>
      <c r="AI219" s="56"/>
      <c r="AJ219" s="56"/>
      <c r="AK219" s="56"/>
      <c r="AL219" s="161"/>
    </row>
    <row r="220" spans="1:257" s="30" customFormat="1">
      <c r="A220" s="56"/>
      <c r="E220" s="56"/>
      <c r="F220" s="31"/>
      <c r="K220" s="56"/>
      <c r="X220" s="56"/>
      <c r="AA220" s="65"/>
      <c r="AB220" s="160"/>
      <c r="AF220" s="23"/>
      <c r="AG220" s="23"/>
      <c r="AH220" s="56"/>
      <c r="AI220" s="56"/>
      <c r="AJ220" s="56"/>
      <c r="AK220" s="56"/>
      <c r="AL220" s="161"/>
    </row>
    <row r="221" spans="1:257" s="30" customFormat="1">
      <c r="A221" s="56"/>
      <c r="E221" s="56"/>
      <c r="F221" s="31"/>
      <c r="K221" s="56"/>
      <c r="X221" s="56"/>
      <c r="AA221" s="65"/>
      <c r="AB221" s="160"/>
      <c r="AF221" s="23"/>
      <c r="AG221" s="23"/>
      <c r="AH221" s="56"/>
      <c r="AI221" s="56"/>
      <c r="AJ221" s="56"/>
      <c r="AK221" s="56"/>
      <c r="AL221" s="161"/>
    </row>
    <row r="222" spans="1:257" s="30" customFormat="1">
      <c r="A222" s="56"/>
      <c r="E222" s="56"/>
      <c r="F222" s="31"/>
      <c r="K222" s="56"/>
      <c r="X222" s="56"/>
      <c r="AA222" s="65"/>
      <c r="AB222" s="160"/>
      <c r="AF222" s="23"/>
      <c r="AG222" s="23"/>
      <c r="AH222" s="56"/>
      <c r="AI222" s="56"/>
      <c r="AJ222" s="56"/>
      <c r="AK222" s="56"/>
      <c r="AL222" s="161"/>
    </row>
    <row r="223" spans="1:257" s="30" customFormat="1">
      <c r="A223" s="56"/>
      <c r="E223" s="56"/>
      <c r="F223" s="31"/>
      <c r="K223" s="56"/>
      <c r="X223" s="56"/>
      <c r="AA223" s="65"/>
      <c r="AB223" s="160"/>
      <c r="AF223" s="23"/>
      <c r="AG223" s="23"/>
      <c r="AH223" s="56"/>
      <c r="AI223" s="56"/>
      <c r="AJ223" s="56"/>
      <c r="AK223" s="56"/>
      <c r="AL223" s="161"/>
    </row>
    <row r="224" spans="1:257" s="30" customFormat="1">
      <c r="A224" s="56"/>
      <c r="E224" s="56"/>
      <c r="F224" s="31"/>
      <c r="K224" s="56"/>
      <c r="X224" s="56"/>
      <c r="AA224" s="65"/>
      <c r="AB224" s="160"/>
      <c r="AF224" s="23"/>
      <c r="AG224" s="23"/>
      <c r="AH224" s="56"/>
      <c r="AI224" s="56"/>
      <c r="AJ224" s="56"/>
      <c r="AK224" s="56"/>
      <c r="AL224" s="161"/>
    </row>
    <row r="225" spans="1:38" s="30" customFormat="1">
      <c r="A225" s="56"/>
      <c r="E225" s="56"/>
      <c r="F225" s="31"/>
      <c r="K225" s="56"/>
      <c r="X225" s="56"/>
      <c r="AA225" s="65"/>
      <c r="AB225" s="160"/>
      <c r="AF225" s="23"/>
      <c r="AG225" s="23"/>
      <c r="AH225" s="56"/>
      <c r="AI225" s="56"/>
      <c r="AJ225" s="56"/>
      <c r="AK225" s="56"/>
      <c r="AL225" s="161"/>
    </row>
    <row r="226" spans="1:38" s="30" customFormat="1">
      <c r="A226" s="56"/>
      <c r="E226" s="56"/>
      <c r="F226" s="31"/>
      <c r="K226" s="56"/>
      <c r="X226" s="56"/>
      <c r="AA226" s="65"/>
      <c r="AB226" s="160"/>
      <c r="AF226" s="23"/>
      <c r="AG226" s="23"/>
      <c r="AH226" s="56"/>
      <c r="AI226" s="56"/>
      <c r="AJ226" s="56"/>
      <c r="AK226" s="56"/>
      <c r="AL226" s="161"/>
    </row>
    <row r="227" spans="1:38" s="30" customFormat="1">
      <c r="A227" s="56"/>
      <c r="E227" s="56"/>
      <c r="F227" s="31"/>
      <c r="K227" s="56"/>
      <c r="X227" s="56"/>
      <c r="AA227" s="65"/>
      <c r="AB227" s="160"/>
      <c r="AF227" s="23"/>
      <c r="AG227" s="23"/>
      <c r="AH227" s="56"/>
      <c r="AI227" s="56"/>
      <c r="AJ227" s="56"/>
      <c r="AK227" s="56"/>
      <c r="AL227" s="161"/>
    </row>
    <row r="228" spans="1:38" s="30" customFormat="1">
      <c r="A228" s="56"/>
      <c r="E228" s="56"/>
      <c r="F228" s="31"/>
      <c r="K228" s="56"/>
      <c r="X228" s="56"/>
      <c r="AA228" s="65"/>
      <c r="AB228" s="160"/>
      <c r="AF228" s="23"/>
      <c r="AG228" s="23"/>
      <c r="AH228" s="56"/>
      <c r="AI228" s="56"/>
      <c r="AJ228" s="56"/>
      <c r="AK228" s="56"/>
      <c r="AL228" s="161"/>
    </row>
    <row r="229" spans="1:38" s="30" customFormat="1">
      <c r="A229" s="56"/>
      <c r="E229" s="56"/>
      <c r="F229" s="31"/>
      <c r="K229" s="56"/>
      <c r="X229" s="56"/>
      <c r="AA229" s="65"/>
      <c r="AB229" s="160"/>
      <c r="AF229" s="23"/>
      <c r="AG229" s="23"/>
      <c r="AH229" s="56"/>
      <c r="AI229" s="56"/>
      <c r="AJ229" s="56"/>
      <c r="AK229" s="56"/>
      <c r="AL229" s="161"/>
    </row>
    <row r="230" spans="1:38" s="30" customFormat="1">
      <c r="A230" s="56"/>
      <c r="E230" s="56"/>
      <c r="F230" s="31"/>
      <c r="K230" s="56"/>
      <c r="X230" s="56"/>
      <c r="AA230" s="65"/>
      <c r="AB230" s="160"/>
      <c r="AF230" s="23"/>
      <c r="AG230" s="23"/>
      <c r="AH230" s="56"/>
      <c r="AI230" s="56"/>
      <c r="AJ230" s="56"/>
      <c r="AK230" s="56"/>
      <c r="AL230" s="161"/>
    </row>
    <row r="231" spans="1:38" s="30" customFormat="1">
      <c r="A231" s="56"/>
      <c r="E231" s="56"/>
      <c r="F231" s="31"/>
      <c r="K231" s="56"/>
      <c r="X231" s="56"/>
      <c r="AA231" s="65"/>
      <c r="AB231" s="160"/>
      <c r="AF231" s="23"/>
      <c r="AG231" s="23"/>
      <c r="AH231" s="56"/>
      <c r="AI231" s="56"/>
      <c r="AJ231" s="56"/>
      <c r="AK231" s="56"/>
      <c r="AL231" s="161"/>
    </row>
    <row r="232" spans="1:38" s="30" customFormat="1">
      <c r="A232" s="56"/>
      <c r="E232" s="56"/>
      <c r="F232" s="31"/>
      <c r="K232" s="56"/>
      <c r="X232" s="56"/>
      <c r="AA232" s="65"/>
      <c r="AB232" s="160"/>
      <c r="AF232" s="23"/>
      <c r="AG232" s="23"/>
      <c r="AH232" s="56"/>
      <c r="AI232" s="56"/>
      <c r="AJ232" s="56"/>
      <c r="AK232" s="56"/>
      <c r="AL232" s="161"/>
    </row>
    <row r="233" spans="1:38" s="30" customFormat="1">
      <c r="A233" s="56"/>
      <c r="E233" s="56"/>
      <c r="F233" s="31"/>
      <c r="K233" s="56"/>
      <c r="X233" s="56"/>
      <c r="AA233" s="65"/>
      <c r="AB233" s="160"/>
      <c r="AF233" s="23"/>
      <c r="AG233" s="23"/>
      <c r="AH233" s="56"/>
      <c r="AI233" s="56"/>
      <c r="AJ233" s="56"/>
      <c r="AK233" s="56"/>
      <c r="AL233" s="161"/>
    </row>
    <row r="234" spans="1:38" s="30" customFormat="1">
      <c r="A234" s="56"/>
      <c r="E234" s="56"/>
      <c r="F234" s="31"/>
      <c r="K234" s="56"/>
      <c r="X234" s="56"/>
      <c r="AA234" s="65"/>
      <c r="AB234" s="160"/>
      <c r="AF234" s="23"/>
      <c r="AG234" s="23"/>
      <c r="AH234" s="56"/>
      <c r="AI234" s="56"/>
      <c r="AJ234" s="56"/>
      <c r="AK234" s="56"/>
      <c r="AL234" s="161"/>
    </row>
    <row r="235" spans="1:38" s="30" customFormat="1">
      <c r="A235" s="56"/>
      <c r="E235" s="56"/>
      <c r="F235" s="31"/>
      <c r="K235" s="56"/>
      <c r="X235" s="56"/>
      <c r="AA235" s="65"/>
      <c r="AB235" s="160"/>
      <c r="AF235" s="23"/>
      <c r="AG235" s="23"/>
      <c r="AH235" s="56"/>
      <c r="AI235" s="56"/>
      <c r="AJ235" s="56"/>
      <c r="AK235" s="56"/>
      <c r="AL235" s="161"/>
    </row>
    <row r="236" spans="1:38" s="30" customFormat="1">
      <c r="A236" s="56"/>
      <c r="E236" s="56"/>
      <c r="F236" s="31"/>
      <c r="K236" s="56"/>
      <c r="X236" s="56"/>
      <c r="AA236" s="65"/>
      <c r="AB236" s="160"/>
      <c r="AF236" s="23"/>
      <c r="AG236" s="23"/>
      <c r="AH236" s="56"/>
      <c r="AI236" s="56"/>
      <c r="AJ236" s="56"/>
      <c r="AK236" s="56"/>
      <c r="AL236" s="161"/>
    </row>
    <row r="237" spans="1:38" s="30" customFormat="1">
      <c r="A237" s="56"/>
      <c r="E237" s="56"/>
      <c r="F237" s="31"/>
      <c r="K237" s="56"/>
      <c r="X237" s="56"/>
      <c r="AA237" s="65"/>
      <c r="AB237" s="160"/>
      <c r="AF237" s="23"/>
      <c r="AG237" s="23"/>
      <c r="AH237" s="56"/>
      <c r="AI237" s="56"/>
      <c r="AJ237" s="56"/>
      <c r="AK237" s="56"/>
      <c r="AL237" s="161"/>
    </row>
    <row r="238" spans="1:38" s="30" customFormat="1">
      <c r="A238" s="56"/>
      <c r="E238" s="56"/>
      <c r="F238" s="31"/>
      <c r="K238" s="56"/>
      <c r="X238" s="56"/>
      <c r="AA238" s="65"/>
      <c r="AB238" s="160"/>
      <c r="AF238" s="23"/>
      <c r="AG238" s="23"/>
      <c r="AH238" s="56"/>
      <c r="AI238" s="56"/>
      <c r="AJ238" s="56"/>
      <c r="AK238" s="56"/>
      <c r="AL238" s="161"/>
    </row>
    <row r="239" spans="1:38" s="30" customFormat="1">
      <c r="A239" s="56"/>
      <c r="E239" s="56"/>
      <c r="F239" s="31"/>
      <c r="K239" s="56"/>
      <c r="X239" s="56"/>
      <c r="AA239" s="65"/>
      <c r="AB239" s="160"/>
      <c r="AF239" s="23"/>
      <c r="AG239" s="23"/>
      <c r="AH239" s="56"/>
      <c r="AI239" s="56"/>
      <c r="AJ239" s="56"/>
      <c r="AK239" s="56"/>
      <c r="AL239" s="161"/>
    </row>
    <row r="240" spans="1:38" s="30" customFormat="1">
      <c r="A240" s="56"/>
      <c r="E240" s="56"/>
      <c r="F240" s="31"/>
      <c r="K240" s="56"/>
      <c r="X240" s="56"/>
      <c r="AA240" s="65"/>
      <c r="AB240" s="160"/>
      <c r="AF240" s="23"/>
      <c r="AG240" s="23"/>
      <c r="AH240" s="56"/>
      <c r="AI240" s="56"/>
      <c r="AJ240" s="56"/>
      <c r="AK240" s="56"/>
      <c r="AL240" s="161"/>
    </row>
    <row r="241" spans="1:257" s="30" customFormat="1">
      <c r="A241" s="283" t="s">
        <v>432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83"/>
      <c r="AB241" s="283"/>
      <c r="AC241" s="283"/>
      <c r="AD241" s="283"/>
      <c r="AE241" s="283"/>
      <c r="AF241" s="283"/>
      <c r="AG241" s="283"/>
      <c r="AH241" s="283"/>
      <c r="AI241" s="283"/>
      <c r="AJ241" s="283"/>
      <c r="AK241" s="283"/>
      <c r="AL241" s="283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1:257" ht="45.75" customHeight="1">
      <c r="A242" s="56"/>
      <c r="B242" s="30"/>
      <c r="C242" s="30"/>
      <c r="D242" s="30"/>
      <c r="E242" s="56"/>
      <c r="F242" s="31"/>
      <c r="G242" s="30"/>
      <c r="H242" s="30"/>
      <c r="I242" s="30"/>
      <c r="J242" s="30"/>
      <c r="K242" s="56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56"/>
      <c r="Y242" s="30"/>
      <c r="Z242" s="30"/>
      <c r="AA242" s="65"/>
      <c r="AB242" s="160"/>
      <c r="AC242" s="30"/>
      <c r="AD242" s="30"/>
      <c r="AE242" s="30"/>
      <c r="AF242" s="23"/>
      <c r="AG242" s="23"/>
      <c r="AH242" s="56"/>
      <c r="AI242" s="56"/>
      <c r="AJ242" s="56"/>
      <c r="AK242" s="56"/>
      <c r="AL242" s="161"/>
    </row>
    <row r="243" spans="1:257" ht="33" customHeight="1">
      <c r="A243" s="279" t="s">
        <v>5</v>
      </c>
      <c r="B243" s="284" t="s">
        <v>6</v>
      </c>
      <c r="C243" s="279" t="s">
        <v>7</v>
      </c>
      <c r="D243" s="279" t="s">
        <v>8</v>
      </c>
      <c r="E243" s="286" t="s">
        <v>45</v>
      </c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8"/>
      <c r="Q243" s="63"/>
      <c r="R243" s="63"/>
      <c r="S243" s="63"/>
      <c r="T243" s="63"/>
      <c r="U243" s="63"/>
      <c r="V243" s="63"/>
      <c r="W243" s="57"/>
      <c r="X243" s="289" t="s">
        <v>46</v>
      </c>
      <c r="Y243" s="290"/>
      <c r="Z243" s="291"/>
      <c r="AA243" s="289" t="s">
        <v>47</v>
      </c>
      <c r="AB243" s="290"/>
      <c r="AC243" s="291"/>
      <c r="AD243" s="279" t="s">
        <v>9</v>
      </c>
      <c r="AE243" s="279" t="s">
        <v>10</v>
      </c>
      <c r="AF243" s="162"/>
      <c r="AG243" s="162"/>
      <c r="AH243" s="279" t="s">
        <v>11</v>
      </c>
      <c r="AI243" s="279" t="s">
        <v>12</v>
      </c>
      <c r="AJ243" s="279" t="s">
        <v>13</v>
      </c>
      <c r="AK243" s="279" t="s">
        <v>49</v>
      </c>
      <c r="AL243" s="279" t="s">
        <v>14</v>
      </c>
    </row>
    <row r="244" spans="1:257" s="15" customFormat="1" ht="23.25" customHeight="1">
      <c r="A244" s="280"/>
      <c r="B244" s="285"/>
      <c r="C244" s="280"/>
      <c r="D244" s="280"/>
      <c r="E244" s="61" t="s">
        <v>48</v>
      </c>
      <c r="F244" s="64" t="s">
        <v>15</v>
      </c>
      <c r="G244" s="281" t="s">
        <v>16</v>
      </c>
      <c r="H244" s="281"/>
      <c r="I244" s="281"/>
      <c r="J244" s="57" t="s">
        <v>17</v>
      </c>
      <c r="K244" s="63" t="s">
        <v>18</v>
      </c>
      <c r="L244" s="57"/>
      <c r="M244" s="57" t="s">
        <v>17</v>
      </c>
      <c r="N244" s="57" t="s">
        <v>17</v>
      </c>
      <c r="O244" s="57" t="s">
        <v>17</v>
      </c>
      <c r="P244" s="57" t="s">
        <v>19</v>
      </c>
      <c r="Q244" s="57" t="s">
        <v>19</v>
      </c>
      <c r="R244" s="57" t="s">
        <v>19</v>
      </c>
      <c r="S244" s="57" t="s">
        <v>19</v>
      </c>
      <c r="T244" s="57" t="s">
        <v>19</v>
      </c>
      <c r="U244" s="57" t="s">
        <v>19</v>
      </c>
      <c r="V244" s="57" t="s">
        <v>20</v>
      </c>
      <c r="W244" s="57"/>
      <c r="X244" s="61" t="s">
        <v>48</v>
      </c>
      <c r="Y244" s="64" t="s">
        <v>21</v>
      </c>
      <c r="Z244" s="64" t="s">
        <v>22</v>
      </c>
      <c r="AA244" s="163" t="s">
        <v>48</v>
      </c>
      <c r="AB244" s="60" t="s">
        <v>21</v>
      </c>
      <c r="AC244" s="60" t="s">
        <v>23</v>
      </c>
      <c r="AD244" s="280"/>
      <c r="AE244" s="280"/>
      <c r="AF244" s="164"/>
      <c r="AG244" s="164"/>
      <c r="AH244" s="280"/>
      <c r="AI244" s="280"/>
      <c r="AJ244" s="280"/>
      <c r="AK244" s="280"/>
      <c r="AL244" s="280"/>
      <c r="AM244" s="20"/>
    </row>
    <row r="245" spans="1:257" s="15" customFormat="1" ht="28.5" customHeight="1">
      <c r="A245" s="10">
        <v>8</v>
      </c>
      <c r="B245" s="13" t="s">
        <v>174</v>
      </c>
      <c r="C245" s="14" t="s">
        <v>175</v>
      </c>
      <c r="D245" s="9">
        <v>2011</v>
      </c>
      <c r="E245" s="10">
        <v>1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>
        <v>1</v>
      </c>
      <c r="Y245" s="11"/>
      <c r="Z245" s="11"/>
      <c r="AA245" s="105">
        <v>0</v>
      </c>
      <c r="AB245" s="11"/>
      <c r="AC245" s="11"/>
      <c r="AD245" s="11"/>
      <c r="AE245" s="11"/>
      <c r="AF245" s="76"/>
      <c r="AG245" s="76"/>
      <c r="AH245" s="10" t="s">
        <v>80</v>
      </c>
      <c r="AI245" s="10" t="s">
        <v>334</v>
      </c>
      <c r="AJ245" s="10" t="s">
        <v>235</v>
      </c>
      <c r="AK245" s="10" t="s">
        <v>180</v>
      </c>
      <c r="AL245" s="14" t="s">
        <v>384</v>
      </c>
    </row>
    <row r="246" spans="1:257" s="15" customFormat="1" ht="28.5" customHeight="1">
      <c r="A246" s="10">
        <v>23</v>
      </c>
      <c r="B246" s="13" t="s">
        <v>229</v>
      </c>
      <c r="C246" s="14" t="s">
        <v>338</v>
      </c>
      <c r="D246" s="9">
        <v>2011</v>
      </c>
      <c r="E246" s="10">
        <v>0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>
        <v>1</v>
      </c>
      <c r="Y246" s="11"/>
      <c r="Z246" s="11"/>
      <c r="AA246" s="75" t="s">
        <v>326</v>
      </c>
      <c r="AB246" s="11"/>
      <c r="AC246" s="11"/>
      <c r="AD246" s="11"/>
      <c r="AE246" s="11"/>
      <c r="AF246" s="76"/>
      <c r="AG246" s="76"/>
      <c r="AH246" s="10" t="s">
        <v>80</v>
      </c>
      <c r="AI246" s="10" t="s">
        <v>334</v>
      </c>
      <c r="AJ246" s="10" t="s">
        <v>235</v>
      </c>
      <c r="AK246" s="10" t="s">
        <v>180</v>
      </c>
      <c r="AL246" s="13" t="s">
        <v>323</v>
      </c>
    </row>
    <row r="247" spans="1:257" s="15" customFormat="1" ht="23.25" customHeight="1">
      <c r="A247" s="10">
        <v>24</v>
      </c>
      <c r="B247" s="13" t="s">
        <v>144</v>
      </c>
      <c r="C247" s="14" t="s">
        <v>145</v>
      </c>
      <c r="D247" s="9">
        <v>2003</v>
      </c>
      <c r="E247" s="10">
        <v>0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>
        <v>1</v>
      </c>
      <c r="Y247" s="11"/>
      <c r="Z247" s="11"/>
      <c r="AA247" s="75" t="s">
        <v>326</v>
      </c>
      <c r="AB247" s="11"/>
      <c r="AC247" s="11"/>
      <c r="AD247" s="11"/>
      <c r="AE247" s="11"/>
      <c r="AF247" s="76"/>
      <c r="AG247" s="76"/>
      <c r="AH247" s="10" t="s">
        <v>80</v>
      </c>
      <c r="AI247" s="10" t="s">
        <v>124</v>
      </c>
      <c r="AJ247" s="10" t="s">
        <v>235</v>
      </c>
      <c r="AK247" s="10" t="s">
        <v>180</v>
      </c>
      <c r="AL247" s="13" t="s">
        <v>323</v>
      </c>
    </row>
    <row r="248" spans="1:257" s="15" customFormat="1" ht="23.25" customHeight="1">
      <c r="A248" s="10">
        <v>17</v>
      </c>
      <c r="B248" s="12" t="s">
        <v>190</v>
      </c>
      <c r="C248" s="9" t="s">
        <v>329</v>
      </c>
      <c r="D248" s="74"/>
      <c r="E248" s="10">
        <v>0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>
        <v>1</v>
      </c>
      <c r="Y248" s="11"/>
      <c r="Z248" s="11"/>
      <c r="AA248" s="75" t="s">
        <v>326</v>
      </c>
      <c r="AB248" s="11"/>
      <c r="AC248" s="11"/>
      <c r="AD248" s="11"/>
      <c r="AE248" s="11"/>
      <c r="AF248" s="76"/>
      <c r="AG248" s="76"/>
      <c r="AH248" s="10" t="s">
        <v>80</v>
      </c>
      <c r="AI248" s="10" t="s">
        <v>60</v>
      </c>
      <c r="AJ248" s="10" t="s">
        <v>235</v>
      </c>
      <c r="AK248" s="10" t="s">
        <v>180</v>
      </c>
      <c r="AL248" s="13" t="s">
        <v>332</v>
      </c>
    </row>
    <row r="249" spans="1:257" s="15" customFormat="1" ht="24.75" customHeight="1">
      <c r="A249" s="10">
        <v>18</v>
      </c>
      <c r="B249" s="12" t="s">
        <v>193</v>
      </c>
      <c r="C249" s="9" t="s">
        <v>331</v>
      </c>
      <c r="D249" s="74"/>
      <c r="E249" s="10">
        <v>0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>
        <v>1</v>
      </c>
      <c r="Y249" s="11"/>
      <c r="Z249" s="11"/>
      <c r="AA249" s="75" t="s">
        <v>326</v>
      </c>
      <c r="AB249" s="11"/>
      <c r="AC249" s="11"/>
      <c r="AD249" s="11"/>
      <c r="AE249" s="11"/>
      <c r="AF249" s="76"/>
      <c r="AG249" s="76"/>
      <c r="AH249" s="10" t="s">
        <v>80</v>
      </c>
      <c r="AI249" s="10" t="s">
        <v>60</v>
      </c>
      <c r="AJ249" s="10" t="s">
        <v>235</v>
      </c>
      <c r="AK249" s="10" t="s">
        <v>180</v>
      </c>
      <c r="AL249" s="13" t="s">
        <v>332</v>
      </c>
    </row>
    <row r="250" spans="1:257" s="15" customFormat="1" ht="23.25" customHeight="1">
      <c r="A250" s="10">
        <v>3</v>
      </c>
      <c r="B250" s="13" t="s">
        <v>137</v>
      </c>
      <c r="C250" s="109" t="s">
        <v>138</v>
      </c>
      <c r="D250" s="74">
        <v>2011</v>
      </c>
      <c r="E250" s="10">
        <v>1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>
        <v>1</v>
      </c>
      <c r="Y250" s="11"/>
      <c r="Z250" s="11"/>
      <c r="AA250" s="105">
        <v>0</v>
      </c>
      <c r="AB250" s="11"/>
      <c r="AC250" s="11"/>
      <c r="AD250" s="11"/>
      <c r="AE250" s="11"/>
      <c r="AF250" s="76"/>
      <c r="AG250" s="76"/>
      <c r="AH250" s="10" t="s">
        <v>80</v>
      </c>
      <c r="AI250" s="10" t="s">
        <v>141</v>
      </c>
      <c r="AJ250" s="10" t="s">
        <v>235</v>
      </c>
      <c r="AK250" s="10" t="s">
        <v>180</v>
      </c>
      <c r="AL250" s="14" t="s">
        <v>384</v>
      </c>
    </row>
    <row r="251" spans="1:257" s="15" customFormat="1" ht="24.75" customHeight="1">
      <c r="A251" s="10">
        <v>6</v>
      </c>
      <c r="B251" s="12" t="s">
        <v>128</v>
      </c>
      <c r="C251" s="9" t="s">
        <v>351</v>
      </c>
      <c r="D251" s="74">
        <v>2008</v>
      </c>
      <c r="E251" s="10">
        <v>2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>
        <v>2</v>
      </c>
      <c r="Y251" s="11"/>
      <c r="Z251" s="11"/>
      <c r="AA251" s="75">
        <v>0</v>
      </c>
      <c r="AB251" s="11"/>
      <c r="AC251" s="11"/>
      <c r="AD251" s="11"/>
      <c r="AE251" s="11"/>
      <c r="AF251" s="76"/>
      <c r="AG251" s="76"/>
      <c r="AH251" s="10" t="s">
        <v>80</v>
      </c>
      <c r="AI251" s="10" t="s">
        <v>122</v>
      </c>
      <c r="AJ251" s="10" t="s">
        <v>235</v>
      </c>
      <c r="AK251" s="10" t="s">
        <v>180</v>
      </c>
      <c r="AL251" s="14" t="s">
        <v>384</v>
      </c>
    </row>
    <row r="252" spans="1:257" s="15" customFormat="1" ht="24.75" customHeight="1">
      <c r="A252" s="10">
        <v>1</v>
      </c>
      <c r="B252" s="13" t="s">
        <v>139</v>
      </c>
      <c r="C252" s="114" t="s">
        <v>140</v>
      </c>
      <c r="D252" s="74">
        <v>2014</v>
      </c>
      <c r="E252" s="10">
        <v>1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>
        <v>1</v>
      </c>
      <c r="Y252" s="11"/>
      <c r="Z252" s="11"/>
      <c r="AA252" s="105">
        <v>0</v>
      </c>
      <c r="AB252" s="11"/>
      <c r="AC252" s="11"/>
      <c r="AD252" s="11"/>
      <c r="AE252" s="11"/>
      <c r="AF252" s="76"/>
      <c r="AG252" s="76"/>
      <c r="AH252" s="10" t="s">
        <v>80</v>
      </c>
      <c r="AI252" s="10" t="s">
        <v>142</v>
      </c>
      <c r="AJ252" s="10" t="s">
        <v>317</v>
      </c>
      <c r="AK252" s="10" t="s">
        <v>180</v>
      </c>
      <c r="AL252" s="14" t="s">
        <v>384</v>
      </c>
    </row>
    <row r="253" spans="1:257" s="15" customFormat="1" ht="24.75" customHeight="1">
      <c r="A253" s="10">
        <v>6</v>
      </c>
      <c r="B253" s="13" t="s">
        <v>319</v>
      </c>
      <c r="C253" s="86" t="s">
        <v>320</v>
      </c>
      <c r="D253" s="74">
        <v>2014</v>
      </c>
      <c r="E253" s="10">
        <v>1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>
        <v>1</v>
      </c>
      <c r="Y253" s="11"/>
      <c r="Z253" s="11"/>
      <c r="AA253" s="105">
        <v>0</v>
      </c>
      <c r="AB253" s="11"/>
      <c r="AC253" s="11"/>
      <c r="AD253" s="11"/>
      <c r="AE253" s="11"/>
      <c r="AF253" s="76"/>
      <c r="AG253" s="76"/>
      <c r="AH253" s="10" t="s">
        <v>80</v>
      </c>
      <c r="AI253" s="10" t="s">
        <v>142</v>
      </c>
      <c r="AJ253" s="10" t="s">
        <v>317</v>
      </c>
      <c r="AK253" s="10" t="s">
        <v>180</v>
      </c>
      <c r="AL253" s="14" t="s">
        <v>384</v>
      </c>
    </row>
    <row r="254" spans="1:257" s="15" customFormat="1" ht="27.75" customHeight="1">
      <c r="A254" s="10">
        <v>7</v>
      </c>
      <c r="B254" s="13" t="s">
        <v>193</v>
      </c>
      <c r="C254" s="86" t="s">
        <v>321</v>
      </c>
      <c r="D254" s="74">
        <v>2011</v>
      </c>
      <c r="E254" s="10">
        <v>1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>
        <v>1</v>
      </c>
      <c r="Y254" s="11"/>
      <c r="Z254" s="11"/>
      <c r="AA254" s="105">
        <v>0</v>
      </c>
      <c r="AB254" s="11"/>
      <c r="AC254" s="11"/>
      <c r="AD254" s="11"/>
      <c r="AE254" s="11"/>
      <c r="AF254" s="76"/>
      <c r="AG254" s="76"/>
      <c r="AH254" s="10" t="s">
        <v>80</v>
      </c>
      <c r="AI254" s="10" t="s">
        <v>142</v>
      </c>
      <c r="AJ254" s="10" t="s">
        <v>317</v>
      </c>
      <c r="AK254" s="10" t="s">
        <v>180</v>
      </c>
      <c r="AL254" s="14" t="s">
        <v>384</v>
      </c>
    </row>
    <row r="255" spans="1:257" s="15" customFormat="1" ht="27.75" customHeight="1">
      <c r="A255" s="10">
        <v>14</v>
      </c>
      <c r="B255" s="12" t="s">
        <v>307</v>
      </c>
      <c r="C255" s="14" t="s">
        <v>308</v>
      </c>
      <c r="D255" s="74"/>
      <c r="E255" s="9">
        <v>0</v>
      </c>
      <c r="F255" s="9"/>
      <c r="G255" s="10"/>
      <c r="H255" s="16"/>
      <c r="I255" s="165"/>
      <c r="J255" s="1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9">
        <v>1</v>
      </c>
      <c r="Y255" s="11"/>
      <c r="Z255" s="11"/>
      <c r="AA255" s="75" t="s">
        <v>326</v>
      </c>
      <c r="AB255" s="11"/>
      <c r="AC255" s="11"/>
      <c r="AD255" s="11"/>
      <c r="AE255" s="11"/>
      <c r="AF255" s="76"/>
      <c r="AG255" s="76"/>
      <c r="AH255" s="10" t="s">
        <v>80</v>
      </c>
      <c r="AI255" s="14" t="s">
        <v>309</v>
      </c>
      <c r="AJ255" s="10" t="s">
        <v>235</v>
      </c>
      <c r="AK255" s="10" t="s">
        <v>180</v>
      </c>
      <c r="AL255" s="13" t="s">
        <v>323</v>
      </c>
    </row>
    <row r="256" spans="1:257" s="15" customFormat="1" ht="27.75" customHeight="1">
      <c r="A256" s="10">
        <v>15</v>
      </c>
      <c r="B256" s="12" t="s">
        <v>193</v>
      </c>
      <c r="C256" s="14" t="s">
        <v>310</v>
      </c>
      <c r="D256" s="74"/>
      <c r="E256" s="9">
        <v>0</v>
      </c>
      <c r="F256" s="9"/>
      <c r="G256" s="10"/>
      <c r="H256" s="16"/>
      <c r="I256" s="165"/>
      <c r="J256" s="1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9">
        <v>1</v>
      </c>
      <c r="Y256" s="11"/>
      <c r="Z256" s="11"/>
      <c r="AA256" s="75" t="s">
        <v>326</v>
      </c>
      <c r="AB256" s="11"/>
      <c r="AC256" s="11"/>
      <c r="AD256" s="11"/>
      <c r="AE256" s="11"/>
      <c r="AF256" s="76"/>
      <c r="AG256" s="76"/>
      <c r="AH256" s="10" t="s">
        <v>80</v>
      </c>
      <c r="AI256" s="14" t="s">
        <v>309</v>
      </c>
      <c r="AJ256" s="10" t="s">
        <v>235</v>
      </c>
      <c r="AK256" s="10" t="s">
        <v>180</v>
      </c>
      <c r="AL256" s="13" t="s">
        <v>323</v>
      </c>
    </row>
    <row r="257" spans="1:39" s="15" customFormat="1" ht="28.5" customHeight="1">
      <c r="A257" s="10">
        <v>16</v>
      </c>
      <c r="B257" s="12" t="s">
        <v>311</v>
      </c>
      <c r="C257" s="14" t="s">
        <v>312</v>
      </c>
      <c r="D257" s="74">
        <v>2008</v>
      </c>
      <c r="E257" s="9">
        <v>0</v>
      </c>
      <c r="F257" s="9"/>
      <c r="G257" s="10"/>
      <c r="H257" s="16"/>
      <c r="I257" s="165"/>
      <c r="J257" s="1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9">
        <v>2</v>
      </c>
      <c r="Y257" s="11"/>
      <c r="Z257" s="11"/>
      <c r="AA257" s="75" t="s">
        <v>322</v>
      </c>
      <c r="AB257" s="11"/>
      <c r="AC257" s="11"/>
      <c r="AD257" s="11"/>
      <c r="AE257" s="11"/>
      <c r="AF257" s="76"/>
      <c r="AG257" s="76"/>
      <c r="AH257" s="10" t="s">
        <v>80</v>
      </c>
      <c r="AI257" s="14" t="s">
        <v>309</v>
      </c>
      <c r="AJ257" s="10" t="s">
        <v>235</v>
      </c>
      <c r="AK257" s="10" t="s">
        <v>180</v>
      </c>
      <c r="AL257" s="13" t="s">
        <v>323</v>
      </c>
    </row>
    <row r="258" spans="1:39" s="15" customFormat="1" ht="28.5" customHeight="1">
      <c r="A258" s="10">
        <v>13</v>
      </c>
      <c r="B258" s="13" t="s">
        <v>324</v>
      </c>
      <c r="C258" s="86" t="s">
        <v>325</v>
      </c>
      <c r="D258" s="74"/>
      <c r="E258" s="10">
        <v>0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>
        <v>1</v>
      </c>
      <c r="Y258" s="11"/>
      <c r="Z258" s="11"/>
      <c r="AA258" s="75" t="s">
        <v>326</v>
      </c>
      <c r="AB258" s="11"/>
      <c r="AC258" s="11"/>
      <c r="AD258" s="11"/>
      <c r="AE258" s="11"/>
      <c r="AF258" s="76"/>
      <c r="AG258" s="76"/>
      <c r="AH258" s="10" t="s">
        <v>80</v>
      </c>
      <c r="AI258" s="10" t="s">
        <v>142</v>
      </c>
      <c r="AJ258" s="10" t="s">
        <v>317</v>
      </c>
      <c r="AK258" s="10" t="s">
        <v>180</v>
      </c>
      <c r="AL258" s="14" t="s">
        <v>384</v>
      </c>
    </row>
    <row r="259" spans="1:39" s="15" customFormat="1" ht="28.5" customHeight="1">
      <c r="A259" s="10">
        <v>21</v>
      </c>
      <c r="B259" s="13" t="s">
        <v>199</v>
      </c>
      <c r="C259" s="14" t="s">
        <v>200</v>
      </c>
      <c r="D259" s="9">
        <v>2010</v>
      </c>
      <c r="E259" s="10">
        <v>2</v>
      </c>
      <c r="F259" s="10">
        <v>2</v>
      </c>
      <c r="G259" s="10" t="s">
        <v>187</v>
      </c>
      <c r="H259" s="10" t="s">
        <v>188</v>
      </c>
      <c r="I259" s="10" t="s">
        <v>201</v>
      </c>
      <c r="J259" s="10" t="s">
        <v>42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>
        <v>2</v>
      </c>
      <c r="Y259" s="11"/>
      <c r="Z259" s="11"/>
      <c r="AA259" s="105">
        <v>0</v>
      </c>
      <c r="AB259" s="11"/>
      <c r="AC259" s="11"/>
      <c r="AD259" s="11"/>
      <c r="AE259" s="11"/>
      <c r="AF259" s="76"/>
      <c r="AG259" s="76"/>
      <c r="AH259" s="109" t="s">
        <v>184</v>
      </c>
      <c r="AI259" s="10" t="s">
        <v>201</v>
      </c>
      <c r="AJ259" s="10" t="s">
        <v>235</v>
      </c>
      <c r="AK259" s="121"/>
      <c r="AL259" s="13"/>
    </row>
    <row r="260" spans="1:39" s="15" customFormat="1" ht="28.5" customHeight="1">
      <c r="A260" s="10">
        <v>8</v>
      </c>
      <c r="B260" s="13" t="s">
        <v>264</v>
      </c>
      <c r="C260" s="14" t="s">
        <v>265</v>
      </c>
      <c r="D260" s="74">
        <v>2008</v>
      </c>
      <c r="E260" s="14">
        <v>1</v>
      </c>
      <c r="F260" s="14">
        <v>1</v>
      </c>
      <c r="G260" s="14" t="s">
        <v>187</v>
      </c>
      <c r="H260" s="14" t="s">
        <v>252</v>
      </c>
      <c r="I260" s="14" t="s">
        <v>194</v>
      </c>
      <c r="J260" s="14" t="s">
        <v>42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>
        <v>1</v>
      </c>
      <c r="Y260" s="11"/>
      <c r="Z260" s="11"/>
      <c r="AA260" s="105">
        <v>0</v>
      </c>
      <c r="AB260" s="11"/>
      <c r="AC260" s="11"/>
      <c r="AD260" s="11"/>
      <c r="AE260" s="11"/>
      <c r="AF260" s="76"/>
      <c r="AG260" s="76"/>
      <c r="AH260" s="109" t="s">
        <v>252</v>
      </c>
      <c r="AI260" s="10" t="s">
        <v>194</v>
      </c>
      <c r="AJ260" s="10" t="s">
        <v>235</v>
      </c>
      <c r="AK260" s="10"/>
      <c r="AL260" s="14"/>
    </row>
    <row r="261" spans="1:39" s="15" customFormat="1" ht="28.5" customHeight="1">
      <c r="A261" s="10">
        <v>12</v>
      </c>
      <c r="B261" s="13" t="s">
        <v>229</v>
      </c>
      <c r="C261" s="14" t="s">
        <v>273</v>
      </c>
      <c r="D261" s="74">
        <v>2012</v>
      </c>
      <c r="E261" s="14">
        <v>8</v>
      </c>
      <c r="F261" s="14">
        <v>8</v>
      </c>
      <c r="G261" s="14" t="s">
        <v>187</v>
      </c>
      <c r="H261" s="14" t="s">
        <v>252</v>
      </c>
      <c r="I261" s="14" t="s">
        <v>252</v>
      </c>
      <c r="J261" s="14" t="s">
        <v>42</v>
      </c>
      <c r="K261" s="14" t="s">
        <v>274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>
        <v>8</v>
      </c>
      <c r="Y261" s="11"/>
      <c r="Z261" s="11"/>
      <c r="AA261" s="105">
        <v>0</v>
      </c>
      <c r="AB261" s="11"/>
      <c r="AC261" s="11"/>
      <c r="AD261" s="11"/>
      <c r="AE261" s="11"/>
      <c r="AF261" s="76"/>
      <c r="AG261" s="76"/>
      <c r="AH261" s="109" t="s">
        <v>252</v>
      </c>
      <c r="AI261" s="120" t="s">
        <v>196</v>
      </c>
      <c r="AJ261" s="10" t="s">
        <v>235</v>
      </c>
      <c r="AK261" s="10"/>
      <c r="AL261" s="14"/>
    </row>
    <row r="262" spans="1:39" s="15" customFormat="1" ht="28.5" customHeight="1">
      <c r="A262" s="10">
        <v>14</v>
      </c>
      <c r="B262" s="13" t="s">
        <v>255</v>
      </c>
      <c r="C262" s="14" t="s">
        <v>256</v>
      </c>
      <c r="D262" s="74">
        <v>2011</v>
      </c>
      <c r="E262" s="14">
        <v>4</v>
      </c>
      <c r="F262" s="14">
        <v>1</v>
      </c>
      <c r="G262" s="14" t="s">
        <v>187</v>
      </c>
      <c r="H262" s="14" t="s">
        <v>252</v>
      </c>
      <c r="I262" s="14" t="s">
        <v>279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>
        <v>4</v>
      </c>
      <c r="Y262" s="11"/>
      <c r="Z262" s="11"/>
      <c r="AA262" s="105">
        <v>0</v>
      </c>
      <c r="AB262" s="11"/>
      <c r="AC262" s="11"/>
      <c r="AD262" s="11"/>
      <c r="AE262" s="11"/>
      <c r="AF262" s="76"/>
      <c r="AG262" s="76"/>
      <c r="AH262" s="109" t="s">
        <v>252</v>
      </c>
      <c r="AI262" s="14" t="s">
        <v>279</v>
      </c>
      <c r="AJ262" s="10" t="s">
        <v>235</v>
      </c>
      <c r="AK262" s="10"/>
      <c r="AL262" s="14"/>
    </row>
    <row r="263" spans="1:39" s="15" customFormat="1" ht="28.5" customHeight="1">
      <c r="A263" s="10">
        <v>22</v>
      </c>
      <c r="B263" s="13" t="s">
        <v>275</v>
      </c>
      <c r="C263" s="14" t="s">
        <v>299</v>
      </c>
      <c r="D263" s="74">
        <v>2011</v>
      </c>
      <c r="E263" s="14">
        <v>1</v>
      </c>
      <c r="F263" s="14">
        <v>1</v>
      </c>
      <c r="G263" s="14" t="s">
        <v>187</v>
      </c>
      <c r="H263" s="14" t="s">
        <v>252</v>
      </c>
      <c r="I263" s="14" t="s">
        <v>300</v>
      </c>
      <c r="J263" s="14" t="s">
        <v>42</v>
      </c>
      <c r="K263" s="14"/>
      <c r="L263" s="14"/>
      <c r="M263" s="14" t="s">
        <v>301</v>
      </c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>
        <v>1</v>
      </c>
      <c r="Y263" s="11"/>
      <c r="Z263" s="11"/>
      <c r="AA263" s="105">
        <v>0</v>
      </c>
      <c r="AB263" s="11"/>
      <c r="AC263" s="11"/>
      <c r="AD263" s="11"/>
      <c r="AE263" s="11"/>
      <c r="AF263" s="76"/>
      <c r="AG263" s="76"/>
      <c r="AH263" s="109" t="s">
        <v>252</v>
      </c>
      <c r="AI263" s="120" t="s">
        <v>300</v>
      </c>
      <c r="AJ263" s="9" t="s">
        <v>235</v>
      </c>
      <c r="AK263" s="10"/>
      <c r="AL263" s="14"/>
    </row>
    <row r="264" spans="1:39" s="15" customFormat="1" ht="28.5" customHeight="1">
      <c r="A264" s="86">
        <v>1</v>
      </c>
      <c r="B264" s="166" t="s">
        <v>389</v>
      </c>
      <c r="C264" s="137" t="s">
        <v>390</v>
      </c>
      <c r="D264" s="137">
        <v>2015</v>
      </c>
      <c r="E264" s="137">
        <v>1</v>
      </c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>
        <v>1</v>
      </c>
      <c r="Y264" s="137"/>
      <c r="Z264" s="137"/>
      <c r="AA264" s="167">
        <v>0</v>
      </c>
      <c r="AB264" s="136"/>
      <c r="AC264" s="136"/>
      <c r="AD264" s="136"/>
      <c r="AE264" s="136"/>
      <c r="AF264" s="168"/>
      <c r="AG264" s="168"/>
      <c r="AH264" s="10" t="s">
        <v>80</v>
      </c>
      <c r="AI264" s="137" t="s">
        <v>434</v>
      </c>
      <c r="AJ264" s="122" t="s">
        <v>387</v>
      </c>
      <c r="AK264" s="10" t="s">
        <v>180</v>
      </c>
      <c r="AL264" s="14"/>
    </row>
    <row r="265" spans="1:39" s="15" customFormat="1" ht="28.5" customHeight="1">
      <c r="A265" s="86">
        <v>2</v>
      </c>
      <c r="B265" s="136" t="s">
        <v>391</v>
      </c>
      <c r="C265" s="137" t="s">
        <v>392</v>
      </c>
      <c r="D265" s="137">
        <v>2011</v>
      </c>
      <c r="E265" s="137">
        <v>2</v>
      </c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>
        <v>2</v>
      </c>
      <c r="Y265" s="137"/>
      <c r="Z265" s="137"/>
      <c r="AA265" s="167">
        <v>0</v>
      </c>
      <c r="AB265" s="136"/>
      <c r="AC265" s="136"/>
      <c r="AD265" s="136"/>
      <c r="AE265" s="136"/>
      <c r="AF265" s="168"/>
      <c r="AG265" s="168"/>
      <c r="AH265" s="10" t="s">
        <v>80</v>
      </c>
      <c r="AI265" s="137" t="s">
        <v>434</v>
      </c>
      <c r="AJ265" s="122" t="s">
        <v>387</v>
      </c>
      <c r="AK265" s="10" t="s">
        <v>180</v>
      </c>
      <c r="AL265" s="14"/>
    </row>
    <row r="266" spans="1:39" s="15" customFormat="1" ht="28.5" customHeight="1">
      <c r="A266" s="86">
        <v>11</v>
      </c>
      <c r="B266" s="12" t="s">
        <v>195</v>
      </c>
      <c r="C266" s="9" t="s">
        <v>249</v>
      </c>
      <c r="D266" s="74">
        <v>2010</v>
      </c>
      <c r="E266" s="9">
        <v>2</v>
      </c>
      <c r="F266" s="9">
        <v>2</v>
      </c>
      <c r="G266" s="10"/>
      <c r="H266" s="16" t="s">
        <v>214</v>
      </c>
      <c r="I266" s="165" t="s">
        <v>250</v>
      </c>
      <c r="J266" s="112" t="s">
        <v>42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9">
        <v>2</v>
      </c>
      <c r="Y266" s="11"/>
      <c r="Z266" s="11"/>
      <c r="AA266" s="105">
        <v>0</v>
      </c>
      <c r="AB266" s="11"/>
      <c r="AC266" s="11"/>
      <c r="AD266" s="11"/>
      <c r="AE266" s="11"/>
      <c r="AF266" s="76"/>
      <c r="AG266" s="76"/>
      <c r="AH266" s="10" t="s">
        <v>80</v>
      </c>
      <c r="AI266" s="137" t="s">
        <v>434</v>
      </c>
      <c r="AJ266" s="10" t="s">
        <v>235</v>
      </c>
      <c r="AK266" s="10" t="s">
        <v>180</v>
      </c>
      <c r="AL266" s="14"/>
    </row>
    <row r="267" spans="1:39" s="15" customFormat="1" ht="25.5" customHeight="1">
      <c r="A267" s="86">
        <v>12</v>
      </c>
      <c r="B267" s="169" t="s">
        <v>407</v>
      </c>
      <c r="C267" s="9"/>
      <c r="D267" s="74"/>
      <c r="E267" s="9">
        <v>2</v>
      </c>
      <c r="F267" s="9"/>
      <c r="G267" s="10"/>
      <c r="H267" s="16"/>
      <c r="I267" s="165"/>
      <c r="J267" s="1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9">
        <v>2</v>
      </c>
      <c r="Y267" s="11"/>
      <c r="Z267" s="11"/>
      <c r="AA267" s="105">
        <v>0</v>
      </c>
      <c r="AB267" s="170"/>
      <c r="AC267" s="170"/>
      <c r="AD267" s="170"/>
      <c r="AE267" s="170"/>
      <c r="AF267" s="171"/>
      <c r="AG267" s="171"/>
      <c r="AH267" s="10" t="s">
        <v>80</v>
      </c>
      <c r="AI267" s="137" t="s">
        <v>434</v>
      </c>
      <c r="AJ267" s="10" t="s">
        <v>387</v>
      </c>
      <c r="AK267" s="10" t="s">
        <v>180</v>
      </c>
      <c r="AL267" s="14"/>
    </row>
    <row r="268" spans="1:39" s="15" customFormat="1" ht="25.5" customHeight="1">
      <c r="A268" s="10">
        <v>1</v>
      </c>
      <c r="B268" s="172" t="s">
        <v>176</v>
      </c>
      <c r="C268" s="109" t="s">
        <v>177</v>
      </c>
      <c r="D268" s="74">
        <v>2008</v>
      </c>
      <c r="E268" s="9">
        <v>1</v>
      </c>
      <c r="F268" s="109"/>
      <c r="G268" s="110"/>
      <c r="H268" s="110"/>
      <c r="I268" s="111"/>
      <c r="J268" s="112"/>
      <c r="K268" s="17"/>
      <c r="L268" s="17">
        <f>G268</f>
        <v>0</v>
      </c>
      <c r="M268" s="17"/>
      <c r="N268" s="17"/>
      <c r="O268" s="17">
        <f>ROUND(G268*12.5%,0)</f>
        <v>0</v>
      </c>
      <c r="P268" s="17">
        <f>ROUND(G268*12.5%,0)</f>
        <v>0</v>
      </c>
      <c r="Q268" s="17"/>
      <c r="R268" s="17"/>
      <c r="S268" s="17"/>
      <c r="T268" s="17"/>
      <c r="U268" s="17"/>
      <c r="V268" s="17"/>
      <c r="W268" s="17"/>
      <c r="X268" s="9">
        <v>1</v>
      </c>
      <c r="Y268" s="11"/>
      <c r="Z268" s="11"/>
      <c r="AA268" s="105">
        <v>0</v>
      </c>
      <c r="AB268" s="11"/>
      <c r="AC268" s="11"/>
      <c r="AD268" s="11"/>
      <c r="AE268" s="11"/>
      <c r="AF268" s="76"/>
      <c r="AG268" s="76"/>
      <c r="AH268" s="10" t="s">
        <v>80</v>
      </c>
      <c r="AI268" s="14" t="s">
        <v>182</v>
      </c>
      <c r="AJ268" s="10" t="s">
        <v>235</v>
      </c>
      <c r="AK268" s="10"/>
      <c r="AL268" s="173"/>
    </row>
    <row r="269" spans="1:39" s="15" customFormat="1" ht="25.5" customHeight="1">
      <c r="A269" s="10">
        <v>2</v>
      </c>
      <c r="B269" s="172" t="s">
        <v>178</v>
      </c>
      <c r="C269" s="109" t="s">
        <v>179</v>
      </c>
      <c r="D269" s="74">
        <v>1998</v>
      </c>
      <c r="E269" s="9">
        <v>1</v>
      </c>
      <c r="F269" s="109">
        <v>1063310</v>
      </c>
      <c r="G269" s="110">
        <f>H269+I269</f>
        <v>42532500</v>
      </c>
      <c r="H269" s="110"/>
      <c r="I269" s="111">
        <v>42532500</v>
      </c>
      <c r="J269" s="112"/>
      <c r="K269" s="17"/>
      <c r="L269" s="17"/>
      <c r="M269" s="17"/>
      <c r="N269" s="17">
        <v>4253250</v>
      </c>
      <c r="O269" s="17"/>
      <c r="P269" s="17">
        <f>ROUND(G269*12.5%,0)</f>
        <v>5316563</v>
      </c>
      <c r="Q269" s="17">
        <f>ROUND(G269*AD269,0)</f>
        <v>0</v>
      </c>
      <c r="R269" s="17" t="e">
        <f>ROUND($I$64*$AH$64,0)</f>
        <v>#VALUE!</v>
      </c>
      <c r="S269" s="17" t="e">
        <f>ROUND($I$64*$AH$64,0)</f>
        <v>#VALUE!</v>
      </c>
      <c r="T269" s="17" t="e">
        <f>ROUND($I$64*$AH$64,0)</f>
        <v>#VALUE!</v>
      </c>
      <c r="U269" s="17" t="e">
        <f>ROUND($I$64*$AH$64,0)</f>
        <v>#VALUE!</v>
      </c>
      <c r="V269" s="17" t="e">
        <f>M269+N269+O269+P269+SUM(Q269:T269)+U269</f>
        <v>#VALUE!</v>
      </c>
      <c r="W269" s="17" t="e">
        <f>G269-V269</f>
        <v>#VALUE!</v>
      </c>
      <c r="X269" s="9">
        <v>1</v>
      </c>
      <c r="Y269" s="11"/>
      <c r="Z269" s="11"/>
      <c r="AA269" s="105">
        <v>0</v>
      </c>
      <c r="AB269" s="11"/>
      <c r="AC269" s="11"/>
      <c r="AD269" s="11"/>
      <c r="AE269" s="11"/>
      <c r="AF269" s="76"/>
      <c r="AG269" s="76"/>
      <c r="AH269" s="10" t="s">
        <v>80</v>
      </c>
      <c r="AI269" s="14" t="s">
        <v>182</v>
      </c>
      <c r="AJ269" s="10" t="s">
        <v>235</v>
      </c>
      <c r="AK269" s="10"/>
      <c r="AL269" s="173"/>
    </row>
    <row r="270" spans="1:39" s="15" customFormat="1" ht="25.5" customHeight="1">
      <c r="A270" s="10">
        <v>3</v>
      </c>
      <c r="B270" s="172" t="s">
        <v>178</v>
      </c>
      <c r="C270" s="109" t="s">
        <v>209</v>
      </c>
      <c r="D270" s="74">
        <v>2000</v>
      </c>
      <c r="E270" s="9">
        <v>1</v>
      </c>
      <c r="F270" s="109">
        <v>0</v>
      </c>
      <c r="G270" s="110">
        <f>H270+I270</f>
        <v>10000000</v>
      </c>
      <c r="H270" s="110">
        <v>10000000</v>
      </c>
      <c r="I270" s="111"/>
      <c r="J270" s="112"/>
      <c r="K270" s="17"/>
      <c r="L270" s="17"/>
      <c r="M270" s="17"/>
      <c r="N270" s="17"/>
      <c r="O270" s="17"/>
      <c r="P270" s="17">
        <f>ROUND(G270*20%,0)</f>
        <v>2000000</v>
      </c>
      <c r="Q270" s="17">
        <f>ROUND(G270*AD270,0)</f>
        <v>0</v>
      </c>
      <c r="R270" s="17" t="e">
        <f>ROUND($I$250*$AH$250,0)</f>
        <v>#VALUE!</v>
      </c>
      <c r="S270" s="17" t="e">
        <f>ROUND($I$250*$AH$250,0)</f>
        <v>#VALUE!</v>
      </c>
      <c r="T270" s="17" t="e">
        <f>ROUND($I$250*$AH$250,0)</f>
        <v>#VALUE!</v>
      </c>
      <c r="U270" s="17">
        <v>0</v>
      </c>
      <c r="V270" s="17" t="e">
        <f>M270+N270+O270+P270+SUM(Q270:T270)+U270</f>
        <v>#VALUE!</v>
      </c>
      <c r="W270" s="17" t="e">
        <f>G270-V270</f>
        <v>#VALUE!</v>
      </c>
      <c r="X270" s="9">
        <v>1</v>
      </c>
      <c r="Y270" s="11"/>
      <c r="Z270" s="11"/>
      <c r="AA270" s="105">
        <v>0</v>
      </c>
      <c r="AB270" s="11"/>
      <c r="AC270" s="11"/>
      <c r="AD270" s="11"/>
      <c r="AE270" s="11"/>
      <c r="AF270" s="76"/>
      <c r="AG270" s="76"/>
      <c r="AH270" s="10" t="s">
        <v>80</v>
      </c>
      <c r="AI270" s="14" t="s">
        <v>210</v>
      </c>
      <c r="AJ270" s="10" t="s">
        <v>235</v>
      </c>
      <c r="AK270" s="10"/>
      <c r="AL270" s="173"/>
    </row>
    <row r="271" spans="1:39" s="15" customFormat="1" ht="25.5" customHeight="1">
      <c r="A271" s="10">
        <v>4</v>
      </c>
      <c r="B271" s="172" t="s">
        <v>211</v>
      </c>
      <c r="C271" s="109" t="s">
        <v>212</v>
      </c>
      <c r="D271" s="74">
        <v>2011</v>
      </c>
      <c r="E271" s="9">
        <v>1</v>
      </c>
      <c r="F271" s="9">
        <v>1</v>
      </c>
      <c r="G271" s="9">
        <v>1</v>
      </c>
      <c r="H271" s="9">
        <v>1</v>
      </c>
      <c r="I271" s="9">
        <v>1</v>
      </c>
      <c r="J271" s="9">
        <v>1</v>
      </c>
      <c r="K271" s="9">
        <v>1</v>
      </c>
      <c r="L271" s="9">
        <v>1</v>
      </c>
      <c r="M271" s="9">
        <v>1</v>
      </c>
      <c r="N271" s="9">
        <v>1</v>
      </c>
      <c r="O271" s="9">
        <v>1</v>
      </c>
      <c r="P271" s="9">
        <v>1</v>
      </c>
      <c r="Q271" s="9">
        <v>1</v>
      </c>
      <c r="R271" s="9">
        <v>1</v>
      </c>
      <c r="S271" s="9">
        <v>1</v>
      </c>
      <c r="T271" s="9">
        <v>1</v>
      </c>
      <c r="U271" s="9">
        <v>1</v>
      </c>
      <c r="V271" s="9">
        <v>1</v>
      </c>
      <c r="W271" s="9">
        <v>1</v>
      </c>
      <c r="X271" s="9">
        <v>1</v>
      </c>
      <c r="Y271" s="11"/>
      <c r="Z271" s="11"/>
      <c r="AA271" s="105">
        <v>0</v>
      </c>
      <c r="AB271" s="11"/>
      <c r="AC271" s="11"/>
      <c r="AD271" s="11"/>
      <c r="AE271" s="11"/>
      <c r="AF271" s="76"/>
      <c r="AG271" s="76"/>
      <c r="AH271" s="10" t="s">
        <v>80</v>
      </c>
      <c r="AI271" s="14" t="s">
        <v>210</v>
      </c>
      <c r="AJ271" s="10" t="s">
        <v>235</v>
      </c>
      <c r="AK271" s="10"/>
      <c r="AL271" s="14"/>
    </row>
    <row r="272" spans="1:39" s="17" customFormat="1" ht="25.5" customHeight="1">
      <c r="A272" s="10">
        <v>5</v>
      </c>
      <c r="B272" s="174" t="s">
        <v>377</v>
      </c>
      <c r="C272" s="175" t="s">
        <v>378</v>
      </c>
      <c r="D272" s="176">
        <v>2012</v>
      </c>
      <c r="E272" s="125">
        <v>1</v>
      </c>
      <c r="F272" s="125">
        <v>1</v>
      </c>
      <c r="G272" s="125">
        <v>1</v>
      </c>
      <c r="H272" s="125">
        <v>1</v>
      </c>
      <c r="I272" s="125">
        <v>1</v>
      </c>
      <c r="J272" s="125">
        <v>1</v>
      </c>
      <c r="K272" s="125">
        <v>1</v>
      </c>
      <c r="L272" s="125">
        <v>1</v>
      </c>
      <c r="M272" s="125">
        <v>1</v>
      </c>
      <c r="N272" s="125">
        <v>1</v>
      </c>
      <c r="O272" s="125">
        <v>1</v>
      </c>
      <c r="P272" s="125">
        <v>1</v>
      </c>
      <c r="Q272" s="125">
        <v>1</v>
      </c>
      <c r="R272" s="125">
        <v>1</v>
      </c>
      <c r="S272" s="125">
        <v>1</v>
      </c>
      <c r="T272" s="125">
        <v>1</v>
      </c>
      <c r="U272" s="125">
        <v>1</v>
      </c>
      <c r="V272" s="125">
        <v>1</v>
      </c>
      <c r="W272" s="125">
        <v>1</v>
      </c>
      <c r="X272" s="125">
        <v>1</v>
      </c>
      <c r="Y272" s="126"/>
      <c r="Z272" s="126"/>
      <c r="AA272" s="177">
        <v>0</v>
      </c>
      <c r="AB272" s="126"/>
      <c r="AC272" s="126"/>
      <c r="AD272" s="126"/>
      <c r="AE272" s="126"/>
      <c r="AF272" s="104"/>
      <c r="AG272" s="104"/>
      <c r="AH272" s="178" t="s">
        <v>80</v>
      </c>
      <c r="AI272" s="124" t="s">
        <v>210</v>
      </c>
      <c r="AJ272" s="122" t="s">
        <v>387</v>
      </c>
      <c r="AK272" s="122"/>
      <c r="AL272" s="124"/>
      <c r="AM272" s="15"/>
    </row>
    <row r="273" spans="1:39" s="15" customFormat="1" ht="25.5" customHeight="1">
      <c r="A273" s="10">
        <v>6</v>
      </c>
      <c r="B273" s="117" t="s">
        <v>373</v>
      </c>
      <c r="C273" s="86" t="s">
        <v>374</v>
      </c>
      <c r="D273" s="74">
        <v>2011</v>
      </c>
      <c r="E273" s="9">
        <v>1</v>
      </c>
      <c r="F273" s="9">
        <v>1</v>
      </c>
      <c r="G273" s="85" t="s">
        <v>187</v>
      </c>
      <c r="H273" s="9" t="s">
        <v>375</v>
      </c>
      <c r="I273" s="117" t="s">
        <v>376</v>
      </c>
      <c r="J273" s="86" t="s">
        <v>42</v>
      </c>
      <c r="K273" s="12"/>
      <c r="L273" s="179"/>
      <c r="M273" s="173"/>
      <c r="N273" s="86"/>
      <c r="O273" s="180"/>
      <c r="P273" s="12"/>
      <c r="Q273" s="12"/>
      <c r="R273" s="12"/>
      <c r="S273" s="12"/>
      <c r="T273" s="12"/>
      <c r="U273" s="12"/>
      <c r="V273" s="12"/>
      <c r="W273" s="12"/>
      <c r="X273" s="9">
        <v>1</v>
      </c>
      <c r="Y273" s="11"/>
      <c r="Z273" s="11"/>
      <c r="AA273" s="105">
        <v>0</v>
      </c>
      <c r="AB273" s="11"/>
      <c r="AC273" s="11"/>
      <c r="AD273" s="11"/>
      <c r="AE273" s="11"/>
      <c r="AF273" s="76"/>
      <c r="AG273" s="76"/>
      <c r="AH273" s="109" t="s">
        <v>80</v>
      </c>
      <c r="AI273" s="124" t="s">
        <v>210</v>
      </c>
      <c r="AJ273" s="10" t="s">
        <v>352</v>
      </c>
      <c r="AK273" s="10"/>
      <c r="AL273" s="14"/>
      <c r="AM273" s="17"/>
    </row>
    <row r="274" spans="1:39" s="15" customFormat="1" ht="25.5" customHeight="1">
      <c r="A274" s="10">
        <v>7</v>
      </c>
      <c r="B274" s="12" t="s">
        <v>379</v>
      </c>
      <c r="C274" s="9" t="s">
        <v>380</v>
      </c>
      <c r="D274" s="74">
        <v>2010</v>
      </c>
      <c r="E274" s="9">
        <v>1</v>
      </c>
      <c r="F274" s="9" t="s">
        <v>221</v>
      </c>
      <c r="G274" s="10">
        <v>1</v>
      </c>
      <c r="H274" s="16"/>
      <c r="I274" s="165" t="s">
        <v>214</v>
      </c>
      <c r="J274" s="112" t="s">
        <v>381</v>
      </c>
      <c r="K274" s="12" t="s">
        <v>234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9">
        <v>1</v>
      </c>
      <c r="Y274" s="11"/>
      <c r="Z274" s="11"/>
      <c r="AA274" s="105">
        <v>0</v>
      </c>
      <c r="AB274" s="11"/>
      <c r="AC274" s="11"/>
      <c r="AD274" s="11"/>
      <c r="AE274" s="11"/>
      <c r="AF274" s="181">
        <v>7630000</v>
      </c>
      <c r="AG274" s="181">
        <v>7630000</v>
      </c>
      <c r="AH274" s="109" t="s">
        <v>80</v>
      </c>
      <c r="AI274" s="124" t="s">
        <v>210</v>
      </c>
      <c r="AJ274" s="122" t="s">
        <v>387</v>
      </c>
      <c r="AK274" s="10"/>
      <c r="AL274" s="14"/>
    </row>
    <row r="275" spans="1:39" s="15" customFormat="1" ht="25.5" customHeight="1">
      <c r="A275" s="10">
        <v>8</v>
      </c>
      <c r="B275" s="12" t="s">
        <v>356</v>
      </c>
      <c r="C275" s="9" t="s">
        <v>382</v>
      </c>
      <c r="D275" s="74">
        <v>2012</v>
      </c>
      <c r="E275" s="9">
        <v>1</v>
      </c>
      <c r="F275" s="9" t="s">
        <v>221</v>
      </c>
      <c r="G275" s="10">
        <v>1</v>
      </c>
      <c r="H275" s="16"/>
      <c r="I275" s="165" t="s">
        <v>214</v>
      </c>
      <c r="J275" s="112" t="s">
        <v>381</v>
      </c>
      <c r="K275" s="12" t="s">
        <v>234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9">
        <v>1</v>
      </c>
      <c r="Y275" s="11"/>
      <c r="Z275" s="11"/>
      <c r="AA275" s="105">
        <v>0</v>
      </c>
      <c r="AB275" s="11"/>
      <c r="AC275" s="11"/>
      <c r="AD275" s="11"/>
      <c r="AE275" s="11"/>
      <c r="AF275" s="76"/>
      <c r="AG275" s="76"/>
      <c r="AH275" s="109" t="s">
        <v>80</v>
      </c>
      <c r="AI275" s="14" t="s">
        <v>424</v>
      </c>
      <c r="AJ275" s="10" t="s">
        <v>235</v>
      </c>
      <c r="AK275" s="10"/>
      <c r="AL275" s="14"/>
    </row>
    <row r="276" spans="1:39" s="15" customFormat="1" ht="25.5" customHeight="1">
      <c r="A276" s="10">
        <v>9</v>
      </c>
      <c r="B276" s="117" t="s">
        <v>217</v>
      </c>
      <c r="C276" s="114" t="s">
        <v>218</v>
      </c>
      <c r="D276" s="74"/>
      <c r="E276" s="9">
        <v>1</v>
      </c>
      <c r="F276" s="121"/>
      <c r="G276" s="182" t="s">
        <v>214</v>
      </c>
      <c r="H276" s="183" t="s">
        <v>219</v>
      </c>
      <c r="I276" s="183" t="s">
        <v>42</v>
      </c>
      <c r="J276" s="184"/>
      <c r="K276" s="184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21">
        <v>1</v>
      </c>
      <c r="Y276" s="11"/>
      <c r="Z276" s="11"/>
      <c r="AA276" s="105">
        <v>0</v>
      </c>
      <c r="AB276" s="11"/>
      <c r="AC276" s="11"/>
      <c r="AD276" s="11"/>
      <c r="AE276" s="11"/>
      <c r="AF276" s="76"/>
      <c r="AG276" s="76"/>
      <c r="AH276" s="10" t="s">
        <v>80</v>
      </c>
      <c r="AI276" s="14" t="s">
        <v>210</v>
      </c>
      <c r="AJ276" s="10" t="s">
        <v>387</v>
      </c>
      <c r="AK276" s="10"/>
      <c r="AL276" s="14"/>
    </row>
    <row r="277" spans="1:39" s="15" customFormat="1" ht="25.5" customHeight="1">
      <c r="A277" s="10">
        <v>10</v>
      </c>
      <c r="B277" s="12" t="s">
        <v>215</v>
      </c>
      <c r="C277" s="9" t="s">
        <v>220</v>
      </c>
      <c r="D277" s="74">
        <v>2011</v>
      </c>
      <c r="E277" s="9">
        <v>1</v>
      </c>
      <c r="F277" s="9" t="s">
        <v>221</v>
      </c>
      <c r="G277" s="10">
        <v>1</v>
      </c>
      <c r="H277" s="16" t="s">
        <v>187</v>
      </c>
      <c r="I277" s="165" t="s">
        <v>214</v>
      </c>
      <c r="J277" s="112" t="s">
        <v>222</v>
      </c>
      <c r="K277" s="12" t="s">
        <v>42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9">
        <v>1</v>
      </c>
      <c r="Y277" s="11"/>
      <c r="Z277" s="11"/>
      <c r="AA277" s="105">
        <v>0</v>
      </c>
      <c r="AB277" s="11"/>
      <c r="AC277" s="11"/>
      <c r="AD277" s="11"/>
      <c r="AE277" s="11"/>
      <c r="AF277" s="76"/>
      <c r="AG277" s="76"/>
      <c r="AH277" s="10" t="s">
        <v>80</v>
      </c>
      <c r="AI277" s="14" t="s">
        <v>182</v>
      </c>
      <c r="AJ277" s="10" t="s">
        <v>387</v>
      </c>
      <c r="AK277" s="10"/>
      <c r="AL277" s="14"/>
    </row>
    <row r="278" spans="1:39" s="15" customFormat="1" ht="25.5" customHeight="1">
      <c r="A278" s="10">
        <v>12</v>
      </c>
      <c r="B278" s="108" t="s">
        <v>224</v>
      </c>
      <c r="C278" s="9" t="s">
        <v>225</v>
      </c>
      <c r="D278" s="74">
        <v>2008</v>
      </c>
      <c r="E278" s="9">
        <v>1</v>
      </c>
      <c r="F278" s="10">
        <v>1</v>
      </c>
      <c r="G278" s="10" t="s">
        <v>187</v>
      </c>
      <c r="H278" s="16" t="s">
        <v>223</v>
      </c>
      <c r="I278" s="16" t="s">
        <v>226</v>
      </c>
      <c r="J278" s="112" t="s">
        <v>42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9">
        <v>1</v>
      </c>
      <c r="Y278" s="11"/>
      <c r="Z278" s="11"/>
      <c r="AA278" s="105">
        <v>0</v>
      </c>
      <c r="AB278" s="11"/>
      <c r="AC278" s="11"/>
      <c r="AD278" s="11"/>
      <c r="AE278" s="11"/>
      <c r="AF278" s="76"/>
      <c r="AG278" s="76"/>
      <c r="AH278" s="10" t="s">
        <v>80</v>
      </c>
      <c r="AI278" s="14" t="s">
        <v>182</v>
      </c>
      <c r="AJ278" s="10" t="s">
        <v>387</v>
      </c>
      <c r="AK278" s="10"/>
      <c r="AL278" s="14"/>
    </row>
    <row r="279" spans="1:39" s="15" customFormat="1" ht="25.5" customHeight="1">
      <c r="A279" s="10">
        <v>13</v>
      </c>
      <c r="B279" s="186" t="s">
        <v>393</v>
      </c>
      <c r="C279" s="9" t="s">
        <v>394</v>
      </c>
      <c r="D279" s="74">
        <v>2008</v>
      </c>
      <c r="E279" s="9">
        <v>1</v>
      </c>
      <c r="F279" s="10"/>
      <c r="G279" s="10"/>
      <c r="H279" s="16"/>
      <c r="I279" s="16"/>
      <c r="J279" s="1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9">
        <v>1</v>
      </c>
      <c r="Y279" s="11"/>
      <c r="Z279" s="11"/>
      <c r="AA279" s="105">
        <v>0</v>
      </c>
      <c r="AB279" s="11"/>
      <c r="AC279" s="11"/>
      <c r="AD279" s="11"/>
      <c r="AE279" s="11"/>
      <c r="AF279" s="76"/>
      <c r="AG279" s="76"/>
      <c r="AH279" s="10" t="s">
        <v>80</v>
      </c>
      <c r="AI279" s="14" t="s">
        <v>182</v>
      </c>
      <c r="AJ279" s="10" t="s">
        <v>387</v>
      </c>
      <c r="AK279" s="10"/>
      <c r="AL279" s="14"/>
    </row>
    <row r="280" spans="1:39" s="15" customFormat="1" ht="25.5" customHeight="1">
      <c r="A280" s="10">
        <v>14</v>
      </c>
      <c r="B280" s="108" t="s">
        <v>395</v>
      </c>
      <c r="C280" s="9" t="s">
        <v>396</v>
      </c>
      <c r="D280" s="74">
        <v>2006</v>
      </c>
      <c r="E280" s="9">
        <v>1</v>
      </c>
      <c r="F280" s="10"/>
      <c r="G280" s="10"/>
      <c r="H280" s="16"/>
      <c r="I280" s="16"/>
      <c r="J280" s="1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9">
        <v>1</v>
      </c>
      <c r="Y280" s="11"/>
      <c r="Z280" s="11"/>
      <c r="AA280" s="105">
        <v>0</v>
      </c>
      <c r="AB280" s="11"/>
      <c r="AC280" s="11"/>
      <c r="AD280" s="11"/>
      <c r="AE280" s="11"/>
      <c r="AF280" s="76"/>
      <c r="AG280" s="76"/>
      <c r="AH280" s="10" t="s">
        <v>80</v>
      </c>
      <c r="AI280" s="10" t="s">
        <v>80</v>
      </c>
      <c r="AJ280" s="10" t="s">
        <v>387</v>
      </c>
      <c r="AK280" s="10"/>
      <c r="AL280" s="14"/>
    </row>
    <row r="281" spans="1:39" s="15" customFormat="1" ht="25.5" customHeight="1">
      <c r="A281" s="10">
        <v>15</v>
      </c>
      <c r="B281" s="108" t="s">
        <v>410</v>
      </c>
      <c r="C281" s="9" t="s">
        <v>411</v>
      </c>
      <c r="D281" s="74">
        <v>2011</v>
      </c>
      <c r="E281" s="9">
        <v>1</v>
      </c>
      <c r="F281" s="10"/>
      <c r="G281" s="10"/>
      <c r="H281" s="16"/>
      <c r="I281" s="16"/>
      <c r="J281" s="1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9">
        <v>1</v>
      </c>
      <c r="Y281" s="11"/>
      <c r="Z281" s="11"/>
      <c r="AA281" s="105">
        <v>0</v>
      </c>
      <c r="AB281" s="11"/>
      <c r="AC281" s="11"/>
      <c r="AD281" s="11"/>
      <c r="AE281" s="11"/>
      <c r="AF281" s="76"/>
      <c r="AG281" s="76"/>
      <c r="AH281" s="10" t="s">
        <v>80</v>
      </c>
      <c r="AI281" s="10" t="s">
        <v>80</v>
      </c>
      <c r="AJ281" s="10" t="s">
        <v>387</v>
      </c>
      <c r="AK281" s="10"/>
      <c r="AL281" s="14"/>
    </row>
    <row r="282" spans="1:39" s="15" customFormat="1" ht="25.5" customHeight="1">
      <c r="A282" s="10">
        <v>16</v>
      </c>
      <c r="B282" s="117" t="s">
        <v>359</v>
      </c>
      <c r="C282" s="114" t="s">
        <v>205</v>
      </c>
      <c r="D282" s="74">
        <v>2012</v>
      </c>
      <c r="E282" s="9">
        <v>1</v>
      </c>
      <c r="F282" s="10"/>
      <c r="G282" s="10"/>
      <c r="H282" s="16"/>
      <c r="I282" s="16"/>
      <c r="J282" s="1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1">
        <v>1</v>
      </c>
      <c r="Y282" s="11"/>
      <c r="Z282" s="11"/>
      <c r="AA282" s="105">
        <v>0</v>
      </c>
      <c r="AB282" s="11"/>
      <c r="AC282" s="11"/>
      <c r="AD282" s="11"/>
      <c r="AE282" s="11"/>
      <c r="AF282" s="76"/>
      <c r="AG282" s="76"/>
      <c r="AH282" s="10" t="s">
        <v>80</v>
      </c>
      <c r="AI282" s="14" t="s">
        <v>182</v>
      </c>
      <c r="AJ282" s="10" t="s">
        <v>387</v>
      </c>
      <c r="AK282" s="10"/>
      <c r="AL282" s="14"/>
    </row>
    <row r="283" spans="1:39" s="15" customFormat="1" ht="25.5" customHeight="1">
      <c r="A283" s="10">
        <v>17</v>
      </c>
      <c r="B283" s="117" t="s">
        <v>397</v>
      </c>
      <c r="C283" s="114" t="s">
        <v>232</v>
      </c>
      <c r="D283" s="74">
        <v>2008</v>
      </c>
      <c r="E283" s="9">
        <v>1</v>
      </c>
      <c r="F283" s="121" t="s">
        <v>221</v>
      </c>
      <c r="G283" s="182">
        <v>1</v>
      </c>
      <c r="H283" s="183"/>
      <c r="I283" s="183" t="s">
        <v>214</v>
      </c>
      <c r="J283" s="184" t="s">
        <v>233</v>
      </c>
      <c r="K283" s="184" t="s">
        <v>234</v>
      </c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21">
        <v>1</v>
      </c>
      <c r="Y283" s="11"/>
      <c r="Z283" s="11"/>
      <c r="AA283" s="105">
        <v>0</v>
      </c>
      <c r="AB283" s="11"/>
      <c r="AC283" s="11"/>
      <c r="AD283" s="11"/>
      <c r="AE283" s="11"/>
      <c r="AF283" s="76"/>
      <c r="AG283" s="76"/>
      <c r="AH283" s="10" t="s">
        <v>80</v>
      </c>
      <c r="AI283" s="14" t="s">
        <v>182</v>
      </c>
      <c r="AJ283" s="122" t="s">
        <v>387</v>
      </c>
      <c r="AK283" s="10"/>
      <c r="AL283" s="14"/>
    </row>
    <row r="284" spans="1:39" s="15" customFormat="1" ht="25.5" customHeight="1">
      <c r="A284" s="10">
        <v>18</v>
      </c>
      <c r="B284" s="117" t="s">
        <v>236</v>
      </c>
      <c r="C284" s="114" t="s">
        <v>237</v>
      </c>
      <c r="D284" s="74">
        <v>2016</v>
      </c>
      <c r="E284" s="9">
        <v>1</v>
      </c>
      <c r="F284" s="121" t="s">
        <v>221</v>
      </c>
      <c r="G284" s="182">
        <v>6</v>
      </c>
      <c r="H284" s="183" t="s">
        <v>238</v>
      </c>
      <c r="I284" s="183" t="s">
        <v>214</v>
      </c>
      <c r="J284" s="184" t="s">
        <v>239</v>
      </c>
      <c r="K284" s="184" t="s">
        <v>42</v>
      </c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21">
        <v>1</v>
      </c>
      <c r="Y284" s="11"/>
      <c r="Z284" s="11"/>
      <c r="AA284" s="105">
        <v>0</v>
      </c>
      <c r="AB284" s="11"/>
      <c r="AC284" s="11"/>
      <c r="AD284" s="11"/>
      <c r="AE284" s="11"/>
      <c r="AF284" s="76"/>
      <c r="AG284" s="76"/>
      <c r="AH284" s="10" t="s">
        <v>80</v>
      </c>
      <c r="AI284" s="14" t="s">
        <v>240</v>
      </c>
      <c r="AJ284" s="10" t="s">
        <v>235</v>
      </c>
      <c r="AK284" s="10"/>
      <c r="AL284" s="14"/>
    </row>
    <row r="285" spans="1:39" s="15" customFormat="1" ht="25.5" customHeight="1">
      <c r="A285" s="10">
        <v>19</v>
      </c>
      <c r="B285" s="187" t="s">
        <v>241</v>
      </c>
      <c r="C285" s="188" t="s">
        <v>242</v>
      </c>
      <c r="D285" s="176">
        <v>2012</v>
      </c>
      <c r="E285" s="125">
        <v>1</v>
      </c>
      <c r="F285" s="189" t="s">
        <v>221</v>
      </c>
      <c r="G285" s="190">
        <v>2</v>
      </c>
      <c r="H285" s="191" t="s">
        <v>187</v>
      </c>
      <c r="I285" s="191" t="s">
        <v>214</v>
      </c>
      <c r="J285" s="192" t="s">
        <v>243</v>
      </c>
      <c r="K285" s="192" t="s">
        <v>42</v>
      </c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89">
        <v>1</v>
      </c>
      <c r="Y285" s="36"/>
      <c r="Z285" s="36"/>
      <c r="AA285" s="105">
        <v>0</v>
      </c>
      <c r="AB285" s="126"/>
      <c r="AC285" s="126"/>
      <c r="AD285" s="126"/>
      <c r="AE285" s="126"/>
      <c r="AF285" s="104"/>
      <c r="AG285" s="104"/>
      <c r="AH285" s="10" t="s">
        <v>80</v>
      </c>
      <c r="AI285" s="124" t="s">
        <v>210</v>
      </c>
      <c r="AJ285" s="122" t="s">
        <v>235</v>
      </c>
      <c r="AK285" s="18"/>
      <c r="AL285" s="124"/>
    </row>
    <row r="286" spans="1:39" s="15" customFormat="1" ht="25.5" customHeight="1">
      <c r="A286" s="10">
        <v>20</v>
      </c>
      <c r="B286" s="108" t="s">
        <v>360</v>
      </c>
      <c r="C286" s="9" t="s">
        <v>361</v>
      </c>
      <c r="D286" s="74">
        <v>2012</v>
      </c>
      <c r="E286" s="9">
        <v>1</v>
      </c>
      <c r="F286" s="10" t="s">
        <v>221</v>
      </c>
      <c r="G286" s="10">
        <v>1</v>
      </c>
      <c r="H286" s="16"/>
      <c r="I286" s="16" t="s">
        <v>214</v>
      </c>
      <c r="J286" s="112" t="s">
        <v>244</v>
      </c>
      <c r="K286" s="12" t="s">
        <v>42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1">
        <v>1</v>
      </c>
      <c r="Y286" s="11"/>
      <c r="Z286" s="11"/>
      <c r="AA286" s="105">
        <v>0</v>
      </c>
      <c r="AB286" s="11"/>
      <c r="AC286" s="11"/>
      <c r="AD286" s="11"/>
      <c r="AE286" s="11"/>
      <c r="AF286" s="76"/>
      <c r="AG286" s="76"/>
      <c r="AH286" s="10" t="s">
        <v>80</v>
      </c>
      <c r="AI286" s="122" t="s">
        <v>355</v>
      </c>
      <c r="AJ286" s="10" t="s">
        <v>235</v>
      </c>
      <c r="AK286" s="10"/>
      <c r="AL286" s="14"/>
    </row>
    <row r="287" spans="1:39" s="15" customFormat="1" ht="25.5" customHeight="1">
      <c r="A287" s="10">
        <v>21</v>
      </c>
      <c r="B287" s="108" t="s">
        <v>247</v>
      </c>
      <c r="C287" s="9" t="s">
        <v>248</v>
      </c>
      <c r="D287" s="74">
        <v>2011</v>
      </c>
      <c r="E287" s="9">
        <v>1</v>
      </c>
      <c r="F287" s="10" t="s">
        <v>221</v>
      </c>
      <c r="G287" s="10">
        <v>1</v>
      </c>
      <c r="H287" s="16" t="s">
        <v>187</v>
      </c>
      <c r="I287" s="16" t="s">
        <v>214</v>
      </c>
      <c r="J287" s="112" t="s">
        <v>244</v>
      </c>
      <c r="K287" s="12" t="s">
        <v>42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1">
        <v>1</v>
      </c>
      <c r="Y287" s="11"/>
      <c r="Z287" s="11"/>
      <c r="AA287" s="105">
        <v>0</v>
      </c>
      <c r="AB287" s="11"/>
      <c r="AC287" s="11"/>
      <c r="AD287" s="11"/>
      <c r="AE287" s="11"/>
      <c r="AF287" s="104"/>
      <c r="AG287" s="104"/>
      <c r="AH287" s="122" t="s">
        <v>80</v>
      </c>
      <c r="AI287" s="124" t="s">
        <v>210</v>
      </c>
      <c r="AJ287" s="122" t="s">
        <v>235</v>
      </c>
      <c r="AK287" s="122"/>
      <c r="AL287" s="14"/>
    </row>
    <row r="288" spans="1:39" s="15" customFormat="1" ht="25.5" customHeight="1">
      <c r="A288" s="10">
        <v>22</v>
      </c>
      <c r="B288" s="186" t="s">
        <v>251</v>
      </c>
      <c r="C288" s="9" t="s">
        <v>399</v>
      </c>
      <c r="D288" s="74">
        <v>2011</v>
      </c>
      <c r="E288" s="9">
        <v>1</v>
      </c>
      <c r="F288" s="10"/>
      <c r="G288" s="10"/>
      <c r="H288" s="16"/>
      <c r="I288" s="16"/>
      <c r="J288" s="1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1">
        <v>1</v>
      </c>
      <c r="Y288" s="11"/>
      <c r="Z288" s="11"/>
      <c r="AA288" s="105">
        <v>0</v>
      </c>
      <c r="AB288" s="11"/>
      <c r="AC288" s="11"/>
      <c r="AD288" s="11"/>
      <c r="AE288" s="11"/>
      <c r="AF288" s="76"/>
      <c r="AG288" s="76"/>
      <c r="AH288" s="10" t="s">
        <v>80</v>
      </c>
      <c r="AI288" s="124" t="s">
        <v>400</v>
      </c>
      <c r="AJ288" s="122" t="s">
        <v>235</v>
      </c>
      <c r="AK288" s="10"/>
      <c r="AL288" s="14"/>
    </row>
    <row r="289" spans="1:257" s="15" customFormat="1" ht="25.5" customHeight="1">
      <c r="A289" s="10">
        <v>23</v>
      </c>
      <c r="B289" s="108" t="s">
        <v>425</v>
      </c>
      <c r="C289" s="9" t="s">
        <v>362</v>
      </c>
      <c r="D289" s="74"/>
      <c r="E289" s="9">
        <v>8</v>
      </c>
      <c r="F289" s="10"/>
      <c r="G289" s="10"/>
      <c r="H289" s="16"/>
      <c r="I289" s="16"/>
      <c r="J289" s="1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1">
        <v>8</v>
      </c>
      <c r="Y289" s="11"/>
      <c r="Z289" s="11"/>
      <c r="AA289" s="105">
        <v>0</v>
      </c>
      <c r="AB289" s="11"/>
      <c r="AC289" s="11"/>
      <c r="AD289" s="11"/>
      <c r="AE289" s="11"/>
      <c r="AF289" s="76"/>
      <c r="AG289" s="76"/>
      <c r="AH289" s="10" t="s">
        <v>80</v>
      </c>
      <c r="AI289" s="122" t="s">
        <v>355</v>
      </c>
      <c r="AJ289" s="10" t="s">
        <v>235</v>
      </c>
      <c r="AK289" s="10"/>
      <c r="AL289" s="14"/>
    </row>
    <row r="290" spans="1:257" s="15" customFormat="1" ht="25.5" customHeight="1">
      <c r="A290" s="10">
        <v>24</v>
      </c>
      <c r="B290" s="174" t="s">
        <v>186</v>
      </c>
      <c r="C290" s="125" t="s">
        <v>363</v>
      </c>
      <c r="D290" s="176">
        <v>2012</v>
      </c>
      <c r="E290" s="125">
        <v>1</v>
      </c>
      <c r="F290" s="122"/>
      <c r="G290" s="122"/>
      <c r="H290" s="194"/>
      <c r="I290" s="194"/>
      <c r="J290" s="195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21">
        <v>1</v>
      </c>
      <c r="Y290" s="126"/>
      <c r="Z290" s="126"/>
      <c r="AA290" s="177">
        <v>0</v>
      </c>
      <c r="AB290" s="126"/>
      <c r="AC290" s="126"/>
      <c r="AD290" s="126"/>
      <c r="AE290" s="126"/>
      <c r="AF290" s="104"/>
      <c r="AG290" s="104"/>
      <c r="AH290" s="10" t="s">
        <v>80</v>
      </c>
      <c r="AI290" s="122" t="s">
        <v>355</v>
      </c>
      <c r="AJ290" s="10" t="s">
        <v>235</v>
      </c>
      <c r="AK290" s="10"/>
      <c r="AL290" s="124"/>
    </row>
    <row r="291" spans="1:257" s="15" customFormat="1" ht="25.5" customHeight="1">
      <c r="A291" s="10">
        <v>25</v>
      </c>
      <c r="B291" s="117" t="s">
        <v>193</v>
      </c>
      <c r="C291" s="114" t="s">
        <v>364</v>
      </c>
      <c r="D291" s="74">
        <v>2011</v>
      </c>
      <c r="E291" s="9">
        <v>1</v>
      </c>
      <c r="F291" s="10"/>
      <c r="G291" s="10"/>
      <c r="H291" s="16"/>
      <c r="I291" s="16"/>
      <c r="J291" s="1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1">
        <v>1</v>
      </c>
      <c r="Y291" s="11"/>
      <c r="Z291" s="11"/>
      <c r="AA291" s="105">
        <v>0</v>
      </c>
      <c r="AB291" s="11"/>
      <c r="AC291" s="11"/>
      <c r="AD291" s="11"/>
      <c r="AE291" s="11"/>
      <c r="AF291" s="76"/>
      <c r="AG291" s="76"/>
      <c r="AH291" s="10" t="s">
        <v>80</v>
      </c>
      <c r="AI291" s="9" t="s">
        <v>365</v>
      </c>
      <c r="AJ291" s="10" t="s">
        <v>235</v>
      </c>
      <c r="AK291" s="10"/>
      <c r="AL291" s="14"/>
    </row>
    <row r="292" spans="1:257" s="15" customFormat="1" ht="25.5" customHeight="1">
      <c r="A292" s="10">
        <v>26</v>
      </c>
      <c r="B292" s="117" t="s">
        <v>366</v>
      </c>
      <c r="C292" s="114" t="s">
        <v>367</v>
      </c>
      <c r="D292" s="74" t="s">
        <v>368</v>
      </c>
      <c r="E292" s="9">
        <v>1</v>
      </c>
      <c r="F292" s="121" t="s">
        <v>221</v>
      </c>
      <c r="G292" s="182">
        <v>1</v>
      </c>
      <c r="H292" s="183" t="s">
        <v>187</v>
      </c>
      <c r="I292" s="183" t="s">
        <v>214</v>
      </c>
      <c r="J292" s="184" t="s">
        <v>189</v>
      </c>
      <c r="K292" s="184" t="s">
        <v>42</v>
      </c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21">
        <v>1</v>
      </c>
      <c r="Y292" s="185"/>
      <c r="Z292" s="185"/>
      <c r="AA292" s="197">
        <v>0</v>
      </c>
      <c r="AB292" s="185"/>
      <c r="AC292" s="185"/>
      <c r="AD292" s="185"/>
      <c r="AE292" s="185"/>
      <c r="AF292" s="198"/>
      <c r="AG292" s="198"/>
      <c r="AH292" s="109" t="s">
        <v>80</v>
      </c>
      <c r="AI292" s="122" t="s">
        <v>355</v>
      </c>
      <c r="AJ292" s="10" t="s">
        <v>235</v>
      </c>
      <c r="AK292" s="10"/>
      <c r="AL292" s="14"/>
    </row>
    <row r="293" spans="1:257" s="15" customFormat="1" ht="25.5" customHeight="1">
      <c r="A293" s="10">
        <v>27</v>
      </c>
      <c r="B293" s="12" t="s">
        <v>193</v>
      </c>
      <c r="C293" s="9" t="s">
        <v>369</v>
      </c>
      <c r="D293" s="74">
        <v>2011</v>
      </c>
      <c r="E293" s="9">
        <v>1</v>
      </c>
      <c r="F293" s="9" t="s">
        <v>221</v>
      </c>
      <c r="G293" s="10">
        <v>1</v>
      </c>
      <c r="H293" s="16" t="s">
        <v>187</v>
      </c>
      <c r="I293" s="165" t="s">
        <v>214</v>
      </c>
      <c r="J293" s="112" t="s">
        <v>370</v>
      </c>
      <c r="K293" s="12" t="s">
        <v>42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1">
        <v>1</v>
      </c>
      <c r="Y293" s="11"/>
      <c r="Z293" s="11"/>
      <c r="AA293" s="105">
        <v>0</v>
      </c>
      <c r="AB293" s="11"/>
      <c r="AC293" s="11"/>
      <c r="AD293" s="11"/>
      <c r="AE293" s="11"/>
      <c r="AF293" s="76"/>
      <c r="AG293" s="76"/>
      <c r="AH293" s="109" t="s">
        <v>80</v>
      </c>
      <c r="AI293" s="14" t="s">
        <v>240</v>
      </c>
      <c r="AJ293" s="10" t="s">
        <v>235</v>
      </c>
      <c r="AK293" s="10"/>
      <c r="AL293" s="14"/>
    </row>
    <row r="294" spans="1:257" s="15" customFormat="1" ht="25.5" customHeight="1">
      <c r="A294" s="10">
        <v>28</v>
      </c>
      <c r="B294" s="199" t="s">
        <v>401</v>
      </c>
      <c r="C294" s="9" t="s">
        <v>402</v>
      </c>
      <c r="D294" s="74">
        <v>2012</v>
      </c>
      <c r="E294" s="9">
        <v>1</v>
      </c>
      <c r="F294" s="9"/>
      <c r="G294" s="10"/>
      <c r="H294" s="16"/>
      <c r="I294" s="165"/>
      <c r="J294" s="1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1">
        <v>1</v>
      </c>
      <c r="Y294" s="11"/>
      <c r="Z294" s="11"/>
      <c r="AA294" s="105">
        <v>0</v>
      </c>
      <c r="AB294" s="200"/>
      <c r="AC294" s="200"/>
      <c r="AD294" s="200"/>
      <c r="AE294" s="200"/>
      <c r="AF294" s="201"/>
      <c r="AG294" s="201"/>
      <c r="AH294" s="109" t="s">
        <v>80</v>
      </c>
      <c r="AI294" s="14" t="s">
        <v>240</v>
      </c>
      <c r="AJ294" s="10" t="s">
        <v>235</v>
      </c>
      <c r="AK294" s="10"/>
      <c r="AL294" s="14"/>
    </row>
    <row r="295" spans="1:257" s="15" customFormat="1" ht="25.5" customHeight="1">
      <c r="A295" s="10">
        <v>29</v>
      </c>
      <c r="B295" s="199" t="s">
        <v>403</v>
      </c>
      <c r="C295" s="9" t="s">
        <v>404</v>
      </c>
      <c r="D295" s="74">
        <v>2011</v>
      </c>
      <c r="E295" s="9">
        <v>1</v>
      </c>
      <c r="F295" s="9"/>
      <c r="G295" s="10"/>
      <c r="H295" s="16"/>
      <c r="I295" s="165"/>
      <c r="J295" s="1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1">
        <v>1</v>
      </c>
      <c r="Y295" s="11"/>
      <c r="Z295" s="11"/>
      <c r="AA295" s="105">
        <v>0</v>
      </c>
      <c r="AB295" s="200"/>
      <c r="AC295" s="200"/>
      <c r="AD295" s="200"/>
      <c r="AE295" s="200"/>
      <c r="AF295" s="201"/>
      <c r="AG295" s="201"/>
      <c r="AH295" s="109" t="s">
        <v>80</v>
      </c>
      <c r="AI295" s="14" t="s">
        <v>240</v>
      </c>
      <c r="AJ295" s="10" t="s">
        <v>235</v>
      </c>
      <c r="AK295" s="10"/>
      <c r="AL295" s="14"/>
    </row>
    <row r="296" spans="1:257" s="15" customFormat="1" ht="25.5" customHeight="1">
      <c r="A296" s="10">
        <v>30</v>
      </c>
      <c r="B296" s="199" t="s">
        <v>395</v>
      </c>
      <c r="C296" s="9" t="s">
        <v>405</v>
      </c>
      <c r="D296" s="74">
        <v>2006</v>
      </c>
      <c r="E296" s="9">
        <v>2</v>
      </c>
      <c r="F296" s="9"/>
      <c r="G296" s="10"/>
      <c r="H296" s="16"/>
      <c r="I296" s="165"/>
      <c r="J296" s="1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1">
        <v>2</v>
      </c>
      <c r="Y296" s="11"/>
      <c r="Z296" s="11"/>
      <c r="AA296" s="105">
        <v>0</v>
      </c>
      <c r="AB296" s="200"/>
      <c r="AC296" s="200"/>
      <c r="AD296" s="200"/>
      <c r="AE296" s="200"/>
      <c r="AF296" s="201"/>
      <c r="AG296" s="201"/>
      <c r="AH296" s="109" t="s">
        <v>80</v>
      </c>
      <c r="AI296" s="202" t="s">
        <v>406</v>
      </c>
      <c r="AJ296" s="10" t="s">
        <v>235</v>
      </c>
      <c r="AK296" s="10"/>
      <c r="AL296" s="14"/>
    </row>
    <row r="297" spans="1:257" s="15" customFormat="1" ht="25.5" customHeight="1">
      <c r="A297" s="10">
        <v>31</v>
      </c>
      <c r="B297" s="108" t="s">
        <v>371</v>
      </c>
      <c r="C297" s="86" t="s">
        <v>372</v>
      </c>
      <c r="D297" s="74">
        <v>2011</v>
      </c>
      <c r="E297" s="9">
        <v>1</v>
      </c>
      <c r="F297" s="9">
        <v>1</v>
      </c>
      <c r="G297" s="9">
        <v>1</v>
      </c>
      <c r="H297" s="9">
        <v>1</v>
      </c>
      <c r="I297" s="9">
        <v>1</v>
      </c>
      <c r="J297" s="9">
        <v>1</v>
      </c>
      <c r="K297" s="9">
        <v>1</v>
      </c>
      <c r="L297" s="9">
        <v>1</v>
      </c>
      <c r="M297" s="9">
        <v>1</v>
      </c>
      <c r="N297" s="9">
        <v>1</v>
      </c>
      <c r="O297" s="9">
        <v>1</v>
      </c>
      <c r="P297" s="9">
        <v>1</v>
      </c>
      <c r="Q297" s="9">
        <v>1</v>
      </c>
      <c r="R297" s="9">
        <v>1</v>
      </c>
      <c r="S297" s="9">
        <v>1</v>
      </c>
      <c r="T297" s="9">
        <v>1</v>
      </c>
      <c r="U297" s="9">
        <v>1</v>
      </c>
      <c r="V297" s="9">
        <v>1</v>
      </c>
      <c r="W297" s="9">
        <v>1</v>
      </c>
      <c r="X297" s="121">
        <v>1</v>
      </c>
      <c r="Y297" s="11"/>
      <c r="Z297" s="11"/>
      <c r="AA297" s="105">
        <v>0</v>
      </c>
      <c r="AB297" s="11"/>
      <c r="AC297" s="11"/>
      <c r="AD297" s="11"/>
      <c r="AE297" s="11"/>
      <c r="AF297" s="76"/>
      <c r="AG297" s="76"/>
      <c r="AH297" s="109" t="s">
        <v>80</v>
      </c>
      <c r="AI297" s="14" t="s">
        <v>424</v>
      </c>
      <c r="AJ297" s="10" t="s">
        <v>235</v>
      </c>
      <c r="AK297" s="10"/>
      <c r="AL297" s="14"/>
    </row>
    <row r="298" spans="1:257" s="15" customFormat="1" ht="25.5" customHeight="1">
      <c r="A298" s="10">
        <v>32</v>
      </c>
      <c r="B298" s="108" t="s">
        <v>426</v>
      </c>
      <c r="C298" s="86" t="s">
        <v>427</v>
      </c>
      <c r="D298" s="74">
        <v>2014</v>
      </c>
      <c r="E298" s="9">
        <v>1</v>
      </c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21">
        <v>1</v>
      </c>
      <c r="Y298" s="11"/>
      <c r="Z298" s="11"/>
      <c r="AA298" s="105">
        <v>0</v>
      </c>
      <c r="AB298" s="11"/>
      <c r="AC298" s="11"/>
      <c r="AD298" s="11"/>
      <c r="AE298" s="11"/>
      <c r="AF298" s="76"/>
      <c r="AG298" s="76"/>
      <c r="AH298" s="109" t="s">
        <v>80</v>
      </c>
      <c r="AI298" s="14" t="s">
        <v>424</v>
      </c>
      <c r="AJ298" s="10" t="s">
        <v>235</v>
      </c>
      <c r="AK298" s="10"/>
      <c r="AL298" s="14"/>
    </row>
    <row r="299" spans="1:257" s="15" customFormat="1" ht="25.5" customHeight="1">
      <c r="A299" s="10">
        <v>33</v>
      </c>
      <c r="B299" s="108" t="s">
        <v>428</v>
      </c>
      <c r="C299" s="86" t="s">
        <v>429</v>
      </c>
      <c r="D299" s="74">
        <v>2008</v>
      </c>
      <c r="E299" s="9">
        <v>1</v>
      </c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21">
        <v>1</v>
      </c>
      <c r="Y299" s="11"/>
      <c r="Z299" s="11"/>
      <c r="AA299" s="105">
        <v>0</v>
      </c>
      <c r="AB299" s="11"/>
      <c r="AC299" s="11"/>
      <c r="AD299" s="11"/>
      <c r="AE299" s="11"/>
      <c r="AF299" s="76"/>
      <c r="AG299" s="76"/>
      <c r="AH299" s="109" t="s">
        <v>80</v>
      </c>
      <c r="AI299" s="14" t="s">
        <v>355</v>
      </c>
      <c r="AJ299" s="10" t="s">
        <v>235</v>
      </c>
      <c r="AK299" s="10"/>
      <c r="AL299" s="14"/>
    </row>
    <row r="300" spans="1:257">
      <c r="A300" s="86">
        <v>4</v>
      </c>
      <c r="B300" s="12" t="s">
        <v>357</v>
      </c>
      <c r="C300" s="9" t="s">
        <v>358</v>
      </c>
      <c r="D300" s="74">
        <v>2012</v>
      </c>
      <c r="E300" s="9">
        <v>1</v>
      </c>
      <c r="F300" s="10"/>
      <c r="G300" s="10"/>
      <c r="H300" s="16"/>
      <c r="I300" s="16"/>
      <c r="J300" s="1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1">
        <v>1</v>
      </c>
      <c r="Y300" s="11"/>
      <c r="Z300" s="11"/>
      <c r="AA300" s="75">
        <v>0</v>
      </c>
      <c r="AB300" s="11"/>
      <c r="AC300" s="11"/>
      <c r="AD300" s="11"/>
      <c r="AE300" s="11"/>
      <c r="AF300" s="76"/>
      <c r="AG300" s="76"/>
      <c r="AH300" s="109" t="s">
        <v>80</v>
      </c>
      <c r="AI300" s="14" t="s">
        <v>355</v>
      </c>
      <c r="AJ300" s="10" t="s">
        <v>235</v>
      </c>
      <c r="AK300" s="10"/>
      <c r="AL300" s="14"/>
      <c r="AM300" s="15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  <c r="FS300" s="30"/>
      <c r="FT300" s="30"/>
      <c r="FU300" s="30"/>
      <c r="FV300" s="30"/>
      <c r="FW300" s="30"/>
      <c r="FX300" s="30"/>
      <c r="FY300" s="30"/>
      <c r="FZ300" s="30"/>
      <c r="GA300" s="30"/>
      <c r="GB300" s="30"/>
      <c r="GC300" s="30"/>
      <c r="GD300" s="30"/>
      <c r="GE300" s="30"/>
      <c r="GF300" s="30"/>
      <c r="GG300" s="30"/>
      <c r="GH300" s="30"/>
      <c r="GI300" s="30"/>
      <c r="GJ300" s="30"/>
      <c r="GK300" s="30"/>
      <c r="GL300" s="30"/>
      <c r="GM300" s="30"/>
      <c r="GN300" s="30"/>
      <c r="GO300" s="30"/>
      <c r="GP300" s="30"/>
      <c r="GQ300" s="30"/>
      <c r="GR300" s="30"/>
      <c r="GS300" s="30"/>
      <c r="GT300" s="30"/>
      <c r="GU300" s="30"/>
      <c r="GV300" s="30"/>
      <c r="GW300" s="30"/>
      <c r="GX300" s="30"/>
      <c r="GY300" s="30"/>
      <c r="GZ300" s="30"/>
      <c r="HA300" s="30"/>
      <c r="HB300" s="30"/>
      <c r="HC300" s="30"/>
      <c r="HD300" s="30"/>
      <c r="HE300" s="30"/>
      <c r="HF300" s="30"/>
      <c r="HG300" s="30"/>
      <c r="HH300" s="30"/>
      <c r="HI300" s="30"/>
      <c r="HJ300" s="30"/>
      <c r="HK300" s="30"/>
      <c r="HL300" s="30"/>
      <c r="HM300" s="30"/>
      <c r="HN300" s="30"/>
      <c r="HO300" s="30"/>
      <c r="HP300" s="30"/>
      <c r="HQ300" s="30"/>
      <c r="HR300" s="30"/>
      <c r="HS300" s="30"/>
      <c r="HT300" s="30"/>
      <c r="HU300" s="30"/>
      <c r="HV300" s="30"/>
      <c r="HW300" s="30"/>
      <c r="HX300" s="30"/>
      <c r="HY300" s="30"/>
      <c r="HZ300" s="30"/>
      <c r="IA300" s="30"/>
      <c r="IB300" s="30"/>
      <c r="IC300" s="30"/>
      <c r="ID300" s="30"/>
      <c r="IE300" s="30"/>
      <c r="IF300" s="30"/>
      <c r="IG300" s="30"/>
      <c r="IH300" s="30"/>
      <c r="II300" s="30"/>
      <c r="IJ300" s="30"/>
      <c r="IK300" s="30"/>
      <c r="IL300" s="30"/>
      <c r="IM300" s="30"/>
      <c r="IN300" s="30"/>
      <c r="IO300" s="30"/>
      <c r="IP300" s="30"/>
      <c r="IQ300" s="30"/>
      <c r="IR300" s="30"/>
      <c r="IS300" s="30"/>
      <c r="IT300" s="30"/>
      <c r="IU300" s="30"/>
      <c r="IV300" s="30"/>
      <c r="IW300" s="30"/>
    </row>
    <row r="301" spans="1:257" s="30" customFormat="1">
      <c r="A301" s="59"/>
      <c r="B301" s="20"/>
      <c r="C301" s="20"/>
      <c r="D301" s="20"/>
      <c r="E301" s="59"/>
      <c r="F301" s="25"/>
      <c r="G301" s="20"/>
      <c r="H301" s="20"/>
      <c r="I301" s="20"/>
      <c r="J301" s="20"/>
      <c r="K301" s="59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59"/>
      <c r="Y301" s="20"/>
      <c r="Z301" s="20"/>
      <c r="AA301" s="203"/>
      <c r="AB301" s="204"/>
      <c r="AC301" s="20"/>
      <c r="AD301" s="20"/>
      <c r="AE301" s="20"/>
      <c r="AF301" s="22"/>
      <c r="AG301" s="22"/>
      <c r="AH301" s="59"/>
      <c r="AI301" s="59"/>
      <c r="AJ301" s="59"/>
      <c r="AK301" s="59"/>
      <c r="AL301" s="66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  <c r="FB301" s="20"/>
      <c r="FC301" s="20"/>
      <c r="FD301" s="20"/>
      <c r="FE301" s="20"/>
      <c r="FF301" s="20"/>
      <c r="FG301" s="20"/>
      <c r="FH301" s="20"/>
      <c r="FI301" s="20"/>
      <c r="FJ301" s="20"/>
      <c r="FK301" s="20"/>
      <c r="FL301" s="20"/>
      <c r="FM301" s="20"/>
      <c r="FN301" s="20"/>
      <c r="FO301" s="20"/>
      <c r="FP301" s="20"/>
      <c r="FQ301" s="20"/>
      <c r="FR301" s="20"/>
      <c r="FS301" s="20"/>
      <c r="FT301" s="20"/>
      <c r="FU301" s="20"/>
      <c r="FV301" s="20"/>
      <c r="FW301" s="20"/>
      <c r="FX301" s="20"/>
      <c r="FY301" s="20"/>
      <c r="FZ301" s="20"/>
      <c r="GA301" s="20"/>
      <c r="GB301" s="20"/>
      <c r="GC301" s="20"/>
      <c r="GD301" s="20"/>
      <c r="GE301" s="20"/>
      <c r="GF301" s="20"/>
      <c r="GG301" s="20"/>
      <c r="GH301" s="20"/>
      <c r="GI301" s="20"/>
      <c r="GJ301" s="20"/>
      <c r="GK301" s="20"/>
      <c r="GL301" s="20"/>
      <c r="GM301" s="20"/>
      <c r="GN301" s="20"/>
      <c r="GO301" s="20"/>
      <c r="GP301" s="20"/>
      <c r="GQ301" s="20"/>
      <c r="GR301" s="20"/>
      <c r="GS301" s="20"/>
      <c r="GT301" s="20"/>
      <c r="GU301" s="20"/>
      <c r="GV301" s="20"/>
      <c r="GW301" s="20"/>
      <c r="GX301" s="20"/>
      <c r="GY301" s="20"/>
      <c r="GZ301" s="20"/>
      <c r="HA301" s="20"/>
      <c r="HB301" s="20"/>
      <c r="HC301" s="20"/>
      <c r="HD301" s="20"/>
      <c r="HE301" s="20"/>
      <c r="HF301" s="20"/>
      <c r="HG301" s="20"/>
      <c r="HH301" s="20"/>
      <c r="HI301" s="20"/>
      <c r="HJ301" s="20"/>
      <c r="HK301" s="20"/>
      <c r="HL301" s="20"/>
      <c r="HM301" s="20"/>
      <c r="HN301" s="20"/>
      <c r="HO301" s="20"/>
      <c r="HP301" s="20"/>
      <c r="HQ301" s="20"/>
      <c r="HR301" s="20"/>
      <c r="HS301" s="20"/>
      <c r="HT301" s="20"/>
      <c r="HU301" s="20"/>
      <c r="HV301" s="20"/>
      <c r="HW301" s="20"/>
      <c r="HX301" s="20"/>
      <c r="HY301" s="20"/>
      <c r="HZ301" s="20"/>
      <c r="IA301" s="20"/>
      <c r="IB301" s="20"/>
      <c r="IC301" s="20"/>
      <c r="ID301" s="20"/>
      <c r="IE301" s="20"/>
      <c r="IF301" s="20"/>
      <c r="IG301" s="20"/>
      <c r="IH301" s="20"/>
      <c r="II301" s="20"/>
      <c r="IJ301" s="20"/>
      <c r="IK301" s="20"/>
      <c r="IL301" s="20"/>
      <c r="IM301" s="20"/>
      <c r="IN301" s="20"/>
      <c r="IO301" s="20"/>
      <c r="IP301" s="20"/>
      <c r="IQ301" s="20"/>
      <c r="IR301" s="20"/>
      <c r="IS301" s="20"/>
      <c r="IT301" s="20"/>
      <c r="IU301" s="20"/>
      <c r="IV301" s="20"/>
      <c r="IW301" s="20"/>
    </row>
    <row r="302" spans="1:257">
      <c r="A302" s="56"/>
      <c r="B302" s="30"/>
      <c r="C302" s="30"/>
      <c r="D302" s="30"/>
      <c r="E302" s="56"/>
      <c r="F302" s="31"/>
      <c r="G302" s="30"/>
      <c r="H302" s="30"/>
      <c r="I302" s="30"/>
      <c r="J302" s="30"/>
      <c r="K302" s="56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56"/>
      <c r="Y302" s="30"/>
      <c r="Z302" s="30"/>
      <c r="AA302" s="65"/>
      <c r="AB302" s="160"/>
      <c r="AC302" s="30"/>
      <c r="AD302" s="30"/>
      <c r="AE302" s="30"/>
      <c r="AF302" s="23"/>
      <c r="AG302" s="23"/>
      <c r="AH302" s="56"/>
      <c r="AI302" s="56"/>
      <c r="AJ302" s="56"/>
      <c r="AK302" s="56"/>
      <c r="AL302" s="161"/>
    </row>
    <row r="303" spans="1:257">
      <c r="AA303" s="68"/>
    </row>
    <row r="304" spans="1:257">
      <c r="AA304" s="68"/>
    </row>
    <row r="305" spans="2:27">
      <c r="AA305" s="68"/>
    </row>
    <row r="306" spans="2:27">
      <c r="AA306" s="68"/>
    </row>
    <row r="311" spans="2:27">
      <c r="B311" s="21"/>
    </row>
  </sheetData>
  <mergeCells count="56">
    <mergeCell ref="AA213:AI213"/>
    <mergeCell ref="AH12:AH13"/>
    <mergeCell ref="D12:D13"/>
    <mergeCell ref="AD12:AD13"/>
    <mergeCell ref="A1:X1"/>
    <mergeCell ref="A9:B9"/>
    <mergeCell ref="A2:X2"/>
    <mergeCell ref="AA12:AC12"/>
    <mergeCell ref="X12:Z12"/>
    <mergeCell ref="Z1:AL1"/>
    <mergeCell ref="Z2:AL2"/>
    <mergeCell ref="A11:B11"/>
    <mergeCell ref="A10:B10"/>
    <mergeCell ref="A4:AL4"/>
    <mergeCell ref="Z3:AL3"/>
    <mergeCell ref="A5:AL5"/>
    <mergeCell ref="AL12:AL13"/>
    <mergeCell ref="A6:C6"/>
    <mergeCell ref="A7:B7"/>
    <mergeCell ref="A8:B8"/>
    <mergeCell ref="A12:A13"/>
    <mergeCell ref="G13:I13"/>
    <mergeCell ref="AG12:AG13"/>
    <mergeCell ref="AF12:AF13"/>
    <mergeCell ref="AJ243:AJ244"/>
    <mergeCell ref="AK243:AK244"/>
    <mergeCell ref="AE12:AE13"/>
    <mergeCell ref="B12:B13"/>
    <mergeCell ref="AJ213:AL213"/>
    <mergeCell ref="AJ208:AL208"/>
    <mergeCell ref="AI207:AL207"/>
    <mergeCell ref="E12:P12"/>
    <mergeCell ref="C12:C13"/>
    <mergeCell ref="AI12:AI13"/>
    <mergeCell ref="AJ12:AJ13"/>
    <mergeCell ref="AK12:AK13"/>
    <mergeCell ref="E212:AH212"/>
    <mergeCell ref="AI212:AJ212"/>
    <mergeCell ref="AK212:AL212"/>
    <mergeCell ref="C208:X208"/>
    <mergeCell ref="AL243:AL244"/>
    <mergeCell ref="G244:I244"/>
    <mergeCell ref="C213:X213"/>
    <mergeCell ref="AA208:AI208"/>
    <mergeCell ref="A241:AL241"/>
    <mergeCell ref="A243:A244"/>
    <mergeCell ref="B243:B244"/>
    <mergeCell ref="C243:C244"/>
    <mergeCell ref="D243:D244"/>
    <mergeCell ref="E243:P243"/>
    <mergeCell ref="X243:Z243"/>
    <mergeCell ref="AA243:AC243"/>
    <mergeCell ref="AD243:AD244"/>
    <mergeCell ref="AE243:AE244"/>
    <mergeCell ref="AH243:AH244"/>
    <mergeCell ref="AI243:AI244"/>
  </mergeCells>
  <phoneticPr fontId="22" type="noConversion"/>
  <printOptions horizontalCentered="1"/>
  <pageMargins left="0.2" right="0.2" top="0.38" bottom="0.28999999999999998" header="0.2" footer="0.21"/>
  <pageSetup paperSize="9" scale="8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AM58"/>
  <sheetViews>
    <sheetView topLeftCell="A14" zoomScaleSheetLayoutView="102" workbookViewId="0">
      <selection activeCell="A49" sqref="A49:XFD49"/>
    </sheetView>
  </sheetViews>
  <sheetFormatPr defaultRowHeight="15.75"/>
  <cols>
    <col min="1" max="1" width="1" style="20" customWidth="1"/>
    <col min="2" max="2" width="5.5703125" style="260" customWidth="1"/>
    <col min="3" max="3" width="45" style="20" customWidth="1"/>
    <col min="4" max="4" width="8.140625" style="20" customWidth="1"/>
    <col min="5" max="5" width="9.28515625" style="20" customWidth="1"/>
    <col min="6" max="6" width="7.5703125" style="260" customWidth="1"/>
    <col min="7" max="7" width="11.5703125" style="25" hidden="1" customWidth="1"/>
    <col min="8" max="8" width="12.140625" style="20" hidden="1" customWidth="1"/>
    <col min="9" max="9" width="11.28515625" style="20" hidden="1" customWidth="1"/>
    <col min="10" max="10" width="12.42578125" style="20" hidden="1" customWidth="1"/>
    <col min="11" max="11" width="10.140625" style="20" hidden="1" customWidth="1"/>
    <col min="12" max="12" width="12.5703125" style="260" hidden="1" customWidth="1"/>
    <col min="13" max="13" width="10.85546875" style="20" hidden="1" customWidth="1"/>
    <col min="14" max="15" width="9.28515625" style="20" hidden="1" customWidth="1"/>
    <col min="16" max="16" width="10" style="20" hidden="1" customWidth="1"/>
    <col min="17" max="17" width="9.5703125" style="20" hidden="1" customWidth="1"/>
    <col min="18" max="18" width="9.42578125" style="20" hidden="1" customWidth="1"/>
    <col min="19" max="19" width="9" style="20" hidden="1" customWidth="1"/>
    <col min="20" max="20" width="11.28515625" style="20" hidden="1" customWidth="1"/>
    <col min="21" max="21" width="11.5703125" style="20" hidden="1" customWidth="1"/>
    <col min="22" max="23" width="10.5703125" style="20" hidden="1" customWidth="1"/>
    <col min="24" max="24" width="0.140625" style="20" hidden="1" customWidth="1"/>
    <col min="25" max="25" width="7.5703125" style="260" customWidth="1"/>
    <col min="26" max="26" width="12" style="20" hidden="1" customWidth="1"/>
    <col min="27" max="27" width="5.5703125" style="20" hidden="1" customWidth="1"/>
    <col min="28" max="28" width="7.7109375" style="46" customWidth="1"/>
    <col min="29" max="29" width="6.140625" style="20" hidden="1" customWidth="1"/>
    <col min="30" max="30" width="5.5703125" style="20" hidden="1" customWidth="1"/>
    <col min="31" max="31" width="7.140625" style="20" hidden="1" customWidth="1"/>
    <col min="32" max="32" width="5.42578125" style="20" hidden="1" customWidth="1"/>
    <col min="33" max="34" width="12.85546875" style="20" customWidth="1"/>
    <col min="35" max="35" width="12" style="20" customWidth="1"/>
    <col min="36" max="36" width="12.7109375" style="260" customWidth="1"/>
    <col min="37" max="37" width="10.7109375" style="260" customWidth="1"/>
    <col min="38" max="38" width="14.28515625" style="20" customWidth="1"/>
    <col min="39" max="39" width="12.28515625" style="20" customWidth="1"/>
    <col min="40" max="16384" width="9.140625" style="20"/>
  </cols>
  <sheetData>
    <row r="1" spans="1:39" ht="15.75" customHeight="1">
      <c r="B1" s="262" t="s">
        <v>43</v>
      </c>
      <c r="C1" s="263"/>
      <c r="D1" s="263"/>
      <c r="I1" s="30"/>
      <c r="J1" s="30"/>
      <c r="K1" s="259" t="s">
        <v>0</v>
      </c>
      <c r="L1" s="30"/>
      <c r="M1" s="30"/>
      <c r="N1" s="30"/>
      <c r="O1" s="30"/>
      <c r="Q1" s="259"/>
      <c r="R1" s="259"/>
      <c r="S1" s="259"/>
      <c r="T1" s="259"/>
      <c r="U1" s="259"/>
      <c r="V1" s="259"/>
      <c r="W1" s="259"/>
      <c r="X1" s="259"/>
      <c r="AA1" s="282" t="s">
        <v>0</v>
      </c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</row>
    <row r="2" spans="1:39" ht="15" customHeight="1">
      <c r="B2" s="32" t="s">
        <v>44</v>
      </c>
      <c r="L2" s="20"/>
      <c r="P2" s="37"/>
      <c r="Q2" s="37"/>
      <c r="R2" s="37"/>
      <c r="S2" s="37"/>
      <c r="T2" s="37"/>
      <c r="U2" s="37"/>
      <c r="V2" s="37"/>
      <c r="W2" s="37"/>
      <c r="X2" s="37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</row>
    <row r="3" spans="1:39" ht="22.5" hidden="1" customHeight="1">
      <c r="B3" s="282" t="s">
        <v>1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</row>
    <row r="4" spans="1:39" ht="15" customHeight="1"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83"/>
      <c r="AB4" s="283"/>
      <c r="AC4" s="283"/>
      <c r="AD4" s="283"/>
      <c r="AE4" s="283"/>
      <c r="AF4" s="283"/>
      <c r="AG4" s="283"/>
      <c r="AH4" s="283"/>
      <c r="AI4" s="283"/>
      <c r="AJ4" s="283"/>
      <c r="AK4" s="283"/>
      <c r="AL4" s="283"/>
      <c r="AM4" s="283"/>
    </row>
    <row r="5" spans="1:39" ht="21" customHeight="1">
      <c r="B5" s="302" t="s">
        <v>654</v>
      </c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</row>
    <row r="6" spans="1:39" ht="21" customHeight="1">
      <c r="B6" s="302" t="s">
        <v>413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</row>
    <row r="7" spans="1:39" ht="12" customHeight="1"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71"/>
      <c r="AH7" s="271"/>
      <c r="AI7" s="264"/>
      <c r="AJ7" s="264"/>
      <c r="AK7" s="264"/>
      <c r="AL7" s="264"/>
      <c r="AM7" s="264"/>
    </row>
    <row r="8" spans="1:39" ht="18" customHeight="1">
      <c r="A8" s="263" t="s">
        <v>655</v>
      </c>
      <c r="C8" s="260"/>
      <c r="D8" s="260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4"/>
      <c r="AB8" s="259"/>
      <c r="AC8" s="259"/>
      <c r="AD8" s="259"/>
      <c r="AE8" s="259"/>
      <c r="AF8" s="259"/>
      <c r="AG8" s="270"/>
      <c r="AH8" s="270"/>
      <c r="AK8" s="20"/>
      <c r="AL8" s="38"/>
    </row>
    <row r="9" spans="1:39" ht="18" customHeight="1">
      <c r="A9" s="261" t="s">
        <v>443</v>
      </c>
      <c r="D9" s="20" t="s">
        <v>444</v>
      </c>
      <c r="E9" s="259"/>
      <c r="F9" s="20"/>
      <c r="G9" s="20"/>
      <c r="H9" s="261"/>
      <c r="I9" s="259"/>
      <c r="K9" s="261" t="s">
        <v>2</v>
      </c>
      <c r="L9" s="259"/>
      <c r="M9" s="22"/>
      <c r="S9" s="261"/>
      <c r="T9" s="23"/>
      <c r="W9" s="24"/>
      <c r="X9" s="259"/>
      <c r="Y9" s="20"/>
      <c r="Z9" s="259"/>
      <c r="AA9" s="259"/>
      <c r="AB9" s="261"/>
      <c r="AI9" s="261" t="s">
        <v>52</v>
      </c>
      <c r="AK9" s="20"/>
      <c r="AL9" s="38"/>
    </row>
    <row r="10" spans="1:39" ht="18" customHeight="1">
      <c r="A10" s="261" t="s">
        <v>621</v>
      </c>
      <c r="D10" s="20" t="s">
        <v>51</v>
      </c>
      <c r="E10" s="260"/>
      <c r="F10" s="20"/>
      <c r="G10" s="20"/>
      <c r="H10" s="261"/>
      <c r="I10" s="259"/>
      <c r="K10" s="261"/>
      <c r="L10" s="259"/>
      <c r="M10" s="22"/>
      <c r="S10" s="261"/>
      <c r="T10" s="23"/>
      <c r="W10" s="24"/>
      <c r="X10" s="259"/>
      <c r="Y10" s="20"/>
      <c r="Z10" s="259"/>
      <c r="AA10" s="259"/>
      <c r="AB10" s="261"/>
      <c r="AI10" s="20" t="s">
        <v>54</v>
      </c>
      <c r="AK10" s="20"/>
      <c r="AL10" s="38"/>
    </row>
    <row r="11" spans="1:39" ht="18" customHeight="1">
      <c r="A11" s="261" t="s">
        <v>55</v>
      </c>
      <c r="D11" s="20" t="s">
        <v>56</v>
      </c>
      <c r="E11" s="259"/>
      <c r="F11" s="20"/>
      <c r="G11" s="20"/>
      <c r="H11" s="261"/>
      <c r="I11" s="259"/>
      <c r="K11" s="261" t="s">
        <v>3</v>
      </c>
      <c r="L11" s="259"/>
      <c r="M11" s="22"/>
      <c r="S11" s="261"/>
      <c r="T11" s="23"/>
      <c r="W11" s="24"/>
      <c r="X11" s="259"/>
      <c r="Y11" s="20"/>
      <c r="Z11" s="259"/>
      <c r="AA11" s="259"/>
      <c r="AB11" s="261"/>
      <c r="AI11" s="20" t="s">
        <v>57</v>
      </c>
      <c r="AK11" s="20"/>
      <c r="AL11" s="38"/>
    </row>
    <row r="12" spans="1:39" ht="18" customHeight="1">
      <c r="A12" s="261" t="s">
        <v>656</v>
      </c>
      <c r="D12" s="20" t="s">
        <v>79</v>
      </c>
      <c r="F12" s="20"/>
      <c r="G12" s="20"/>
      <c r="L12" s="20"/>
      <c r="Y12" s="20"/>
      <c r="AB12" s="20"/>
      <c r="AI12" s="20" t="s">
        <v>58</v>
      </c>
      <c r="AK12" s="20"/>
    </row>
    <row r="13" spans="1:39" ht="18" customHeight="1">
      <c r="A13" s="261" t="s">
        <v>59</v>
      </c>
      <c r="B13" s="20"/>
      <c r="F13" s="20"/>
      <c r="G13" s="20"/>
      <c r="L13" s="20"/>
      <c r="Y13" s="20"/>
      <c r="AB13" s="20"/>
      <c r="AK13" s="20"/>
    </row>
    <row r="14" spans="1:39" ht="18" customHeight="1">
      <c r="A14" s="261" t="s">
        <v>4</v>
      </c>
      <c r="B14" s="20"/>
      <c r="E14" s="260"/>
      <c r="F14" s="25"/>
      <c r="G14" s="20"/>
      <c r="K14" s="260"/>
      <c r="L14" s="20"/>
      <c r="X14" s="260"/>
      <c r="Y14" s="20"/>
      <c r="AA14" s="26"/>
      <c r="AB14" s="20"/>
      <c r="AK14" s="20"/>
      <c r="AL14" s="38"/>
    </row>
    <row r="15" spans="1:39" ht="11.25" customHeight="1">
      <c r="A15" s="261"/>
      <c r="B15" s="20"/>
      <c r="E15" s="260"/>
      <c r="F15" s="25"/>
      <c r="G15" s="20"/>
      <c r="K15" s="260"/>
      <c r="L15" s="20"/>
      <c r="X15" s="260"/>
      <c r="Y15" s="20"/>
      <c r="AA15" s="26"/>
      <c r="AB15" s="20"/>
      <c r="AK15" s="20"/>
      <c r="AL15" s="38"/>
    </row>
    <row r="16" spans="1:39" ht="3" hidden="1" customHeight="1">
      <c r="AB16" s="39"/>
    </row>
    <row r="17" spans="1:39" ht="36.75" customHeight="1">
      <c r="A17" s="315" t="s">
        <v>5</v>
      </c>
      <c r="B17" s="300" t="s">
        <v>5</v>
      </c>
      <c r="C17" s="304" t="s">
        <v>6</v>
      </c>
      <c r="D17" s="279" t="s">
        <v>62</v>
      </c>
      <c r="E17" s="279" t="s">
        <v>8</v>
      </c>
      <c r="F17" s="300" t="s">
        <v>45</v>
      </c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267"/>
      <c r="S17" s="267"/>
      <c r="T17" s="267"/>
      <c r="U17" s="267"/>
      <c r="V17" s="267"/>
      <c r="W17" s="267"/>
      <c r="X17" s="258"/>
      <c r="Y17" s="303" t="s">
        <v>46</v>
      </c>
      <c r="Z17" s="281"/>
      <c r="AA17" s="281"/>
      <c r="AB17" s="303" t="s">
        <v>47</v>
      </c>
      <c r="AC17" s="281"/>
      <c r="AD17" s="281"/>
      <c r="AE17" s="300" t="s">
        <v>9</v>
      </c>
      <c r="AF17" s="300" t="s">
        <v>10</v>
      </c>
      <c r="AG17" s="279" t="s">
        <v>466</v>
      </c>
      <c r="AH17" s="279" t="s">
        <v>467</v>
      </c>
      <c r="AI17" s="300" t="s">
        <v>11</v>
      </c>
      <c r="AJ17" s="300" t="s">
        <v>12</v>
      </c>
      <c r="AK17" s="300" t="s">
        <v>13</v>
      </c>
      <c r="AL17" s="279" t="s">
        <v>63</v>
      </c>
      <c r="AM17" s="300" t="s">
        <v>64</v>
      </c>
    </row>
    <row r="18" spans="1:39" ht="45" customHeight="1">
      <c r="A18" s="316"/>
      <c r="B18" s="304"/>
      <c r="C18" s="304"/>
      <c r="D18" s="309"/>
      <c r="E18" s="314"/>
      <c r="F18" s="279" t="s">
        <v>48</v>
      </c>
      <c r="G18" s="305" t="s">
        <v>15</v>
      </c>
      <c r="H18" s="281" t="s">
        <v>16</v>
      </c>
      <c r="I18" s="281"/>
      <c r="J18" s="281"/>
      <c r="K18" s="258" t="s">
        <v>17</v>
      </c>
      <c r="L18" s="267" t="s">
        <v>18</v>
      </c>
      <c r="M18" s="258"/>
      <c r="N18" s="258" t="s">
        <v>17</v>
      </c>
      <c r="O18" s="258" t="s">
        <v>17</v>
      </c>
      <c r="P18" s="258" t="s">
        <v>17</v>
      </c>
      <c r="Q18" s="258" t="s">
        <v>19</v>
      </c>
      <c r="R18" s="258" t="s">
        <v>19</v>
      </c>
      <c r="S18" s="258" t="s">
        <v>19</v>
      </c>
      <c r="T18" s="258" t="s">
        <v>19</v>
      </c>
      <c r="U18" s="258" t="s">
        <v>19</v>
      </c>
      <c r="V18" s="258" t="s">
        <v>19</v>
      </c>
      <c r="W18" s="258" t="s">
        <v>20</v>
      </c>
      <c r="X18" s="258"/>
      <c r="Y18" s="279" t="s">
        <v>48</v>
      </c>
      <c r="Z18" s="305" t="s">
        <v>21</v>
      </c>
      <c r="AA18" s="305" t="s">
        <v>22</v>
      </c>
      <c r="AB18" s="279" t="s">
        <v>48</v>
      </c>
      <c r="AC18" s="305" t="s">
        <v>21</v>
      </c>
      <c r="AD18" s="305" t="s">
        <v>23</v>
      </c>
      <c r="AE18" s="300"/>
      <c r="AF18" s="300"/>
      <c r="AG18" s="309"/>
      <c r="AH18" s="309"/>
      <c r="AI18" s="308"/>
      <c r="AJ18" s="301"/>
      <c r="AK18" s="304"/>
      <c r="AL18" s="309"/>
      <c r="AM18" s="308"/>
    </row>
    <row r="19" spans="1:39" ht="5.25" customHeight="1">
      <c r="A19" s="316"/>
      <c r="B19" s="304"/>
      <c r="C19" s="304"/>
      <c r="D19" s="309"/>
      <c r="E19" s="314"/>
      <c r="F19" s="314"/>
      <c r="G19" s="306"/>
      <c r="H19" s="305" t="s">
        <v>24</v>
      </c>
      <c r="I19" s="281" t="s">
        <v>25</v>
      </c>
      <c r="J19" s="281"/>
      <c r="K19" s="258" t="s">
        <v>26</v>
      </c>
      <c r="L19" s="267" t="s">
        <v>27</v>
      </c>
      <c r="M19" s="258" t="s">
        <v>28</v>
      </c>
      <c r="N19" s="258" t="s">
        <v>26</v>
      </c>
      <c r="O19" s="258" t="s">
        <v>26</v>
      </c>
      <c r="P19" s="258" t="s">
        <v>26</v>
      </c>
      <c r="Q19" s="258" t="s">
        <v>29</v>
      </c>
      <c r="R19" s="258" t="s">
        <v>29</v>
      </c>
      <c r="S19" s="258" t="s">
        <v>29</v>
      </c>
      <c r="T19" s="258" t="s">
        <v>29</v>
      </c>
      <c r="U19" s="258" t="s">
        <v>29</v>
      </c>
      <c r="V19" s="258" t="s">
        <v>29</v>
      </c>
      <c r="W19" s="258" t="s">
        <v>26</v>
      </c>
      <c r="X19" s="258" t="s">
        <v>30</v>
      </c>
      <c r="Y19" s="314"/>
      <c r="Z19" s="306"/>
      <c r="AA19" s="306"/>
      <c r="AB19" s="314"/>
      <c r="AC19" s="306"/>
      <c r="AD19" s="306"/>
      <c r="AE19" s="300"/>
      <c r="AF19" s="300"/>
      <c r="AG19" s="309"/>
      <c r="AH19" s="309"/>
      <c r="AI19" s="308"/>
      <c r="AJ19" s="301"/>
      <c r="AK19" s="304"/>
      <c r="AL19" s="309"/>
      <c r="AM19" s="308"/>
    </row>
    <row r="20" spans="1:39" ht="2.25" customHeight="1">
      <c r="A20" s="317"/>
      <c r="B20" s="304"/>
      <c r="C20" s="304"/>
      <c r="D20" s="280"/>
      <c r="E20" s="285"/>
      <c r="F20" s="285"/>
      <c r="G20" s="307"/>
      <c r="H20" s="318"/>
      <c r="I20" s="40" t="s">
        <v>31</v>
      </c>
      <c r="J20" s="268" t="s">
        <v>32</v>
      </c>
      <c r="K20" s="258" t="s">
        <v>33</v>
      </c>
      <c r="L20" s="267" t="s">
        <v>34</v>
      </c>
      <c r="M20" s="258" t="s">
        <v>35</v>
      </c>
      <c r="N20" s="258" t="s">
        <v>33</v>
      </c>
      <c r="O20" s="258" t="s">
        <v>36</v>
      </c>
      <c r="P20" s="258" t="s">
        <v>36</v>
      </c>
      <c r="Q20" s="258" t="s">
        <v>36</v>
      </c>
      <c r="R20" s="258" t="s">
        <v>36</v>
      </c>
      <c r="S20" s="258" t="s">
        <v>36</v>
      </c>
      <c r="T20" s="258" t="s">
        <v>36</v>
      </c>
      <c r="U20" s="258" t="s">
        <v>36</v>
      </c>
      <c r="V20" s="258" t="s">
        <v>36</v>
      </c>
      <c r="W20" s="258" t="s">
        <v>36</v>
      </c>
      <c r="X20" s="258" t="s">
        <v>37</v>
      </c>
      <c r="Y20" s="285"/>
      <c r="Z20" s="307"/>
      <c r="AA20" s="307"/>
      <c r="AB20" s="285"/>
      <c r="AC20" s="307"/>
      <c r="AD20" s="307"/>
      <c r="AE20" s="300"/>
      <c r="AF20" s="300"/>
      <c r="AG20" s="280"/>
      <c r="AH20" s="280"/>
      <c r="AI20" s="308"/>
      <c r="AJ20" s="301"/>
      <c r="AK20" s="304"/>
      <c r="AL20" s="280"/>
      <c r="AM20" s="308"/>
    </row>
    <row r="21" spans="1:39" s="42" customFormat="1" ht="18.75" customHeight="1">
      <c r="A21" s="41"/>
      <c r="B21" s="267" t="s">
        <v>38</v>
      </c>
      <c r="C21" s="267" t="s">
        <v>39</v>
      </c>
      <c r="D21" s="267" t="s">
        <v>40</v>
      </c>
      <c r="E21" s="267" t="s">
        <v>41</v>
      </c>
      <c r="F21" s="267">
        <v>1</v>
      </c>
      <c r="G21" s="258">
        <v>2</v>
      </c>
      <c r="H21" s="27">
        <v>3</v>
      </c>
      <c r="I21" s="27">
        <v>4</v>
      </c>
      <c r="J21" s="258">
        <v>5</v>
      </c>
      <c r="K21" s="27">
        <v>7</v>
      </c>
      <c r="L21" s="258">
        <v>8</v>
      </c>
      <c r="M21" s="27">
        <v>9</v>
      </c>
      <c r="N21" s="258">
        <v>10</v>
      </c>
      <c r="O21" s="258"/>
      <c r="P21" s="27">
        <v>6</v>
      </c>
      <c r="Q21" s="27"/>
      <c r="R21" s="27"/>
      <c r="S21" s="27"/>
      <c r="T21" s="27"/>
      <c r="U21" s="27"/>
      <c r="V21" s="27"/>
      <c r="W21" s="27"/>
      <c r="X21" s="27">
        <v>5</v>
      </c>
      <c r="Y21" s="267">
        <v>2</v>
      </c>
      <c r="Z21" s="258">
        <v>7</v>
      </c>
      <c r="AA21" s="258">
        <v>8</v>
      </c>
      <c r="AB21" s="258">
        <v>3</v>
      </c>
      <c r="AC21" s="267">
        <v>10</v>
      </c>
      <c r="AD21" s="27">
        <v>11</v>
      </c>
      <c r="AE21" s="267"/>
      <c r="AF21" s="267"/>
      <c r="AG21" s="273"/>
      <c r="AH21" s="273"/>
      <c r="AI21" s="267">
        <v>4</v>
      </c>
      <c r="AJ21" s="267">
        <v>5</v>
      </c>
      <c r="AK21" s="267">
        <v>6</v>
      </c>
      <c r="AL21" s="267">
        <v>7</v>
      </c>
      <c r="AM21" s="267">
        <v>8</v>
      </c>
    </row>
    <row r="22" spans="1:39" s="44" customFormat="1" ht="22.5" customHeight="1">
      <c r="A22" s="43"/>
      <c r="B22" s="258" t="s">
        <v>77</v>
      </c>
      <c r="C22" s="28" t="s">
        <v>657</v>
      </c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69"/>
      <c r="AH22" s="269"/>
      <c r="AI22" s="258"/>
      <c r="AJ22" s="267"/>
      <c r="AK22" s="267"/>
      <c r="AL22" s="14"/>
      <c r="AM22" s="267"/>
    </row>
    <row r="23" spans="1:39" s="42" customFormat="1" ht="22.5" customHeight="1">
      <c r="A23" s="41"/>
      <c r="B23" s="10">
        <v>1</v>
      </c>
      <c r="C23" s="11" t="s">
        <v>66</v>
      </c>
      <c r="D23" s="10" t="s">
        <v>67</v>
      </c>
      <c r="E23" s="9">
        <v>2022</v>
      </c>
      <c r="F23" s="10">
        <v>6</v>
      </c>
      <c r="G23" s="10">
        <v>15</v>
      </c>
      <c r="H23" s="10">
        <v>15</v>
      </c>
      <c r="I23" s="10">
        <v>15</v>
      </c>
      <c r="J23" s="10">
        <v>15</v>
      </c>
      <c r="K23" s="10">
        <v>15</v>
      </c>
      <c r="L23" s="10">
        <v>15</v>
      </c>
      <c r="M23" s="10">
        <v>15</v>
      </c>
      <c r="N23" s="10">
        <v>15</v>
      </c>
      <c r="O23" s="10">
        <v>15</v>
      </c>
      <c r="P23" s="10">
        <v>15</v>
      </c>
      <c r="Q23" s="10">
        <v>15</v>
      </c>
      <c r="R23" s="10">
        <v>15</v>
      </c>
      <c r="S23" s="10">
        <v>15</v>
      </c>
      <c r="T23" s="10">
        <v>15</v>
      </c>
      <c r="U23" s="10">
        <v>15</v>
      </c>
      <c r="V23" s="10">
        <v>15</v>
      </c>
      <c r="W23" s="10">
        <v>15</v>
      </c>
      <c r="X23" s="10">
        <v>15</v>
      </c>
      <c r="Y23" s="10">
        <f>F23</f>
        <v>6</v>
      </c>
      <c r="Z23" s="10"/>
      <c r="AA23" s="10"/>
      <c r="AB23" s="10">
        <v>0</v>
      </c>
      <c r="AC23" s="10"/>
      <c r="AD23" s="10"/>
      <c r="AE23" s="10"/>
      <c r="AF23" s="10"/>
      <c r="AG23" s="10"/>
      <c r="AH23" s="10"/>
      <c r="AI23" s="10" t="s">
        <v>80</v>
      </c>
      <c r="AJ23" s="10" t="s">
        <v>81</v>
      </c>
      <c r="AK23" s="10" t="s">
        <v>65</v>
      </c>
      <c r="AL23" s="14" t="s">
        <v>417</v>
      </c>
      <c r="AM23" s="12"/>
    </row>
    <row r="24" spans="1:39" s="42" customFormat="1" ht="22.5" customHeight="1">
      <c r="A24" s="41"/>
      <c r="B24" s="10">
        <v>2</v>
      </c>
      <c r="C24" s="11" t="s">
        <v>74</v>
      </c>
      <c r="D24" s="10" t="s">
        <v>67</v>
      </c>
      <c r="E24" s="9">
        <v>2022</v>
      </c>
      <c r="F24" s="10">
        <v>1</v>
      </c>
      <c r="G24" s="10">
        <v>1</v>
      </c>
      <c r="H24" s="10">
        <v>1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1</v>
      </c>
      <c r="U24" s="10">
        <v>1</v>
      </c>
      <c r="V24" s="10">
        <v>1</v>
      </c>
      <c r="W24" s="10">
        <v>1</v>
      </c>
      <c r="X24" s="10">
        <v>1</v>
      </c>
      <c r="Y24" s="10">
        <f t="shared" ref="Y24:Y29" si="0">F24</f>
        <v>1</v>
      </c>
      <c r="Z24" s="10"/>
      <c r="AA24" s="10"/>
      <c r="AB24" s="10">
        <v>0</v>
      </c>
      <c r="AC24" s="10"/>
      <c r="AD24" s="10"/>
      <c r="AE24" s="10"/>
      <c r="AF24" s="10"/>
      <c r="AG24" s="10"/>
      <c r="AH24" s="10"/>
      <c r="AI24" s="10" t="s">
        <v>80</v>
      </c>
      <c r="AJ24" s="10" t="s">
        <v>81</v>
      </c>
      <c r="AK24" s="10" t="s">
        <v>65</v>
      </c>
      <c r="AL24" s="12"/>
      <c r="AM24" s="12"/>
    </row>
    <row r="25" spans="1:39" s="42" customFormat="1" ht="22.5" customHeight="1">
      <c r="A25" s="41"/>
      <c r="B25" s="10">
        <v>3</v>
      </c>
      <c r="C25" s="11" t="s">
        <v>68</v>
      </c>
      <c r="D25" s="10" t="s">
        <v>67</v>
      </c>
      <c r="E25" s="9">
        <v>2022</v>
      </c>
      <c r="F25" s="10">
        <v>4</v>
      </c>
      <c r="G25" s="10">
        <v>5</v>
      </c>
      <c r="H25" s="10">
        <v>5</v>
      </c>
      <c r="I25" s="10">
        <v>5</v>
      </c>
      <c r="J25" s="10">
        <v>5</v>
      </c>
      <c r="K25" s="10">
        <v>5</v>
      </c>
      <c r="L25" s="10">
        <v>5</v>
      </c>
      <c r="M25" s="10">
        <v>5</v>
      </c>
      <c r="N25" s="10">
        <v>5</v>
      </c>
      <c r="O25" s="10">
        <v>5</v>
      </c>
      <c r="P25" s="10">
        <v>5</v>
      </c>
      <c r="Q25" s="10">
        <v>5</v>
      </c>
      <c r="R25" s="10">
        <v>5</v>
      </c>
      <c r="S25" s="10">
        <v>5</v>
      </c>
      <c r="T25" s="10">
        <v>5</v>
      </c>
      <c r="U25" s="10">
        <v>5</v>
      </c>
      <c r="V25" s="10">
        <v>5</v>
      </c>
      <c r="W25" s="10">
        <v>5</v>
      </c>
      <c r="X25" s="10">
        <v>5</v>
      </c>
      <c r="Y25" s="10">
        <f t="shared" si="0"/>
        <v>4</v>
      </c>
      <c r="Z25" s="10"/>
      <c r="AA25" s="10"/>
      <c r="AB25" s="10">
        <v>0</v>
      </c>
      <c r="AC25" s="10"/>
      <c r="AD25" s="10"/>
      <c r="AE25" s="10"/>
      <c r="AF25" s="10"/>
      <c r="AG25" s="10"/>
      <c r="AH25" s="10"/>
      <c r="AI25" s="10" t="s">
        <v>80</v>
      </c>
      <c r="AJ25" s="10" t="s">
        <v>81</v>
      </c>
      <c r="AK25" s="10" t="s">
        <v>65</v>
      </c>
      <c r="AL25" s="12"/>
      <c r="AM25" s="12"/>
    </row>
    <row r="26" spans="1:39" s="42" customFormat="1" ht="22.5" customHeight="1">
      <c r="A26" s="41"/>
      <c r="B26" s="10">
        <v>4</v>
      </c>
      <c r="C26" s="11" t="s">
        <v>69</v>
      </c>
      <c r="D26" s="10" t="s">
        <v>67</v>
      </c>
      <c r="E26" s="9">
        <v>2022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f t="shared" si="0"/>
        <v>1</v>
      </c>
      <c r="Z26" s="10"/>
      <c r="AA26" s="10"/>
      <c r="AB26" s="10">
        <v>0</v>
      </c>
      <c r="AC26" s="10"/>
      <c r="AD26" s="10"/>
      <c r="AE26" s="10"/>
      <c r="AF26" s="10"/>
      <c r="AG26" s="10"/>
      <c r="AH26" s="10"/>
      <c r="AI26" s="10" t="s">
        <v>80</v>
      </c>
      <c r="AJ26" s="10" t="s">
        <v>81</v>
      </c>
      <c r="AK26" s="10" t="s">
        <v>65</v>
      </c>
      <c r="AL26" s="12"/>
      <c r="AM26" s="12"/>
    </row>
    <row r="27" spans="1:39" s="42" customFormat="1" ht="22.5" customHeight="1">
      <c r="A27" s="41"/>
      <c r="B27" s="10">
        <v>5</v>
      </c>
      <c r="C27" s="11" t="s">
        <v>70</v>
      </c>
      <c r="D27" s="10" t="s">
        <v>71</v>
      </c>
      <c r="E27" s="9">
        <v>2022</v>
      </c>
      <c r="F27" s="10">
        <v>1</v>
      </c>
      <c r="G27" s="10">
        <v>2</v>
      </c>
      <c r="H27" s="10">
        <v>2</v>
      </c>
      <c r="I27" s="10">
        <v>2</v>
      </c>
      <c r="J27" s="10">
        <v>2</v>
      </c>
      <c r="K27" s="10">
        <v>2</v>
      </c>
      <c r="L27" s="10">
        <v>2</v>
      </c>
      <c r="M27" s="10">
        <v>2</v>
      </c>
      <c r="N27" s="10">
        <v>2</v>
      </c>
      <c r="O27" s="10">
        <v>2</v>
      </c>
      <c r="P27" s="10">
        <v>2</v>
      </c>
      <c r="Q27" s="10">
        <v>2</v>
      </c>
      <c r="R27" s="10">
        <v>2</v>
      </c>
      <c r="S27" s="10">
        <v>2</v>
      </c>
      <c r="T27" s="10">
        <v>2</v>
      </c>
      <c r="U27" s="10">
        <v>2</v>
      </c>
      <c r="V27" s="10">
        <v>2</v>
      </c>
      <c r="W27" s="10">
        <v>2</v>
      </c>
      <c r="X27" s="10">
        <v>2</v>
      </c>
      <c r="Y27" s="10">
        <f t="shared" si="0"/>
        <v>1</v>
      </c>
      <c r="Z27" s="10"/>
      <c r="AA27" s="10"/>
      <c r="AB27" s="10">
        <v>0</v>
      </c>
      <c r="AC27" s="10"/>
      <c r="AD27" s="10"/>
      <c r="AE27" s="10"/>
      <c r="AF27" s="10"/>
      <c r="AG27" s="10"/>
      <c r="AH27" s="10"/>
      <c r="AI27" s="10" t="s">
        <v>80</v>
      </c>
      <c r="AJ27" s="10" t="s">
        <v>81</v>
      </c>
      <c r="AK27" s="10" t="s">
        <v>65</v>
      </c>
      <c r="AL27" s="16"/>
      <c r="AM27" s="12"/>
    </row>
    <row r="28" spans="1:39" s="42" customFormat="1" ht="22.5" customHeight="1">
      <c r="A28" s="41"/>
      <c r="B28" s="10">
        <v>6</v>
      </c>
      <c r="C28" s="13" t="s">
        <v>72</v>
      </c>
      <c r="D28" s="10" t="s">
        <v>71</v>
      </c>
      <c r="E28" s="9">
        <v>2022</v>
      </c>
      <c r="F28" s="10">
        <v>2</v>
      </c>
      <c r="G28" s="10">
        <v>6</v>
      </c>
      <c r="H28" s="10">
        <v>6</v>
      </c>
      <c r="I28" s="10">
        <v>6</v>
      </c>
      <c r="J28" s="10">
        <v>6</v>
      </c>
      <c r="K28" s="10">
        <v>6</v>
      </c>
      <c r="L28" s="10">
        <v>6</v>
      </c>
      <c r="M28" s="10">
        <v>6</v>
      </c>
      <c r="N28" s="10">
        <v>6</v>
      </c>
      <c r="O28" s="10">
        <v>6</v>
      </c>
      <c r="P28" s="10">
        <v>6</v>
      </c>
      <c r="Q28" s="10">
        <v>6</v>
      </c>
      <c r="R28" s="10">
        <v>6</v>
      </c>
      <c r="S28" s="10">
        <v>6</v>
      </c>
      <c r="T28" s="10">
        <v>6</v>
      </c>
      <c r="U28" s="10">
        <v>6</v>
      </c>
      <c r="V28" s="10">
        <v>6</v>
      </c>
      <c r="W28" s="10">
        <v>6</v>
      </c>
      <c r="X28" s="10">
        <v>6</v>
      </c>
      <c r="Y28" s="10">
        <f t="shared" si="0"/>
        <v>2</v>
      </c>
      <c r="Z28" s="10"/>
      <c r="AA28" s="10"/>
      <c r="AB28" s="10">
        <v>0</v>
      </c>
      <c r="AC28" s="10"/>
      <c r="AD28" s="10"/>
      <c r="AE28" s="10"/>
      <c r="AF28" s="10"/>
      <c r="AG28" s="10"/>
      <c r="AH28" s="10"/>
      <c r="AI28" s="10" t="s">
        <v>80</v>
      </c>
      <c r="AJ28" s="10" t="s">
        <v>81</v>
      </c>
      <c r="AK28" s="10" t="s">
        <v>65</v>
      </c>
      <c r="AL28" s="16"/>
      <c r="AM28" s="12"/>
    </row>
    <row r="29" spans="1:39" s="42" customFormat="1" ht="22.5" customHeight="1">
      <c r="A29" s="41"/>
      <c r="B29" s="10">
        <v>7</v>
      </c>
      <c r="C29" s="13" t="s">
        <v>75</v>
      </c>
      <c r="D29" s="10" t="s">
        <v>67</v>
      </c>
      <c r="E29" s="9">
        <v>2022</v>
      </c>
      <c r="F29" s="10">
        <v>1</v>
      </c>
      <c r="G29" s="10">
        <v>2</v>
      </c>
      <c r="H29" s="10">
        <v>2</v>
      </c>
      <c r="I29" s="10">
        <v>2</v>
      </c>
      <c r="J29" s="10">
        <v>2</v>
      </c>
      <c r="K29" s="10">
        <v>2</v>
      </c>
      <c r="L29" s="10">
        <v>2</v>
      </c>
      <c r="M29" s="10">
        <v>2</v>
      </c>
      <c r="N29" s="10">
        <v>2</v>
      </c>
      <c r="O29" s="10">
        <v>2</v>
      </c>
      <c r="P29" s="10">
        <v>2</v>
      </c>
      <c r="Q29" s="10">
        <v>2</v>
      </c>
      <c r="R29" s="10">
        <v>2</v>
      </c>
      <c r="S29" s="10">
        <v>2</v>
      </c>
      <c r="T29" s="10">
        <v>2</v>
      </c>
      <c r="U29" s="10">
        <v>2</v>
      </c>
      <c r="V29" s="10">
        <v>2</v>
      </c>
      <c r="W29" s="10">
        <v>2</v>
      </c>
      <c r="X29" s="10">
        <v>2</v>
      </c>
      <c r="Y29" s="10">
        <f t="shared" si="0"/>
        <v>1</v>
      </c>
      <c r="Z29" s="10"/>
      <c r="AA29" s="10"/>
      <c r="AB29" s="10">
        <v>0</v>
      </c>
      <c r="AC29" s="10"/>
      <c r="AD29" s="10"/>
      <c r="AE29" s="10"/>
      <c r="AF29" s="10"/>
      <c r="AG29" s="277">
        <v>15675000</v>
      </c>
      <c r="AH29" s="10">
        <f>+Y29*AG29</f>
        <v>15675000</v>
      </c>
      <c r="AI29" s="10" t="s">
        <v>80</v>
      </c>
      <c r="AJ29" s="10" t="s">
        <v>81</v>
      </c>
      <c r="AK29" s="10" t="s">
        <v>65</v>
      </c>
      <c r="AL29" s="16"/>
      <c r="AM29" s="12"/>
    </row>
    <row r="30" spans="1:39" s="30" customFormat="1" ht="22.5" customHeight="1">
      <c r="B30" s="258" t="s">
        <v>78</v>
      </c>
      <c r="C30" s="310" t="s">
        <v>82</v>
      </c>
      <c r="D30" s="311"/>
      <c r="E30" s="9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C30" s="258"/>
      <c r="AD30" s="258"/>
      <c r="AE30" s="258"/>
      <c r="AF30" s="258"/>
      <c r="AG30" s="269"/>
      <c r="AH30" s="269"/>
      <c r="AI30" s="258"/>
      <c r="AJ30" s="266"/>
      <c r="AK30" s="266"/>
      <c r="AL30" s="14"/>
      <c r="AM30" s="265"/>
    </row>
    <row r="31" spans="1:39" ht="22.5" customHeight="1">
      <c r="B31" s="10">
        <v>1</v>
      </c>
      <c r="C31" s="11" t="s">
        <v>66</v>
      </c>
      <c r="D31" s="10" t="s">
        <v>67</v>
      </c>
      <c r="E31" s="9">
        <v>2022</v>
      </c>
      <c r="F31" s="10">
        <v>9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f>F31</f>
        <v>9</v>
      </c>
      <c r="Z31" s="10"/>
      <c r="AA31" s="10"/>
      <c r="AB31" s="10">
        <v>0</v>
      </c>
      <c r="AC31" s="10"/>
      <c r="AD31" s="10"/>
      <c r="AE31" s="10"/>
      <c r="AF31" s="10"/>
      <c r="AG31" s="10"/>
      <c r="AH31" s="10"/>
      <c r="AI31" s="10" t="s">
        <v>80</v>
      </c>
      <c r="AJ31" s="9" t="s">
        <v>84</v>
      </c>
      <c r="AK31" s="10" t="s">
        <v>65</v>
      </c>
      <c r="AL31" s="17"/>
      <c r="AM31" s="17"/>
    </row>
    <row r="32" spans="1:39" ht="22.5" customHeight="1">
      <c r="B32" s="10">
        <v>2</v>
      </c>
      <c r="C32" s="11" t="s">
        <v>83</v>
      </c>
      <c r="D32" s="10" t="s">
        <v>67</v>
      </c>
      <c r="E32" s="9">
        <v>2022</v>
      </c>
      <c r="F32" s="10">
        <v>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f t="shared" ref="Y32:Y39" si="1">F32</f>
        <v>1</v>
      </c>
      <c r="Z32" s="10"/>
      <c r="AA32" s="10"/>
      <c r="AB32" s="10">
        <v>0</v>
      </c>
      <c r="AC32" s="10"/>
      <c r="AD32" s="10"/>
      <c r="AE32" s="10"/>
      <c r="AF32" s="10"/>
      <c r="AG32" s="10"/>
      <c r="AH32" s="10"/>
      <c r="AI32" s="10" t="s">
        <v>80</v>
      </c>
      <c r="AJ32" s="9" t="s">
        <v>84</v>
      </c>
      <c r="AK32" s="10" t="s">
        <v>65</v>
      </c>
      <c r="AL32" s="17"/>
      <c r="AM32" s="17"/>
    </row>
    <row r="33" spans="2:39" ht="22.5" customHeight="1">
      <c r="B33" s="10">
        <v>3</v>
      </c>
      <c r="C33" s="11" t="s">
        <v>68</v>
      </c>
      <c r="D33" s="10" t="s">
        <v>67</v>
      </c>
      <c r="E33" s="9">
        <v>2022</v>
      </c>
      <c r="F33" s="10">
        <v>5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>
        <f t="shared" si="1"/>
        <v>5</v>
      </c>
      <c r="Z33" s="10"/>
      <c r="AA33" s="10"/>
      <c r="AB33" s="10">
        <v>0</v>
      </c>
      <c r="AC33" s="10"/>
      <c r="AD33" s="10"/>
      <c r="AE33" s="10"/>
      <c r="AF33" s="10"/>
      <c r="AG33" s="10"/>
      <c r="AH33" s="10"/>
      <c r="AI33" s="10" t="s">
        <v>80</v>
      </c>
      <c r="AJ33" s="9" t="s">
        <v>84</v>
      </c>
      <c r="AK33" s="10" t="s">
        <v>65</v>
      </c>
      <c r="AL33" s="17"/>
      <c r="AM33" s="17"/>
    </row>
    <row r="34" spans="2:39" ht="22.5" customHeight="1">
      <c r="B34" s="10">
        <v>4</v>
      </c>
      <c r="C34" s="11" t="s">
        <v>69</v>
      </c>
      <c r="D34" s="10" t="s">
        <v>67</v>
      </c>
      <c r="E34" s="9">
        <v>2022</v>
      </c>
      <c r="F34" s="10">
        <v>1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>
        <f t="shared" si="1"/>
        <v>1</v>
      </c>
      <c r="Z34" s="10"/>
      <c r="AA34" s="10"/>
      <c r="AB34" s="10">
        <v>0</v>
      </c>
      <c r="AC34" s="10"/>
      <c r="AD34" s="10"/>
      <c r="AE34" s="10"/>
      <c r="AF34" s="10"/>
      <c r="AG34" s="10"/>
      <c r="AH34" s="10"/>
      <c r="AI34" s="10" t="s">
        <v>80</v>
      </c>
      <c r="AJ34" s="9" t="s">
        <v>84</v>
      </c>
      <c r="AK34" s="10" t="s">
        <v>65</v>
      </c>
      <c r="AL34" s="17"/>
      <c r="AM34" s="17"/>
    </row>
    <row r="35" spans="2:39" ht="22.5" customHeight="1">
      <c r="B35" s="10">
        <v>5</v>
      </c>
      <c r="C35" s="11" t="s">
        <v>70</v>
      </c>
      <c r="D35" s="10" t="s">
        <v>71</v>
      </c>
      <c r="E35" s="9">
        <v>2022</v>
      </c>
      <c r="F35" s="10">
        <v>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f t="shared" si="1"/>
        <v>1</v>
      </c>
      <c r="Z35" s="10"/>
      <c r="AA35" s="10"/>
      <c r="AB35" s="10">
        <v>0</v>
      </c>
      <c r="AC35" s="10"/>
      <c r="AD35" s="10"/>
      <c r="AE35" s="10"/>
      <c r="AF35" s="10"/>
      <c r="AG35" s="10"/>
      <c r="AH35" s="10"/>
      <c r="AI35" s="10" t="s">
        <v>80</v>
      </c>
      <c r="AJ35" s="9" t="s">
        <v>84</v>
      </c>
      <c r="AK35" s="10" t="s">
        <v>65</v>
      </c>
      <c r="AL35" s="17"/>
      <c r="AM35" s="17"/>
    </row>
    <row r="36" spans="2:39" ht="22.5" customHeight="1">
      <c r="B36" s="10">
        <v>6</v>
      </c>
      <c r="C36" s="13" t="s">
        <v>72</v>
      </c>
      <c r="D36" s="10" t="s">
        <v>71</v>
      </c>
      <c r="E36" s="9">
        <v>2022</v>
      </c>
      <c r="F36" s="10">
        <v>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>
        <f t="shared" si="1"/>
        <v>6</v>
      </c>
      <c r="Z36" s="10"/>
      <c r="AA36" s="10"/>
      <c r="AB36" s="10">
        <v>0</v>
      </c>
      <c r="AC36" s="10"/>
      <c r="AD36" s="10"/>
      <c r="AE36" s="10"/>
      <c r="AF36" s="10"/>
      <c r="AG36" s="10"/>
      <c r="AH36" s="10"/>
      <c r="AI36" s="10" t="s">
        <v>80</v>
      </c>
      <c r="AJ36" s="9" t="s">
        <v>84</v>
      </c>
      <c r="AK36" s="10" t="s">
        <v>65</v>
      </c>
      <c r="AL36" s="17"/>
      <c r="AM36" s="17"/>
    </row>
    <row r="37" spans="2:39" ht="22.5" customHeight="1">
      <c r="B37" s="10">
        <v>7</v>
      </c>
      <c r="C37" s="13" t="s">
        <v>75</v>
      </c>
      <c r="D37" s="10" t="s">
        <v>67</v>
      </c>
      <c r="E37" s="9">
        <v>2022</v>
      </c>
      <c r="F37" s="10">
        <v>2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>
        <f t="shared" si="1"/>
        <v>2</v>
      </c>
      <c r="Z37" s="10"/>
      <c r="AA37" s="10"/>
      <c r="AB37" s="10">
        <v>0</v>
      </c>
      <c r="AC37" s="10"/>
      <c r="AD37" s="10"/>
      <c r="AE37" s="10"/>
      <c r="AF37" s="10"/>
      <c r="AG37" s="277">
        <v>15675000</v>
      </c>
      <c r="AH37" s="10">
        <f>+Y37*AG37</f>
        <v>31350000</v>
      </c>
      <c r="AI37" s="10" t="s">
        <v>80</v>
      </c>
      <c r="AJ37" s="9" t="s">
        <v>84</v>
      </c>
      <c r="AK37" s="10" t="s">
        <v>65</v>
      </c>
      <c r="AL37" s="17"/>
      <c r="AM37" s="17"/>
    </row>
    <row r="38" spans="2:39" ht="22.5" customHeight="1">
      <c r="B38" s="10">
        <v>8</v>
      </c>
      <c r="C38" s="11" t="s">
        <v>73</v>
      </c>
      <c r="D38" s="10" t="s">
        <v>67</v>
      </c>
      <c r="E38" s="9">
        <v>2022</v>
      </c>
      <c r="F38" s="10">
        <v>4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>
        <f t="shared" si="1"/>
        <v>4</v>
      </c>
      <c r="Z38" s="10"/>
      <c r="AA38" s="10"/>
      <c r="AB38" s="10">
        <v>0</v>
      </c>
      <c r="AC38" s="10"/>
      <c r="AD38" s="10"/>
      <c r="AE38" s="10"/>
      <c r="AF38" s="10"/>
      <c r="AG38" s="10"/>
      <c r="AH38" s="10"/>
      <c r="AI38" s="10" t="s">
        <v>80</v>
      </c>
      <c r="AJ38" s="9" t="s">
        <v>84</v>
      </c>
      <c r="AK38" s="10" t="s">
        <v>65</v>
      </c>
      <c r="AL38" s="17"/>
      <c r="AM38" s="17"/>
    </row>
    <row r="39" spans="2:39" ht="22.5" customHeight="1">
      <c r="B39" s="10">
        <v>9</v>
      </c>
      <c r="C39" s="11" t="s">
        <v>76</v>
      </c>
      <c r="D39" s="10" t="s">
        <v>67</v>
      </c>
      <c r="E39" s="9">
        <v>2022</v>
      </c>
      <c r="F39" s="10">
        <v>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>
        <f t="shared" si="1"/>
        <v>1</v>
      </c>
      <c r="Z39" s="10"/>
      <c r="AA39" s="10"/>
      <c r="AB39" s="10">
        <v>0</v>
      </c>
      <c r="AC39" s="10"/>
      <c r="AD39" s="10"/>
      <c r="AE39" s="10"/>
      <c r="AF39" s="10"/>
      <c r="AG39" s="10"/>
      <c r="AH39" s="10"/>
      <c r="AI39" s="10" t="s">
        <v>80</v>
      </c>
      <c r="AJ39" s="9" t="s">
        <v>84</v>
      </c>
      <c r="AK39" s="10" t="s">
        <v>65</v>
      </c>
      <c r="AL39" s="17"/>
      <c r="AM39" s="17"/>
    </row>
    <row r="40" spans="2:39" ht="24" customHeight="1">
      <c r="B40" s="258" t="s">
        <v>315</v>
      </c>
      <c r="C40" s="312" t="s">
        <v>85</v>
      </c>
      <c r="D40" s="31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14"/>
      <c r="AM40" s="12"/>
    </row>
    <row r="41" spans="2:39" ht="22.5" customHeight="1">
      <c r="B41" s="10">
        <v>1</v>
      </c>
      <c r="C41" s="11" t="s">
        <v>86</v>
      </c>
      <c r="D41" s="10" t="s">
        <v>67</v>
      </c>
      <c r="E41" s="9">
        <v>2022</v>
      </c>
      <c r="F41" s="10">
        <v>25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>
        <f>F41</f>
        <v>25</v>
      </c>
      <c r="Z41" s="10"/>
      <c r="AA41" s="10"/>
      <c r="AB41" s="10">
        <v>0</v>
      </c>
      <c r="AC41" s="10"/>
      <c r="AD41" s="10"/>
      <c r="AE41" s="10"/>
      <c r="AF41" s="10"/>
      <c r="AG41" s="10"/>
      <c r="AH41" s="10"/>
      <c r="AI41" s="10" t="s">
        <v>80</v>
      </c>
      <c r="AJ41" s="9" t="s">
        <v>87</v>
      </c>
      <c r="AK41" s="10" t="s">
        <v>65</v>
      </c>
      <c r="AL41" s="17"/>
      <c r="AM41" s="17"/>
    </row>
    <row r="42" spans="2:39" ht="22.5" customHeight="1">
      <c r="B42" s="10">
        <v>2</v>
      </c>
      <c r="C42" s="11" t="s">
        <v>68</v>
      </c>
      <c r="D42" s="10" t="s">
        <v>67</v>
      </c>
      <c r="E42" s="9">
        <v>2022</v>
      </c>
      <c r="F42" s="10">
        <v>5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f t="shared" ref="Y42:Y48" si="2">F42</f>
        <v>5</v>
      </c>
      <c r="Z42" s="10"/>
      <c r="AA42" s="10"/>
      <c r="AB42" s="10">
        <v>0</v>
      </c>
      <c r="AC42" s="10"/>
      <c r="AD42" s="10"/>
      <c r="AE42" s="10"/>
      <c r="AF42" s="10"/>
      <c r="AG42" s="10"/>
      <c r="AH42" s="10"/>
      <c r="AI42" s="10" t="s">
        <v>80</v>
      </c>
      <c r="AJ42" s="9" t="s">
        <v>87</v>
      </c>
      <c r="AK42" s="10" t="s">
        <v>65</v>
      </c>
      <c r="AL42" s="17"/>
      <c r="AM42" s="17"/>
    </row>
    <row r="43" spans="2:39" ht="22.5" customHeight="1">
      <c r="B43" s="10">
        <v>3</v>
      </c>
      <c r="C43" s="11" t="s">
        <v>88</v>
      </c>
      <c r="D43" s="10" t="s">
        <v>67</v>
      </c>
      <c r="E43" s="9">
        <v>2022</v>
      </c>
      <c r="F43" s="10">
        <v>2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f t="shared" si="2"/>
        <v>2</v>
      </c>
      <c r="Z43" s="10"/>
      <c r="AA43" s="10"/>
      <c r="AB43" s="10">
        <v>0</v>
      </c>
      <c r="AC43" s="10"/>
      <c r="AD43" s="10"/>
      <c r="AE43" s="10"/>
      <c r="AF43" s="10"/>
      <c r="AG43" s="10"/>
      <c r="AH43" s="10"/>
      <c r="AI43" s="10" t="s">
        <v>80</v>
      </c>
      <c r="AJ43" s="9" t="s">
        <v>87</v>
      </c>
      <c r="AK43" s="10" t="s">
        <v>65</v>
      </c>
      <c r="AL43" s="17"/>
      <c r="AM43" s="17"/>
    </row>
    <row r="44" spans="2:39" ht="22.5" customHeight="1">
      <c r="B44" s="10">
        <v>4</v>
      </c>
      <c r="C44" s="11" t="s">
        <v>69</v>
      </c>
      <c r="D44" s="10" t="s">
        <v>67</v>
      </c>
      <c r="E44" s="9">
        <v>2022</v>
      </c>
      <c r="F44" s="10">
        <v>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f t="shared" si="2"/>
        <v>1</v>
      </c>
      <c r="Z44" s="10"/>
      <c r="AA44" s="10"/>
      <c r="AB44" s="10">
        <v>0</v>
      </c>
      <c r="AC44" s="10"/>
      <c r="AD44" s="10"/>
      <c r="AE44" s="10"/>
      <c r="AF44" s="10"/>
      <c r="AG44" s="10"/>
      <c r="AH44" s="10"/>
      <c r="AI44" s="10" t="s">
        <v>80</v>
      </c>
      <c r="AJ44" s="9" t="s">
        <v>87</v>
      </c>
      <c r="AK44" s="10" t="s">
        <v>65</v>
      </c>
      <c r="AL44" s="17"/>
      <c r="AM44" s="17"/>
    </row>
    <row r="45" spans="2:39" ht="22.5" customHeight="1">
      <c r="B45" s="10">
        <v>5</v>
      </c>
      <c r="C45" s="11" t="s">
        <v>70</v>
      </c>
      <c r="D45" s="10" t="s">
        <v>71</v>
      </c>
      <c r="E45" s="9">
        <v>2022</v>
      </c>
      <c r="F45" s="10">
        <v>1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f t="shared" si="2"/>
        <v>1</v>
      </c>
      <c r="Z45" s="10"/>
      <c r="AA45" s="10"/>
      <c r="AB45" s="10">
        <v>0</v>
      </c>
      <c r="AC45" s="10"/>
      <c r="AD45" s="10"/>
      <c r="AE45" s="10"/>
      <c r="AF45" s="10"/>
      <c r="AG45" s="10"/>
      <c r="AH45" s="10"/>
      <c r="AI45" s="10" t="s">
        <v>80</v>
      </c>
      <c r="AJ45" s="9" t="s">
        <v>87</v>
      </c>
      <c r="AK45" s="10" t="s">
        <v>65</v>
      </c>
      <c r="AL45" s="17"/>
      <c r="AM45" s="17"/>
    </row>
    <row r="46" spans="2:39" ht="22.5" customHeight="1">
      <c r="B46" s="10">
        <v>6</v>
      </c>
      <c r="C46" s="13" t="s">
        <v>72</v>
      </c>
      <c r="D46" s="10" t="s">
        <v>71</v>
      </c>
      <c r="E46" s="9">
        <v>2022</v>
      </c>
      <c r="F46" s="10">
        <v>6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f t="shared" si="2"/>
        <v>6</v>
      </c>
      <c r="Z46" s="10"/>
      <c r="AA46" s="10"/>
      <c r="AB46" s="10">
        <v>0</v>
      </c>
      <c r="AC46" s="10"/>
      <c r="AD46" s="10"/>
      <c r="AE46" s="10"/>
      <c r="AF46" s="10"/>
      <c r="AG46" s="10"/>
      <c r="AH46" s="10"/>
      <c r="AI46" s="10" t="s">
        <v>80</v>
      </c>
      <c r="AJ46" s="9" t="s">
        <v>87</v>
      </c>
      <c r="AK46" s="10" t="s">
        <v>65</v>
      </c>
      <c r="AL46" s="17"/>
      <c r="AM46" s="17"/>
    </row>
    <row r="47" spans="2:39" ht="22.5" customHeight="1">
      <c r="B47" s="10">
        <v>7</v>
      </c>
      <c r="C47" s="13" t="s">
        <v>75</v>
      </c>
      <c r="D47" s="10" t="s">
        <v>67</v>
      </c>
      <c r="E47" s="9">
        <v>2022</v>
      </c>
      <c r="F47" s="10">
        <v>2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f t="shared" si="2"/>
        <v>2</v>
      </c>
      <c r="Z47" s="10"/>
      <c r="AA47" s="10"/>
      <c r="AB47" s="10">
        <v>0</v>
      </c>
      <c r="AC47" s="10"/>
      <c r="AD47" s="10"/>
      <c r="AE47" s="10"/>
      <c r="AF47" s="10"/>
      <c r="AG47" s="277">
        <v>15675000</v>
      </c>
      <c r="AH47" s="10">
        <f>+Y47*AG47</f>
        <v>31350000</v>
      </c>
      <c r="AI47" s="10" t="s">
        <v>80</v>
      </c>
      <c r="AJ47" s="9" t="s">
        <v>87</v>
      </c>
      <c r="AK47" s="10" t="s">
        <v>65</v>
      </c>
      <c r="AL47" s="17"/>
      <c r="AM47" s="17"/>
    </row>
    <row r="48" spans="2:39" ht="22.5" customHeight="1">
      <c r="B48" s="10">
        <v>8</v>
      </c>
      <c r="C48" s="11" t="s">
        <v>89</v>
      </c>
      <c r="D48" s="10" t="s">
        <v>67</v>
      </c>
      <c r="E48" s="9">
        <v>2022</v>
      </c>
      <c r="F48" s="10">
        <v>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>
        <f t="shared" si="2"/>
        <v>1</v>
      </c>
      <c r="Z48" s="10"/>
      <c r="AA48" s="10"/>
      <c r="AB48" s="10">
        <v>0</v>
      </c>
      <c r="AC48" s="10"/>
      <c r="AD48" s="10"/>
      <c r="AE48" s="10"/>
      <c r="AF48" s="10"/>
      <c r="AG48" s="10"/>
      <c r="AH48" s="10"/>
      <c r="AI48" s="10" t="s">
        <v>80</v>
      </c>
      <c r="AJ48" s="9" t="s">
        <v>87</v>
      </c>
      <c r="AK48" s="10" t="s">
        <v>65</v>
      </c>
      <c r="AL48" s="17"/>
      <c r="AM48" s="17"/>
    </row>
    <row r="49" spans="1:39" s="30" customFormat="1" ht="15" customHeight="1">
      <c r="B49" s="274"/>
      <c r="C49" s="274" t="s">
        <v>651</v>
      </c>
      <c r="D49" s="274"/>
      <c r="E49" s="276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  <c r="AF49" s="274"/>
      <c r="AG49" s="274"/>
      <c r="AH49" s="274">
        <f>SUM(AH21:AH48)</f>
        <v>78375000</v>
      </c>
      <c r="AI49" s="274"/>
      <c r="AJ49" s="276"/>
      <c r="AK49" s="274"/>
      <c r="AL49" s="275"/>
      <c r="AM49" s="275"/>
    </row>
    <row r="50" spans="1:39" s="30" customFormat="1" ht="12" customHeight="1">
      <c r="A50" s="259"/>
      <c r="E50" s="259"/>
      <c r="F50" s="31"/>
      <c r="K50" s="259"/>
      <c r="X50" s="259"/>
      <c r="AA50" s="259"/>
      <c r="AB50" s="35"/>
      <c r="AI50" s="282" t="s">
        <v>658</v>
      </c>
      <c r="AJ50" s="282"/>
      <c r="AK50" s="282"/>
      <c r="AL50" s="282"/>
      <c r="AM50" s="282"/>
    </row>
    <row r="51" spans="1:39" s="30" customFormat="1">
      <c r="A51" s="259"/>
      <c r="B51" s="30" t="s">
        <v>419</v>
      </c>
      <c r="D51" s="282" t="s">
        <v>420</v>
      </c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AB51" s="282" t="s">
        <v>51</v>
      </c>
      <c r="AC51" s="282"/>
      <c r="AD51" s="282"/>
      <c r="AE51" s="282"/>
      <c r="AF51" s="282"/>
      <c r="AG51" s="282"/>
      <c r="AH51" s="282"/>
      <c r="AI51" s="282"/>
      <c r="AJ51" s="282"/>
      <c r="AK51" s="282" t="s">
        <v>52</v>
      </c>
      <c r="AL51" s="282"/>
      <c r="AM51" s="282"/>
    </row>
    <row r="52" spans="1:39" s="30" customFormat="1" ht="16.5" customHeight="1">
      <c r="A52" s="259"/>
      <c r="B52" s="259"/>
      <c r="C52" s="32" t="s">
        <v>418</v>
      </c>
      <c r="D52" s="20"/>
      <c r="E52" s="259"/>
      <c r="F52" s="31"/>
      <c r="K52" s="259"/>
      <c r="X52" s="259"/>
      <c r="AA52" s="259"/>
      <c r="AB52" s="35"/>
      <c r="AJ52" s="259"/>
      <c r="AK52" s="259"/>
    </row>
    <row r="53" spans="1:39" s="30" customFormat="1" ht="19.5" customHeight="1">
      <c r="A53" s="259"/>
      <c r="B53" s="259"/>
      <c r="C53" s="32" t="s">
        <v>416</v>
      </c>
      <c r="D53" s="20"/>
      <c r="E53" s="259"/>
      <c r="F53" s="31"/>
      <c r="K53" s="259"/>
      <c r="X53" s="259"/>
      <c r="AA53" s="259"/>
      <c r="AB53" s="35"/>
      <c r="AJ53" s="259"/>
      <c r="AK53" s="259"/>
    </row>
    <row r="54" spans="1:39" s="30" customFormat="1" ht="19.5" customHeight="1">
      <c r="A54" s="259"/>
      <c r="B54" s="259"/>
      <c r="C54" s="32" t="s">
        <v>447</v>
      </c>
      <c r="D54" s="20"/>
      <c r="E54" s="259"/>
      <c r="F54" s="31"/>
      <c r="K54" s="259"/>
      <c r="X54" s="259"/>
      <c r="AA54" s="259"/>
      <c r="AB54" s="35"/>
      <c r="AJ54" s="259"/>
      <c r="AK54" s="259"/>
    </row>
    <row r="55" spans="1:39" s="30" customFormat="1" ht="19.5" customHeight="1">
      <c r="A55" s="259"/>
      <c r="B55" s="259"/>
      <c r="C55" s="32" t="s">
        <v>659</v>
      </c>
      <c r="D55" s="20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70"/>
      <c r="AH55" s="270"/>
      <c r="AI55" s="282"/>
      <c r="AJ55" s="282"/>
      <c r="AK55" s="282"/>
      <c r="AL55" s="282"/>
    </row>
    <row r="56" spans="1:39" s="30" customFormat="1" ht="19.5" customHeight="1">
      <c r="A56" s="259"/>
      <c r="B56" s="259"/>
      <c r="C56" s="32" t="s">
        <v>660</v>
      </c>
      <c r="D56" s="282" t="s">
        <v>661</v>
      </c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AB56" s="282" t="s">
        <v>508</v>
      </c>
      <c r="AC56" s="282"/>
      <c r="AD56" s="282"/>
      <c r="AE56" s="282"/>
      <c r="AF56" s="282"/>
      <c r="AG56" s="282"/>
      <c r="AH56" s="282"/>
      <c r="AI56" s="282"/>
      <c r="AJ56" s="282"/>
      <c r="AK56" s="282" t="s">
        <v>446</v>
      </c>
      <c r="AL56" s="282"/>
      <c r="AM56" s="282"/>
    </row>
    <row r="57" spans="1:39" s="30" customFormat="1" ht="22.5" customHeight="1">
      <c r="B57" s="259"/>
      <c r="D57" s="20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70"/>
      <c r="AH57" s="270"/>
      <c r="AI57" s="282"/>
      <c r="AJ57" s="282"/>
      <c r="AK57" s="282"/>
      <c r="AL57" s="282"/>
      <c r="AM57" s="282"/>
    </row>
    <row r="58" spans="1:39" ht="11.25" customHeight="1"/>
  </sheetData>
  <autoFilter ref="A17:AM56" xr:uid="{4B8EE691-9A62-4282-958C-A67E27DDF201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24" showButton="0"/>
    <filterColumn colId="25" showButton="0"/>
    <filterColumn colId="27" showButton="0"/>
    <filterColumn colId="28" showButton="0"/>
  </autoFilter>
  <mergeCells count="49">
    <mergeCell ref="A17:A20"/>
    <mergeCell ref="H19:H20"/>
    <mergeCell ref="I19:J19"/>
    <mergeCell ref="C17:C20"/>
    <mergeCell ref="D17:D20"/>
    <mergeCell ref="E17:E20"/>
    <mergeCell ref="F17:Q17"/>
    <mergeCell ref="B17:B20"/>
    <mergeCell ref="G18:G20"/>
    <mergeCell ref="AI50:AM50"/>
    <mergeCell ref="D51:Y51"/>
    <mergeCell ref="AB51:AJ51"/>
    <mergeCell ref="AK51:AM51"/>
    <mergeCell ref="AL17:AL20"/>
    <mergeCell ref="C30:D30"/>
    <mergeCell ref="C40:D40"/>
    <mergeCell ref="AF17:AF20"/>
    <mergeCell ref="AB18:AB20"/>
    <mergeCell ref="H18:J18"/>
    <mergeCell ref="Y18:Y20"/>
    <mergeCell ref="AC18:AC20"/>
    <mergeCell ref="AD18:AD20"/>
    <mergeCell ref="F18:F20"/>
    <mergeCell ref="AM17:AM20"/>
    <mergeCell ref="Y17:AA17"/>
    <mergeCell ref="AA1:AM1"/>
    <mergeCell ref="AA2:AM2"/>
    <mergeCell ref="B3:AM3"/>
    <mergeCell ref="AA4:AM4"/>
    <mergeCell ref="B5:AM5"/>
    <mergeCell ref="AJ17:AJ20"/>
    <mergeCell ref="B6:AM6"/>
    <mergeCell ref="AB17:AD17"/>
    <mergeCell ref="AE17:AE20"/>
    <mergeCell ref="AK17:AK20"/>
    <mergeCell ref="Z18:Z20"/>
    <mergeCell ref="AA18:AA20"/>
    <mergeCell ref="AI17:AI20"/>
    <mergeCell ref="AG17:AG20"/>
    <mergeCell ref="AH17:AH20"/>
    <mergeCell ref="E57:AF57"/>
    <mergeCell ref="AI57:AJ57"/>
    <mergeCell ref="AK57:AM57"/>
    <mergeCell ref="E55:AF55"/>
    <mergeCell ref="AI55:AJ55"/>
    <mergeCell ref="AK55:AL55"/>
    <mergeCell ref="D56:Y56"/>
    <mergeCell ref="AB56:AJ56"/>
    <mergeCell ref="AK56:AM56"/>
  </mergeCells>
  <printOptions horizontalCentered="1"/>
  <pageMargins left="0.23622047244094499" right="0.23622047244094499" top="1.0900000000000001" bottom="0.72" header="0.31496062992126" footer="0.2"/>
  <pageSetup paperSize="9" scale="95" orientation="landscape" r:id="rId1"/>
  <headerFooter alignWithMargins="0"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AN71"/>
  <sheetViews>
    <sheetView tabSelected="1" topLeftCell="E51" zoomScaleSheetLayoutView="102" workbookViewId="0">
      <selection activeCell="AH21" sqref="AH21"/>
    </sheetView>
  </sheetViews>
  <sheetFormatPr defaultRowHeight="15.75"/>
  <cols>
    <col min="1" max="1" width="0.7109375" style="20" customWidth="1"/>
    <col min="2" max="2" width="5.5703125" style="260" customWidth="1"/>
    <col min="3" max="3" width="44.28515625" style="20" customWidth="1"/>
    <col min="4" max="4" width="7.5703125" style="20" customWidth="1"/>
    <col min="5" max="5" width="8.5703125" style="20" customWidth="1"/>
    <col min="6" max="6" width="7" style="260" customWidth="1"/>
    <col min="7" max="7" width="11.5703125" style="25" hidden="1" customWidth="1"/>
    <col min="8" max="8" width="12.140625" style="20" hidden="1" customWidth="1"/>
    <col min="9" max="9" width="11.28515625" style="20" hidden="1" customWidth="1"/>
    <col min="10" max="10" width="12.42578125" style="20" hidden="1" customWidth="1"/>
    <col min="11" max="11" width="10.140625" style="20" hidden="1" customWidth="1"/>
    <col min="12" max="12" width="12.5703125" style="260" hidden="1" customWidth="1"/>
    <col min="13" max="13" width="10.85546875" style="20" hidden="1" customWidth="1"/>
    <col min="14" max="15" width="9.28515625" style="20" hidden="1" customWidth="1"/>
    <col min="16" max="16" width="10" style="20" hidden="1" customWidth="1"/>
    <col min="17" max="17" width="9.5703125" style="20" hidden="1" customWidth="1"/>
    <col min="18" max="18" width="9.42578125" style="20" hidden="1" customWidth="1"/>
    <col min="19" max="19" width="9" style="20" hidden="1" customWidth="1"/>
    <col min="20" max="20" width="11.28515625" style="20" hidden="1" customWidth="1"/>
    <col min="21" max="21" width="11.5703125" style="20" hidden="1" customWidth="1"/>
    <col min="22" max="23" width="10.5703125" style="20" hidden="1" customWidth="1"/>
    <col min="24" max="24" width="0.140625" style="20" hidden="1" customWidth="1"/>
    <col min="25" max="25" width="6.7109375" style="260" customWidth="1"/>
    <col min="26" max="26" width="12" style="20" hidden="1" customWidth="1"/>
    <col min="27" max="27" width="5.5703125" style="20" hidden="1" customWidth="1"/>
    <col min="28" max="28" width="7.28515625" style="46" customWidth="1"/>
    <col min="29" max="29" width="6.140625" style="20" hidden="1" customWidth="1"/>
    <col min="30" max="30" width="5.5703125" style="20" hidden="1" customWidth="1"/>
    <col min="31" max="31" width="7.140625" style="20" hidden="1" customWidth="1"/>
    <col min="32" max="32" width="5.42578125" style="20" hidden="1" customWidth="1"/>
    <col min="33" max="35" width="12.7109375" style="20" customWidth="1"/>
    <col min="36" max="36" width="16.85546875" style="260" customWidth="1"/>
    <col min="37" max="37" width="9.140625" style="260" customWidth="1"/>
    <col min="38" max="38" width="14.5703125" style="20" customWidth="1"/>
    <col min="39" max="39" width="11.85546875" style="20" customWidth="1"/>
    <col min="40" max="40" width="15.28515625" style="20" customWidth="1"/>
    <col min="41" max="16384" width="9.140625" style="20"/>
  </cols>
  <sheetData>
    <row r="1" spans="1:39" ht="15.75" customHeight="1">
      <c r="B1" s="262" t="s">
        <v>43</v>
      </c>
      <c r="C1" s="263"/>
      <c r="D1" s="263"/>
      <c r="I1" s="30"/>
      <c r="J1" s="30"/>
      <c r="K1" s="259" t="s">
        <v>0</v>
      </c>
      <c r="L1" s="30"/>
      <c r="M1" s="30"/>
      <c r="N1" s="30"/>
      <c r="O1" s="30"/>
      <c r="Q1" s="259"/>
      <c r="R1" s="259"/>
      <c r="S1" s="259"/>
      <c r="T1" s="259"/>
      <c r="U1" s="259"/>
      <c r="V1" s="259"/>
      <c r="W1" s="259"/>
      <c r="X1" s="259"/>
      <c r="AA1" s="282" t="s">
        <v>0</v>
      </c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</row>
    <row r="2" spans="1:39" ht="15" customHeight="1">
      <c r="B2" s="32" t="s">
        <v>44</v>
      </c>
      <c r="L2" s="20"/>
      <c r="P2" s="37"/>
      <c r="Q2" s="37"/>
      <c r="R2" s="37"/>
      <c r="S2" s="37"/>
      <c r="T2" s="37"/>
      <c r="U2" s="37"/>
      <c r="V2" s="37"/>
      <c r="W2" s="37"/>
      <c r="X2" s="37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</row>
    <row r="3" spans="1:39" ht="22.5" hidden="1" customHeight="1">
      <c r="B3" s="282" t="s">
        <v>1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282"/>
      <c r="AK3" s="282"/>
      <c r="AL3" s="282"/>
      <c r="AM3" s="282"/>
    </row>
    <row r="4" spans="1:39" ht="15" customHeight="1"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83"/>
      <c r="AB4" s="283"/>
      <c r="AC4" s="283"/>
      <c r="AD4" s="283"/>
      <c r="AE4" s="283"/>
      <c r="AF4" s="283"/>
      <c r="AG4" s="283"/>
      <c r="AH4" s="283"/>
      <c r="AI4" s="283"/>
      <c r="AJ4" s="283"/>
      <c r="AK4" s="283"/>
      <c r="AL4" s="283"/>
      <c r="AM4" s="283"/>
    </row>
    <row r="5" spans="1:39" ht="21" customHeight="1">
      <c r="B5" s="302" t="s">
        <v>654</v>
      </c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</row>
    <row r="6" spans="1:39" ht="21" customHeight="1">
      <c r="B6" s="302" t="s">
        <v>414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</row>
    <row r="7" spans="1:39" ht="12" customHeight="1"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71"/>
      <c r="AH7" s="271"/>
      <c r="AI7" s="264"/>
      <c r="AJ7" s="264"/>
      <c r="AK7" s="264"/>
      <c r="AL7" s="264"/>
      <c r="AM7" s="264"/>
    </row>
    <row r="8" spans="1:39" ht="18" customHeight="1">
      <c r="A8" s="263" t="s">
        <v>662</v>
      </c>
      <c r="C8" s="260"/>
      <c r="D8" s="260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4"/>
      <c r="AB8" s="259"/>
      <c r="AC8" s="259"/>
      <c r="AD8" s="259"/>
      <c r="AE8" s="259"/>
      <c r="AF8" s="259"/>
      <c r="AG8" s="270"/>
      <c r="AH8" s="270"/>
      <c r="AK8" s="20"/>
      <c r="AL8" s="38"/>
    </row>
    <row r="9" spans="1:39" ht="18" customHeight="1">
      <c r="A9" s="261" t="s">
        <v>443</v>
      </c>
      <c r="D9" s="20" t="s">
        <v>444</v>
      </c>
      <c r="E9" s="259"/>
      <c r="F9" s="20"/>
      <c r="G9" s="20"/>
      <c r="H9" s="261"/>
      <c r="I9" s="259"/>
      <c r="K9" s="261" t="s">
        <v>2</v>
      </c>
      <c r="L9" s="259"/>
      <c r="M9" s="22"/>
      <c r="S9" s="261"/>
      <c r="T9" s="23"/>
      <c r="W9" s="24"/>
      <c r="X9" s="259"/>
      <c r="Y9" s="20"/>
      <c r="Z9" s="259"/>
      <c r="AA9" s="259"/>
      <c r="AB9" s="261"/>
      <c r="AI9" s="261" t="s">
        <v>52</v>
      </c>
      <c r="AK9" s="20"/>
      <c r="AL9" s="38"/>
    </row>
    <row r="10" spans="1:39" ht="18" customHeight="1">
      <c r="A10" s="261" t="s">
        <v>621</v>
      </c>
      <c r="D10" s="20" t="s">
        <v>51</v>
      </c>
      <c r="E10" s="260"/>
      <c r="F10" s="20"/>
      <c r="G10" s="20"/>
      <c r="H10" s="261"/>
      <c r="I10" s="259"/>
      <c r="K10" s="261"/>
      <c r="L10" s="259"/>
      <c r="M10" s="22"/>
      <c r="S10" s="261"/>
      <c r="T10" s="23"/>
      <c r="W10" s="24"/>
      <c r="X10" s="259"/>
      <c r="Y10" s="20"/>
      <c r="Z10" s="259"/>
      <c r="AA10" s="259"/>
      <c r="AB10" s="261"/>
      <c r="AI10" s="20" t="s">
        <v>54</v>
      </c>
      <c r="AK10" s="20"/>
      <c r="AL10" s="38"/>
    </row>
    <row r="11" spans="1:39" ht="18" customHeight="1">
      <c r="A11" s="261" t="s">
        <v>55</v>
      </c>
      <c r="D11" s="20" t="s">
        <v>56</v>
      </c>
      <c r="E11" s="259"/>
      <c r="F11" s="20"/>
      <c r="G11" s="20"/>
      <c r="H11" s="261"/>
      <c r="I11" s="259"/>
      <c r="K11" s="261" t="s">
        <v>3</v>
      </c>
      <c r="L11" s="259"/>
      <c r="M11" s="22"/>
      <c r="S11" s="261"/>
      <c r="T11" s="23"/>
      <c r="W11" s="24"/>
      <c r="X11" s="259"/>
      <c r="Y11" s="20"/>
      <c r="Z11" s="259"/>
      <c r="AA11" s="259"/>
      <c r="AB11" s="261"/>
      <c r="AI11" s="20" t="s">
        <v>57</v>
      </c>
      <c r="AK11" s="20"/>
      <c r="AL11" s="38"/>
    </row>
    <row r="12" spans="1:39" ht="18" customHeight="1">
      <c r="A12" s="261" t="s">
        <v>663</v>
      </c>
      <c r="D12" s="20" t="s">
        <v>79</v>
      </c>
      <c r="F12" s="20"/>
      <c r="G12" s="20"/>
      <c r="L12" s="20"/>
      <c r="Y12" s="20"/>
      <c r="AB12" s="20"/>
      <c r="AI12" s="20" t="s">
        <v>58</v>
      </c>
      <c r="AK12" s="20"/>
    </row>
    <row r="13" spans="1:39" ht="18" customHeight="1">
      <c r="A13" s="261" t="s">
        <v>59</v>
      </c>
      <c r="B13" s="20"/>
      <c r="F13" s="20"/>
      <c r="G13" s="20"/>
      <c r="L13" s="20"/>
      <c r="Y13" s="20"/>
      <c r="AB13" s="20"/>
      <c r="AK13" s="20"/>
    </row>
    <row r="14" spans="1:39" ht="18" customHeight="1">
      <c r="A14" s="261" t="s">
        <v>4</v>
      </c>
      <c r="B14" s="20"/>
      <c r="E14" s="260"/>
      <c r="F14" s="25"/>
      <c r="G14" s="20"/>
      <c r="K14" s="260"/>
      <c r="L14" s="20"/>
      <c r="X14" s="260"/>
      <c r="Y14" s="20"/>
      <c r="AA14" s="26"/>
      <c r="AB14" s="20"/>
      <c r="AK14" s="20"/>
      <c r="AL14" s="38"/>
    </row>
    <row r="15" spans="1:39" ht="11.25" customHeight="1">
      <c r="A15" s="261"/>
      <c r="B15" s="20"/>
      <c r="E15" s="260"/>
      <c r="F15" s="25"/>
      <c r="G15" s="20"/>
      <c r="K15" s="260"/>
      <c r="L15" s="20"/>
      <c r="X15" s="260"/>
      <c r="Y15" s="20"/>
      <c r="AA15" s="26"/>
      <c r="AB15" s="20"/>
      <c r="AK15" s="20"/>
      <c r="AL15" s="38"/>
    </row>
    <row r="16" spans="1:39" ht="3" hidden="1" customHeight="1">
      <c r="AB16" s="39"/>
    </row>
    <row r="17" spans="1:40" s="47" customFormat="1" ht="43.5" customHeight="1">
      <c r="A17" s="319" t="s">
        <v>5</v>
      </c>
      <c r="B17" s="300" t="s">
        <v>5</v>
      </c>
      <c r="C17" s="304" t="s">
        <v>6</v>
      </c>
      <c r="D17" s="279" t="s">
        <v>62</v>
      </c>
      <c r="E17" s="279" t="s">
        <v>8</v>
      </c>
      <c r="F17" s="300" t="s">
        <v>45</v>
      </c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267"/>
      <c r="S17" s="267"/>
      <c r="T17" s="267"/>
      <c r="U17" s="267"/>
      <c r="V17" s="267"/>
      <c r="W17" s="267"/>
      <c r="X17" s="258"/>
      <c r="Y17" s="303" t="s">
        <v>46</v>
      </c>
      <c r="Z17" s="281"/>
      <c r="AA17" s="281"/>
      <c r="AB17" s="303" t="s">
        <v>47</v>
      </c>
      <c r="AC17" s="281"/>
      <c r="AD17" s="281"/>
      <c r="AE17" s="300" t="s">
        <v>9</v>
      </c>
      <c r="AF17" s="300" t="s">
        <v>10</v>
      </c>
      <c r="AG17" s="279" t="s">
        <v>466</v>
      </c>
      <c r="AH17" s="279" t="s">
        <v>467</v>
      </c>
      <c r="AI17" s="300" t="s">
        <v>11</v>
      </c>
      <c r="AJ17" s="300" t="s">
        <v>12</v>
      </c>
      <c r="AK17" s="300" t="s">
        <v>13</v>
      </c>
      <c r="AL17" s="279" t="s">
        <v>63</v>
      </c>
      <c r="AM17" s="300" t="s">
        <v>64</v>
      </c>
      <c r="AN17" s="20"/>
    </row>
    <row r="18" spans="1:40" s="47" customFormat="1" ht="32.25" customHeight="1">
      <c r="A18" s="320"/>
      <c r="B18" s="304"/>
      <c r="C18" s="304"/>
      <c r="D18" s="309"/>
      <c r="E18" s="314"/>
      <c r="F18" s="279" t="s">
        <v>48</v>
      </c>
      <c r="G18" s="305" t="s">
        <v>15</v>
      </c>
      <c r="H18" s="281" t="s">
        <v>16</v>
      </c>
      <c r="I18" s="281"/>
      <c r="J18" s="281"/>
      <c r="K18" s="258" t="s">
        <v>17</v>
      </c>
      <c r="L18" s="267" t="s">
        <v>18</v>
      </c>
      <c r="M18" s="258"/>
      <c r="N18" s="258" t="s">
        <v>17</v>
      </c>
      <c r="O18" s="258" t="s">
        <v>17</v>
      </c>
      <c r="P18" s="258" t="s">
        <v>17</v>
      </c>
      <c r="Q18" s="258" t="s">
        <v>19</v>
      </c>
      <c r="R18" s="258" t="s">
        <v>19</v>
      </c>
      <c r="S18" s="258" t="s">
        <v>19</v>
      </c>
      <c r="T18" s="258" t="s">
        <v>19</v>
      </c>
      <c r="U18" s="258" t="s">
        <v>19</v>
      </c>
      <c r="V18" s="258" t="s">
        <v>19</v>
      </c>
      <c r="W18" s="258" t="s">
        <v>20</v>
      </c>
      <c r="X18" s="258"/>
      <c r="Y18" s="279" t="s">
        <v>48</v>
      </c>
      <c r="Z18" s="305" t="s">
        <v>21</v>
      </c>
      <c r="AA18" s="305" t="s">
        <v>22</v>
      </c>
      <c r="AB18" s="279" t="s">
        <v>48</v>
      </c>
      <c r="AC18" s="305" t="s">
        <v>21</v>
      </c>
      <c r="AD18" s="305" t="s">
        <v>23</v>
      </c>
      <c r="AE18" s="300"/>
      <c r="AF18" s="300"/>
      <c r="AG18" s="309"/>
      <c r="AH18" s="309"/>
      <c r="AI18" s="308"/>
      <c r="AJ18" s="301"/>
      <c r="AK18" s="304"/>
      <c r="AL18" s="309"/>
      <c r="AM18" s="308"/>
      <c r="AN18" s="20"/>
    </row>
    <row r="19" spans="1:40" s="47" customFormat="1" ht="5.25" customHeight="1">
      <c r="A19" s="320"/>
      <c r="B19" s="304"/>
      <c r="C19" s="304"/>
      <c r="D19" s="309"/>
      <c r="E19" s="314"/>
      <c r="F19" s="314"/>
      <c r="G19" s="306"/>
      <c r="H19" s="305" t="s">
        <v>24</v>
      </c>
      <c r="I19" s="281" t="s">
        <v>25</v>
      </c>
      <c r="J19" s="281"/>
      <c r="K19" s="258" t="s">
        <v>26</v>
      </c>
      <c r="L19" s="267" t="s">
        <v>27</v>
      </c>
      <c r="M19" s="258" t="s">
        <v>28</v>
      </c>
      <c r="N19" s="258" t="s">
        <v>26</v>
      </c>
      <c r="O19" s="258" t="s">
        <v>26</v>
      </c>
      <c r="P19" s="258" t="s">
        <v>26</v>
      </c>
      <c r="Q19" s="258" t="s">
        <v>29</v>
      </c>
      <c r="R19" s="258" t="s">
        <v>29</v>
      </c>
      <c r="S19" s="258" t="s">
        <v>29</v>
      </c>
      <c r="T19" s="258" t="s">
        <v>29</v>
      </c>
      <c r="U19" s="258" t="s">
        <v>29</v>
      </c>
      <c r="V19" s="258" t="s">
        <v>29</v>
      </c>
      <c r="W19" s="258" t="s">
        <v>26</v>
      </c>
      <c r="X19" s="258" t="s">
        <v>30</v>
      </c>
      <c r="Y19" s="314"/>
      <c r="Z19" s="306"/>
      <c r="AA19" s="306"/>
      <c r="AB19" s="314"/>
      <c r="AC19" s="306"/>
      <c r="AD19" s="306"/>
      <c r="AE19" s="300"/>
      <c r="AF19" s="300"/>
      <c r="AG19" s="280"/>
      <c r="AH19" s="309"/>
      <c r="AI19" s="308"/>
      <c r="AJ19" s="301"/>
      <c r="AK19" s="304"/>
      <c r="AL19" s="309"/>
      <c r="AM19" s="308"/>
      <c r="AN19" s="20"/>
    </row>
    <row r="20" spans="1:40" s="47" customFormat="1" ht="2.25" customHeight="1">
      <c r="A20" s="321"/>
      <c r="B20" s="304"/>
      <c r="C20" s="304"/>
      <c r="D20" s="280"/>
      <c r="E20" s="285"/>
      <c r="F20" s="285"/>
      <c r="G20" s="307"/>
      <c r="H20" s="318"/>
      <c r="I20" s="40" t="s">
        <v>31</v>
      </c>
      <c r="J20" s="268" t="s">
        <v>32</v>
      </c>
      <c r="K20" s="258" t="s">
        <v>33</v>
      </c>
      <c r="L20" s="267" t="s">
        <v>34</v>
      </c>
      <c r="M20" s="258" t="s">
        <v>35</v>
      </c>
      <c r="N20" s="258" t="s">
        <v>33</v>
      </c>
      <c r="O20" s="258" t="s">
        <v>36</v>
      </c>
      <c r="P20" s="258" t="s">
        <v>36</v>
      </c>
      <c r="Q20" s="258" t="s">
        <v>36</v>
      </c>
      <c r="R20" s="258" t="s">
        <v>36</v>
      </c>
      <c r="S20" s="258" t="s">
        <v>36</v>
      </c>
      <c r="T20" s="258" t="s">
        <v>36</v>
      </c>
      <c r="U20" s="258" t="s">
        <v>36</v>
      </c>
      <c r="V20" s="258" t="s">
        <v>36</v>
      </c>
      <c r="W20" s="258" t="s">
        <v>36</v>
      </c>
      <c r="X20" s="258" t="s">
        <v>37</v>
      </c>
      <c r="Y20" s="285"/>
      <c r="Z20" s="307"/>
      <c r="AA20" s="307"/>
      <c r="AB20" s="285"/>
      <c r="AC20" s="307"/>
      <c r="AD20" s="307"/>
      <c r="AE20" s="300"/>
      <c r="AF20" s="300"/>
      <c r="AG20" s="272"/>
      <c r="AH20" s="280"/>
      <c r="AI20" s="308"/>
      <c r="AJ20" s="301"/>
      <c r="AK20" s="304"/>
      <c r="AL20" s="280"/>
      <c r="AM20" s="308"/>
      <c r="AN20" s="20"/>
    </row>
    <row r="21" spans="1:40" s="49" customFormat="1" ht="18.75" customHeight="1">
      <c r="A21" s="48"/>
      <c r="B21" s="267" t="s">
        <v>38</v>
      </c>
      <c r="C21" s="267" t="s">
        <v>39</v>
      </c>
      <c r="D21" s="267" t="s">
        <v>40</v>
      </c>
      <c r="E21" s="267" t="s">
        <v>41</v>
      </c>
      <c r="F21" s="267">
        <v>1</v>
      </c>
      <c r="G21" s="258">
        <v>2</v>
      </c>
      <c r="H21" s="27">
        <v>3</v>
      </c>
      <c r="I21" s="27">
        <v>4</v>
      </c>
      <c r="J21" s="258">
        <v>5</v>
      </c>
      <c r="K21" s="27">
        <v>7</v>
      </c>
      <c r="L21" s="258">
        <v>8</v>
      </c>
      <c r="M21" s="27">
        <v>9</v>
      </c>
      <c r="N21" s="258">
        <v>10</v>
      </c>
      <c r="O21" s="258"/>
      <c r="P21" s="27">
        <v>6</v>
      </c>
      <c r="Q21" s="27"/>
      <c r="R21" s="27"/>
      <c r="S21" s="27"/>
      <c r="T21" s="27"/>
      <c r="U21" s="27"/>
      <c r="V21" s="27"/>
      <c r="W21" s="27"/>
      <c r="X21" s="27">
        <v>5</v>
      </c>
      <c r="Y21" s="267">
        <v>2</v>
      </c>
      <c r="Z21" s="258">
        <v>7</v>
      </c>
      <c r="AA21" s="258">
        <v>8</v>
      </c>
      <c r="AB21" s="258">
        <v>3</v>
      </c>
      <c r="AC21" s="267">
        <v>10</v>
      </c>
      <c r="AD21" s="27">
        <v>11</v>
      </c>
      <c r="AE21" s="267"/>
      <c r="AF21" s="267"/>
      <c r="AG21" s="273"/>
      <c r="AH21" s="273"/>
      <c r="AI21" s="267">
        <v>4</v>
      </c>
      <c r="AJ21" s="267">
        <v>5</v>
      </c>
      <c r="AK21" s="267">
        <v>6</v>
      </c>
      <c r="AL21" s="267">
        <v>7</v>
      </c>
      <c r="AM21" s="267">
        <v>8</v>
      </c>
      <c r="AN21" s="42"/>
    </row>
    <row r="22" spans="1:40" s="51" customFormat="1" ht="22.5" customHeight="1">
      <c r="A22" s="50"/>
      <c r="B22" s="258" t="s">
        <v>77</v>
      </c>
      <c r="C22" s="28" t="s">
        <v>90</v>
      </c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69"/>
      <c r="AH22" s="269"/>
      <c r="AI22" s="258"/>
      <c r="AJ22" s="267"/>
      <c r="AK22" s="267"/>
      <c r="AL22" s="14"/>
      <c r="AM22" s="267"/>
      <c r="AN22" s="44"/>
    </row>
    <row r="23" spans="1:40" s="49" customFormat="1" ht="22.5" customHeight="1">
      <c r="A23" s="48"/>
      <c r="B23" s="10">
        <v>1</v>
      </c>
      <c r="C23" s="11" t="s">
        <v>91</v>
      </c>
      <c r="D23" s="10" t="s">
        <v>67</v>
      </c>
      <c r="E23" s="9">
        <v>2022</v>
      </c>
      <c r="F23" s="10">
        <v>6</v>
      </c>
      <c r="G23" s="10">
        <v>15</v>
      </c>
      <c r="H23" s="10">
        <v>15</v>
      </c>
      <c r="I23" s="10">
        <v>15</v>
      </c>
      <c r="J23" s="10">
        <v>15</v>
      </c>
      <c r="K23" s="10">
        <v>15</v>
      </c>
      <c r="L23" s="10">
        <v>15</v>
      </c>
      <c r="M23" s="10">
        <v>15</v>
      </c>
      <c r="N23" s="10">
        <v>15</v>
      </c>
      <c r="O23" s="10">
        <v>15</v>
      </c>
      <c r="P23" s="10">
        <v>15</v>
      </c>
      <c r="Q23" s="10">
        <v>15</v>
      </c>
      <c r="R23" s="10">
        <v>15</v>
      </c>
      <c r="S23" s="10">
        <v>15</v>
      </c>
      <c r="T23" s="10">
        <v>15</v>
      </c>
      <c r="U23" s="10">
        <v>15</v>
      </c>
      <c r="V23" s="10">
        <v>15</v>
      </c>
      <c r="W23" s="10">
        <v>15</v>
      </c>
      <c r="X23" s="10">
        <v>15</v>
      </c>
      <c r="Y23" s="10">
        <f>F23</f>
        <v>6</v>
      </c>
      <c r="Z23" s="10"/>
      <c r="AA23" s="10"/>
      <c r="AB23" s="10">
        <v>0</v>
      </c>
      <c r="AC23" s="10"/>
      <c r="AD23" s="10"/>
      <c r="AE23" s="10"/>
      <c r="AF23" s="10"/>
      <c r="AG23" s="10"/>
      <c r="AH23" s="10"/>
      <c r="AI23" s="10" t="s">
        <v>80</v>
      </c>
      <c r="AJ23" s="10" t="s">
        <v>93</v>
      </c>
      <c r="AK23" s="10" t="s">
        <v>65</v>
      </c>
      <c r="AL23" s="14" t="s">
        <v>417</v>
      </c>
      <c r="AM23" s="12"/>
      <c r="AN23" s="42"/>
    </row>
    <row r="24" spans="1:40" s="49" customFormat="1" ht="22.5" customHeight="1">
      <c r="A24" s="48"/>
      <c r="B24" s="10">
        <v>2</v>
      </c>
      <c r="C24" s="11" t="s">
        <v>92</v>
      </c>
      <c r="D24" s="10" t="s">
        <v>67</v>
      </c>
      <c r="E24" s="9">
        <v>2022</v>
      </c>
      <c r="F24" s="10">
        <v>2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f t="shared" ref="Y24:Y40" si="0">F24</f>
        <v>2</v>
      </c>
      <c r="Z24" s="10"/>
      <c r="AA24" s="10"/>
      <c r="AB24" s="10">
        <v>0</v>
      </c>
      <c r="AC24" s="10"/>
      <c r="AD24" s="10"/>
      <c r="AE24" s="10"/>
      <c r="AF24" s="10"/>
      <c r="AG24" s="10"/>
      <c r="AH24" s="10"/>
      <c r="AI24" s="10" t="s">
        <v>80</v>
      </c>
      <c r="AJ24" s="10" t="s">
        <v>93</v>
      </c>
      <c r="AK24" s="10" t="s">
        <v>65</v>
      </c>
      <c r="AL24" s="14"/>
      <c r="AM24" s="12"/>
      <c r="AN24" s="42"/>
    </row>
    <row r="25" spans="1:40" s="49" customFormat="1" ht="22.5" customHeight="1">
      <c r="A25" s="48"/>
      <c r="B25" s="10">
        <v>3</v>
      </c>
      <c r="C25" s="11" t="s">
        <v>94</v>
      </c>
      <c r="D25" s="10" t="s">
        <v>67</v>
      </c>
      <c r="E25" s="9">
        <v>2022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f t="shared" si="0"/>
        <v>1</v>
      </c>
      <c r="Z25" s="10"/>
      <c r="AA25" s="10"/>
      <c r="AB25" s="10">
        <v>0</v>
      </c>
      <c r="AC25" s="10"/>
      <c r="AD25" s="10"/>
      <c r="AE25" s="10"/>
      <c r="AF25" s="10"/>
      <c r="AG25" s="10"/>
      <c r="AH25" s="10"/>
      <c r="AI25" s="10" t="s">
        <v>80</v>
      </c>
      <c r="AJ25" s="10" t="s">
        <v>93</v>
      </c>
      <c r="AK25" s="10" t="s">
        <v>65</v>
      </c>
      <c r="AL25" s="12"/>
      <c r="AM25" s="12"/>
      <c r="AN25" s="42"/>
    </row>
    <row r="26" spans="1:40" s="49" customFormat="1" ht="22.5" customHeight="1">
      <c r="A26" s="48"/>
      <c r="B26" s="10">
        <v>4</v>
      </c>
      <c r="C26" s="11" t="s">
        <v>95</v>
      </c>
      <c r="D26" s="10" t="s">
        <v>67</v>
      </c>
      <c r="E26" s="9">
        <v>2022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1</v>
      </c>
      <c r="S26" s="10">
        <v>1</v>
      </c>
      <c r="T26" s="10">
        <v>1</v>
      </c>
      <c r="U26" s="10">
        <v>1</v>
      </c>
      <c r="V26" s="10">
        <v>1</v>
      </c>
      <c r="W26" s="10">
        <v>1</v>
      </c>
      <c r="X26" s="10">
        <v>1</v>
      </c>
      <c r="Y26" s="10">
        <f t="shared" si="0"/>
        <v>1</v>
      </c>
      <c r="Z26" s="10"/>
      <c r="AA26" s="10"/>
      <c r="AB26" s="10">
        <v>0</v>
      </c>
      <c r="AC26" s="10"/>
      <c r="AD26" s="10"/>
      <c r="AE26" s="10"/>
      <c r="AF26" s="10"/>
      <c r="AG26" s="10"/>
      <c r="AH26" s="10"/>
      <c r="AI26" s="10" t="s">
        <v>80</v>
      </c>
      <c r="AJ26" s="10" t="s">
        <v>93</v>
      </c>
      <c r="AK26" s="10" t="s">
        <v>65</v>
      </c>
      <c r="AL26" s="12"/>
      <c r="AM26" s="12"/>
      <c r="AN26" s="42"/>
    </row>
    <row r="27" spans="1:40" s="49" customFormat="1" ht="22.5" customHeight="1">
      <c r="A27" s="48"/>
      <c r="B27" s="10">
        <v>5</v>
      </c>
      <c r="C27" s="11" t="s">
        <v>68</v>
      </c>
      <c r="D27" s="10" t="s">
        <v>67</v>
      </c>
      <c r="E27" s="9">
        <v>2022</v>
      </c>
      <c r="F27" s="10">
        <v>7</v>
      </c>
      <c r="G27" s="10">
        <v>5</v>
      </c>
      <c r="H27" s="10">
        <v>5</v>
      </c>
      <c r="I27" s="10">
        <v>5</v>
      </c>
      <c r="J27" s="10">
        <v>5</v>
      </c>
      <c r="K27" s="10">
        <v>5</v>
      </c>
      <c r="L27" s="10">
        <v>5</v>
      </c>
      <c r="M27" s="10">
        <v>5</v>
      </c>
      <c r="N27" s="10">
        <v>5</v>
      </c>
      <c r="O27" s="10">
        <v>5</v>
      </c>
      <c r="P27" s="10">
        <v>5</v>
      </c>
      <c r="Q27" s="10">
        <v>5</v>
      </c>
      <c r="R27" s="10">
        <v>5</v>
      </c>
      <c r="S27" s="10">
        <v>5</v>
      </c>
      <c r="T27" s="10">
        <v>5</v>
      </c>
      <c r="U27" s="10">
        <v>5</v>
      </c>
      <c r="V27" s="10">
        <v>5</v>
      </c>
      <c r="W27" s="10">
        <v>5</v>
      </c>
      <c r="X27" s="10">
        <v>5</v>
      </c>
      <c r="Y27" s="10">
        <f t="shared" si="0"/>
        <v>7</v>
      </c>
      <c r="Z27" s="10"/>
      <c r="AA27" s="10"/>
      <c r="AB27" s="10">
        <v>0</v>
      </c>
      <c r="AC27" s="10"/>
      <c r="AD27" s="10"/>
      <c r="AE27" s="10"/>
      <c r="AF27" s="10"/>
      <c r="AG27" s="10"/>
      <c r="AH27" s="10"/>
      <c r="AI27" s="10" t="s">
        <v>80</v>
      </c>
      <c r="AJ27" s="10" t="s">
        <v>93</v>
      </c>
      <c r="AK27" s="10" t="s">
        <v>65</v>
      </c>
      <c r="AL27" s="12"/>
      <c r="AM27" s="12"/>
      <c r="AN27" s="42"/>
    </row>
    <row r="28" spans="1:40" s="49" customFormat="1" ht="22.5" customHeight="1">
      <c r="A28" s="48"/>
      <c r="B28" s="10">
        <v>6</v>
      </c>
      <c r="C28" s="11" t="s">
        <v>69</v>
      </c>
      <c r="D28" s="10" t="s">
        <v>67</v>
      </c>
      <c r="E28" s="9">
        <v>2022</v>
      </c>
      <c r="F28" s="10">
        <v>1</v>
      </c>
      <c r="G28" s="10">
        <v>1</v>
      </c>
      <c r="H28" s="10">
        <v>1</v>
      </c>
      <c r="I28" s="10">
        <v>1</v>
      </c>
      <c r="J28" s="10">
        <v>1</v>
      </c>
      <c r="K28" s="10">
        <v>1</v>
      </c>
      <c r="L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>
        <v>1</v>
      </c>
      <c r="V28" s="10">
        <v>1</v>
      </c>
      <c r="W28" s="10">
        <v>1</v>
      </c>
      <c r="X28" s="10">
        <v>1</v>
      </c>
      <c r="Y28" s="10">
        <f t="shared" si="0"/>
        <v>1</v>
      </c>
      <c r="Z28" s="10"/>
      <c r="AA28" s="10"/>
      <c r="AB28" s="10">
        <v>0</v>
      </c>
      <c r="AC28" s="10"/>
      <c r="AD28" s="10"/>
      <c r="AE28" s="10"/>
      <c r="AF28" s="10"/>
      <c r="AG28" s="10"/>
      <c r="AH28" s="10"/>
      <c r="AI28" s="10" t="s">
        <v>80</v>
      </c>
      <c r="AJ28" s="10" t="s">
        <v>93</v>
      </c>
      <c r="AK28" s="10" t="s">
        <v>65</v>
      </c>
      <c r="AL28" s="12"/>
      <c r="AM28" s="12"/>
      <c r="AN28" s="42"/>
    </row>
    <row r="29" spans="1:40" s="49" customFormat="1" ht="22.5" customHeight="1">
      <c r="A29" s="48"/>
      <c r="B29" s="10">
        <v>7</v>
      </c>
      <c r="C29" s="11" t="s">
        <v>96</v>
      </c>
      <c r="D29" s="10" t="s">
        <v>67</v>
      </c>
      <c r="E29" s="9">
        <v>2022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1</v>
      </c>
      <c r="S29" s="10">
        <v>1</v>
      </c>
      <c r="T29" s="10">
        <v>1</v>
      </c>
      <c r="U29" s="10">
        <v>1</v>
      </c>
      <c r="V29" s="10">
        <v>1</v>
      </c>
      <c r="W29" s="10">
        <v>1</v>
      </c>
      <c r="X29" s="10">
        <v>1</v>
      </c>
      <c r="Y29" s="10">
        <f t="shared" si="0"/>
        <v>1</v>
      </c>
      <c r="Z29" s="10"/>
      <c r="AA29" s="10"/>
      <c r="AB29" s="10">
        <v>0</v>
      </c>
      <c r="AC29" s="10"/>
      <c r="AD29" s="10"/>
      <c r="AE29" s="10"/>
      <c r="AF29" s="10"/>
      <c r="AG29" s="10"/>
      <c r="AH29" s="10"/>
      <c r="AI29" s="10" t="s">
        <v>80</v>
      </c>
      <c r="AJ29" s="10" t="s">
        <v>93</v>
      </c>
      <c r="AK29" s="10" t="s">
        <v>65</v>
      </c>
      <c r="AL29" s="12"/>
      <c r="AM29" s="12"/>
      <c r="AN29" s="42"/>
    </row>
    <row r="30" spans="1:40" s="49" customFormat="1" ht="22.5" customHeight="1">
      <c r="A30" s="48"/>
      <c r="B30" s="10">
        <v>8</v>
      </c>
      <c r="C30" s="11" t="s">
        <v>97</v>
      </c>
      <c r="D30" s="10" t="s">
        <v>67</v>
      </c>
      <c r="E30" s="9">
        <v>2022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1</v>
      </c>
      <c r="X30" s="10">
        <v>1</v>
      </c>
      <c r="Y30" s="10">
        <f t="shared" si="0"/>
        <v>1</v>
      </c>
      <c r="Z30" s="10"/>
      <c r="AA30" s="10"/>
      <c r="AB30" s="10">
        <v>0</v>
      </c>
      <c r="AC30" s="10"/>
      <c r="AD30" s="10"/>
      <c r="AE30" s="10"/>
      <c r="AF30" s="10"/>
      <c r="AG30" s="10"/>
      <c r="AH30" s="10"/>
      <c r="AI30" s="10" t="s">
        <v>80</v>
      </c>
      <c r="AJ30" s="10" t="s">
        <v>93</v>
      </c>
      <c r="AK30" s="10" t="s">
        <v>65</v>
      </c>
      <c r="AL30" s="12"/>
      <c r="AM30" s="12"/>
      <c r="AN30" s="42"/>
    </row>
    <row r="31" spans="1:40" s="49" customFormat="1" ht="22.5" customHeight="1">
      <c r="A31" s="48"/>
      <c r="B31" s="10">
        <v>9</v>
      </c>
      <c r="C31" s="11" t="s">
        <v>98</v>
      </c>
      <c r="D31" s="10" t="s">
        <v>67</v>
      </c>
      <c r="E31" s="9">
        <v>2022</v>
      </c>
      <c r="F31" s="10">
        <v>1</v>
      </c>
      <c r="G31" s="10">
        <v>1</v>
      </c>
      <c r="H31" s="10">
        <v>1</v>
      </c>
      <c r="I31" s="10">
        <v>1</v>
      </c>
      <c r="J31" s="10">
        <v>1</v>
      </c>
      <c r="K31" s="10">
        <v>1</v>
      </c>
      <c r="L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1</v>
      </c>
      <c r="S31" s="10">
        <v>1</v>
      </c>
      <c r="T31" s="10">
        <v>1</v>
      </c>
      <c r="U31" s="10">
        <v>1</v>
      </c>
      <c r="V31" s="10">
        <v>1</v>
      </c>
      <c r="W31" s="10">
        <v>1</v>
      </c>
      <c r="X31" s="10">
        <v>1</v>
      </c>
      <c r="Y31" s="10">
        <f t="shared" si="0"/>
        <v>1</v>
      </c>
      <c r="Z31" s="10"/>
      <c r="AA31" s="10"/>
      <c r="AB31" s="10">
        <v>0</v>
      </c>
      <c r="AC31" s="10"/>
      <c r="AD31" s="10"/>
      <c r="AE31" s="10"/>
      <c r="AF31" s="10"/>
      <c r="AG31" s="10"/>
      <c r="AH31" s="10"/>
      <c r="AI31" s="10" t="s">
        <v>80</v>
      </c>
      <c r="AJ31" s="10" t="s">
        <v>93</v>
      </c>
      <c r="AK31" s="10" t="s">
        <v>65</v>
      </c>
      <c r="AL31" s="12"/>
      <c r="AM31" s="12"/>
      <c r="AN31" s="42"/>
    </row>
    <row r="32" spans="1:40" s="49" customFormat="1" ht="22.5" customHeight="1">
      <c r="A32" s="48"/>
      <c r="B32" s="10">
        <v>10</v>
      </c>
      <c r="C32" s="11" t="s">
        <v>99</v>
      </c>
      <c r="D32" s="10" t="s">
        <v>67</v>
      </c>
      <c r="E32" s="9">
        <v>2022</v>
      </c>
      <c r="F32" s="10">
        <v>1</v>
      </c>
      <c r="G32" s="10">
        <v>1</v>
      </c>
      <c r="H32" s="10">
        <v>1</v>
      </c>
      <c r="I32" s="10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10">
        <v>1</v>
      </c>
      <c r="X32" s="10">
        <v>1</v>
      </c>
      <c r="Y32" s="10">
        <f t="shared" si="0"/>
        <v>1</v>
      </c>
      <c r="Z32" s="10"/>
      <c r="AA32" s="10"/>
      <c r="AB32" s="10">
        <v>0</v>
      </c>
      <c r="AC32" s="10"/>
      <c r="AD32" s="10"/>
      <c r="AE32" s="10"/>
      <c r="AF32" s="10"/>
      <c r="AG32" s="10"/>
      <c r="AH32" s="10"/>
      <c r="AI32" s="10" t="s">
        <v>80</v>
      </c>
      <c r="AJ32" s="10" t="s">
        <v>93</v>
      </c>
      <c r="AK32" s="10" t="s">
        <v>65</v>
      </c>
      <c r="AL32" s="12"/>
      <c r="AM32" s="12"/>
      <c r="AN32" s="42"/>
    </row>
    <row r="33" spans="1:40" s="49" customFormat="1" ht="22.5" customHeight="1">
      <c r="A33" s="48"/>
      <c r="B33" s="10">
        <v>11</v>
      </c>
      <c r="C33" s="13" t="s">
        <v>100</v>
      </c>
      <c r="D33" s="10" t="s">
        <v>67</v>
      </c>
      <c r="E33" s="9">
        <v>2022</v>
      </c>
      <c r="F33" s="10">
        <v>2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>
        <v>1</v>
      </c>
      <c r="T33" s="10">
        <v>1</v>
      </c>
      <c r="U33" s="10">
        <v>1</v>
      </c>
      <c r="V33" s="10">
        <v>1</v>
      </c>
      <c r="W33" s="10">
        <v>1</v>
      </c>
      <c r="X33" s="10">
        <v>1</v>
      </c>
      <c r="Y33" s="10">
        <f t="shared" si="0"/>
        <v>2</v>
      </c>
      <c r="Z33" s="10"/>
      <c r="AA33" s="10"/>
      <c r="AB33" s="10">
        <v>0</v>
      </c>
      <c r="AC33" s="10"/>
      <c r="AD33" s="10"/>
      <c r="AE33" s="10"/>
      <c r="AF33" s="10"/>
      <c r="AG33" s="277">
        <v>12669000</v>
      </c>
      <c r="AH33" s="10">
        <f>+Y33*AG33</f>
        <v>25338000</v>
      </c>
      <c r="AI33" s="10" t="s">
        <v>80</v>
      </c>
      <c r="AJ33" s="10" t="s">
        <v>93</v>
      </c>
      <c r="AK33" s="10" t="s">
        <v>65</v>
      </c>
      <c r="AL33" s="12"/>
      <c r="AM33" s="12"/>
      <c r="AN33" s="42"/>
    </row>
    <row r="34" spans="1:40" s="49" customFormat="1" ht="22.5" customHeight="1">
      <c r="A34" s="48"/>
      <c r="B34" s="10">
        <v>12</v>
      </c>
      <c r="C34" s="11" t="s">
        <v>73</v>
      </c>
      <c r="D34" s="10" t="s">
        <v>67</v>
      </c>
      <c r="E34" s="9">
        <v>2022</v>
      </c>
      <c r="F34" s="10">
        <v>2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>
        <v>1</v>
      </c>
      <c r="V34" s="10">
        <v>1</v>
      </c>
      <c r="W34" s="10">
        <v>1</v>
      </c>
      <c r="X34" s="10">
        <v>1</v>
      </c>
      <c r="Y34" s="10">
        <f t="shared" si="0"/>
        <v>2</v>
      </c>
      <c r="Z34" s="10"/>
      <c r="AA34" s="10"/>
      <c r="AB34" s="10">
        <v>0</v>
      </c>
      <c r="AC34" s="10"/>
      <c r="AD34" s="10"/>
      <c r="AE34" s="10"/>
      <c r="AF34" s="10"/>
      <c r="AG34" s="10"/>
      <c r="AH34" s="10"/>
      <c r="AI34" s="10" t="s">
        <v>80</v>
      </c>
      <c r="AJ34" s="10" t="s">
        <v>93</v>
      </c>
      <c r="AK34" s="10" t="s">
        <v>65</v>
      </c>
      <c r="AL34" s="12"/>
      <c r="AM34" s="12"/>
      <c r="AN34" s="42"/>
    </row>
    <row r="35" spans="1:40" s="49" customFormat="1" ht="22.5" customHeight="1">
      <c r="A35" s="48"/>
      <c r="B35" s="10">
        <v>13</v>
      </c>
      <c r="C35" s="11" t="s">
        <v>70</v>
      </c>
      <c r="D35" s="10" t="s">
        <v>71</v>
      </c>
      <c r="E35" s="9">
        <v>2022</v>
      </c>
      <c r="F35" s="10">
        <v>1</v>
      </c>
      <c r="G35" s="10">
        <v>2</v>
      </c>
      <c r="H35" s="10">
        <v>2</v>
      </c>
      <c r="I35" s="10">
        <v>2</v>
      </c>
      <c r="J35" s="10">
        <v>2</v>
      </c>
      <c r="K35" s="10">
        <v>2</v>
      </c>
      <c r="L35" s="10">
        <v>2</v>
      </c>
      <c r="M35" s="10">
        <v>2</v>
      </c>
      <c r="N35" s="10">
        <v>2</v>
      </c>
      <c r="O35" s="10">
        <v>2</v>
      </c>
      <c r="P35" s="10">
        <v>2</v>
      </c>
      <c r="Q35" s="10">
        <v>2</v>
      </c>
      <c r="R35" s="10">
        <v>2</v>
      </c>
      <c r="S35" s="10">
        <v>2</v>
      </c>
      <c r="T35" s="10">
        <v>2</v>
      </c>
      <c r="U35" s="10">
        <v>2</v>
      </c>
      <c r="V35" s="10">
        <v>2</v>
      </c>
      <c r="W35" s="10">
        <v>2</v>
      </c>
      <c r="X35" s="10">
        <v>2</v>
      </c>
      <c r="Y35" s="10">
        <f t="shared" si="0"/>
        <v>1</v>
      </c>
      <c r="Z35" s="10"/>
      <c r="AA35" s="10"/>
      <c r="AB35" s="10">
        <v>0</v>
      </c>
      <c r="AC35" s="10"/>
      <c r="AD35" s="10"/>
      <c r="AE35" s="10"/>
      <c r="AF35" s="10"/>
      <c r="AG35" s="10"/>
      <c r="AH35" s="10"/>
      <c r="AI35" s="10" t="s">
        <v>80</v>
      </c>
      <c r="AJ35" s="10" t="s">
        <v>93</v>
      </c>
      <c r="AK35" s="10" t="s">
        <v>65</v>
      </c>
      <c r="AL35" s="16"/>
      <c r="AM35" s="12"/>
      <c r="AN35" s="42"/>
    </row>
    <row r="36" spans="1:40" s="49" customFormat="1" ht="22.5" customHeight="1">
      <c r="A36" s="48"/>
      <c r="B36" s="10">
        <v>14</v>
      </c>
      <c r="C36" s="13" t="s">
        <v>72</v>
      </c>
      <c r="D36" s="10" t="s">
        <v>71</v>
      </c>
      <c r="E36" s="9">
        <v>2022</v>
      </c>
      <c r="F36" s="10">
        <v>4</v>
      </c>
      <c r="G36" s="10">
        <v>6</v>
      </c>
      <c r="H36" s="10">
        <v>6</v>
      </c>
      <c r="I36" s="10">
        <v>6</v>
      </c>
      <c r="J36" s="10">
        <v>6</v>
      </c>
      <c r="K36" s="10">
        <v>6</v>
      </c>
      <c r="L36" s="10">
        <v>6</v>
      </c>
      <c r="M36" s="10">
        <v>6</v>
      </c>
      <c r="N36" s="10">
        <v>6</v>
      </c>
      <c r="O36" s="10">
        <v>6</v>
      </c>
      <c r="P36" s="10">
        <v>6</v>
      </c>
      <c r="Q36" s="10">
        <v>6</v>
      </c>
      <c r="R36" s="10">
        <v>6</v>
      </c>
      <c r="S36" s="10">
        <v>6</v>
      </c>
      <c r="T36" s="10">
        <v>6</v>
      </c>
      <c r="U36" s="10">
        <v>6</v>
      </c>
      <c r="V36" s="10">
        <v>6</v>
      </c>
      <c r="W36" s="10">
        <v>6</v>
      </c>
      <c r="X36" s="10">
        <v>6</v>
      </c>
      <c r="Y36" s="10">
        <f t="shared" si="0"/>
        <v>4</v>
      </c>
      <c r="Z36" s="10"/>
      <c r="AA36" s="10"/>
      <c r="AB36" s="10">
        <v>0</v>
      </c>
      <c r="AC36" s="10"/>
      <c r="AD36" s="10"/>
      <c r="AE36" s="10"/>
      <c r="AF36" s="10"/>
      <c r="AG36" s="10"/>
      <c r="AH36" s="10"/>
      <c r="AI36" s="10" t="s">
        <v>80</v>
      </c>
      <c r="AJ36" s="10" t="s">
        <v>93</v>
      </c>
      <c r="AK36" s="10" t="s">
        <v>65</v>
      </c>
      <c r="AL36" s="16"/>
      <c r="AM36" s="12"/>
      <c r="AN36" s="42"/>
    </row>
    <row r="37" spans="1:40" s="49" customFormat="1" ht="22.5" customHeight="1">
      <c r="A37" s="48"/>
      <c r="B37" s="10">
        <v>15</v>
      </c>
      <c r="C37" s="13" t="s">
        <v>101</v>
      </c>
      <c r="D37" s="10" t="s">
        <v>67</v>
      </c>
      <c r="E37" s="9">
        <v>2022</v>
      </c>
      <c r="F37" s="10">
        <v>1</v>
      </c>
      <c r="G37" s="10">
        <v>2</v>
      </c>
      <c r="H37" s="10">
        <v>2</v>
      </c>
      <c r="I37" s="10">
        <v>2</v>
      </c>
      <c r="J37" s="10">
        <v>2</v>
      </c>
      <c r="K37" s="10">
        <v>2</v>
      </c>
      <c r="L37" s="10">
        <v>2</v>
      </c>
      <c r="M37" s="10">
        <v>2</v>
      </c>
      <c r="N37" s="10">
        <v>2</v>
      </c>
      <c r="O37" s="10">
        <v>2</v>
      </c>
      <c r="P37" s="10">
        <v>2</v>
      </c>
      <c r="Q37" s="10">
        <v>2</v>
      </c>
      <c r="R37" s="10">
        <v>2</v>
      </c>
      <c r="S37" s="10">
        <v>2</v>
      </c>
      <c r="T37" s="10">
        <v>2</v>
      </c>
      <c r="U37" s="10">
        <v>2</v>
      </c>
      <c r="V37" s="10">
        <v>2</v>
      </c>
      <c r="W37" s="10">
        <v>2</v>
      </c>
      <c r="X37" s="10">
        <v>2</v>
      </c>
      <c r="Y37" s="10">
        <f t="shared" si="0"/>
        <v>1</v>
      </c>
      <c r="Z37" s="10"/>
      <c r="AA37" s="10"/>
      <c r="AB37" s="10">
        <v>0</v>
      </c>
      <c r="AC37" s="10"/>
      <c r="AD37" s="10"/>
      <c r="AE37" s="10"/>
      <c r="AF37" s="10"/>
      <c r="AG37" s="10"/>
      <c r="AH37" s="10"/>
      <c r="AI37" s="10" t="s">
        <v>80</v>
      </c>
      <c r="AJ37" s="10" t="s">
        <v>93</v>
      </c>
      <c r="AK37" s="10" t="s">
        <v>65</v>
      </c>
      <c r="AL37" s="16"/>
      <c r="AM37" s="12"/>
      <c r="AN37" s="42"/>
    </row>
    <row r="38" spans="1:40" s="49" customFormat="1" ht="22.5" customHeight="1">
      <c r="B38" s="10">
        <v>16</v>
      </c>
      <c r="C38" s="13" t="s">
        <v>102</v>
      </c>
      <c r="D38" s="10" t="s">
        <v>67</v>
      </c>
      <c r="E38" s="9">
        <v>2022</v>
      </c>
      <c r="F38" s="10">
        <v>1</v>
      </c>
      <c r="G38" s="10">
        <v>2</v>
      </c>
      <c r="H38" s="10">
        <v>2</v>
      </c>
      <c r="I38" s="10">
        <v>2</v>
      </c>
      <c r="J38" s="10">
        <v>2</v>
      </c>
      <c r="K38" s="10">
        <v>2</v>
      </c>
      <c r="L38" s="10">
        <v>2</v>
      </c>
      <c r="M38" s="10">
        <v>2</v>
      </c>
      <c r="N38" s="10">
        <v>2</v>
      </c>
      <c r="O38" s="10">
        <v>2</v>
      </c>
      <c r="P38" s="10">
        <v>2</v>
      </c>
      <c r="Q38" s="10">
        <v>2</v>
      </c>
      <c r="R38" s="10">
        <v>2</v>
      </c>
      <c r="S38" s="10">
        <v>2</v>
      </c>
      <c r="T38" s="10">
        <v>2</v>
      </c>
      <c r="U38" s="10">
        <v>2</v>
      </c>
      <c r="V38" s="10">
        <v>2</v>
      </c>
      <c r="W38" s="10">
        <v>2</v>
      </c>
      <c r="X38" s="10">
        <v>2</v>
      </c>
      <c r="Y38" s="10">
        <f t="shared" si="0"/>
        <v>1</v>
      </c>
      <c r="Z38" s="10"/>
      <c r="AA38" s="10"/>
      <c r="AB38" s="10">
        <v>0</v>
      </c>
      <c r="AC38" s="10"/>
      <c r="AD38" s="10"/>
      <c r="AE38" s="10"/>
      <c r="AF38" s="10"/>
      <c r="AG38" s="10"/>
      <c r="AH38" s="10"/>
      <c r="AI38" s="10" t="s">
        <v>80</v>
      </c>
      <c r="AJ38" s="10" t="s">
        <v>93</v>
      </c>
      <c r="AK38" s="10" t="s">
        <v>65</v>
      </c>
      <c r="AL38" s="16"/>
      <c r="AM38" s="12"/>
      <c r="AN38" s="42"/>
    </row>
    <row r="39" spans="1:40" s="49" customFormat="1" ht="22.5" customHeight="1">
      <c r="B39" s="10">
        <v>17</v>
      </c>
      <c r="C39" s="13" t="s">
        <v>103</v>
      </c>
      <c r="D39" s="10" t="s">
        <v>67</v>
      </c>
      <c r="E39" s="9">
        <v>2022</v>
      </c>
      <c r="F39" s="10">
        <v>1</v>
      </c>
      <c r="G39" s="10">
        <v>2</v>
      </c>
      <c r="H39" s="10">
        <v>2</v>
      </c>
      <c r="I39" s="10">
        <v>2</v>
      </c>
      <c r="J39" s="10">
        <v>2</v>
      </c>
      <c r="K39" s="10">
        <v>2</v>
      </c>
      <c r="L39" s="10">
        <v>2</v>
      </c>
      <c r="M39" s="10">
        <v>2</v>
      </c>
      <c r="N39" s="10">
        <v>2</v>
      </c>
      <c r="O39" s="10">
        <v>2</v>
      </c>
      <c r="P39" s="10">
        <v>2</v>
      </c>
      <c r="Q39" s="10">
        <v>2</v>
      </c>
      <c r="R39" s="10">
        <v>2</v>
      </c>
      <c r="S39" s="10">
        <v>2</v>
      </c>
      <c r="T39" s="10">
        <v>2</v>
      </c>
      <c r="U39" s="10">
        <v>2</v>
      </c>
      <c r="V39" s="10">
        <v>2</v>
      </c>
      <c r="W39" s="10">
        <v>2</v>
      </c>
      <c r="X39" s="10">
        <v>2</v>
      </c>
      <c r="Y39" s="10">
        <f t="shared" si="0"/>
        <v>1</v>
      </c>
      <c r="Z39" s="10"/>
      <c r="AA39" s="10"/>
      <c r="AB39" s="10">
        <v>0</v>
      </c>
      <c r="AC39" s="10"/>
      <c r="AD39" s="10"/>
      <c r="AE39" s="10"/>
      <c r="AF39" s="10"/>
      <c r="AG39" s="10"/>
      <c r="AH39" s="10"/>
      <c r="AI39" s="10" t="s">
        <v>80</v>
      </c>
      <c r="AJ39" s="10" t="s">
        <v>93</v>
      </c>
      <c r="AK39" s="10" t="s">
        <v>65</v>
      </c>
      <c r="AL39" s="16"/>
      <c r="AM39" s="12"/>
      <c r="AN39" s="42"/>
    </row>
    <row r="40" spans="1:40" s="49" customFormat="1" ht="22.5" customHeight="1">
      <c r="B40" s="10">
        <v>18</v>
      </c>
      <c r="C40" s="13" t="s">
        <v>104</v>
      </c>
      <c r="D40" s="10" t="s">
        <v>67</v>
      </c>
      <c r="E40" s="9">
        <v>2022</v>
      </c>
      <c r="F40" s="10">
        <v>1</v>
      </c>
      <c r="G40" s="10">
        <v>2</v>
      </c>
      <c r="H40" s="10">
        <v>2</v>
      </c>
      <c r="I40" s="10">
        <v>2</v>
      </c>
      <c r="J40" s="10">
        <v>2</v>
      </c>
      <c r="K40" s="10">
        <v>2</v>
      </c>
      <c r="L40" s="10">
        <v>2</v>
      </c>
      <c r="M40" s="10">
        <v>2</v>
      </c>
      <c r="N40" s="10">
        <v>2</v>
      </c>
      <c r="O40" s="10">
        <v>2</v>
      </c>
      <c r="P40" s="10">
        <v>2</v>
      </c>
      <c r="Q40" s="10">
        <v>2</v>
      </c>
      <c r="R40" s="10">
        <v>2</v>
      </c>
      <c r="S40" s="10">
        <v>2</v>
      </c>
      <c r="T40" s="10">
        <v>2</v>
      </c>
      <c r="U40" s="10">
        <v>2</v>
      </c>
      <c r="V40" s="10">
        <v>2</v>
      </c>
      <c r="W40" s="10">
        <v>2</v>
      </c>
      <c r="X40" s="10">
        <v>2</v>
      </c>
      <c r="Y40" s="10">
        <f t="shared" si="0"/>
        <v>1</v>
      </c>
      <c r="Z40" s="10"/>
      <c r="AA40" s="10"/>
      <c r="AB40" s="10">
        <v>0</v>
      </c>
      <c r="AC40" s="10"/>
      <c r="AD40" s="10"/>
      <c r="AE40" s="10"/>
      <c r="AF40" s="10"/>
      <c r="AG40" s="10"/>
      <c r="AH40" s="10"/>
      <c r="AI40" s="10" t="s">
        <v>80</v>
      </c>
      <c r="AJ40" s="10" t="s">
        <v>93</v>
      </c>
      <c r="AK40" s="10" t="s">
        <v>65</v>
      </c>
      <c r="AL40" s="16"/>
      <c r="AM40" s="12"/>
      <c r="AN40" s="42"/>
    </row>
    <row r="41" spans="1:40" s="30" customFormat="1" ht="22.5" customHeight="1">
      <c r="B41" s="258" t="s">
        <v>78</v>
      </c>
      <c r="C41" s="28" t="s">
        <v>105</v>
      </c>
      <c r="D41" s="258"/>
      <c r="E41" s="9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269"/>
      <c r="AH41" s="269"/>
      <c r="AI41" s="258"/>
      <c r="AJ41" s="266"/>
      <c r="AK41" s="266"/>
      <c r="AL41" s="14"/>
      <c r="AM41" s="265"/>
    </row>
    <row r="42" spans="1:40" ht="22.5" customHeight="1">
      <c r="B42" s="10">
        <v>1</v>
      </c>
      <c r="C42" s="11" t="s">
        <v>106</v>
      </c>
      <c r="D42" s="10" t="s">
        <v>67</v>
      </c>
      <c r="E42" s="9">
        <v>2022</v>
      </c>
      <c r="F42" s="10">
        <v>1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>
        <f>F42</f>
        <v>1</v>
      </c>
      <c r="Z42" s="10"/>
      <c r="AA42" s="10"/>
      <c r="AB42" s="10">
        <v>0</v>
      </c>
      <c r="AC42" s="10"/>
      <c r="AD42" s="10"/>
      <c r="AE42" s="10"/>
      <c r="AF42" s="10"/>
      <c r="AG42" s="10"/>
      <c r="AH42" s="10"/>
      <c r="AI42" s="10" t="s">
        <v>80</v>
      </c>
      <c r="AJ42" s="9" t="s">
        <v>107</v>
      </c>
      <c r="AK42" s="10" t="s">
        <v>65</v>
      </c>
      <c r="AL42" s="17"/>
      <c r="AM42" s="17"/>
    </row>
    <row r="43" spans="1:40" ht="22.5" customHeight="1">
      <c r="B43" s="10">
        <v>2</v>
      </c>
      <c r="C43" s="11" t="s">
        <v>86</v>
      </c>
      <c r="D43" s="10" t="s">
        <v>67</v>
      </c>
      <c r="E43" s="9">
        <v>2022</v>
      </c>
      <c r="F43" s="10">
        <v>4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f t="shared" ref="Y43:Y50" si="1">F43</f>
        <v>4</v>
      </c>
      <c r="Z43" s="10"/>
      <c r="AA43" s="10"/>
      <c r="AB43" s="10">
        <v>0</v>
      </c>
      <c r="AC43" s="10"/>
      <c r="AD43" s="10"/>
      <c r="AE43" s="10"/>
      <c r="AF43" s="10"/>
      <c r="AG43" s="10"/>
      <c r="AH43" s="10"/>
      <c r="AI43" s="10" t="s">
        <v>80</v>
      </c>
      <c r="AJ43" s="9" t="s">
        <v>107</v>
      </c>
      <c r="AK43" s="10" t="s">
        <v>65</v>
      </c>
      <c r="AL43" s="17"/>
      <c r="AM43" s="17"/>
    </row>
    <row r="44" spans="1:40" ht="22.5" customHeight="1">
      <c r="B44" s="10">
        <v>3</v>
      </c>
      <c r="C44" s="11" t="s">
        <v>94</v>
      </c>
      <c r="D44" s="10" t="s">
        <v>67</v>
      </c>
      <c r="E44" s="9">
        <v>2022</v>
      </c>
      <c r="F44" s="10">
        <v>2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f t="shared" si="1"/>
        <v>2</v>
      </c>
      <c r="Z44" s="10"/>
      <c r="AA44" s="10"/>
      <c r="AB44" s="10">
        <v>0</v>
      </c>
      <c r="AC44" s="10"/>
      <c r="AD44" s="10"/>
      <c r="AE44" s="10"/>
      <c r="AF44" s="10"/>
      <c r="AG44" s="10"/>
      <c r="AH44" s="10"/>
      <c r="AI44" s="10" t="s">
        <v>80</v>
      </c>
      <c r="AJ44" s="9" t="s">
        <v>107</v>
      </c>
      <c r="AK44" s="10" t="s">
        <v>65</v>
      </c>
      <c r="AL44" s="17"/>
      <c r="AM44" s="17"/>
    </row>
    <row r="45" spans="1:40" ht="22.5" customHeight="1">
      <c r="B45" s="10">
        <v>4</v>
      </c>
      <c r="C45" s="11" t="s">
        <v>68</v>
      </c>
      <c r="D45" s="10" t="s">
        <v>67</v>
      </c>
      <c r="E45" s="9">
        <v>2022</v>
      </c>
      <c r="F45" s="10">
        <v>5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f t="shared" si="1"/>
        <v>5</v>
      </c>
      <c r="Z45" s="10"/>
      <c r="AA45" s="10"/>
      <c r="AB45" s="10">
        <v>0</v>
      </c>
      <c r="AC45" s="10"/>
      <c r="AD45" s="10"/>
      <c r="AE45" s="10"/>
      <c r="AF45" s="10"/>
      <c r="AG45" s="10"/>
      <c r="AH45" s="10"/>
      <c r="AI45" s="10" t="s">
        <v>80</v>
      </c>
      <c r="AJ45" s="9" t="s">
        <v>107</v>
      </c>
      <c r="AK45" s="10" t="s">
        <v>65</v>
      </c>
      <c r="AL45" s="17"/>
      <c r="AM45" s="17"/>
    </row>
    <row r="46" spans="1:40" ht="22.5" customHeight="1">
      <c r="B46" s="10">
        <v>5</v>
      </c>
      <c r="C46" s="11" t="s">
        <v>108</v>
      </c>
      <c r="D46" s="10" t="s">
        <v>71</v>
      </c>
      <c r="E46" s="9">
        <v>2022</v>
      </c>
      <c r="F46" s="10">
        <v>1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f t="shared" si="1"/>
        <v>1</v>
      </c>
      <c r="Z46" s="10"/>
      <c r="AA46" s="10"/>
      <c r="AB46" s="10">
        <v>0</v>
      </c>
      <c r="AC46" s="10"/>
      <c r="AD46" s="10"/>
      <c r="AE46" s="10"/>
      <c r="AF46" s="10"/>
      <c r="AG46" s="10"/>
      <c r="AH46" s="10"/>
      <c r="AI46" s="10" t="s">
        <v>80</v>
      </c>
      <c r="AJ46" s="9" t="s">
        <v>107</v>
      </c>
      <c r="AK46" s="10" t="s">
        <v>65</v>
      </c>
      <c r="AL46" s="17"/>
      <c r="AM46" s="17"/>
    </row>
    <row r="47" spans="1:40" ht="22.5" customHeight="1">
      <c r="B47" s="10">
        <v>6</v>
      </c>
      <c r="C47" s="13" t="s">
        <v>100</v>
      </c>
      <c r="D47" s="10" t="s">
        <v>67</v>
      </c>
      <c r="E47" s="9">
        <v>2022</v>
      </c>
      <c r="F47" s="10">
        <v>1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f t="shared" si="1"/>
        <v>1</v>
      </c>
      <c r="Z47" s="10"/>
      <c r="AA47" s="10"/>
      <c r="AB47" s="10">
        <v>0</v>
      </c>
      <c r="AC47" s="10"/>
      <c r="AD47" s="10"/>
      <c r="AE47" s="10"/>
      <c r="AF47" s="10"/>
      <c r="AG47" s="277">
        <v>12669000</v>
      </c>
      <c r="AH47" s="10">
        <f>+Y47*AG47</f>
        <v>12669000</v>
      </c>
      <c r="AI47" s="10" t="s">
        <v>80</v>
      </c>
      <c r="AJ47" s="9" t="s">
        <v>107</v>
      </c>
      <c r="AK47" s="10" t="s">
        <v>65</v>
      </c>
      <c r="AL47" s="17"/>
      <c r="AM47" s="17"/>
    </row>
    <row r="48" spans="1:40" ht="22.5" customHeight="1">
      <c r="B48" s="10">
        <v>7</v>
      </c>
      <c r="C48" s="11" t="s">
        <v>108</v>
      </c>
      <c r="D48" s="10" t="s">
        <v>71</v>
      </c>
      <c r="E48" s="9">
        <v>2022</v>
      </c>
      <c r="F48" s="10">
        <v>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>
        <f>F48</f>
        <v>1</v>
      </c>
      <c r="Z48" s="10"/>
      <c r="AA48" s="10"/>
      <c r="AB48" s="10">
        <v>0</v>
      </c>
      <c r="AC48" s="10"/>
      <c r="AD48" s="10"/>
      <c r="AE48" s="10"/>
      <c r="AF48" s="10"/>
      <c r="AG48" s="10"/>
      <c r="AH48" s="10"/>
      <c r="AI48" s="10" t="s">
        <v>80</v>
      </c>
      <c r="AJ48" s="9" t="s">
        <v>107</v>
      </c>
      <c r="AK48" s="10" t="s">
        <v>65</v>
      </c>
      <c r="AL48" s="17"/>
      <c r="AM48" s="17"/>
    </row>
    <row r="49" spans="1:40" ht="22.5" customHeight="1">
      <c r="B49" s="10">
        <v>8</v>
      </c>
      <c r="C49" s="11" t="s">
        <v>70</v>
      </c>
      <c r="D49" s="10" t="s">
        <v>71</v>
      </c>
      <c r="E49" s="9">
        <v>2022</v>
      </c>
      <c r="F49" s="10">
        <v>2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>
        <f t="shared" si="1"/>
        <v>2</v>
      </c>
      <c r="Z49" s="10"/>
      <c r="AA49" s="10"/>
      <c r="AB49" s="10">
        <v>0</v>
      </c>
      <c r="AC49" s="10"/>
      <c r="AD49" s="10"/>
      <c r="AE49" s="10"/>
      <c r="AF49" s="10"/>
      <c r="AG49" s="10"/>
      <c r="AH49" s="10"/>
      <c r="AI49" s="10" t="s">
        <v>80</v>
      </c>
      <c r="AJ49" s="9" t="s">
        <v>107</v>
      </c>
      <c r="AK49" s="10" t="s">
        <v>65</v>
      </c>
      <c r="AL49" s="17"/>
      <c r="AM49" s="17"/>
    </row>
    <row r="50" spans="1:40" ht="22.5" customHeight="1">
      <c r="B50" s="10">
        <v>9</v>
      </c>
      <c r="C50" s="11" t="s">
        <v>72</v>
      </c>
      <c r="D50" s="10" t="s">
        <v>71</v>
      </c>
      <c r="E50" s="9">
        <v>2022</v>
      </c>
      <c r="F50" s="10">
        <v>2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f t="shared" si="1"/>
        <v>2</v>
      </c>
      <c r="Z50" s="10"/>
      <c r="AA50" s="10"/>
      <c r="AB50" s="10">
        <v>0</v>
      </c>
      <c r="AC50" s="10"/>
      <c r="AD50" s="10"/>
      <c r="AE50" s="10"/>
      <c r="AF50" s="10"/>
      <c r="AG50" s="10"/>
      <c r="AH50" s="10"/>
      <c r="AI50" s="10" t="s">
        <v>80</v>
      </c>
      <c r="AJ50" s="9" t="s">
        <v>107</v>
      </c>
      <c r="AK50" s="10" t="s">
        <v>65</v>
      </c>
      <c r="AL50" s="17"/>
      <c r="AM50" s="17"/>
    </row>
    <row r="51" spans="1:40" ht="22.5" customHeight="1">
      <c r="B51" s="258" t="s">
        <v>315</v>
      </c>
      <c r="C51" s="52" t="s">
        <v>109</v>
      </c>
      <c r="D51" s="29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4"/>
      <c r="AL51" s="14"/>
      <c r="AM51" s="17"/>
    </row>
    <row r="52" spans="1:40" ht="22.5" customHeight="1">
      <c r="B52" s="10">
        <v>1</v>
      </c>
      <c r="C52" s="13" t="s">
        <v>101</v>
      </c>
      <c r="D52" s="10" t="s">
        <v>67</v>
      </c>
      <c r="E52" s="9">
        <v>2022</v>
      </c>
      <c r="F52" s="10">
        <v>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>
        <f>F52</f>
        <v>4</v>
      </c>
      <c r="Z52" s="10"/>
      <c r="AA52" s="10"/>
      <c r="AB52" s="10">
        <v>0</v>
      </c>
      <c r="AC52" s="10"/>
      <c r="AD52" s="10"/>
      <c r="AE52" s="10"/>
      <c r="AF52" s="10"/>
      <c r="AG52" s="10"/>
      <c r="AH52" s="10"/>
      <c r="AI52" s="10" t="s">
        <v>80</v>
      </c>
      <c r="AJ52" s="9" t="s">
        <v>113</v>
      </c>
      <c r="AK52" s="10" t="s">
        <v>65</v>
      </c>
      <c r="AL52" s="17"/>
      <c r="AM52" s="17"/>
    </row>
    <row r="53" spans="1:40" ht="22.5" customHeight="1">
      <c r="B53" s="10">
        <v>2</v>
      </c>
      <c r="C53" s="11" t="s">
        <v>110</v>
      </c>
      <c r="D53" s="10" t="s">
        <v>67</v>
      </c>
      <c r="E53" s="9">
        <v>2022</v>
      </c>
      <c r="F53" s="10">
        <v>4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f t="shared" ref="Y53:Y62" si="2">F53</f>
        <v>4</v>
      </c>
      <c r="Z53" s="10"/>
      <c r="AA53" s="10"/>
      <c r="AB53" s="10">
        <v>0</v>
      </c>
      <c r="AC53" s="10"/>
      <c r="AD53" s="10"/>
      <c r="AE53" s="10"/>
      <c r="AF53" s="10"/>
      <c r="AG53" s="10"/>
      <c r="AH53" s="10"/>
      <c r="AI53" s="10" t="s">
        <v>80</v>
      </c>
      <c r="AJ53" s="9" t="s">
        <v>113</v>
      </c>
      <c r="AK53" s="10" t="s">
        <v>65</v>
      </c>
      <c r="AL53" s="17"/>
      <c r="AM53" s="17"/>
    </row>
    <row r="54" spans="1:40" ht="22.5" customHeight="1">
      <c r="B54" s="10">
        <v>3</v>
      </c>
      <c r="C54" s="13" t="s">
        <v>102</v>
      </c>
      <c r="D54" s="10" t="s">
        <v>67</v>
      </c>
      <c r="E54" s="9">
        <v>2022</v>
      </c>
      <c r="F54" s="10">
        <v>1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>
        <f t="shared" si="2"/>
        <v>1</v>
      </c>
      <c r="Z54" s="10"/>
      <c r="AA54" s="10"/>
      <c r="AB54" s="10">
        <v>0</v>
      </c>
      <c r="AC54" s="10"/>
      <c r="AD54" s="10"/>
      <c r="AE54" s="10"/>
      <c r="AF54" s="10"/>
      <c r="AG54" s="10"/>
      <c r="AH54" s="10"/>
      <c r="AI54" s="10" t="s">
        <v>80</v>
      </c>
      <c r="AJ54" s="9" t="s">
        <v>113</v>
      </c>
      <c r="AK54" s="10" t="s">
        <v>65</v>
      </c>
      <c r="AL54" s="17"/>
      <c r="AM54" s="17"/>
    </row>
    <row r="55" spans="1:40" ht="22.5" customHeight="1">
      <c r="B55" s="10">
        <v>4</v>
      </c>
      <c r="C55" s="11" t="s">
        <v>111</v>
      </c>
      <c r="D55" s="10" t="s">
        <v>67</v>
      </c>
      <c r="E55" s="9">
        <v>2022</v>
      </c>
      <c r="F55" s="10">
        <v>3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f t="shared" si="2"/>
        <v>3</v>
      </c>
      <c r="Z55" s="10"/>
      <c r="AA55" s="10"/>
      <c r="AB55" s="10">
        <v>0</v>
      </c>
      <c r="AC55" s="10"/>
      <c r="AD55" s="10"/>
      <c r="AE55" s="10"/>
      <c r="AF55" s="10"/>
      <c r="AG55" s="10"/>
      <c r="AH55" s="10"/>
      <c r="AI55" s="10" t="s">
        <v>80</v>
      </c>
      <c r="AJ55" s="9" t="s">
        <v>113</v>
      </c>
      <c r="AK55" s="10" t="s">
        <v>65</v>
      </c>
      <c r="AL55" s="17"/>
      <c r="AM55" s="17"/>
    </row>
    <row r="56" spans="1:40" ht="22.5" customHeight="1">
      <c r="B56" s="10">
        <v>5</v>
      </c>
      <c r="C56" s="11" t="s">
        <v>104</v>
      </c>
      <c r="D56" s="10" t="s">
        <v>67</v>
      </c>
      <c r="E56" s="9">
        <v>2022</v>
      </c>
      <c r="F56" s="10">
        <v>7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f t="shared" si="2"/>
        <v>7</v>
      </c>
      <c r="Z56" s="10"/>
      <c r="AA56" s="10"/>
      <c r="AB56" s="10">
        <v>0</v>
      </c>
      <c r="AC56" s="10"/>
      <c r="AD56" s="10"/>
      <c r="AE56" s="10"/>
      <c r="AF56" s="10"/>
      <c r="AG56" s="10"/>
      <c r="AH56" s="10"/>
      <c r="AI56" s="10" t="s">
        <v>80</v>
      </c>
      <c r="AJ56" s="9" t="s">
        <v>113</v>
      </c>
      <c r="AK56" s="10" t="s">
        <v>65</v>
      </c>
      <c r="AL56" s="17"/>
      <c r="AM56" s="17"/>
    </row>
    <row r="57" spans="1:40" ht="22.5" customHeight="1">
      <c r="B57" s="10">
        <v>6</v>
      </c>
      <c r="C57" s="13" t="s">
        <v>112</v>
      </c>
      <c r="D57" s="10" t="s">
        <v>71</v>
      </c>
      <c r="E57" s="9">
        <v>2022</v>
      </c>
      <c r="F57" s="10">
        <v>1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>
        <f t="shared" si="2"/>
        <v>1</v>
      </c>
      <c r="Z57" s="10"/>
      <c r="AA57" s="10"/>
      <c r="AB57" s="10">
        <v>0</v>
      </c>
      <c r="AC57" s="10"/>
      <c r="AD57" s="10"/>
      <c r="AE57" s="10"/>
      <c r="AF57" s="10"/>
      <c r="AG57" s="10"/>
      <c r="AH57" s="10"/>
      <c r="AI57" s="10" t="s">
        <v>80</v>
      </c>
      <c r="AJ57" s="9" t="s">
        <v>113</v>
      </c>
      <c r="AK57" s="10" t="s">
        <v>65</v>
      </c>
      <c r="AL57" s="17"/>
      <c r="AM57" s="17"/>
    </row>
    <row r="58" spans="1:40" ht="22.5" customHeight="1">
      <c r="B58" s="10">
        <v>7</v>
      </c>
      <c r="C58" s="13" t="s">
        <v>92</v>
      </c>
      <c r="D58" s="10" t="s">
        <v>67</v>
      </c>
      <c r="E58" s="9">
        <v>2022</v>
      </c>
      <c r="F58" s="10">
        <v>9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>
        <f t="shared" si="2"/>
        <v>9</v>
      </c>
      <c r="Z58" s="10"/>
      <c r="AA58" s="10"/>
      <c r="AB58" s="10">
        <v>0</v>
      </c>
      <c r="AC58" s="10"/>
      <c r="AD58" s="10"/>
      <c r="AE58" s="10"/>
      <c r="AF58" s="10"/>
      <c r="AG58" s="10"/>
      <c r="AH58" s="10"/>
      <c r="AI58" s="10" t="s">
        <v>80</v>
      </c>
      <c r="AJ58" s="9" t="s">
        <v>113</v>
      </c>
      <c r="AK58" s="10" t="s">
        <v>65</v>
      </c>
      <c r="AL58" s="17"/>
      <c r="AM58" s="17"/>
    </row>
    <row r="59" spans="1:40" ht="22.5" customHeight="1">
      <c r="B59" s="10">
        <v>8</v>
      </c>
      <c r="C59" s="11" t="s">
        <v>68</v>
      </c>
      <c r="D59" s="10" t="s">
        <v>67</v>
      </c>
      <c r="E59" s="9">
        <v>2022</v>
      </c>
      <c r="F59" s="10">
        <v>2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>
        <f t="shared" si="2"/>
        <v>2</v>
      </c>
      <c r="Z59" s="10"/>
      <c r="AA59" s="10"/>
      <c r="AB59" s="10">
        <v>0</v>
      </c>
      <c r="AC59" s="10"/>
      <c r="AD59" s="10"/>
      <c r="AE59" s="10"/>
      <c r="AF59" s="10"/>
      <c r="AG59" s="10"/>
      <c r="AH59" s="10"/>
      <c r="AI59" s="10" t="s">
        <v>80</v>
      </c>
      <c r="AJ59" s="9" t="s">
        <v>113</v>
      </c>
      <c r="AK59" s="10" t="s">
        <v>65</v>
      </c>
      <c r="AL59" s="17"/>
      <c r="AM59" s="17"/>
    </row>
    <row r="60" spans="1:40" ht="22.5" customHeight="1">
      <c r="B60" s="10">
        <v>9</v>
      </c>
      <c r="C60" s="13" t="s">
        <v>114</v>
      </c>
      <c r="D60" s="10" t="s">
        <v>67</v>
      </c>
      <c r="E60" s="9">
        <v>2022</v>
      </c>
      <c r="F60" s="10">
        <v>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>
        <f t="shared" si="2"/>
        <v>6</v>
      </c>
      <c r="Z60" s="10"/>
      <c r="AA60" s="10"/>
      <c r="AB60" s="10">
        <v>0</v>
      </c>
      <c r="AC60" s="10"/>
      <c r="AD60" s="10"/>
      <c r="AE60" s="10"/>
      <c r="AF60" s="10"/>
      <c r="AG60" s="10"/>
      <c r="AH60" s="10"/>
      <c r="AI60" s="10" t="s">
        <v>80</v>
      </c>
      <c r="AJ60" s="9" t="s">
        <v>113</v>
      </c>
      <c r="AK60" s="10" t="s">
        <v>65</v>
      </c>
      <c r="AL60" s="17"/>
      <c r="AM60" s="17"/>
    </row>
    <row r="61" spans="1:40" ht="22.5" customHeight="1">
      <c r="B61" s="10">
        <v>10</v>
      </c>
      <c r="C61" s="13" t="s">
        <v>115</v>
      </c>
      <c r="D61" s="10" t="s">
        <v>67</v>
      </c>
      <c r="E61" s="9">
        <v>2022</v>
      </c>
      <c r="F61" s="10">
        <v>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f t="shared" si="2"/>
        <v>1</v>
      </c>
      <c r="Z61" s="10"/>
      <c r="AA61" s="10"/>
      <c r="AB61" s="10">
        <v>0</v>
      </c>
      <c r="AC61" s="10"/>
      <c r="AD61" s="10"/>
      <c r="AE61" s="10"/>
      <c r="AF61" s="10"/>
      <c r="AG61" s="10"/>
      <c r="AH61" s="10"/>
      <c r="AI61" s="10" t="s">
        <v>80</v>
      </c>
      <c r="AJ61" s="9" t="s">
        <v>113</v>
      </c>
      <c r="AK61" s="10" t="s">
        <v>65</v>
      </c>
      <c r="AL61" s="17"/>
      <c r="AM61" s="17"/>
    </row>
    <row r="62" spans="1:40" ht="22.5" customHeight="1">
      <c r="B62" s="10">
        <v>11</v>
      </c>
      <c r="C62" s="11" t="s">
        <v>116</v>
      </c>
      <c r="D62" s="10" t="s">
        <v>67</v>
      </c>
      <c r="E62" s="9">
        <v>2022</v>
      </c>
      <c r="F62" s="10">
        <v>2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f t="shared" si="2"/>
        <v>2</v>
      </c>
      <c r="Z62" s="10"/>
      <c r="AA62" s="10"/>
      <c r="AB62" s="10">
        <v>0</v>
      </c>
      <c r="AC62" s="10"/>
      <c r="AD62" s="10"/>
      <c r="AE62" s="10"/>
      <c r="AF62" s="10"/>
      <c r="AG62" s="10"/>
      <c r="AH62" s="10"/>
      <c r="AI62" s="10" t="s">
        <v>80</v>
      </c>
      <c r="AJ62" s="9" t="s">
        <v>113</v>
      </c>
      <c r="AK62" s="10" t="s">
        <v>65</v>
      </c>
      <c r="AL62" s="17"/>
      <c r="AM62" s="17"/>
    </row>
    <row r="63" spans="1:40" s="30" customFormat="1" ht="15" customHeight="1">
      <c r="B63" s="274"/>
      <c r="C63" s="274" t="s">
        <v>651</v>
      </c>
      <c r="D63" s="274"/>
      <c r="E63" s="276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>
        <f>SUM(AH22:AH62)</f>
        <v>38007000</v>
      </c>
      <c r="AI63" s="274"/>
      <c r="AJ63" s="276"/>
      <c r="AK63" s="274"/>
      <c r="AL63" s="275"/>
      <c r="AM63" s="275"/>
      <c r="AN63" s="278">
        <f>+AH63+'2. Khoa HIV-TK điện-tầng 5'!AH49</f>
        <v>116382000</v>
      </c>
    </row>
    <row r="64" spans="1:40" s="33" customFormat="1">
      <c r="A64" s="34"/>
      <c r="B64" s="30"/>
      <c r="C64" s="30"/>
      <c r="D64" s="30"/>
      <c r="E64" s="259"/>
      <c r="F64" s="31"/>
      <c r="G64" s="30"/>
      <c r="H64" s="30"/>
      <c r="I64" s="30"/>
      <c r="J64" s="30"/>
      <c r="K64" s="259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259"/>
      <c r="Y64" s="30"/>
      <c r="Z64" s="30"/>
      <c r="AA64" s="259"/>
      <c r="AB64" s="35"/>
      <c r="AC64" s="30"/>
      <c r="AD64" s="30"/>
      <c r="AE64" s="30"/>
      <c r="AF64" s="30"/>
      <c r="AG64" s="30"/>
      <c r="AH64" s="30"/>
      <c r="AI64" s="30"/>
      <c r="AJ64" s="282" t="s">
        <v>664</v>
      </c>
      <c r="AK64" s="282"/>
      <c r="AL64" s="282"/>
      <c r="AM64" s="282"/>
      <c r="AN64" s="30"/>
    </row>
    <row r="65" spans="1:40" s="33" customFormat="1" ht="16.5" customHeight="1">
      <c r="A65" s="34"/>
      <c r="B65" s="30" t="s">
        <v>422</v>
      </c>
      <c r="C65" s="30"/>
      <c r="D65" s="282" t="s">
        <v>421</v>
      </c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30"/>
      <c r="AA65" s="30"/>
      <c r="AB65" s="282" t="s">
        <v>51</v>
      </c>
      <c r="AC65" s="282"/>
      <c r="AD65" s="282"/>
      <c r="AE65" s="282"/>
      <c r="AF65" s="282"/>
      <c r="AG65" s="282"/>
      <c r="AH65" s="282"/>
      <c r="AI65" s="282"/>
      <c r="AJ65" s="282"/>
      <c r="AK65" s="282" t="s">
        <v>52</v>
      </c>
      <c r="AL65" s="282"/>
      <c r="AM65" s="282"/>
      <c r="AN65" s="30"/>
    </row>
    <row r="66" spans="1:40" s="33" customFormat="1" ht="17.25" customHeight="1">
      <c r="A66" s="34" t="s">
        <v>53</v>
      </c>
      <c r="B66" s="259"/>
      <c r="C66" s="32" t="s">
        <v>418</v>
      </c>
      <c r="D66" s="20"/>
      <c r="E66" s="259"/>
      <c r="F66" s="31"/>
      <c r="G66" s="30"/>
      <c r="H66" s="30"/>
      <c r="I66" s="30"/>
      <c r="J66" s="30"/>
      <c r="K66" s="259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259"/>
      <c r="Y66" s="30"/>
      <c r="Z66" s="30"/>
      <c r="AA66" s="259"/>
      <c r="AB66" s="35"/>
      <c r="AC66" s="30"/>
      <c r="AD66" s="30"/>
      <c r="AE66" s="30"/>
      <c r="AF66" s="30"/>
      <c r="AG66" s="30"/>
      <c r="AH66" s="30"/>
      <c r="AI66" s="30"/>
      <c r="AJ66" s="259"/>
      <c r="AK66" s="259"/>
      <c r="AL66" s="30"/>
      <c r="AM66" s="30"/>
      <c r="AN66" s="30"/>
    </row>
    <row r="67" spans="1:40" s="33" customFormat="1" ht="17.25" customHeight="1">
      <c r="A67" s="55" t="s">
        <v>53</v>
      </c>
      <c r="B67" s="259"/>
      <c r="C67" s="32" t="s">
        <v>416</v>
      </c>
      <c r="D67" s="20"/>
      <c r="E67" s="259"/>
      <c r="F67" s="31"/>
      <c r="G67" s="30"/>
      <c r="H67" s="30"/>
      <c r="I67" s="30"/>
      <c r="J67" s="30"/>
      <c r="K67" s="259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259"/>
      <c r="Y67" s="30"/>
      <c r="Z67" s="30"/>
      <c r="AA67" s="259"/>
      <c r="AB67" s="35"/>
      <c r="AC67" s="30"/>
      <c r="AD67" s="30"/>
      <c r="AE67" s="30"/>
      <c r="AF67" s="30"/>
      <c r="AG67" s="30"/>
      <c r="AH67" s="30"/>
      <c r="AI67" s="30"/>
      <c r="AJ67" s="259"/>
      <c r="AK67" s="259"/>
      <c r="AL67" s="30"/>
      <c r="AM67" s="30"/>
      <c r="AN67" s="30"/>
    </row>
    <row r="68" spans="1:40" s="33" customFormat="1" ht="17.25" customHeight="1">
      <c r="A68" s="34" t="s">
        <v>53</v>
      </c>
      <c r="B68" s="259"/>
      <c r="C68" s="32" t="s">
        <v>447</v>
      </c>
      <c r="D68" s="20"/>
      <c r="E68" s="259"/>
      <c r="F68" s="31"/>
      <c r="G68" s="30"/>
      <c r="H68" s="30"/>
      <c r="I68" s="30"/>
      <c r="J68" s="30"/>
      <c r="K68" s="259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259"/>
      <c r="Y68" s="30"/>
      <c r="Z68" s="30"/>
      <c r="AA68" s="259"/>
      <c r="AB68" s="35"/>
      <c r="AC68" s="30"/>
      <c r="AD68" s="30"/>
      <c r="AE68" s="30"/>
      <c r="AF68" s="30"/>
      <c r="AG68" s="30"/>
      <c r="AH68" s="30"/>
      <c r="AI68" s="30"/>
      <c r="AJ68" s="259"/>
      <c r="AK68" s="259"/>
      <c r="AL68" s="30"/>
      <c r="AM68" s="30"/>
      <c r="AN68" s="30"/>
    </row>
    <row r="69" spans="1:40" s="33" customFormat="1" ht="17.25" customHeight="1">
      <c r="A69" s="34" t="s">
        <v>53</v>
      </c>
      <c r="B69" s="259"/>
      <c r="C69" s="32" t="s">
        <v>659</v>
      </c>
      <c r="D69" s="20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70"/>
      <c r="AH69" s="270"/>
      <c r="AI69" s="282"/>
      <c r="AJ69" s="282"/>
      <c r="AK69" s="282"/>
      <c r="AL69" s="282"/>
      <c r="AM69" s="30"/>
      <c r="AN69" s="30"/>
    </row>
    <row r="70" spans="1:40" s="30" customFormat="1" ht="21.75" customHeight="1">
      <c r="A70" s="259"/>
      <c r="B70" s="259"/>
      <c r="C70" s="32" t="s">
        <v>660</v>
      </c>
      <c r="D70" s="282" t="s">
        <v>661</v>
      </c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AB70" s="282" t="s">
        <v>508</v>
      </c>
      <c r="AC70" s="282"/>
      <c r="AD70" s="282"/>
      <c r="AE70" s="282"/>
      <c r="AF70" s="282"/>
      <c r="AG70" s="282"/>
      <c r="AH70" s="282"/>
      <c r="AI70" s="282"/>
      <c r="AJ70" s="282"/>
      <c r="AK70" s="282" t="s">
        <v>446</v>
      </c>
      <c r="AL70" s="282"/>
      <c r="AM70" s="282"/>
    </row>
    <row r="71" spans="1:40" s="30" customFormat="1" ht="11.25" customHeight="1">
      <c r="B71" s="259"/>
      <c r="D71" s="20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70"/>
      <c r="AH71" s="270"/>
      <c r="AI71" s="282"/>
      <c r="AJ71" s="282"/>
      <c r="AK71" s="282"/>
      <c r="AL71" s="282"/>
      <c r="AM71" s="282"/>
    </row>
  </sheetData>
  <autoFilter ref="A17:AN62" xr:uid="{8A1620BD-EE1F-4246-A8E7-68DF9D92F797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24" showButton="0"/>
    <filterColumn colId="25" showButton="0"/>
    <filterColumn colId="27" showButton="0"/>
    <filterColumn colId="28" showButton="0"/>
  </autoFilter>
  <mergeCells count="47">
    <mergeCell ref="B6:AM6"/>
    <mergeCell ref="H18:J18"/>
    <mergeCell ref="Y18:Y20"/>
    <mergeCell ref="Z18:Z20"/>
    <mergeCell ref="AC18:AC20"/>
    <mergeCell ref="AD18:AD20"/>
    <mergeCell ref="AB18:AB20"/>
    <mergeCell ref="AA18:AA20"/>
    <mergeCell ref="AB17:AD17"/>
    <mergeCell ref="AE17:AE20"/>
    <mergeCell ref="AF17:AF20"/>
    <mergeCell ref="AK17:AK20"/>
    <mergeCell ref="AL17:AL20"/>
    <mergeCell ref="AJ17:AJ20"/>
    <mergeCell ref="AM17:AM20"/>
    <mergeCell ref="Y17:AA17"/>
    <mergeCell ref="AA1:AM1"/>
    <mergeCell ref="AA2:AM2"/>
    <mergeCell ref="B3:AM3"/>
    <mergeCell ref="AA4:AM4"/>
    <mergeCell ref="B5:AM5"/>
    <mergeCell ref="AI17:AI20"/>
    <mergeCell ref="H19:H20"/>
    <mergeCell ref="F17:Q17"/>
    <mergeCell ref="F18:F20"/>
    <mergeCell ref="G18:G20"/>
    <mergeCell ref="I19:J19"/>
    <mergeCell ref="AG17:AG19"/>
    <mergeCell ref="AH17:AH20"/>
    <mergeCell ref="A17:A20"/>
    <mergeCell ref="B17:B20"/>
    <mergeCell ref="C17:C20"/>
    <mergeCell ref="D17:D20"/>
    <mergeCell ref="E17:E20"/>
    <mergeCell ref="AI71:AJ71"/>
    <mergeCell ref="AK71:AM71"/>
    <mergeCell ref="AJ64:AM64"/>
    <mergeCell ref="AB65:AJ65"/>
    <mergeCell ref="AK65:AM65"/>
    <mergeCell ref="AI69:AJ69"/>
    <mergeCell ref="AB70:AJ70"/>
    <mergeCell ref="AK70:AM70"/>
    <mergeCell ref="E71:AF71"/>
    <mergeCell ref="E69:AF69"/>
    <mergeCell ref="AK69:AL69"/>
    <mergeCell ref="D70:Y70"/>
    <mergeCell ref="D65:Y65"/>
  </mergeCells>
  <printOptions horizontalCentered="1"/>
  <pageMargins left="0" right="0" top="0.24803149599999999" bottom="0.24803149599999999" header="0.31496062992126" footer="0.31496062992126"/>
  <pageSetup paperSize="9" scale="95" orientation="landscape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0"/>
  <sheetViews>
    <sheetView showGridLines="0" workbookViewId="0"/>
  </sheetViews>
  <sheetFormatPr defaultRowHeight="12.7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>
      <c r="B1" s="1" t="s">
        <v>156</v>
      </c>
      <c r="C1" s="1"/>
      <c r="D1" s="5"/>
      <c r="E1" s="5"/>
      <c r="F1" s="5"/>
    </row>
    <row r="2" spans="2:6">
      <c r="B2" s="1" t="s">
        <v>157</v>
      </c>
      <c r="C2" s="1"/>
      <c r="D2" s="5"/>
      <c r="E2" s="5"/>
      <c r="F2" s="5"/>
    </row>
    <row r="3" spans="2:6">
      <c r="B3" s="2"/>
      <c r="C3" s="2"/>
      <c r="D3" s="6"/>
      <c r="E3" s="6"/>
      <c r="F3" s="6"/>
    </row>
    <row r="4" spans="2:6" ht="25.5">
      <c r="B4" s="2" t="s">
        <v>158</v>
      </c>
      <c r="C4" s="2"/>
      <c r="D4" s="6"/>
      <c r="E4" s="6"/>
      <c r="F4" s="6"/>
    </row>
    <row r="5" spans="2:6">
      <c r="B5" s="2"/>
      <c r="C5" s="2"/>
      <c r="D5" s="6"/>
      <c r="E5" s="6"/>
      <c r="F5" s="6"/>
    </row>
    <row r="6" spans="2:6">
      <c r="B6" s="1" t="s">
        <v>159</v>
      </c>
      <c r="C6" s="1"/>
      <c r="D6" s="5"/>
      <c r="E6" s="5" t="s">
        <v>160</v>
      </c>
      <c r="F6" s="5" t="s">
        <v>161</v>
      </c>
    </row>
    <row r="7" spans="2:6" ht="13.5" thickBot="1">
      <c r="B7" s="2"/>
      <c r="C7" s="2"/>
      <c r="D7" s="6"/>
      <c r="E7" s="6"/>
      <c r="F7" s="6"/>
    </row>
    <row r="8" spans="2:6" ht="39" thickBot="1">
      <c r="B8" s="3" t="s">
        <v>162</v>
      </c>
      <c r="C8" s="4"/>
      <c r="D8" s="7"/>
      <c r="E8" s="7">
        <v>2</v>
      </c>
      <c r="F8" s="8" t="s">
        <v>163</v>
      </c>
    </row>
    <row r="9" spans="2:6">
      <c r="B9" s="2"/>
      <c r="C9" s="2"/>
      <c r="D9" s="6"/>
      <c r="E9" s="6"/>
      <c r="F9" s="6"/>
    </row>
    <row r="10" spans="2:6">
      <c r="B10" s="2"/>
      <c r="C10" s="2"/>
      <c r="D10" s="6"/>
      <c r="E10" s="6"/>
      <c r="F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foxz</vt:lpstr>
      <vt:lpstr>1.Khoa HIV-TB VP-2023</vt:lpstr>
      <vt:lpstr>2. Khoa HIV-TK điện-tầng 5</vt:lpstr>
      <vt:lpstr>3. Khoa HIV-TK điện-tầng 1</vt:lpstr>
      <vt:lpstr>Compatibility Report</vt:lpstr>
      <vt:lpstr>'1.Khoa HIV-TB VP-2023'!Print_Area</vt:lpstr>
      <vt:lpstr>'1.Khoa HIV-TB VP-2023'!Print_Titles</vt:lpstr>
      <vt:lpstr>'2. Khoa HIV-TK điện-tầng 5'!Print_Titles</vt:lpstr>
      <vt:lpstr>'3. Khoa HIV-TK điện-tầng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2026-05-06T02:47:38Z</cp:lastPrinted>
  <dcterms:created xsi:type="dcterms:W3CDTF">2019-01-08T07:18:38Z</dcterms:created>
  <dcterms:modified xsi:type="dcterms:W3CDTF">2026-06-17T02:03:13Z</dcterms:modified>
</cp:coreProperties>
</file>