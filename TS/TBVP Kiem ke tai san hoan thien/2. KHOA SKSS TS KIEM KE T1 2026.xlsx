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2D5EC4DF-4571-4C2F-95CE-5A4501E6D512}" xr6:coauthVersionLast="36" xr6:coauthVersionMax="47" xr10:uidLastSave="{00000000-0000-0000-0000-000000000000}"/>
  <bookViews>
    <workbookView xWindow="-120" yWindow="-120" windowWidth="19800" windowHeight="11760" firstSheet="1" activeTab="2" xr2:uid="{00000000-000D-0000-FFFF-FFFF00000000}"/>
  </bookViews>
  <sheets>
    <sheet name="XXXXXXXXX" sheetId="4" state="veryHidden" r:id="rId1"/>
    <sheet name="Khoa SKSS-TB VP-2025" sheetId="7" r:id="rId2"/>
    <sheet name="Khoa SKSS-2025-TB Điện" sheetId="10" r:id="rId3"/>
  </sheets>
  <definedNames>
    <definedName name="_Fill" localSheetId="2" hidden="1">#REF!</definedName>
    <definedName name="_Fill" localSheetId="1" hidden="1">#REF!</definedName>
    <definedName name="_Fill" hidden="1">#REF!</definedName>
    <definedName name="_xlnm._FilterDatabase" localSheetId="2" hidden="1">'Khoa SKSS-2025-TB Điện'!$A$16:$AN$46</definedName>
    <definedName name="_xlnm._FilterDatabase" localSheetId="1" hidden="1">'Khoa SKSS-TB VP-2025'!$A$14:$AN$67</definedName>
    <definedName name="_xlnm.Print_Area" localSheetId="1">'Khoa SKSS-TB VP-2025'!$A$1:$AL$78</definedName>
    <definedName name="_xlnm.Print_Titles" localSheetId="2">'Khoa SKSS-2025-TB Điện'!$16:$20</definedName>
    <definedName name="_xlnm.Print_Titles" localSheetId="1">'Khoa SKSS-TB VP-2025'!$14:$16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H44" i="10" l="1"/>
  <c r="AH46" i="10" s="1"/>
  <c r="AG67" i="7" l="1"/>
  <c r="AG37" i="7" l="1"/>
  <c r="AG47" i="7" l="1"/>
  <c r="AG25" i="7"/>
  <c r="AG24" i="7" l="1"/>
  <c r="AG22" i="7" l="1"/>
  <c r="AC46" i="7" l="1"/>
  <c r="Y46" i="7"/>
  <c r="AB46" i="7" s="1"/>
  <c r="AC45" i="7"/>
  <c r="Y45" i="7"/>
  <c r="AB45" i="7" s="1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AC30" i="7"/>
  <c r="AB30" i="7"/>
  <c r="AC29" i="7"/>
  <c r="Y29" i="7"/>
  <c r="AB29" i="7" s="1"/>
</calcChain>
</file>

<file path=xl/sharedStrings.xml><?xml version="1.0" encoding="utf-8"?>
<sst xmlns="http://schemas.openxmlformats.org/spreadsheetml/2006/main" count="677" uniqueCount="232">
  <si>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</si>
  <si>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</si>
  <si>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</si>
  <si>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</si>
  <si>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</si>
  <si>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</si>
  <si>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</si>
  <si>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</si>
  <si>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</si>
  <si>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</si>
  <si>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</si>
  <si>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</si>
  <si>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</si>
  <si>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</si>
  <si>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Ghi 
chú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</si>
  <si>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</si>
  <si>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</si>
  <si>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</si>
  <si>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</si>
  <si>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</si>
  <si>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</si>
  <si>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</si>
  <si>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</si>
  <si>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</si>
  <si>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</si>
  <si>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</si>
  <si>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</si>
  <si>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</si>
  <si>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</si>
  <si>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</si>
  <si>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</si>
  <si>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</si>
  <si>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</si>
  <si>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</si>
  <si>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</si>
  <si>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</si>
  <si>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</si>
  <si>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</si>
  <si>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</si>
  <si>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</si>
  <si>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</si>
  <si>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</si>
  <si>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Nhật</t>
  </si>
  <si>
    <t>đang sd</t>
  </si>
  <si>
    <t>ĐNA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</si>
  <si>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</si>
  <si>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</si>
  <si>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</si>
  <si>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</si>
  <si>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</si>
  <si>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</si>
  <si>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chuyển đến</t>
  </si>
  <si>
    <t>Thành viên tổ kiểm kê</t>
  </si>
  <si>
    <t>Trưởng phòng TC - KT</t>
  </si>
  <si>
    <t>Chủ tịch hội đồng</t>
  </si>
  <si>
    <t>-</t>
  </si>
  <si>
    <t>Nguyễn Thanh Huỳnh</t>
  </si>
  <si>
    <t>2. Ông. Nguyễn Thanh Huỳnh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</si>
  <si>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</si>
  <si>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</si>
  <si>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</si>
  <si>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</si>
  <si>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</si>
  <si>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</si>
  <si>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4. Ông. Dương Ấm Mậu</t>
  </si>
  <si>
    <t>Hỏng</t>
  </si>
  <si>
    <t>Bàn làm việc - BLV15-1
-Kích thước: (1.500x750x760)mm.
- Gỗ công nghiệp phủ melamine có hộc liền.</t>
  </si>
  <si>
    <t>Phòng làm việc</t>
  </si>
  <si>
    <t>Bàn làm việc - BLV1809-1
-Kích thước: (1.800x900x760)mm.
-Gỗ công nghiệp phun PU</t>
  </si>
  <si>
    <t>Tủ đựng dụng cụ
-Kích thước: (1.000x450x1.830)mm.
- Khung sắt sơn tĩnh điện khoang trên có 03 khoang, có 02 đợt di động. Khung cánh kính mở</t>
  </si>
  <si>
    <t>Ghế làm việc
-Kích thước: (550x530x865/990)mm.
- Khung nhựa, đệm tựa bọc vải tay nhựa.</t>
  </si>
  <si>
    <t>Đơn vị tính</t>
  </si>
  <si>
    <t>Nơi tài sản mới chuyển đến</t>
  </si>
  <si>
    <t xml:space="preserve">Ghi chú
</t>
  </si>
  <si>
    <t>Phòng LV</t>
  </si>
  <si>
    <t>đang SD</t>
  </si>
  <si>
    <t>Đèn led panel 45w vuông 0,6x0,6 m</t>
  </si>
  <si>
    <t>bộ</t>
  </si>
  <si>
    <t>Công tắc 4</t>
  </si>
  <si>
    <t>Ổ cắm đôi 3 chấu</t>
  </si>
  <si>
    <t>Tủ điện âm tường bao gồm thiết bị</t>
  </si>
  <si>
    <t>Đầu báo khói địa chỉ (kể cả đế)</t>
  </si>
  <si>
    <t>cái</t>
  </si>
  <si>
    <t xml:space="preserve">Đầu phun sprinkler 68 độ C (loại quay xuống) + đế </t>
  </si>
  <si>
    <t>Miệng gió 250x250 + OBD</t>
  </si>
  <si>
    <t>Công tắc đôi</t>
  </si>
  <si>
    <t>Điều hòa treo tường 24.000 Btu/h + remote</t>
  </si>
  <si>
    <t>I</t>
  </si>
  <si>
    <t>II</t>
  </si>
  <si>
    <t>Đặng Thị Tuyến……………………….</t>
  </si>
  <si>
    <t>Trần Quốc Việt………………………...</t>
  </si>
  <si>
    <t>Lưu Thị Mận………………………..…</t>
  </si>
  <si>
    <t>Trần Liên…………………………...….</t>
  </si>
  <si>
    <t>Trần Liên………………...…………….</t>
  </si>
  <si>
    <t>Khoa SKSS</t>
  </si>
  <si>
    <t>Tủ ván ép kính trưng bày 1.2m</t>
  </si>
  <si>
    <t>Bàn tròn gỗ tiếp dân</t>
  </si>
  <si>
    <t>Di chuyển bị hỏng để xác ở tầng hầm</t>
  </si>
  <si>
    <t>Ghế nệm xếp thấp</t>
  </si>
  <si>
    <t>Tủ tài liệu gỗ ép 2 ngăn</t>
  </si>
  <si>
    <t>Quạt đứng ASIA</t>
  </si>
  <si>
    <t>Tủ kính trưng bày</t>
  </si>
  <si>
    <t>Ghế nệm xếp cao</t>
  </si>
  <si>
    <t>Ghế nệm xếp thấp</t>
  </si>
  <si>
    <t>Bàn vi tính 1,4m x 0,7m</t>
  </si>
  <si>
    <t>Bàn vi tính 1,4m x 0,45m</t>
  </si>
  <si>
    <t>Ghế nệm tròn</t>
  </si>
  <si>
    <t>Bàn gỗ dài</t>
  </si>
  <si>
    <t>Bàn gỗ ép để máy chiếu</t>
  </si>
  <si>
    <t>Bàn bóng bàn</t>
  </si>
  <si>
    <t>Ghế nhựa</t>
  </si>
  <si>
    <t>Ghế nệm xoay có tay</t>
  </si>
  <si>
    <t>Bàn tiếp khách chữ nhật gỗ Muôn</t>
  </si>
  <si>
    <t>Bàn gỗ để nước</t>
  </si>
  <si>
    <t>P. Giao ban (T5.4)</t>
  </si>
  <si>
    <t>Bàn họp - BHT3010
-Kích thước: (3.000x1.200x750)mm.
-Gỗ công nghiệp phủ melamin.</t>
  </si>
  <si>
    <t>Ghế họp giao ban - GQ712
-Kích thước: (580x620x950)mm.
- Khung thép sơn tĩnh điện, đệm tựa bọc vải, lưng trung</t>
  </si>
  <si>
    <t>BLV 1809/18</t>
  </si>
  <si>
    <t>PHÒNG LÀM VIỆC  (T5.3)</t>
  </si>
  <si>
    <t>TDC 73, 74</t>
  </si>
  <si>
    <t>Phòng Giao ban</t>
  </si>
  <si>
    <t>Ổ cắm đôi 3 chấu âm sàn</t>
  </si>
  <si>
    <t>Module INPUT/OUTPUT loại địa chỉ (DIMM)</t>
  </si>
  <si>
    <t>Công tắc dòng chảy</t>
  </si>
  <si>
    <t>Đồng hồ đo áp lực + van chặn đồng hồ áp lực</t>
  </si>
  <si>
    <t>Van chặn ty nổi bắt bích dn=100mm</t>
  </si>
  <si>
    <t>Van chặn DN25</t>
  </si>
  <si>
    <t>Điều hòa cassette 48.000 Btu/h + remote</t>
  </si>
  <si>
    <t>Điều hòa cassette 36.000 Btu/h + remote</t>
  </si>
  <si>
    <t>Miệng gió 800x150 + OBD</t>
  </si>
  <si>
    <t>Đèn led panel 45 w vuông 0,6x0,6 m</t>
  </si>
  <si>
    <t>Đầu phun sprinkler 68 độ C (loại quay xuống) + đế</t>
  </si>
  <si>
    <t>P. Làm việc K. SKSS (T5.3)</t>
  </si>
  <si>
    <t>Phòng GB</t>
  </si>
  <si>
    <t>Trần Thị Dạ Thảo</t>
  </si>
  <si>
    <t>4. Bà Trần Thị Dạ Thảo</t>
  </si>
  <si>
    <t>4. Bà</t>
  </si>
  <si>
    <t>BHT3010/6</t>
  </si>
  <si>
    <t>GQ 712/148-157</t>
  </si>
  <si>
    <t>ko sd</t>
  </si>
  <si>
    <t>PHÒNG GIAO BAN</t>
  </si>
  <si>
    <t>06 PCT</t>
  </si>
  <si>
    <t>Cây treo đồ</t>
  </si>
  <si>
    <t>Ghế nệm xoay</t>
  </si>
  <si>
    <t>Trên trần</t>
  </si>
  <si>
    <t>Tầng hầm</t>
  </si>
  <si>
    <t>TÀI SẢN THANH LÝ THEO QUYẾT ĐỊNH 443/QĐ-TTKSBT NGÀY 13/12/2023</t>
  </si>
  <si>
    <t>GLV 217- 224</t>
  </si>
  <si>
    <t>6 PCT</t>
  </si>
  <si>
    <t>Trưởng khoa SKSS</t>
  </si>
  <si>
    <t>1. Ông. Nguyễn Đại Vĩnh</t>
  </si>
  <si>
    <t>Giám đốc</t>
  </si>
  <si>
    <t>Nguyễn Đại Vĩnh</t>
  </si>
  <si>
    <t>Đại diện Khoa Sức khỏe sinh sản</t>
  </si>
  <si>
    <t xml:space="preserve">BIÊN BẢN KIỂM KÊ TÀI SẢN CỐ ĐỊNH NĂM 2025
TBVP KHOA SỨC KHOẺ SINH SẢN </t>
  </si>
  <si>
    <t>- Hôm nay, ngày  05    tháng 6    năm 2025, tại Trung tâm Kiểm soát bệnh tât TP Đà Nẵng chúng tôi gồm:</t>
  </si>
  <si>
    <t>Lê Thị Bích Trâm………………………..</t>
  </si>
  <si>
    <t>Lê Thị Bích Trâm……………………….</t>
  </si>
  <si>
    <t>BIÊN BẢN KIỂM KÊ TÀI SẢN CỐ ĐỊNH NĂM 2025
THIẾT BỊ ĐIỆN KHOA SỨC KHOẺ SINH SẢN</t>
  </si>
  <si>
    <t xml:space="preserve">                            Đà Nẵng, ngày 05 tháng  6 năm 2025</t>
  </si>
  <si>
    <t>+1</t>
  </si>
  <si>
    <t>BLV 129-135, 96.</t>
  </si>
  <si>
    <t>Tủ đựng hồ sơ sắt 2 cánh TU09K3</t>
  </si>
  <si>
    <t>17-SKSS</t>
  </si>
  <si>
    <t>Cơ sở 2 chuyển ra</t>
  </si>
  <si>
    <t>Quạt Senko</t>
  </si>
  <si>
    <t>14/CDC/2024</t>
  </si>
  <si>
    <t>Ghế nhựa ngồi giao ban</t>
  </si>
  <si>
    <t>74, 75, 76-HIV/17</t>
  </si>
  <si>
    <t>+3</t>
  </si>
  <si>
    <t>Ghế làm việc - Kích thước
-Kích thước: (550x530x990)mm.
- Khung nhựa, đệm tựa bọc vải tay nhựa</t>
  </si>
  <si>
    <t>Đơn giá</t>
  </si>
  <si>
    <t>Thành tiền</t>
  </si>
  <si>
    <t>BLV 96 Phòng làm việc Khoa KDYTQT chuyển sang (nhận từ P.TCHC)</t>
  </si>
  <si>
    <t>GLV 190-192</t>
  </si>
  <si>
    <t xml:space="preserve">Phòng TCHC chuyển sang </t>
  </si>
  <si>
    <t>Phòng TCHC chuyển sang (nhận từ CDC cơ sở 2- KHNV)</t>
  </si>
  <si>
    <t>Bàn gỗ + ghế vi tính (ghế xếp nệm xanh)</t>
  </si>
  <si>
    <t>CS2</t>
  </si>
  <si>
    <t>CƠ SỞ 1</t>
  </si>
  <si>
    <t>CƠ SỞ 2</t>
  </si>
  <si>
    <t>Ghế ngủ văn phòng</t>
  </si>
  <si>
    <t>02-SKSS</t>
  </si>
  <si>
    <t>Ghế xoay Đài Loan</t>
  </si>
  <si>
    <t>03-SKSS</t>
  </si>
  <si>
    <t>Rèm cửa sổ</t>
  </si>
  <si>
    <t>04-SKSS</t>
  </si>
  <si>
    <t>Quạt thông gió</t>
  </si>
  <si>
    <t>05-SKSS</t>
  </si>
  <si>
    <t>hỏng</t>
  </si>
  <si>
    <t>Kho 15 Trần Hưng Đạo</t>
  </si>
  <si>
    <t>Kho 129 TNV</t>
  </si>
  <si>
    <t>Kho 135 TNV</t>
  </si>
  <si>
    <t>Kho 15 THĐ</t>
  </si>
  <si>
    <t>Tủ nhôm trắng</t>
  </si>
  <si>
    <t>10-SKSS</t>
  </si>
  <si>
    <t>Tủ sắt ngoại</t>
  </si>
  <si>
    <t>11-SKSS</t>
  </si>
  <si>
    <t>Bàn vi tính gỗ mã Lai màu vàng</t>
  </si>
  <si>
    <t>12-SKSS</t>
  </si>
  <si>
    <t>Bàn gỗ Bero có hộc</t>
  </si>
  <si>
    <t>13-SKSS</t>
  </si>
  <si>
    <t xml:space="preserve">Bàn gương Inox 1,53m -P902 </t>
  </si>
  <si>
    <t>14-SKSS</t>
  </si>
  <si>
    <t xml:space="preserve">Ghế InoX GX17  </t>
  </si>
  <si>
    <t>15-SKSS</t>
  </si>
  <si>
    <t>0</t>
  </si>
  <si>
    <t>Quạt đứng Quatvina</t>
  </si>
  <si>
    <t>19-SKSS</t>
  </si>
  <si>
    <t>20-SKSS</t>
  </si>
  <si>
    <t>Bàn  gỗ Bero có hộc</t>
  </si>
  <si>
    <t>32-SKSS</t>
  </si>
  <si>
    <t>Tủ gỗ hồ sơ</t>
  </si>
  <si>
    <t>33-SKSS</t>
  </si>
  <si>
    <t>2007</t>
  </si>
  <si>
    <t>Bàn làm việc(1,6x0,8x0,75) gỗ huỹnh</t>
  </si>
  <si>
    <t>34-SKSS</t>
  </si>
  <si>
    <t>2012</t>
  </si>
  <si>
    <t>Tủ hồ sơ TU17B1C2 (1000x500x1830) mm</t>
  </si>
  <si>
    <t>32/SKSS/2023</t>
  </si>
  <si>
    <t xml:space="preserve">                            Đà Nẵng, ngày    tháng 01 năm 2026</t>
  </si>
  <si>
    <t>Hồ Phú Quảng</t>
  </si>
  <si>
    <t>Nguyễn Thị Hà Vy………………………..</t>
  </si>
  <si>
    <t>15 THĐ</t>
  </si>
  <si>
    <t>- Hôm nay, ngày      tháng     năm 2026, tại Trung tâm Kiểm soát bệnh tât TP Đà Nẵng chúng tôi gồm:</t>
  </si>
  <si>
    <t>2. Ông. Hồ Phú Quảng</t>
  </si>
  <si>
    <t>(HT Tầng 7)</t>
  </si>
  <si>
    <t>Máy điều hòa Panasonic</t>
  </si>
  <si>
    <t>SS 01/15</t>
  </si>
  <si>
    <t>THEO DÕI CCDC</t>
  </si>
  <si>
    <t>TỔNG CỘNG</t>
  </si>
  <si>
    <t xml:space="preserve">Đơn giá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</si>
</sst>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  <numFmt numFmtId="174" formatCode="_-* #,##0&quot; &quot;_ _-;\-* #,##0&quot; &quot;_ _-;_-* &quot;-&quot;??&quot; &quot;_ _-;_-@_-"/>
  </numFmts>
  <fonts count="28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163"/>
    </font>
    <font>
      <b/>
      <u/>
      <sz val="12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8"/>
      <name val="VNtimes new roman"/>
    </font>
    <font>
      <sz val="8"/>
      <color indexed="8"/>
      <name val="Arial"/>
      <family val="2"/>
    </font>
    <font>
      <sz val="10"/>
      <name val="Times New Roman"/>
      <family val="1"/>
      <charset val="163"/>
    </font>
    <font>
      <b/>
      <sz val="10"/>
      <name val="VNtimes new roman"/>
      <family val="2"/>
      <charset val="163"/>
    </font>
    <font>
      <sz val="10"/>
      <color rgb="FFFF0000"/>
      <name val="Times New Roman"/>
      <family val="1"/>
      <charset val="163"/>
    </font>
    <font>
      <b/>
      <sz val="10"/>
      <color rgb="FFFF000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</borders>
  <cellStyleXfs count="32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8" fontId="2" fillId="0" borderId="0"/>
    <xf numFmtId="0" fontId="14" fillId="0" borderId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" fillId="0" borderId="0"/>
    <xf numFmtId="0" fontId="11" fillId="0" borderId="0"/>
    <xf numFmtId="0" fontId="21" fillId="0" borderId="0" applyNumberFormat="0" applyFill="0" applyBorder="0" applyAlignment="0" applyProtection="0">
      <alignment vertical="top"/>
    </xf>
    <xf numFmtId="0" fontId="13" fillId="0" borderId="0" applyAlignment="0">
      <alignment vertical="top" wrapText="1"/>
      <protection locked="0"/>
    </xf>
    <xf numFmtId="164" fontId="2" fillId="0" borderId="0" applyFont="0" applyFill="0" applyBorder="0" applyAlignment="0" applyProtection="0"/>
    <xf numFmtId="0" fontId="1" fillId="0" borderId="0"/>
  </cellStyleXfs>
  <cellXfs count="188">
    <xf numFmtId="0" fontId="0" fillId="0" borderId="0" xfId="0"/>
    <xf numFmtId="0" fontId="15" fillId="2" borderId="0" xfId="0" applyFont="1" applyFill="1"/>
    <xf numFmtId="3" fontId="12" fillId="2" borderId="2" xfId="0" applyNumberFormat="1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" xfId="14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vertical="center" wrapText="1"/>
    </xf>
    <xf numFmtId="0" fontId="12" fillId="2" borderId="2" xfId="14" applyFont="1" applyFill="1" applyBorder="1" applyAlignment="1">
      <alignment vertical="center" wrapText="1"/>
    </xf>
    <xf numFmtId="0" fontId="11" fillId="2" borderId="0" xfId="0" applyFont="1" applyFill="1"/>
    <xf numFmtId="0" fontId="10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11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right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quotePrefix="1" applyFont="1" applyFill="1"/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165" fontId="10" fillId="2" borderId="0" xfId="7" applyNumberFormat="1" applyFont="1" applyFill="1" applyAlignment="1">
      <alignment horizontal="center"/>
    </xf>
    <xf numFmtId="0" fontId="18" fillId="2" borderId="0" xfId="0" applyFont="1" applyFill="1"/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165" fontId="11" fillId="2" borderId="0" xfId="7" applyNumberFormat="1" applyFont="1" applyFill="1" applyBorder="1" applyAlignment="1">
      <alignment horizontal="center"/>
    </xf>
    <xf numFmtId="165" fontId="11" fillId="2" borderId="0" xfId="8" applyNumberFormat="1" applyFont="1" applyFill="1" applyBorder="1" applyAlignment="1">
      <alignment horizontal="center"/>
    </xf>
    <xf numFmtId="3" fontId="12" fillId="2" borderId="2" xfId="0" applyNumberFormat="1" applyFont="1" applyFill="1" applyBorder="1" applyAlignment="1">
      <alignment horizontal="center" vertical="center" wrapText="1"/>
    </xf>
    <xf numFmtId="166" fontId="12" fillId="2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/>
    </xf>
    <xf numFmtId="166" fontId="12" fillId="2" borderId="2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0" fillId="2" borderId="2" xfId="0" applyFont="1" applyFill="1" applyBorder="1" applyAlignment="1">
      <alignment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3" fontId="13" fillId="2" borderId="2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vertical="center"/>
    </xf>
    <xf numFmtId="0" fontId="19" fillId="2" borderId="0" xfId="0" applyFont="1" applyFill="1" applyAlignment="1">
      <alignment horizontal="center"/>
    </xf>
    <xf numFmtId="3" fontId="10" fillId="2" borderId="0" xfId="0" applyNumberFormat="1" applyFont="1" applyFill="1" applyAlignment="1">
      <alignment horizontal="right"/>
    </xf>
    <xf numFmtId="165" fontId="10" fillId="2" borderId="0" xfId="8" applyNumberFormat="1" applyFont="1" applyFill="1" applyBorder="1"/>
    <xf numFmtId="0" fontId="19" fillId="2" borderId="0" xfId="0" applyFont="1" applyFill="1"/>
    <xf numFmtId="165" fontId="10" fillId="2" borderId="0" xfId="7" applyNumberFormat="1" applyFont="1" applyFill="1" applyBorder="1"/>
    <xf numFmtId="165" fontId="11" fillId="2" borderId="0" xfId="8" applyNumberFormat="1" applyFont="1" applyFill="1" applyAlignment="1">
      <alignment horizontal="center"/>
    </xf>
    <xf numFmtId="0" fontId="22" fillId="2" borderId="0" xfId="0" applyFont="1" applyFill="1"/>
    <xf numFmtId="0" fontId="22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/>
    </xf>
    <xf numFmtId="165" fontId="15" fillId="2" borderId="0" xfId="7" applyNumberFormat="1" applyFont="1" applyFill="1" applyAlignment="1">
      <alignment horizontal="center"/>
    </xf>
    <xf numFmtId="49" fontId="15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wrapText="1"/>
    </xf>
    <xf numFmtId="49" fontId="22" fillId="2" borderId="0" xfId="0" applyNumberFormat="1" applyFont="1" applyFill="1"/>
    <xf numFmtId="3" fontId="22" fillId="2" borderId="0" xfId="0" applyNumberFormat="1" applyFont="1" applyFill="1" applyAlignment="1">
      <alignment horizontal="right"/>
    </xf>
    <xf numFmtId="49" fontId="22" fillId="2" borderId="0" xfId="7" applyNumberFormat="1" applyFont="1" applyFill="1" applyBorder="1" applyAlignment="1">
      <alignment horizontal="center"/>
    </xf>
    <xf numFmtId="0" fontId="22" fillId="2" borderId="1" xfId="0" applyFont="1" applyFill="1" applyBorder="1"/>
    <xf numFmtId="3" fontId="15" fillId="2" borderId="3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166" fontId="15" fillId="2" borderId="2" xfId="0" applyNumberFormat="1" applyFont="1" applyFill="1" applyBorder="1" applyAlignment="1">
      <alignment horizontal="center" vertical="center"/>
    </xf>
    <xf numFmtId="49" fontId="1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right" vertical="center"/>
    </xf>
    <xf numFmtId="0" fontId="22" fillId="2" borderId="1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15" fillId="2" borderId="2" xfId="0" applyFont="1" applyFill="1" applyBorder="1" applyAlignment="1">
      <alignment horizontal="left" vertical="center"/>
    </xf>
    <xf numFmtId="3" fontId="15" fillId="2" borderId="2" xfId="0" applyNumberFormat="1" applyFont="1" applyFill="1" applyBorder="1" applyAlignment="1">
      <alignment horizontal="left" vertical="center"/>
    </xf>
    <xf numFmtId="49" fontId="15" fillId="2" borderId="2" xfId="0" quotePrefix="1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right"/>
    </xf>
    <xf numFmtId="0" fontId="22" fillId="2" borderId="2" xfId="0" applyFont="1" applyFill="1" applyBorder="1" applyAlignment="1">
      <alignment horizontal="center" vertical="center"/>
    </xf>
    <xf numFmtId="3" fontId="22" fillId="2" borderId="2" xfId="0" applyNumberFormat="1" applyFont="1" applyFill="1" applyBorder="1" applyAlignment="1">
      <alignment horizontal="center" vertical="center"/>
    </xf>
    <xf numFmtId="3" fontId="22" fillId="2" borderId="2" xfId="0" applyNumberFormat="1" applyFont="1" applyFill="1" applyBorder="1" applyAlignment="1">
      <alignment horizontal="left" vertical="center"/>
    </xf>
    <xf numFmtId="49" fontId="22" fillId="2" borderId="2" xfId="0" quotePrefix="1" applyNumberFormat="1" applyFont="1" applyFill="1" applyBorder="1" applyAlignment="1">
      <alignment horizontal="center" vertical="center"/>
    </xf>
    <xf numFmtId="3" fontId="22" fillId="2" borderId="2" xfId="0" applyNumberFormat="1" applyFont="1" applyFill="1" applyBorder="1" applyAlignment="1">
      <alignment horizontal="center" vertical="center" wrapText="1"/>
    </xf>
    <xf numFmtId="0" fontId="15" fillId="3" borderId="3" xfId="28" applyFont="1" applyFill="1" applyBorder="1" applyAlignment="1" applyProtection="1">
      <alignment horizontal="left" vertical="center" wrapText="1" shrinkToFit="1"/>
      <protection locked="0"/>
    </xf>
    <xf numFmtId="0" fontId="22" fillId="3" borderId="3" xfId="28" applyFont="1" applyFill="1" applyBorder="1" applyAlignment="1" applyProtection="1">
      <alignment horizontal="center" vertical="center" wrapText="1" shrinkToFit="1"/>
      <protection locked="0"/>
    </xf>
    <xf numFmtId="3" fontId="22" fillId="3" borderId="3" xfId="28" applyNumberFormat="1" applyFont="1" applyFill="1" applyBorder="1" applyAlignment="1" applyProtection="1">
      <alignment horizontal="right" vertical="center" wrapText="1" shrinkToFit="1"/>
      <protection locked="0"/>
    </xf>
    <xf numFmtId="0" fontId="22" fillId="2" borderId="2" xfId="0" applyFont="1" applyFill="1" applyBorder="1" applyAlignment="1">
      <alignment vertical="center" wrapText="1"/>
    </xf>
    <xf numFmtId="173" fontId="22" fillId="2" borderId="2" xfId="29" applyNumberFormat="1" applyFont="1" applyFill="1" applyBorder="1" applyAlignment="1" applyProtection="1">
      <alignment horizontal="right" vertical="center" wrapText="1"/>
    </xf>
    <xf numFmtId="3" fontId="22" fillId="2" borderId="2" xfId="0" applyNumberFormat="1" applyFont="1" applyFill="1" applyBorder="1" applyAlignment="1">
      <alignment horizontal="right" vertical="center"/>
    </xf>
    <xf numFmtId="3" fontId="22" fillId="2" borderId="2" xfId="0" applyNumberFormat="1" applyFont="1" applyFill="1" applyBorder="1" applyAlignment="1">
      <alignment horizontal="left" vertical="center" wrapText="1"/>
    </xf>
    <xf numFmtId="49" fontId="22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left" vertical="center"/>
    </xf>
    <xf numFmtId="3" fontId="15" fillId="2" borderId="2" xfId="0" applyNumberFormat="1" applyFont="1" applyFill="1" applyBorder="1" applyAlignment="1">
      <alignment horizontal="right" vertical="center"/>
    </xf>
    <xf numFmtId="3" fontId="15" fillId="2" borderId="2" xfId="0" applyNumberFormat="1" applyFont="1" applyFill="1" applyBorder="1" applyAlignment="1">
      <alignment horizontal="left" vertical="center" wrapText="1"/>
    </xf>
    <xf numFmtId="0" fontId="15" fillId="2" borderId="1" xfId="0" applyFont="1" applyFill="1" applyBorder="1"/>
    <xf numFmtId="0" fontId="22" fillId="2" borderId="2" xfId="0" applyFont="1" applyFill="1" applyBorder="1" applyAlignment="1">
      <alignment horizontal="left" vertical="center" wrapText="1"/>
    </xf>
    <xf numFmtId="3" fontId="22" fillId="2" borderId="2" xfId="0" applyNumberFormat="1" applyFont="1" applyFill="1" applyBorder="1" applyAlignment="1">
      <alignment vertical="center"/>
    </xf>
    <xf numFmtId="0" fontId="22" fillId="2" borderId="2" xfId="0" applyFont="1" applyFill="1" applyBorder="1" applyAlignment="1">
      <alignment vertical="center"/>
    </xf>
    <xf numFmtId="0" fontId="15" fillId="2" borderId="2" xfId="14" applyFont="1" applyFill="1" applyBorder="1" applyAlignment="1">
      <alignment vertical="center" wrapText="1"/>
    </xf>
    <xf numFmtId="0" fontId="22" fillId="2" borderId="4" xfId="0" applyFont="1" applyFill="1" applyBorder="1" applyAlignment="1">
      <alignment horizontal="center" vertical="center"/>
    </xf>
    <xf numFmtId="3" fontId="15" fillId="2" borderId="0" xfId="0" applyNumberFormat="1" applyFont="1" applyFill="1" applyAlignment="1">
      <alignment horizontal="right"/>
    </xf>
    <xf numFmtId="165" fontId="15" fillId="2" borderId="0" xfId="7" applyNumberFormat="1" applyFont="1" applyFill="1" applyBorder="1"/>
    <xf numFmtId="0" fontId="15" fillId="2" borderId="0" xfId="0" applyFont="1" applyFill="1" applyAlignment="1">
      <alignment wrapText="1"/>
    </xf>
    <xf numFmtId="165" fontId="15" fillId="2" borderId="0" xfId="8" applyNumberFormat="1" applyFont="1" applyFill="1" applyBorder="1"/>
    <xf numFmtId="0" fontId="15" fillId="2" borderId="0" xfId="0" applyFont="1" applyFill="1" applyAlignment="1">
      <alignment horizontal="center" wrapText="1"/>
    </xf>
    <xf numFmtId="0" fontId="15" fillId="2" borderId="2" xfId="0" applyFont="1" applyFill="1" applyBorder="1" applyAlignment="1">
      <alignment horizontal="right" vertical="center" wrapText="1"/>
    </xf>
    <xf numFmtId="0" fontId="22" fillId="2" borderId="2" xfId="0" applyFont="1" applyFill="1" applyBorder="1" applyAlignment="1">
      <alignment horizontal="center" vertical="center" wrapText="1"/>
    </xf>
    <xf numFmtId="49" fontId="22" fillId="2" borderId="0" xfId="7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horizontal="left"/>
    </xf>
    <xf numFmtId="0" fontId="15" fillId="3" borderId="2" xfId="28" applyFont="1" applyFill="1" applyBorder="1" applyAlignment="1" applyProtection="1">
      <alignment horizontal="center" vertical="center" wrapText="1" shrinkToFit="1"/>
      <protection locked="0"/>
    </xf>
    <xf numFmtId="3" fontId="15" fillId="2" borderId="2" xfId="0" applyNumberFormat="1" applyFont="1" applyFill="1" applyBorder="1" applyAlignment="1">
      <alignment vertical="center"/>
    </xf>
    <xf numFmtId="49" fontId="15" fillId="2" borderId="2" xfId="30" applyNumberFormat="1" applyFont="1" applyFill="1" applyBorder="1" applyAlignment="1">
      <alignment vertical="center"/>
    </xf>
    <xf numFmtId="9" fontId="15" fillId="2" borderId="2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vertical="center"/>
    </xf>
    <xf numFmtId="174" fontId="1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/>
    </xf>
    <xf numFmtId="0" fontId="15" fillId="2" borderId="2" xfId="31" applyFont="1" applyFill="1" applyBorder="1" applyAlignment="1">
      <alignment vertical="center" wrapText="1"/>
    </xf>
    <xf numFmtId="0" fontId="15" fillId="2" borderId="0" xfId="31" applyFont="1" applyFill="1" applyAlignment="1">
      <alignment horizontal="center" vertical="center" wrapText="1"/>
    </xf>
    <xf numFmtId="0" fontId="15" fillId="2" borderId="0" xfId="31" applyFont="1" applyFill="1" applyAlignment="1">
      <alignment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3" fontId="24" fillId="2" borderId="2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3" fontId="24" fillId="2" borderId="2" xfId="0" applyNumberFormat="1" applyFont="1" applyFill="1" applyBorder="1" applyAlignment="1">
      <alignment horizontal="left" vertical="center"/>
    </xf>
    <xf numFmtId="49" fontId="24" fillId="2" borderId="2" xfId="0" quotePrefix="1" applyNumberFormat="1" applyFont="1" applyFill="1" applyBorder="1" applyAlignment="1">
      <alignment horizontal="center" vertical="center"/>
    </xf>
    <xf numFmtId="3" fontId="24" fillId="2" borderId="2" xfId="0" applyNumberFormat="1" applyFont="1" applyFill="1" applyBorder="1" applyAlignment="1">
      <alignment horizontal="right" vertical="center"/>
    </xf>
    <xf numFmtId="0" fontId="25" fillId="2" borderId="0" xfId="0" applyFont="1" applyFill="1"/>
    <xf numFmtId="0" fontId="24" fillId="2" borderId="0" xfId="0" applyFont="1" applyFill="1"/>
    <xf numFmtId="0" fontId="25" fillId="2" borderId="2" xfId="0" applyFont="1" applyFill="1" applyBorder="1" applyAlignment="1">
      <alignment horizontal="center" vertical="center"/>
    </xf>
    <xf numFmtId="3" fontId="25" fillId="2" borderId="2" xfId="0" applyNumberFormat="1" applyFont="1" applyFill="1" applyBorder="1" applyAlignment="1">
      <alignment horizontal="center" vertical="center"/>
    </xf>
    <xf numFmtId="0" fontId="24" fillId="2" borderId="2" xfId="14" applyFont="1" applyFill="1" applyBorder="1" applyAlignment="1">
      <alignment horizontal="left" vertical="center" wrapText="1"/>
    </xf>
    <xf numFmtId="0" fontId="24" fillId="2" borderId="2" xfId="14" applyFont="1" applyFill="1" applyBorder="1" applyAlignment="1">
      <alignment horizontal="center" vertical="center" wrapText="1"/>
    </xf>
    <xf numFmtId="173" fontId="24" fillId="2" borderId="2" xfId="7" applyNumberFormat="1" applyFont="1" applyFill="1" applyBorder="1" applyAlignment="1">
      <alignment horizontal="right" vertical="center" wrapText="1"/>
    </xf>
    <xf numFmtId="49" fontId="24" fillId="2" borderId="2" xfId="0" applyNumberFormat="1" applyFont="1" applyFill="1" applyBorder="1" applyAlignment="1">
      <alignment horizontal="center" vertical="center"/>
    </xf>
    <xf numFmtId="3" fontId="24" fillId="2" borderId="2" xfId="0" applyNumberFormat="1" applyFont="1" applyFill="1" applyBorder="1" applyAlignment="1">
      <alignment horizontal="left" vertical="center" wrapText="1"/>
    </xf>
    <xf numFmtId="0" fontId="24" fillId="2" borderId="1" xfId="0" applyFont="1" applyFill="1" applyBorder="1"/>
    <xf numFmtId="0" fontId="24" fillId="2" borderId="1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24" fillId="3" borderId="6" xfId="28" applyFont="1" applyFill="1" applyBorder="1" applyAlignment="1" applyProtection="1">
      <alignment horizontal="left" vertical="center" wrapText="1" shrinkToFit="1"/>
      <protection locked="0"/>
    </xf>
    <xf numFmtId="0" fontId="24" fillId="3" borderId="6" xfId="28" applyFont="1" applyFill="1" applyBorder="1" applyAlignment="1" applyProtection="1">
      <alignment horizontal="center" vertical="center" wrapText="1" shrinkToFit="1"/>
      <protection locked="0"/>
    </xf>
    <xf numFmtId="3" fontId="24" fillId="3" borderId="6" xfId="28" applyNumberFormat="1" applyFont="1" applyFill="1" applyBorder="1" applyAlignment="1" applyProtection="1">
      <alignment horizontal="right" vertical="center" wrapText="1" shrinkToFit="1"/>
      <protection locked="0"/>
    </xf>
    <xf numFmtId="173" fontId="13" fillId="0" borderId="2" xfId="7" applyNumberFormat="1" applyFont="1" applyFill="1" applyBorder="1" applyAlignment="1">
      <alignment vertical="center"/>
    </xf>
    <xf numFmtId="173" fontId="27" fillId="0" borderId="2" xfId="7" applyNumberFormat="1" applyFont="1" applyFill="1" applyBorder="1" applyAlignment="1">
      <alignment vertical="center"/>
    </xf>
    <xf numFmtId="173" fontId="10" fillId="2" borderId="2" xfId="7" applyNumberFormat="1" applyFont="1" applyFill="1" applyBorder="1" applyAlignment="1">
      <alignment horizontal="center" wrapText="1"/>
    </xf>
    <xf numFmtId="173" fontId="10" fillId="2" borderId="2" xfId="7" applyNumberFormat="1" applyFont="1" applyFill="1" applyBorder="1" applyAlignment="1">
      <alignment wrapText="1"/>
    </xf>
    <xf numFmtId="173" fontId="10" fillId="2" borderId="0" xfId="7" applyNumberFormat="1" applyFont="1" applyFill="1" applyAlignment="1">
      <alignment wrapText="1"/>
    </xf>
    <xf numFmtId="3" fontId="15" fillId="2" borderId="2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/>
    </xf>
    <xf numFmtId="0" fontId="23" fillId="2" borderId="2" xfId="0" applyFont="1" applyFill="1" applyBorder="1" applyAlignment="1">
      <alignment wrapText="1"/>
    </xf>
    <xf numFmtId="0" fontId="15" fillId="2" borderId="0" xfId="0" quotePrefix="1" applyFont="1" applyFill="1" applyAlignment="1">
      <alignment horizontal="left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22" fillId="2" borderId="0" xfId="0" quotePrefix="1" applyFont="1" applyFill="1" applyAlignment="1">
      <alignment horizontal="left"/>
    </xf>
    <xf numFmtId="0" fontId="22" fillId="2" borderId="0" xfId="0" applyFont="1" applyFill="1" applyAlignment="1">
      <alignment horizontal="left"/>
    </xf>
    <xf numFmtId="0" fontId="15" fillId="2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/>
    <xf numFmtId="0" fontId="12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5" xfId="0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 wrapText="1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</cellXfs>
  <cellStyles count="32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2" xfId="30" xr:uid="{A1170E04-6447-47B1-83C2-A2BF2042A8CC}"/>
    <cellStyle name="Comma0" xfId="9" xr:uid="{00000000-0005-0000-0000-000008000000}"/>
    <cellStyle name="Currency0" xfId="10" xr:uid="{00000000-0005-0000-0000-000009000000}"/>
    <cellStyle name="Date" xfId="11" xr:uid="{00000000-0005-0000-0000-00000A000000}"/>
    <cellStyle name="Fixed" xfId="12" xr:uid="{00000000-0005-0000-0000-00000B000000}"/>
    <cellStyle name="Normal" xfId="0" builtinId="0"/>
    <cellStyle name="Normal - Style1" xfId="13" xr:uid="{00000000-0005-0000-0000-00000D000000}"/>
    <cellStyle name="Normal 2" xfId="14" xr:uid="{00000000-0005-0000-0000-00000E000000}"/>
    <cellStyle name="Normal 2 3" xfId="27" xr:uid="{D67B7BE9-FCFF-4489-BDDB-DD5CE3C6C312}"/>
    <cellStyle name="Normal 3 2" xfId="31" xr:uid="{2DFD2C84-A163-4522-8D41-A9516594EB9E}"/>
    <cellStyle name="Normal 5 2" xfId="28" xr:uid="{49A48496-5081-403B-8058-7905956EBC38}"/>
    <cellStyle name="Normal 8 3" xfId="29" xr:uid="{4AA66780-0834-4D93-9955-D50BE16233C3}"/>
    <cellStyle name="Percent 2" xfId="15" xr:uid="{00000000-0005-0000-0000-00000F000000}"/>
    <cellStyle name="똿뗦먛귟 [0.00]_PRODUCT DETAIL Q1" xfId="16" xr:uid="{00000000-0005-0000-0000-000010000000}"/>
    <cellStyle name="똿뗦먛귟_PRODUCT DETAIL Q1" xfId="17" xr:uid="{00000000-0005-0000-0000-000011000000}"/>
    <cellStyle name="믅됞 [0.00]_PRODUCT DETAIL Q1" xfId="18" xr:uid="{00000000-0005-0000-0000-000012000000}"/>
    <cellStyle name="믅됞_PRODUCT DETAIL Q1" xfId="19" xr:uid="{00000000-0005-0000-0000-000013000000}"/>
    <cellStyle name="백분율_HOBONG" xfId="20" xr:uid="{00000000-0005-0000-0000-000014000000}"/>
    <cellStyle name="뷭?_BOOKSHIP" xfId="21" xr:uid="{00000000-0005-0000-0000-000015000000}"/>
    <cellStyle name="콤마 [0]_1202" xfId="22" xr:uid="{00000000-0005-0000-0000-000016000000}"/>
    <cellStyle name="콤마_1202" xfId="23" xr:uid="{00000000-0005-0000-0000-000017000000}"/>
    <cellStyle name="통화 [0]_1202" xfId="24" xr:uid="{00000000-0005-0000-0000-000018000000}"/>
    <cellStyle name="통화_1202" xfId="25" xr:uid="{00000000-0005-0000-0000-000019000000}"/>
    <cellStyle name="표준_(정보부문)월별인원계획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P101"/>
  <sheetViews>
    <sheetView topLeftCell="A9" zoomScaleSheetLayoutView="102" workbookViewId="0">
      <selection activeCell="A18" sqref="A18:XFD18"/>
    </sheetView>
  </sheetViews>
  <sheetFormatPr defaultRowHeight="12.75"/>
  <cols>
    <col min="1" max="1" width="4.28515625" style="100" customWidth="1"/>
    <col min="2" max="2" width="35.5703125" style="43" customWidth="1"/>
    <col min="3" max="3" width="14.140625" style="43" customWidth="1"/>
    <col min="4" max="4" width="7.7109375" style="43" customWidth="1"/>
    <col min="5" max="5" width="8.28515625" style="100" customWidth="1"/>
    <col min="6" max="6" width="11.5703125" style="50" hidden="1" customWidth="1"/>
    <col min="7" max="7" width="12.140625" style="43" hidden="1" customWidth="1"/>
    <col min="8" max="8" width="11.28515625" style="43" hidden="1" customWidth="1"/>
    <col min="9" max="9" width="12.42578125" style="43" hidden="1" customWidth="1"/>
    <col min="10" max="10" width="10.140625" style="43" hidden="1" customWidth="1"/>
    <col min="11" max="11" width="12.5703125" style="100" hidden="1" customWidth="1"/>
    <col min="12" max="12" width="10.85546875" style="43" hidden="1" customWidth="1"/>
    <col min="13" max="14" width="9.28515625" style="43" hidden="1" customWidth="1"/>
    <col min="15" max="15" width="10" style="43" hidden="1" customWidth="1"/>
    <col min="16" max="16" width="9.5703125" style="43" hidden="1" customWidth="1"/>
    <col min="17" max="17" width="9.42578125" style="43" hidden="1" customWidth="1"/>
    <col min="18" max="18" width="9" style="43" hidden="1" customWidth="1"/>
    <col min="19" max="19" width="11.28515625" style="43" hidden="1" customWidth="1"/>
    <col min="20" max="20" width="11.5703125" style="43" hidden="1" customWidth="1"/>
    <col min="21" max="22" width="10.5703125" style="43" hidden="1" customWidth="1"/>
    <col min="23" max="23" width="0.140625" style="43" hidden="1" customWidth="1"/>
    <col min="24" max="24" width="8.28515625" style="100" customWidth="1"/>
    <col min="25" max="25" width="12" style="43" hidden="1" customWidth="1"/>
    <col min="26" max="26" width="5.5703125" style="43" hidden="1" customWidth="1"/>
    <col min="27" max="27" width="8.42578125" style="93" customWidth="1"/>
    <col min="28" max="28" width="6.140625" style="43" hidden="1" customWidth="1"/>
    <col min="29" max="29" width="5.5703125" style="43" hidden="1" customWidth="1"/>
    <col min="30" max="30" width="7.140625" style="43" hidden="1" customWidth="1"/>
    <col min="31" max="31" width="5.42578125" style="43" hidden="1" customWidth="1"/>
    <col min="32" max="33" width="12.28515625" style="44" customWidth="1"/>
    <col min="34" max="34" width="14.140625" style="100" customWidth="1"/>
    <col min="35" max="35" width="16.28515625" style="100" customWidth="1"/>
    <col min="36" max="37" width="11.140625" style="100" customWidth="1"/>
    <col min="38" max="38" width="16" style="48" customWidth="1"/>
    <col min="39" max="39" width="12.85546875" style="52" customWidth="1"/>
    <col min="40" max="40" width="10.85546875" style="43" bestFit="1" customWidth="1"/>
    <col min="41" max="16384" width="9.140625" style="43"/>
  </cols>
  <sheetData>
    <row r="1" spans="1:39" ht="15.75" customHeight="1">
      <c r="A1" s="153" t="s">
        <v>45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Z1" s="154" t="s">
        <v>0</v>
      </c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43"/>
    </row>
    <row r="2" spans="1:39" ht="15" customHeight="1">
      <c r="A2" s="153" t="s">
        <v>46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43"/>
    </row>
    <row r="3" spans="1:39" ht="22.5" hidden="1" customHeight="1">
      <c r="A3" s="154" t="s">
        <v>1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43"/>
    </row>
    <row r="4" spans="1:39" ht="15" customHeight="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43"/>
    </row>
    <row r="5" spans="1:39" ht="48" customHeight="1">
      <c r="A5" s="155" t="s">
        <v>154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43"/>
    </row>
    <row r="6" spans="1:39" ht="18" customHeight="1">
      <c r="A6" s="157" t="s">
        <v>224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43"/>
    </row>
    <row r="7" spans="1:39" ht="15" customHeight="1">
      <c r="A7" s="158" t="s">
        <v>150</v>
      </c>
      <c r="B7" s="158"/>
      <c r="C7" s="158"/>
      <c r="D7" s="43" t="s">
        <v>151</v>
      </c>
      <c r="E7" s="94"/>
      <c r="F7" s="43"/>
      <c r="H7" s="101"/>
      <c r="I7" s="94"/>
      <c r="K7" s="101" t="s">
        <v>2</v>
      </c>
      <c r="L7" s="94"/>
      <c r="M7" s="44"/>
      <c r="S7" s="101"/>
      <c r="T7" s="45"/>
      <c r="W7" s="46"/>
      <c r="X7" s="94"/>
      <c r="Z7" s="94"/>
      <c r="AA7" s="47"/>
      <c r="AB7" s="101"/>
      <c r="AI7" s="101" t="s">
        <v>54</v>
      </c>
      <c r="AM7" s="43"/>
    </row>
    <row r="8" spans="1:39" ht="15" customHeight="1">
      <c r="A8" s="158" t="s">
        <v>225</v>
      </c>
      <c r="B8" s="158"/>
      <c r="D8" s="43" t="s">
        <v>53</v>
      </c>
      <c r="F8" s="43"/>
      <c r="H8" s="101"/>
      <c r="I8" s="94"/>
      <c r="K8" s="101"/>
      <c r="L8" s="94"/>
      <c r="M8" s="44"/>
      <c r="S8" s="101"/>
      <c r="T8" s="45"/>
      <c r="W8" s="46"/>
      <c r="X8" s="94"/>
      <c r="Z8" s="94"/>
      <c r="AA8" s="47"/>
      <c r="AB8" s="101"/>
      <c r="AI8" s="101" t="s">
        <v>58</v>
      </c>
      <c r="AM8" s="43"/>
    </row>
    <row r="9" spans="1:39" ht="15" customHeight="1">
      <c r="A9" s="158" t="s">
        <v>59</v>
      </c>
      <c r="B9" s="158"/>
      <c r="D9" s="43" t="s">
        <v>60</v>
      </c>
      <c r="E9" s="94"/>
      <c r="F9" s="43"/>
      <c r="H9" s="101"/>
      <c r="I9" s="94"/>
      <c r="K9" s="101" t="s">
        <v>3</v>
      </c>
      <c r="L9" s="94"/>
      <c r="M9" s="44"/>
      <c r="S9" s="101"/>
      <c r="T9" s="45"/>
      <c r="W9" s="46"/>
      <c r="X9" s="94"/>
      <c r="Z9" s="94"/>
      <c r="AA9" s="47"/>
      <c r="AB9" s="101"/>
      <c r="AI9" s="101" t="s">
        <v>61</v>
      </c>
      <c r="AM9" s="43"/>
    </row>
    <row r="10" spans="1:39" ht="15" customHeight="1">
      <c r="A10" s="158" t="s">
        <v>135</v>
      </c>
      <c r="B10" s="158"/>
      <c r="D10" s="43" t="s">
        <v>149</v>
      </c>
      <c r="E10" s="43"/>
      <c r="F10" s="43"/>
      <c r="K10" s="43"/>
      <c r="X10" s="43"/>
      <c r="AA10" s="49"/>
      <c r="AI10" s="101" t="s">
        <v>62</v>
      </c>
      <c r="AM10" s="43"/>
    </row>
    <row r="11" spans="1:39" ht="15" customHeight="1">
      <c r="A11" s="158" t="s">
        <v>63</v>
      </c>
      <c r="B11" s="158"/>
      <c r="E11" s="43"/>
      <c r="F11" s="43"/>
      <c r="K11" s="43"/>
      <c r="X11" s="43"/>
      <c r="AA11" s="49"/>
      <c r="AM11" s="43"/>
    </row>
    <row r="12" spans="1:39" ht="15.75" customHeight="1">
      <c r="A12" s="158" t="s">
        <v>4</v>
      </c>
      <c r="B12" s="158"/>
      <c r="AA12" s="51"/>
      <c r="AM12" s="43"/>
    </row>
    <row r="13" spans="1:39" ht="7.5" customHeight="1">
      <c r="AA13" s="51"/>
    </row>
    <row r="14" spans="1:39" ht="33" customHeight="1">
      <c r="A14" s="145" t="s">
        <v>5</v>
      </c>
      <c r="B14" s="146" t="s">
        <v>6</v>
      </c>
      <c r="C14" s="147" t="s">
        <v>7</v>
      </c>
      <c r="D14" s="147" t="s">
        <v>8</v>
      </c>
      <c r="E14" s="145" t="s">
        <v>47</v>
      </c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99"/>
      <c r="R14" s="99"/>
      <c r="S14" s="99"/>
      <c r="T14" s="99"/>
      <c r="U14" s="99"/>
      <c r="V14" s="99"/>
      <c r="W14" s="97"/>
      <c r="X14" s="150" t="s">
        <v>48</v>
      </c>
      <c r="Y14" s="143"/>
      <c r="Z14" s="143"/>
      <c r="AA14" s="150" t="s">
        <v>49</v>
      </c>
      <c r="AB14" s="143"/>
      <c r="AC14" s="143"/>
      <c r="AD14" s="145" t="s">
        <v>9</v>
      </c>
      <c r="AE14" s="145" t="s">
        <v>10</v>
      </c>
      <c r="AF14" s="147" t="s">
        <v>171</v>
      </c>
      <c r="AG14" s="147" t="s">
        <v>172</v>
      </c>
      <c r="AH14" s="145" t="s">
        <v>11</v>
      </c>
      <c r="AI14" s="145" t="s">
        <v>12</v>
      </c>
      <c r="AJ14" s="145" t="s">
        <v>13</v>
      </c>
      <c r="AK14" s="147" t="s">
        <v>51</v>
      </c>
      <c r="AL14" s="145" t="s">
        <v>14</v>
      </c>
    </row>
    <row r="15" spans="1:39" ht="31.5" customHeight="1">
      <c r="A15" s="146"/>
      <c r="B15" s="146"/>
      <c r="C15" s="148"/>
      <c r="D15" s="149"/>
      <c r="E15" s="95" t="s">
        <v>50</v>
      </c>
      <c r="F15" s="53" t="s">
        <v>15</v>
      </c>
      <c r="G15" s="143" t="s">
        <v>16</v>
      </c>
      <c r="H15" s="143"/>
      <c r="I15" s="143"/>
      <c r="J15" s="97" t="s">
        <v>17</v>
      </c>
      <c r="K15" s="99" t="s">
        <v>18</v>
      </c>
      <c r="L15" s="97"/>
      <c r="M15" s="97" t="s">
        <v>17</v>
      </c>
      <c r="N15" s="97" t="s">
        <v>17</v>
      </c>
      <c r="O15" s="97" t="s">
        <v>17</v>
      </c>
      <c r="P15" s="97" t="s">
        <v>19</v>
      </c>
      <c r="Q15" s="97" t="s">
        <v>19</v>
      </c>
      <c r="R15" s="97" t="s">
        <v>19</v>
      </c>
      <c r="S15" s="97" t="s">
        <v>19</v>
      </c>
      <c r="T15" s="97" t="s">
        <v>19</v>
      </c>
      <c r="U15" s="97" t="s">
        <v>19</v>
      </c>
      <c r="V15" s="97" t="s">
        <v>20</v>
      </c>
      <c r="W15" s="97"/>
      <c r="X15" s="95" t="s">
        <v>50</v>
      </c>
      <c r="Y15" s="53" t="s">
        <v>21</v>
      </c>
      <c r="Z15" s="53" t="s">
        <v>22</v>
      </c>
      <c r="AA15" s="54" t="s">
        <v>50</v>
      </c>
      <c r="AB15" s="53" t="s">
        <v>21</v>
      </c>
      <c r="AC15" s="53" t="s">
        <v>23</v>
      </c>
      <c r="AD15" s="145"/>
      <c r="AE15" s="145"/>
      <c r="AF15" s="159"/>
      <c r="AG15" s="159"/>
      <c r="AH15" s="151"/>
      <c r="AI15" s="151"/>
      <c r="AJ15" s="146"/>
      <c r="AK15" s="148"/>
      <c r="AL15" s="152"/>
    </row>
    <row r="16" spans="1:39" s="59" customFormat="1" ht="27" customHeight="1">
      <c r="A16" s="99" t="s">
        <v>38</v>
      </c>
      <c r="B16" s="99" t="s">
        <v>39</v>
      </c>
      <c r="C16" s="99" t="s">
        <v>40</v>
      </c>
      <c r="D16" s="99" t="s">
        <v>41</v>
      </c>
      <c r="E16" s="99">
        <v>1</v>
      </c>
      <c r="F16" s="97">
        <v>2</v>
      </c>
      <c r="G16" s="55">
        <v>3</v>
      </c>
      <c r="H16" s="55">
        <v>4</v>
      </c>
      <c r="I16" s="97">
        <v>5</v>
      </c>
      <c r="J16" s="55">
        <v>7</v>
      </c>
      <c r="K16" s="97">
        <v>8</v>
      </c>
      <c r="L16" s="55">
        <v>9</v>
      </c>
      <c r="M16" s="97">
        <v>10</v>
      </c>
      <c r="N16" s="97"/>
      <c r="O16" s="55">
        <v>6</v>
      </c>
      <c r="P16" s="55"/>
      <c r="Q16" s="55"/>
      <c r="R16" s="55"/>
      <c r="S16" s="55"/>
      <c r="T16" s="55"/>
      <c r="U16" s="55"/>
      <c r="V16" s="55"/>
      <c r="W16" s="55">
        <v>5</v>
      </c>
      <c r="X16" s="99">
        <v>2</v>
      </c>
      <c r="Y16" s="97">
        <v>7</v>
      </c>
      <c r="Z16" s="97">
        <v>8</v>
      </c>
      <c r="AA16" s="56">
        <v>3</v>
      </c>
      <c r="AB16" s="99">
        <v>10</v>
      </c>
      <c r="AC16" s="55">
        <v>11</v>
      </c>
      <c r="AD16" s="99"/>
      <c r="AE16" s="99"/>
      <c r="AF16" s="57"/>
      <c r="AG16" s="57"/>
      <c r="AH16" s="99">
        <v>4</v>
      </c>
      <c r="AI16" s="99">
        <v>5</v>
      </c>
      <c r="AJ16" s="99">
        <v>6</v>
      </c>
      <c r="AK16" s="99">
        <v>7</v>
      </c>
      <c r="AL16" s="96">
        <v>8</v>
      </c>
      <c r="AM16" s="58"/>
    </row>
    <row r="17" spans="1:39" s="1" customFormat="1" ht="23.25" customHeight="1">
      <c r="A17" s="97" t="s">
        <v>39</v>
      </c>
      <c r="B17" s="60" t="s">
        <v>180</v>
      </c>
      <c r="C17" s="98"/>
      <c r="D17" s="99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61"/>
      <c r="Z17" s="61"/>
      <c r="AA17" s="62"/>
      <c r="AB17" s="61"/>
      <c r="AC17" s="61"/>
      <c r="AD17" s="61"/>
      <c r="AE17" s="61"/>
      <c r="AF17" s="63"/>
      <c r="AG17" s="63"/>
      <c r="AH17" s="97"/>
      <c r="AI17" s="97"/>
      <c r="AJ17" s="97"/>
      <c r="AK17" s="97"/>
      <c r="AL17" s="98"/>
    </row>
    <row r="18" spans="1:39" s="120" customFormat="1">
      <c r="A18" s="115">
        <v>1</v>
      </c>
      <c r="B18" s="135" t="s">
        <v>227</v>
      </c>
      <c r="C18" s="136" t="s">
        <v>228</v>
      </c>
      <c r="D18" s="136">
        <v>2015</v>
      </c>
      <c r="E18" s="112">
        <v>1</v>
      </c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>
        <v>1</v>
      </c>
      <c r="Y18" s="116"/>
      <c r="Z18" s="116"/>
      <c r="AA18" s="117" t="s">
        <v>206</v>
      </c>
      <c r="AB18" s="116"/>
      <c r="AC18" s="116"/>
      <c r="AD18" s="116"/>
      <c r="AE18" s="116"/>
      <c r="AF18" s="137">
        <v>10250000</v>
      </c>
      <c r="AG18" s="137">
        <v>10250000</v>
      </c>
      <c r="AH18" s="112" t="s">
        <v>94</v>
      </c>
      <c r="AI18" s="112"/>
      <c r="AJ18" s="112" t="s">
        <v>189</v>
      </c>
      <c r="AK18" s="112" t="s">
        <v>178</v>
      </c>
      <c r="AL18" s="114" t="s">
        <v>192</v>
      </c>
      <c r="AM18" s="119"/>
    </row>
    <row r="19" spans="1:39">
      <c r="A19" s="64"/>
      <c r="B19" s="69" t="s">
        <v>229</v>
      </c>
      <c r="C19" s="70"/>
      <c r="D19" s="70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  <c r="Z19" s="66"/>
      <c r="AA19" s="67"/>
      <c r="AB19" s="66"/>
      <c r="AC19" s="66"/>
      <c r="AD19" s="66"/>
      <c r="AE19" s="66"/>
      <c r="AF19" s="71"/>
      <c r="AG19" s="71"/>
      <c r="AH19" s="65"/>
      <c r="AI19" s="65"/>
      <c r="AJ19" s="65"/>
      <c r="AK19" s="65"/>
      <c r="AL19" s="68"/>
      <c r="AM19" s="1"/>
    </row>
    <row r="20" spans="1:39" s="59" customFormat="1" ht="27" customHeight="1">
      <c r="A20" s="99" t="s">
        <v>38</v>
      </c>
      <c r="B20" s="99" t="s">
        <v>179</v>
      </c>
      <c r="C20" s="99"/>
      <c r="D20" s="99"/>
      <c r="E20" s="99"/>
      <c r="F20" s="97"/>
      <c r="G20" s="55"/>
      <c r="H20" s="55"/>
      <c r="I20" s="97"/>
      <c r="J20" s="55"/>
      <c r="K20" s="97"/>
      <c r="L20" s="55"/>
      <c r="M20" s="97"/>
      <c r="N20" s="97"/>
      <c r="O20" s="55"/>
      <c r="P20" s="55"/>
      <c r="Q20" s="55"/>
      <c r="R20" s="55"/>
      <c r="S20" s="55"/>
      <c r="T20" s="55"/>
      <c r="U20" s="55"/>
      <c r="V20" s="55"/>
      <c r="W20" s="55"/>
      <c r="X20" s="99"/>
      <c r="Y20" s="97"/>
      <c r="Z20" s="97"/>
      <c r="AA20" s="56"/>
      <c r="AB20" s="99"/>
      <c r="AC20" s="55"/>
      <c r="AD20" s="99"/>
      <c r="AE20" s="99"/>
      <c r="AF20" s="57"/>
      <c r="AG20" s="57"/>
      <c r="AH20" s="99"/>
      <c r="AI20" s="99"/>
      <c r="AJ20" s="99"/>
      <c r="AK20" s="99"/>
      <c r="AL20" s="96"/>
      <c r="AM20" s="58"/>
    </row>
    <row r="21" spans="1:39" s="59" customFormat="1" ht="25.5" customHeight="1">
      <c r="A21" s="99" t="s">
        <v>87</v>
      </c>
      <c r="B21" s="60" t="s">
        <v>118</v>
      </c>
      <c r="C21" s="99"/>
      <c r="D21" s="99"/>
      <c r="E21" s="99"/>
      <c r="F21" s="97"/>
      <c r="G21" s="55"/>
      <c r="H21" s="55"/>
      <c r="I21" s="97"/>
      <c r="J21" s="55"/>
      <c r="K21" s="97"/>
      <c r="L21" s="55"/>
      <c r="M21" s="97"/>
      <c r="N21" s="97"/>
      <c r="O21" s="55"/>
      <c r="P21" s="55"/>
      <c r="Q21" s="55"/>
      <c r="R21" s="55"/>
      <c r="S21" s="55"/>
      <c r="T21" s="55"/>
      <c r="U21" s="55"/>
      <c r="V21" s="55"/>
      <c r="W21" s="55"/>
      <c r="X21" s="99"/>
      <c r="Y21" s="97"/>
      <c r="Z21" s="97"/>
      <c r="AA21" s="56"/>
      <c r="AB21" s="99"/>
      <c r="AC21" s="55"/>
      <c r="AD21" s="99"/>
      <c r="AE21" s="99"/>
      <c r="AF21" s="57"/>
      <c r="AG21" s="57"/>
      <c r="AH21" s="99"/>
      <c r="AI21" s="99"/>
      <c r="AJ21" s="99"/>
      <c r="AK21" s="99"/>
      <c r="AL21" s="96"/>
      <c r="AM21" s="58"/>
    </row>
    <row r="22" spans="1:39" ht="101.25" customHeight="1">
      <c r="A22" s="65">
        <v>1</v>
      </c>
      <c r="B22" s="72" t="s">
        <v>66</v>
      </c>
      <c r="C22" s="68" t="s">
        <v>161</v>
      </c>
      <c r="D22" s="64">
        <v>2022</v>
      </c>
      <c r="E22" s="65">
        <v>7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>
        <v>8</v>
      </c>
      <c r="Y22" s="66"/>
      <c r="Z22" s="66"/>
      <c r="AA22" s="67" t="s">
        <v>160</v>
      </c>
      <c r="AB22" s="66"/>
      <c r="AC22" s="66"/>
      <c r="AD22" s="66"/>
      <c r="AE22" s="66"/>
      <c r="AF22" s="73">
        <v>2500000</v>
      </c>
      <c r="AG22" s="74">
        <f>+X22*AF22</f>
        <v>20000000</v>
      </c>
      <c r="AH22" s="65" t="s">
        <v>94</v>
      </c>
      <c r="AI22" s="65" t="s">
        <v>67</v>
      </c>
      <c r="AJ22" s="65" t="s">
        <v>43</v>
      </c>
      <c r="AK22" s="65"/>
      <c r="AL22" s="75" t="s">
        <v>173</v>
      </c>
    </row>
    <row r="23" spans="1:39" ht="60" customHeight="1">
      <c r="A23" s="65">
        <v>2</v>
      </c>
      <c r="B23" s="72" t="s">
        <v>68</v>
      </c>
      <c r="C23" s="68" t="s">
        <v>117</v>
      </c>
      <c r="D23" s="64">
        <v>2022</v>
      </c>
      <c r="E23" s="65">
        <v>1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1</v>
      </c>
      <c r="Y23" s="66"/>
      <c r="Z23" s="66"/>
      <c r="AA23" s="76">
        <v>0</v>
      </c>
      <c r="AB23" s="66"/>
      <c r="AC23" s="66"/>
      <c r="AD23" s="66"/>
      <c r="AE23" s="66"/>
      <c r="AF23" s="73">
        <v>7900000</v>
      </c>
      <c r="AG23" s="73">
        <v>7900000</v>
      </c>
      <c r="AH23" s="65" t="s">
        <v>94</v>
      </c>
      <c r="AI23" s="65" t="s">
        <v>67</v>
      </c>
      <c r="AJ23" s="65" t="s">
        <v>43</v>
      </c>
      <c r="AK23" s="65"/>
      <c r="AL23" s="75"/>
    </row>
    <row r="24" spans="1:39" ht="78.75" customHeight="1">
      <c r="A24" s="65">
        <v>3</v>
      </c>
      <c r="B24" s="72" t="s">
        <v>69</v>
      </c>
      <c r="C24" s="68" t="s">
        <v>119</v>
      </c>
      <c r="D24" s="64">
        <v>2022</v>
      </c>
      <c r="E24" s="65">
        <v>2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>
        <v>2</v>
      </c>
      <c r="Y24" s="66"/>
      <c r="Z24" s="66"/>
      <c r="AA24" s="76">
        <v>0</v>
      </c>
      <c r="AB24" s="66"/>
      <c r="AC24" s="66"/>
      <c r="AD24" s="66"/>
      <c r="AE24" s="66"/>
      <c r="AF24" s="73">
        <v>3280000</v>
      </c>
      <c r="AG24" s="74">
        <f>+X24*AF24</f>
        <v>6560000</v>
      </c>
      <c r="AH24" s="65" t="s">
        <v>94</v>
      </c>
      <c r="AI24" s="65" t="s">
        <v>67</v>
      </c>
      <c r="AJ24" s="65" t="s">
        <v>43</v>
      </c>
      <c r="AK24" s="65"/>
      <c r="AL24" s="75"/>
    </row>
    <row r="25" spans="1:39" ht="54.75" customHeight="1">
      <c r="A25" s="65">
        <v>4</v>
      </c>
      <c r="B25" s="72" t="s">
        <v>70</v>
      </c>
      <c r="C25" s="68" t="s">
        <v>147</v>
      </c>
      <c r="D25" s="64">
        <v>2022</v>
      </c>
      <c r="E25" s="65">
        <v>8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>
        <v>8</v>
      </c>
      <c r="Y25" s="66"/>
      <c r="Z25" s="66"/>
      <c r="AA25" s="67">
        <v>0</v>
      </c>
      <c r="AB25" s="66"/>
      <c r="AC25" s="66"/>
      <c r="AD25" s="66"/>
      <c r="AE25" s="66"/>
      <c r="AF25" s="74">
        <v>660000</v>
      </c>
      <c r="AG25" s="74">
        <f>+X25*AF25</f>
        <v>5280000</v>
      </c>
      <c r="AH25" s="65" t="s">
        <v>94</v>
      </c>
      <c r="AI25" s="65" t="s">
        <v>67</v>
      </c>
      <c r="AJ25" s="65" t="s">
        <v>43</v>
      </c>
      <c r="AK25" s="65"/>
      <c r="AL25" s="75"/>
    </row>
    <row r="26" spans="1:39" s="1" customFormat="1" ht="21" customHeight="1">
      <c r="A26" s="65">
        <v>5</v>
      </c>
      <c r="B26" s="77" t="s">
        <v>99</v>
      </c>
      <c r="C26" s="97"/>
      <c r="D26" s="99"/>
      <c r="E26" s="65">
        <v>1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64">
        <v>1</v>
      </c>
      <c r="Y26" s="61"/>
      <c r="Z26" s="61"/>
      <c r="AA26" s="76">
        <v>0</v>
      </c>
      <c r="AB26" s="61"/>
      <c r="AC26" s="61"/>
      <c r="AD26" s="61"/>
      <c r="AE26" s="61"/>
      <c r="AF26" s="78"/>
      <c r="AG26" s="78"/>
      <c r="AH26" s="65" t="s">
        <v>94</v>
      </c>
      <c r="AI26" s="65" t="s">
        <v>67</v>
      </c>
      <c r="AJ26" s="65" t="s">
        <v>43</v>
      </c>
      <c r="AK26" s="65" t="s">
        <v>141</v>
      </c>
      <c r="AL26" s="79"/>
      <c r="AM26" s="80"/>
    </row>
    <row r="27" spans="1:39" s="1" customFormat="1" ht="21" customHeight="1">
      <c r="A27" s="65">
        <v>6</v>
      </c>
      <c r="B27" s="77" t="s">
        <v>100</v>
      </c>
      <c r="C27" s="65"/>
      <c r="D27" s="99"/>
      <c r="E27" s="65">
        <v>1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64">
        <v>1</v>
      </c>
      <c r="Y27" s="61"/>
      <c r="Z27" s="61"/>
      <c r="AA27" s="76">
        <v>0</v>
      </c>
      <c r="AB27" s="61"/>
      <c r="AC27" s="61"/>
      <c r="AD27" s="61"/>
      <c r="AE27" s="61"/>
      <c r="AF27" s="78"/>
      <c r="AG27" s="78"/>
      <c r="AH27" s="65" t="s">
        <v>94</v>
      </c>
      <c r="AI27" s="65" t="s">
        <v>67</v>
      </c>
      <c r="AJ27" s="65" t="s">
        <v>43</v>
      </c>
      <c r="AK27" s="65" t="s">
        <v>141</v>
      </c>
      <c r="AL27" s="79"/>
      <c r="AM27" s="80"/>
    </row>
    <row r="28" spans="1:39" s="1" customFormat="1" ht="21" customHeight="1">
      <c r="A28" s="65">
        <v>7</v>
      </c>
      <c r="B28" s="77" t="s">
        <v>103</v>
      </c>
      <c r="C28" s="65"/>
      <c r="D28" s="99"/>
      <c r="E28" s="64">
        <v>1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64">
        <v>1</v>
      </c>
      <c r="Y28" s="61"/>
      <c r="Z28" s="61"/>
      <c r="AA28" s="76">
        <v>0</v>
      </c>
      <c r="AB28" s="61"/>
      <c r="AC28" s="61"/>
      <c r="AD28" s="61"/>
      <c r="AE28" s="61"/>
      <c r="AF28" s="78"/>
      <c r="AG28" s="78"/>
      <c r="AH28" s="65" t="s">
        <v>94</v>
      </c>
      <c r="AI28" s="65" t="s">
        <v>67</v>
      </c>
      <c r="AJ28" s="65" t="s">
        <v>43</v>
      </c>
      <c r="AK28" s="65" t="s">
        <v>148</v>
      </c>
      <c r="AL28" s="68"/>
      <c r="AM28" s="80"/>
    </row>
    <row r="29" spans="1:39" ht="21" customHeight="1">
      <c r="A29" s="65">
        <v>8</v>
      </c>
      <c r="B29" s="81" t="s">
        <v>112</v>
      </c>
      <c r="C29" s="65"/>
      <c r="D29" s="64"/>
      <c r="E29" s="65">
        <v>1</v>
      </c>
      <c r="F29" s="74"/>
      <c r="G29" s="74"/>
      <c r="H29" s="82"/>
      <c r="I29" s="74"/>
      <c r="J29" s="82"/>
      <c r="K29" s="65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64">
        <v>1</v>
      </c>
      <c r="Y29" s="66">
        <f>G29</f>
        <v>0</v>
      </c>
      <c r="Z29" s="66">
        <v>0</v>
      </c>
      <c r="AA29" s="76">
        <v>0</v>
      </c>
      <c r="AB29" s="66">
        <f>Y29-G29</f>
        <v>0</v>
      </c>
      <c r="AC29" s="66">
        <f>F29-Z29</f>
        <v>0</v>
      </c>
      <c r="AD29" s="66">
        <v>0.125</v>
      </c>
      <c r="AE29" s="66" t="s">
        <v>42</v>
      </c>
      <c r="AF29" s="74"/>
      <c r="AG29" s="74"/>
      <c r="AH29" s="65" t="s">
        <v>94</v>
      </c>
      <c r="AI29" s="65" t="s">
        <v>67</v>
      </c>
      <c r="AJ29" s="65" t="s">
        <v>43</v>
      </c>
      <c r="AK29" s="65" t="s">
        <v>148</v>
      </c>
      <c r="AL29" s="72"/>
    </row>
    <row r="30" spans="1:39" ht="21" customHeight="1">
      <c r="A30" s="65">
        <v>9</v>
      </c>
      <c r="B30" s="77" t="s">
        <v>113</v>
      </c>
      <c r="C30" s="65"/>
      <c r="D30" s="64"/>
      <c r="E30" s="65">
        <v>1</v>
      </c>
      <c r="F30" s="82"/>
      <c r="G30" s="82"/>
      <c r="H30" s="82"/>
      <c r="I30" s="82"/>
      <c r="J30" s="82"/>
      <c r="K30" s="82"/>
      <c r="L30" s="82"/>
      <c r="M30" s="82"/>
      <c r="N30" s="74"/>
      <c r="O30" s="82"/>
      <c r="P30" s="82"/>
      <c r="Q30" s="82"/>
      <c r="R30" s="82"/>
      <c r="S30" s="82"/>
      <c r="T30" s="82"/>
      <c r="U30" s="82"/>
      <c r="V30" s="82"/>
      <c r="W30" s="82"/>
      <c r="X30" s="65">
        <v>1</v>
      </c>
      <c r="Y30" s="66"/>
      <c r="Z30" s="66">
        <v>0</v>
      </c>
      <c r="AA30" s="76">
        <v>0</v>
      </c>
      <c r="AB30" s="66">
        <f>Y30-G30</f>
        <v>0</v>
      </c>
      <c r="AC30" s="66">
        <f>F30-Z30</f>
        <v>0</v>
      </c>
      <c r="AD30" s="66"/>
      <c r="AE30" s="66" t="s">
        <v>42</v>
      </c>
      <c r="AF30" s="74"/>
      <c r="AG30" s="74"/>
      <c r="AH30" s="65" t="s">
        <v>94</v>
      </c>
      <c r="AI30" s="65" t="s">
        <v>67</v>
      </c>
      <c r="AJ30" s="65" t="s">
        <v>43</v>
      </c>
      <c r="AK30" s="65" t="s">
        <v>148</v>
      </c>
      <c r="AL30" s="72"/>
    </row>
    <row r="31" spans="1:39" s="1" customFormat="1" ht="21" customHeight="1">
      <c r="A31" s="65">
        <v>10</v>
      </c>
      <c r="B31" s="77" t="s">
        <v>106</v>
      </c>
      <c r="C31" s="65"/>
      <c r="D31" s="99"/>
      <c r="E31" s="64">
        <v>1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64">
        <v>1</v>
      </c>
      <c r="Y31" s="61"/>
      <c r="Z31" s="61"/>
      <c r="AA31" s="76">
        <v>0</v>
      </c>
      <c r="AB31" s="61"/>
      <c r="AC31" s="61"/>
      <c r="AD31" s="61"/>
      <c r="AE31" s="61"/>
      <c r="AF31" s="78"/>
      <c r="AG31" s="78"/>
      <c r="AH31" s="65" t="s">
        <v>94</v>
      </c>
      <c r="AI31" s="65" t="s">
        <v>67</v>
      </c>
      <c r="AJ31" s="65" t="s">
        <v>43</v>
      </c>
      <c r="AK31" s="65" t="s">
        <v>148</v>
      </c>
      <c r="AL31" s="79"/>
      <c r="AM31" s="80"/>
    </row>
    <row r="32" spans="1:39" s="59" customFormat="1" ht="50.25" customHeight="1">
      <c r="A32" s="65">
        <v>11</v>
      </c>
      <c r="B32" s="77" t="s">
        <v>167</v>
      </c>
      <c r="C32" s="83"/>
      <c r="D32" s="83"/>
      <c r="E32" s="64">
        <v>10</v>
      </c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>
        <v>10</v>
      </c>
      <c r="Y32" s="64"/>
      <c r="Z32" s="64"/>
      <c r="AA32" s="76" t="s">
        <v>206</v>
      </c>
      <c r="AB32" s="66"/>
      <c r="AC32" s="66"/>
      <c r="AD32" s="66"/>
      <c r="AE32" s="66"/>
      <c r="AF32" s="74"/>
      <c r="AG32" s="74"/>
      <c r="AH32" s="65" t="s">
        <v>94</v>
      </c>
      <c r="AI32" s="65" t="s">
        <v>67</v>
      </c>
      <c r="AJ32" s="65" t="s">
        <v>43</v>
      </c>
      <c r="AK32" s="65" t="s">
        <v>226</v>
      </c>
      <c r="AL32" s="75"/>
      <c r="AM32" s="58"/>
    </row>
    <row r="33" spans="1:40" s="120" customFormat="1" ht="39.75" customHeight="1">
      <c r="A33" s="112">
        <v>12</v>
      </c>
      <c r="B33" s="113" t="s">
        <v>162</v>
      </c>
      <c r="C33" s="112" t="s">
        <v>163</v>
      </c>
      <c r="D33" s="115"/>
      <c r="E33" s="115">
        <v>0</v>
      </c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5">
        <v>1</v>
      </c>
      <c r="Y33" s="116"/>
      <c r="Z33" s="116"/>
      <c r="AA33" s="126" t="s">
        <v>160</v>
      </c>
      <c r="AB33" s="116"/>
      <c r="AC33" s="116"/>
      <c r="AD33" s="116"/>
      <c r="AE33" s="116"/>
      <c r="AF33" s="118">
        <v>3500000</v>
      </c>
      <c r="AG33" s="118">
        <v>3500000</v>
      </c>
      <c r="AH33" s="112" t="s">
        <v>94</v>
      </c>
      <c r="AI33" s="112" t="s">
        <v>67</v>
      </c>
      <c r="AJ33" s="112" t="s">
        <v>43</v>
      </c>
      <c r="AK33" s="112" t="s">
        <v>178</v>
      </c>
      <c r="AL33" s="127" t="s">
        <v>164</v>
      </c>
      <c r="AM33" s="128"/>
    </row>
    <row r="34" spans="1:40" s="130" customFormat="1" ht="39.75" customHeight="1">
      <c r="A34" s="112">
        <v>13</v>
      </c>
      <c r="B34" s="113" t="s">
        <v>165</v>
      </c>
      <c r="C34" s="115" t="s">
        <v>166</v>
      </c>
      <c r="D34" s="115"/>
      <c r="E34" s="115">
        <v>0</v>
      </c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>
        <v>1</v>
      </c>
      <c r="Y34" s="115"/>
      <c r="Z34" s="115"/>
      <c r="AA34" s="126" t="s">
        <v>160</v>
      </c>
      <c r="AB34" s="112"/>
      <c r="AC34" s="112"/>
      <c r="AD34" s="112"/>
      <c r="AE34" s="112"/>
      <c r="AF34" s="118">
        <v>653400</v>
      </c>
      <c r="AG34" s="118">
        <v>653400</v>
      </c>
      <c r="AH34" s="112" t="s">
        <v>94</v>
      </c>
      <c r="AI34" s="112" t="s">
        <v>67</v>
      </c>
      <c r="AJ34" s="112" t="s">
        <v>43</v>
      </c>
      <c r="AK34" s="112" t="s">
        <v>178</v>
      </c>
      <c r="AL34" s="114" t="s">
        <v>164</v>
      </c>
      <c r="AM34" s="129"/>
    </row>
    <row r="35" spans="1:40" ht="20.25" customHeight="1">
      <c r="A35" s="97" t="s">
        <v>88</v>
      </c>
      <c r="B35" s="84" t="s">
        <v>140</v>
      </c>
      <c r="C35" s="65"/>
      <c r="D35" s="64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6"/>
      <c r="Z35" s="66"/>
      <c r="AA35" s="67"/>
      <c r="AB35" s="66"/>
      <c r="AC35" s="66"/>
      <c r="AD35" s="66"/>
      <c r="AE35" s="66"/>
      <c r="AF35" s="74"/>
      <c r="AG35" s="74"/>
      <c r="AH35" s="65"/>
      <c r="AI35" s="65"/>
      <c r="AJ35" s="65"/>
      <c r="AK35" s="65"/>
      <c r="AL35" s="75"/>
    </row>
    <row r="36" spans="1:40" ht="59.25" customHeight="1">
      <c r="A36" s="65">
        <v>1</v>
      </c>
      <c r="B36" s="72" t="s">
        <v>115</v>
      </c>
      <c r="C36" s="65" t="s">
        <v>137</v>
      </c>
      <c r="D36" s="64">
        <v>2022</v>
      </c>
      <c r="E36" s="65">
        <v>1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>
        <v>1</v>
      </c>
      <c r="Y36" s="66"/>
      <c r="Z36" s="66"/>
      <c r="AA36" s="76">
        <v>0</v>
      </c>
      <c r="AB36" s="66"/>
      <c r="AC36" s="66"/>
      <c r="AD36" s="66"/>
      <c r="AE36" s="66"/>
      <c r="AF36" s="73">
        <v>6800000</v>
      </c>
      <c r="AG36" s="73">
        <v>6800000</v>
      </c>
      <c r="AH36" s="65" t="s">
        <v>94</v>
      </c>
      <c r="AI36" s="65" t="s">
        <v>120</v>
      </c>
      <c r="AJ36" s="65" t="s">
        <v>43</v>
      </c>
      <c r="AK36" s="65"/>
      <c r="AL36" s="75"/>
    </row>
    <row r="37" spans="1:40" ht="68.25" customHeight="1">
      <c r="A37" s="65">
        <v>2</v>
      </c>
      <c r="B37" s="72" t="s">
        <v>116</v>
      </c>
      <c r="C37" s="68" t="s">
        <v>138</v>
      </c>
      <c r="D37" s="64">
        <v>2022</v>
      </c>
      <c r="E37" s="65">
        <v>10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>
        <v>10</v>
      </c>
      <c r="Y37" s="66"/>
      <c r="Z37" s="66"/>
      <c r="AA37" s="76">
        <v>0</v>
      </c>
      <c r="AB37" s="66"/>
      <c r="AC37" s="66"/>
      <c r="AD37" s="66"/>
      <c r="AE37" s="66"/>
      <c r="AF37" s="73">
        <v>960000</v>
      </c>
      <c r="AG37" s="74">
        <f>+X37*AF37</f>
        <v>9600000</v>
      </c>
      <c r="AH37" s="65" t="s">
        <v>94</v>
      </c>
      <c r="AI37" s="65" t="s">
        <v>120</v>
      </c>
      <c r="AJ37" s="65" t="s">
        <v>43</v>
      </c>
      <c r="AK37" s="65"/>
      <c r="AL37" s="75"/>
      <c r="AN37" s="48"/>
    </row>
    <row r="38" spans="1:40" s="1" customFormat="1" ht="25.5" customHeight="1">
      <c r="A38" s="65">
        <v>3</v>
      </c>
      <c r="B38" s="77" t="s">
        <v>95</v>
      </c>
      <c r="C38" s="97"/>
      <c r="D38" s="99"/>
      <c r="E38" s="65">
        <v>1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64">
        <v>1</v>
      </c>
      <c r="Y38" s="61"/>
      <c r="Z38" s="61"/>
      <c r="AA38" s="76">
        <v>0</v>
      </c>
      <c r="AB38" s="61"/>
      <c r="AC38" s="61"/>
      <c r="AD38" s="61"/>
      <c r="AE38" s="61"/>
      <c r="AF38" s="78"/>
      <c r="AG38" s="78"/>
      <c r="AH38" s="65" t="s">
        <v>94</v>
      </c>
      <c r="AI38" s="65" t="s">
        <v>120</v>
      </c>
      <c r="AJ38" s="65" t="s">
        <v>43</v>
      </c>
      <c r="AK38" s="65" t="s">
        <v>141</v>
      </c>
      <c r="AL38" s="79"/>
      <c r="AM38" s="80"/>
    </row>
    <row r="39" spans="1:40" s="1" customFormat="1" ht="25.5" customHeight="1">
      <c r="A39" s="65">
        <v>4</v>
      </c>
      <c r="B39" s="77" t="s">
        <v>98</v>
      </c>
      <c r="C39" s="97"/>
      <c r="D39" s="99"/>
      <c r="E39" s="65">
        <v>11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64">
        <v>11</v>
      </c>
      <c r="Y39" s="61"/>
      <c r="Z39" s="61"/>
      <c r="AA39" s="76">
        <v>0</v>
      </c>
      <c r="AB39" s="61"/>
      <c r="AC39" s="61"/>
      <c r="AD39" s="61"/>
      <c r="AE39" s="61"/>
      <c r="AF39" s="78"/>
      <c r="AG39" s="78"/>
      <c r="AH39" s="65" t="s">
        <v>94</v>
      </c>
      <c r="AI39" s="65" t="s">
        <v>120</v>
      </c>
      <c r="AJ39" s="65" t="s">
        <v>43</v>
      </c>
      <c r="AK39" s="65" t="s">
        <v>141</v>
      </c>
      <c r="AL39" s="79"/>
      <c r="AM39" s="80"/>
    </row>
    <row r="40" spans="1:40" s="1" customFormat="1" ht="25.5" customHeight="1">
      <c r="A40" s="65">
        <v>5</v>
      </c>
      <c r="B40" s="77" t="s">
        <v>101</v>
      </c>
      <c r="C40" s="65"/>
      <c r="D40" s="99"/>
      <c r="E40" s="64">
        <v>1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64">
        <v>1</v>
      </c>
      <c r="Y40" s="61"/>
      <c r="Z40" s="61"/>
      <c r="AA40" s="76">
        <v>0</v>
      </c>
      <c r="AB40" s="61"/>
      <c r="AC40" s="61"/>
      <c r="AD40" s="61"/>
      <c r="AE40" s="61"/>
      <c r="AF40" s="78"/>
      <c r="AG40" s="78"/>
      <c r="AH40" s="65" t="s">
        <v>94</v>
      </c>
      <c r="AI40" s="65" t="s">
        <v>120</v>
      </c>
      <c r="AJ40" s="65" t="s">
        <v>43</v>
      </c>
      <c r="AK40" s="65" t="s">
        <v>141</v>
      </c>
      <c r="AL40" s="79"/>
      <c r="AM40" s="80"/>
    </row>
    <row r="41" spans="1:40" s="1" customFormat="1" ht="25.5" customHeight="1">
      <c r="A41" s="65">
        <v>6</v>
      </c>
      <c r="B41" s="77" t="s">
        <v>102</v>
      </c>
      <c r="C41" s="65"/>
      <c r="D41" s="99"/>
      <c r="E41" s="64">
        <v>1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64">
        <v>1</v>
      </c>
      <c r="Y41" s="61"/>
      <c r="Z41" s="61"/>
      <c r="AA41" s="76">
        <v>0</v>
      </c>
      <c r="AB41" s="61"/>
      <c r="AC41" s="61"/>
      <c r="AD41" s="61"/>
      <c r="AE41" s="61"/>
      <c r="AF41" s="78"/>
      <c r="AG41" s="78"/>
      <c r="AH41" s="65" t="s">
        <v>94</v>
      </c>
      <c r="AI41" s="65" t="s">
        <v>120</v>
      </c>
      <c r="AJ41" s="65" t="s">
        <v>139</v>
      </c>
      <c r="AK41" s="65" t="s">
        <v>141</v>
      </c>
      <c r="AL41" s="75"/>
      <c r="AM41" s="80"/>
    </row>
    <row r="42" spans="1:40" s="1" customFormat="1" ht="25.5" customHeight="1">
      <c r="A42" s="65">
        <v>7</v>
      </c>
      <c r="B42" s="77" t="s">
        <v>104</v>
      </c>
      <c r="C42" s="65"/>
      <c r="D42" s="99"/>
      <c r="E42" s="64">
        <v>2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64">
        <v>2</v>
      </c>
      <c r="Y42" s="61"/>
      <c r="Z42" s="61"/>
      <c r="AA42" s="76">
        <v>0</v>
      </c>
      <c r="AB42" s="61"/>
      <c r="AC42" s="61"/>
      <c r="AD42" s="61"/>
      <c r="AE42" s="61"/>
      <c r="AF42" s="78"/>
      <c r="AG42" s="78"/>
      <c r="AH42" s="65" t="s">
        <v>94</v>
      </c>
      <c r="AI42" s="65" t="s">
        <v>120</v>
      </c>
      <c r="AJ42" s="65" t="s">
        <v>43</v>
      </c>
      <c r="AK42" s="65" t="s">
        <v>141</v>
      </c>
      <c r="AL42" s="79"/>
      <c r="AM42" s="80"/>
    </row>
    <row r="43" spans="1:40" s="1" customFormat="1" ht="25.5" customHeight="1">
      <c r="A43" s="65">
        <v>8</v>
      </c>
      <c r="B43" s="77" t="s">
        <v>107</v>
      </c>
      <c r="C43" s="65"/>
      <c r="D43" s="99"/>
      <c r="E43" s="64">
        <v>1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64">
        <v>1</v>
      </c>
      <c r="Y43" s="61"/>
      <c r="Z43" s="61"/>
      <c r="AA43" s="76">
        <v>0</v>
      </c>
      <c r="AB43" s="61"/>
      <c r="AC43" s="61"/>
      <c r="AD43" s="61"/>
      <c r="AE43" s="61"/>
      <c r="AF43" s="78"/>
      <c r="AG43" s="78"/>
      <c r="AH43" s="65" t="s">
        <v>94</v>
      </c>
      <c r="AI43" s="65" t="s">
        <v>120</v>
      </c>
      <c r="AJ43" s="65" t="s">
        <v>43</v>
      </c>
      <c r="AK43" s="65" t="s">
        <v>141</v>
      </c>
      <c r="AL43" s="79"/>
      <c r="AM43" s="80"/>
    </row>
    <row r="44" spans="1:40" s="1" customFormat="1" ht="25.5" customHeight="1">
      <c r="A44" s="65">
        <v>9</v>
      </c>
      <c r="B44" s="77" t="s">
        <v>105</v>
      </c>
      <c r="C44" s="65"/>
      <c r="D44" s="99"/>
      <c r="E44" s="85">
        <v>1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64">
        <v>1</v>
      </c>
      <c r="Y44" s="61"/>
      <c r="Z44" s="61"/>
      <c r="AA44" s="76">
        <v>0</v>
      </c>
      <c r="AB44" s="61"/>
      <c r="AC44" s="61"/>
      <c r="AD44" s="61"/>
      <c r="AE44" s="61"/>
      <c r="AF44" s="78"/>
      <c r="AG44" s="78"/>
      <c r="AH44" s="65" t="s">
        <v>94</v>
      </c>
      <c r="AI44" s="65" t="s">
        <v>120</v>
      </c>
      <c r="AJ44" s="65" t="s">
        <v>139</v>
      </c>
      <c r="AK44" s="65" t="s">
        <v>141</v>
      </c>
      <c r="AL44" s="68" t="s">
        <v>65</v>
      </c>
      <c r="AM44" s="80"/>
    </row>
    <row r="45" spans="1:40" ht="25.5" customHeight="1">
      <c r="A45" s="65">
        <v>10</v>
      </c>
      <c r="B45" s="77" t="s">
        <v>143</v>
      </c>
      <c r="C45" s="65"/>
      <c r="D45" s="64"/>
      <c r="E45" s="65">
        <v>1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>
        <v>1</v>
      </c>
      <c r="Y45" s="66">
        <f>G45</f>
        <v>0</v>
      </c>
      <c r="Z45" s="66">
        <v>0</v>
      </c>
      <c r="AA45" s="67">
        <v>0</v>
      </c>
      <c r="AB45" s="66">
        <f>Y45-G45</f>
        <v>0</v>
      </c>
      <c r="AC45" s="66">
        <f>F45-Z45</f>
        <v>0</v>
      </c>
      <c r="AD45" s="66">
        <v>0.2</v>
      </c>
      <c r="AE45" s="66" t="s">
        <v>44</v>
      </c>
      <c r="AF45" s="74"/>
      <c r="AG45" s="74"/>
      <c r="AH45" s="65" t="s">
        <v>94</v>
      </c>
      <c r="AI45" s="65" t="s">
        <v>120</v>
      </c>
      <c r="AJ45" s="65" t="s">
        <v>139</v>
      </c>
      <c r="AK45" s="65" t="s">
        <v>141</v>
      </c>
      <c r="AL45" s="68" t="s">
        <v>65</v>
      </c>
      <c r="AM45" s="80"/>
    </row>
    <row r="46" spans="1:40" ht="25.5" customHeight="1">
      <c r="A46" s="65">
        <v>11</v>
      </c>
      <c r="B46" s="77" t="s">
        <v>142</v>
      </c>
      <c r="C46" s="65"/>
      <c r="D46" s="64"/>
      <c r="E46" s="65">
        <v>1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>
        <v>1</v>
      </c>
      <c r="Y46" s="66">
        <f>G46</f>
        <v>0</v>
      </c>
      <c r="Z46" s="66">
        <v>0</v>
      </c>
      <c r="AA46" s="67">
        <v>0</v>
      </c>
      <c r="AB46" s="66">
        <f>Y46-G46</f>
        <v>0</v>
      </c>
      <c r="AC46" s="66">
        <f>F46-Z46</f>
        <v>0</v>
      </c>
      <c r="AD46" s="66">
        <v>0.2</v>
      </c>
      <c r="AE46" s="66" t="s">
        <v>44</v>
      </c>
      <c r="AF46" s="74"/>
      <c r="AG46" s="74"/>
      <c r="AH46" s="65" t="s">
        <v>94</v>
      </c>
      <c r="AI46" s="65" t="s">
        <v>120</v>
      </c>
      <c r="AJ46" s="65" t="s">
        <v>139</v>
      </c>
      <c r="AK46" s="65" t="s">
        <v>141</v>
      </c>
      <c r="AL46" s="68" t="s">
        <v>65</v>
      </c>
      <c r="AM46" s="80"/>
    </row>
    <row r="47" spans="1:40" ht="51.75" customHeight="1">
      <c r="A47" s="65">
        <v>12</v>
      </c>
      <c r="B47" s="72" t="s">
        <v>170</v>
      </c>
      <c r="C47" s="65" t="s">
        <v>174</v>
      </c>
      <c r="D47" s="64"/>
      <c r="E47" s="65">
        <v>0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>
        <v>3</v>
      </c>
      <c r="Y47" s="66"/>
      <c r="Z47" s="66"/>
      <c r="AA47" s="67" t="s">
        <v>169</v>
      </c>
      <c r="AB47" s="66"/>
      <c r="AC47" s="66"/>
      <c r="AD47" s="66"/>
      <c r="AE47" s="66"/>
      <c r="AF47" s="74">
        <v>660000</v>
      </c>
      <c r="AG47" s="74">
        <f>+X47*AF47</f>
        <v>1980000</v>
      </c>
      <c r="AH47" s="65" t="s">
        <v>94</v>
      </c>
      <c r="AI47" s="65" t="s">
        <v>120</v>
      </c>
      <c r="AJ47" s="65" t="s">
        <v>43</v>
      </c>
      <c r="AK47" s="65"/>
      <c r="AL47" s="68" t="s">
        <v>175</v>
      </c>
      <c r="AM47" s="1"/>
    </row>
    <row r="48" spans="1:40" s="120" customFormat="1" ht="66.75" customHeight="1">
      <c r="A48" s="112">
        <v>13</v>
      </c>
      <c r="B48" s="113" t="s">
        <v>177</v>
      </c>
      <c r="C48" s="114" t="s">
        <v>168</v>
      </c>
      <c r="D48" s="115"/>
      <c r="E48" s="112">
        <v>0</v>
      </c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>
        <v>3</v>
      </c>
      <c r="Y48" s="116"/>
      <c r="Z48" s="116"/>
      <c r="AA48" s="117" t="s">
        <v>169</v>
      </c>
      <c r="AB48" s="116"/>
      <c r="AC48" s="116"/>
      <c r="AD48" s="116"/>
      <c r="AE48" s="116"/>
      <c r="AF48" s="118">
        <v>2150000</v>
      </c>
      <c r="AG48" s="118">
        <v>6450000</v>
      </c>
      <c r="AH48" s="112" t="s">
        <v>94</v>
      </c>
      <c r="AI48" s="112" t="s">
        <v>120</v>
      </c>
      <c r="AJ48" s="112" t="s">
        <v>43</v>
      </c>
      <c r="AK48" s="112" t="s">
        <v>178</v>
      </c>
      <c r="AL48" s="114" t="s">
        <v>176</v>
      </c>
      <c r="AM48" s="119"/>
    </row>
    <row r="49" spans="1:39" s="1" customFormat="1" ht="23.25" customHeight="1">
      <c r="A49" s="97" t="s">
        <v>39</v>
      </c>
      <c r="B49" s="60" t="s">
        <v>180</v>
      </c>
      <c r="C49" s="98"/>
      <c r="D49" s="99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61"/>
      <c r="Z49" s="61"/>
      <c r="AA49" s="62"/>
      <c r="AB49" s="61"/>
      <c r="AC49" s="61"/>
      <c r="AD49" s="61"/>
      <c r="AE49" s="61"/>
      <c r="AF49" s="63"/>
      <c r="AG49" s="63"/>
      <c r="AH49" s="97"/>
      <c r="AI49" s="97"/>
      <c r="AJ49" s="97"/>
      <c r="AK49" s="97"/>
      <c r="AL49" s="98"/>
    </row>
    <row r="50" spans="1:39" s="119" customFormat="1" ht="23.25" customHeight="1">
      <c r="A50" s="112">
        <v>1</v>
      </c>
      <c r="B50" s="113" t="s">
        <v>165</v>
      </c>
      <c r="C50" s="115" t="s">
        <v>166</v>
      </c>
      <c r="D50" s="121"/>
      <c r="E50" s="112">
        <v>1</v>
      </c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>
        <v>1</v>
      </c>
      <c r="Y50" s="116"/>
      <c r="Z50" s="116"/>
      <c r="AA50" s="117" t="s">
        <v>206</v>
      </c>
      <c r="AB50" s="116"/>
      <c r="AC50" s="116"/>
      <c r="AD50" s="116"/>
      <c r="AE50" s="116"/>
      <c r="AF50" s="118">
        <v>653400</v>
      </c>
      <c r="AG50" s="118">
        <v>653400</v>
      </c>
      <c r="AH50" s="112" t="s">
        <v>94</v>
      </c>
      <c r="AI50" s="122"/>
      <c r="AJ50" s="122"/>
      <c r="AK50" s="112" t="s">
        <v>178</v>
      </c>
      <c r="AL50" s="114" t="s">
        <v>223</v>
      </c>
    </row>
    <row r="51" spans="1:39" s="120" customFormat="1" ht="25.5">
      <c r="A51" s="112">
        <v>2</v>
      </c>
      <c r="B51" s="123" t="s">
        <v>181</v>
      </c>
      <c r="C51" s="124" t="s">
        <v>182</v>
      </c>
      <c r="D51" s="115"/>
      <c r="E51" s="112">
        <v>1</v>
      </c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>
        <v>1</v>
      </c>
      <c r="Y51" s="116"/>
      <c r="Z51" s="116"/>
      <c r="AA51" s="117" t="s">
        <v>206</v>
      </c>
      <c r="AB51" s="116"/>
      <c r="AC51" s="116"/>
      <c r="AD51" s="116"/>
      <c r="AE51" s="116"/>
      <c r="AF51" s="125">
        <v>595000</v>
      </c>
      <c r="AG51" s="125">
        <v>595000</v>
      </c>
      <c r="AH51" s="112" t="s">
        <v>94</v>
      </c>
      <c r="AI51" s="112"/>
      <c r="AJ51" s="112" t="s">
        <v>189</v>
      </c>
      <c r="AK51" s="112" t="s">
        <v>178</v>
      </c>
      <c r="AL51" s="114" t="s">
        <v>190</v>
      </c>
      <c r="AM51" s="119"/>
    </row>
    <row r="52" spans="1:39" s="120" customFormat="1">
      <c r="A52" s="112">
        <v>3</v>
      </c>
      <c r="B52" s="123" t="s">
        <v>183</v>
      </c>
      <c r="C52" s="124" t="s">
        <v>184</v>
      </c>
      <c r="D52" s="115"/>
      <c r="E52" s="112">
        <v>1</v>
      </c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>
        <v>1</v>
      </c>
      <c r="Y52" s="116"/>
      <c r="Z52" s="116"/>
      <c r="AA52" s="117" t="s">
        <v>206</v>
      </c>
      <c r="AB52" s="116"/>
      <c r="AC52" s="116"/>
      <c r="AD52" s="116"/>
      <c r="AE52" s="116"/>
      <c r="AF52" s="125">
        <v>700000</v>
      </c>
      <c r="AG52" s="125">
        <v>700000</v>
      </c>
      <c r="AH52" s="112" t="s">
        <v>94</v>
      </c>
      <c r="AI52" s="112"/>
      <c r="AJ52" s="112" t="s">
        <v>189</v>
      </c>
      <c r="AK52" s="112" t="s">
        <v>178</v>
      </c>
      <c r="AL52" s="114" t="s">
        <v>193</v>
      </c>
      <c r="AM52" s="119"/>
    </row>
    <row r="53" spans="1:39" s="120" customFormat="1">
      <c r="A53" s="112">
        <v>4</v>
      </c>
      <c r="B53" s="123" t="s">
        <v>185</v>
      </c>
      <c r="C53" s="124" t="s">
        <v>186</v>
      </c>
      <c r="D53" s="115"/>
      <c r="E53" s="112">
        <v>1</v>
      </c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>
        <v>1</v>
      </c>
      <c r="Y53" s="116"/>
      <c r="Z53" s="116"/>
      <c r="AA53" s="117" t="s">
        <v>206</v>
      </c>
      <c r="AB53" s="116"/>
      <c r="AC53" s="116"/>
      <c r="AD53" s="116"/>
      <c r="AE53" s="116"/>
      <c r="AF53" s="125">
        <v>751840</v>
      </c>
      <c r="AG53" s="125">
        <v>751840</v>
      </c>
      <c r="AH53" s="112" t="s">
        <v>94</v>
      </c>
      <c r="AI53" s="112"/>
      <c r="AJ53" s="112" t="s">
        <v>189</v>
      </c>
      <c r="AK53" s="112" t="s">
        <v>178</v>
      </c>
      <c r="AL53" s="114" t="s">
        <v>191</v>
      </c>
      <c r="AM53" s="119"/>
    </row>
    <row r="54" spans="1:39" s="120" customFormat="1">
      <c r="A54" s="112">
        <v>5</v>
      </c>
      <c r="B54" s="123" t="s">
        <v>187</v>
      </c>
      <c r="C54" s="124" t="s">
        <v>188</v>
      </c>
      <c r="D54" s="115"/>
      <c r="E54" s="112">
        <v>1</v>
      </c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>
        <v>1</v>
      </c>
      <c r="Y54" s="116"/>
      <c r="Z54" s="116"/>
      <c r="AA54" s="117" t="s">
        <v>206</v>
      </c>
      <c r="AB54" s="116"/>
      <c r="AC54" s="116"/>
      <c r="AD54" s="116"/>
      <c r="AE54" s="116"/>
      <c r="AF54" s="125">
        <v>290000</v>
      </c>
      <c r="AG54" s="125">
        <v>290000</v>
      </c>
      <c r="AH54" s="112" t="s">
        <v>94</v>
      </c>
      <c r="AI54" s="112"/>
      <c r="AJ54" s="112" t="s">
        <v>189</v>
      </c>
      <c r="AK54" s="112" t="s">
        <v>178</v>
      </c>
      <c r="AL54" s="114" t="s">
        <v>192</v>
      </c>
      <c r="AM54" s="119"/>
    </row>
    <row r="55" spans="1:39" s="120" customFormat="1">
      <c r="A55" s="112">
        <v>6</v>
      </c>
      <c r="B55" s="123" t="s">
        <v>194</v>
      </c>
      <c r="C55" s="124" t="s">
        <v>195</v>
      </c>
      <c r="D55" s="115"/>
      <c r="E55" s="112">
        <v>1</v>
      </c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>
        <v>1</v>
      </c>
      <c r="Y55" s="116"/>
      <c r="Z55" s="116"/>
      <c r="AA55" s="117" t="s">
        <v>206</v>
      </c>
      <c r="AB55" s="116"/>
      <c r="AC55" s="116"/>
      <c r="AD55" s="116"/>
      <c r="AE55" s="116"/>
      <c r="AF55" s="125">
        <v>3200000</v>
      </c>
      <c r="AG55" s="125">
        <v>3200000</v>
      </c>
      <c r="AH55" s="112" t="s">
        <v>94</v>
      </c>
      <c r="AI55" s="112"/>
      <c r="AJ55" s="112" t="s">
        <v>189</v>
      </c>
      <c r="AK55" s="112" t="s">
        <v>178</v>
      </c>
      <c r="AL55" s="114" t="s">
        <v>191</v>
      </c>
      <c r="AM55" s="119"/>
    </row>
    <row r="56" spans="1:39" s="120" customFormat="1">
      <c r="A56" s="112">
        <v>7</v>
      </c>
      <c r="B56" s="123" t="s">
        <v>196</v>
      </c>
      <c r="C56" s="124" t="s">
        <v>197</v>
      </c>
      <c r="D56" s="115"/>
      <c r="E56" s="112">
        <v>1</v>
      </c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>
        <v>1</v>
      </c>
      <c r="Y56" s="116"/>
      <c r="Z56" s="116"/>
      <c r="AA56" s="117" t="s">
        <v>206</v>
      </c>
      <c r="AB56" s="116"/>
      <c r="AC56" s="116"/>
      <c r="AD56" s="116"/>
      <c r="AE56" s="116"/>
      <c r="AF56" s="125">
        <v>2700000</v>
      </c>
      <c r="AG56" s="125">
        <v>2700000</v>
      </c>
      <c r="AH56" s="112" t="s">
        <v>94</v>
      </c>
      <c r="AI56" s="112"/>
      <c r="AJ56" s="112" t="s">
        <v>189</v>
      </c>
      <c r="AK56" s="112" t="s">
        <v>178</v>
      </c>
      <c r="AL56" s="114" t="s">
        <v>193</v>
      </c>
      <c r="AM56" s="119"/>
    </row>
    <row r="57" spans="1:39" s="120" customFormat="1">
      <c r="A57" s="112">
        <v>8</v>
      </c>
      <c r="B57" s="123" t="s">
        <v>198</v>
      </c>
      <c r="C57" s="124" t="s">
        <v>199</v>
      </c>
      <c r="D57" s="115"/>
      <c r="E57" s="112">
        <v>1</v>
      </c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>
        <v>1</v>
      </c>
      <c r="Y57" s="116"/>
      <c r="Z57" s="116"/>
      <c r="AA57" s="117" t="s">
        <v>206</v>
      </c>
      <c r="AB57" s="116"/>
      <c r="AC57" s="116"/>
      <c r="AD57" s="116"/>
      <c r="AE57" s="116"/>
      <c r="AF57" s="125">
        <v>1737000</v>
      </c>
      <c r="AG57" s="125">
        <v>1737000</v>
      </c>
      <c r="AH57" s="112" t="s">
        <v>94</v>
      </c>
      <c r="AI57" s="112"/>
      <c r="AJ57" s="112" t="s">
        <v>189</v>
      </c>
      <c r="AK57" s="112" t="s">
        <v>178</v>
      </c>
      <c r="AL57" s="114" t="s">
        <v>191</v>
      </c>
      <c r="AM57" s="119"/>
    </row>
    <row r="58" spans="1:39" s="120" customFormat="1">
      <c r="A58" s="112">
        <v>9</v>
      </c>
      <c r="B58" s="123" t="s">
        <v>200</v>
      </c>
      <c r="C58" s="124" t="s">
        <v>201</v>
      </c>
      <c r="D58" s="115"/>
      <c r="E58" s="112">
        <v>2</v>
      </c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>
        <v>2</v>
      </c>
      <c r="Y58" s="116"/>
      <c r="Z58" s="116"/>
      <c r="AA58" s="117" t="s">
        <v>206</v>
      </c>
      <c r="AB58" s="116"/>
      <c r="AC58" s="116"/>
      <c r="AD58" s="116"/>
      <c r="AE58" s="116"/>
      <c r="AF58" s="125">
        <v>600000</v>
      </c>
      <c r="AG58" s="125">
        <v>1200000</v>
      </c>
      <c r="AH58" s="112" t="s">
        <v>94</v>
      </c>
      <c r="AI58" s="112"/>
      <c r="AJ58" s="112"/>
      <c r="AK58" s="112" t="s">
        <v>178</v>
      </c>
      <c r="AL58" s="114" t="s">
        <v>223</v>
      </c>
      <c r="AM58" s="119"/>
    </row>
    <row r="59" spans="1:39" s="120" customFormat="1">
      <c r="A59" s="112">
        <v>10</v>
      </c>
      <c r="B59" s="123" t="s">
        <v>202</v>
      </c>
      <c r="C59" s="124" t="s">
        <v>203</v>
      </c>
      <c r="D59" s="115"/>
      <c r="E59" s="112">
        <v>1</v>
      </c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>
        <v>1</v>
      </c>
      <c r="Y59" s="116"/>
      <c r="Z59" s="116"/>
      <c r="AA59" s="117" t="s">
        <v>206</v>
      </c>
      <c r="AB59" s="116"/>
      <c r="AC59" s="116"/>
      <c r="AD59" s="116"/>
      <c r="AE59" s="116"/>
      <c r="AF59" s="125">
        <v>2960000</v>
      </c>
      <c r="AG59" s="125">
        <v>2960000</v>
      </c>
      <c r="AH59" s="112" t="s">
        <v>94</v>
      </c>
      <c r="AI59" s="112"/>
      <c r="AJ59" s="112"/>
      <c r="AK59" s="112" t="s">
        <v>178</v>
      </c>
      <c r="AL59" s="114" t="s">
        <v>191</v>
      </c>
      <c r="AM59" s="119"/>
    </row>
    <row r="60" spans="1:39" s="120" customFormat="1">
      <c r="A60" s="112">
        <v>11</v>
      </c>
      <c r="B60" s="123" t="s">
        <v>204</v>
      </c>
      <c r="C60" s="124" t="s">
        <v>205</v>
      </c>
      <c r="D60" s="115"/>
      <c r="E60" s="112">
        <v>6</v>
      </c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>
        <v>6</v>
      </c>
      <c r="Y60" s="116"/>
      <c r="Z60" s="116"/>
      <c r="AA60" s="117" t="s">
        <v>206</v>
      </c>
      <c r="AB60" s="116"/>
      <c r="AC60" s="116"/>
      <c r="AD60" s="116"/>
      <c r="AE60" s="116"/>
      <c r="AF60" s="125">
        <v>356000</v>
      </c>
      <c r="AG60" s="125">
        <v>2136000</v>
      </c>
      <c r="AH60" s="112" t="s">
        <v>94</v>
      </c>
      <c r="AI60" s="112"/>
      <c r="AJ60" s="112"/>
      <c r="AK60" s="112" t="s">
        <v>178</v>
      </c>
      <c r="AL60" s="114" t="s">
        <v>193</v>
      </c>
      <c r="AM60" s="119"/>
    </row>
    <row r="61" spans="1:39" s="120" customFormat="1">
      <c r="A61" s="112">
        <v>12</v>
      </c>
      <c r="B61" s="123" t="s">
        <v>207</v>
      </c>
      <c r="C61" s="124" t="s">
        <v>208</v>
      </c>
      <c r="D61" s="115"/>
      <c r="E61" s="112">
        <v>1</v>
      </c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>
        <v>1</v>
      </c>
      <c r="Y61" s="116"/>
      <c r="Z61" s="116"/>
      <c r="AA61" s="117" t="s">
        <v>206</v>
      </c>
      <c r="AB61" s="116"/>
      <c r="AC61" s="116"/>
      <c r="AD61" s="116"/>
      <c r="AE61" s="116"/>
      <c r="AF61" s="125">
        <v>350000</v>
      </c>
      <c r="AG61" s="125">
        <v>350000</v>
      </c>
      <c r="AH61" s="112" t="s">
        <v>94</v>
      </c>
      <c r="AI61" s="112"/>
      <c r="AJ61" s="112" t="s">
        <v>189</v>
      </c>
      <c r="AK61" s="112" t="s">
        <v>178</v>
      </c>
      <c r="AL61" s="114" t="s">
        <v>223</v>
      </c>
      <c r="AM61" s="119"/>
    </row>
    <row r="62" spans="1:39" s="120" customFormat="1">
      <c r="A62" s="112">
        <v>13</v>
      </c>
      <c r="B62" s="123" t="s">
        <v>100</v>
      </c>
      <c r="C62" s="124" t="s">
        <v>209</v>
      </c>
      <c r="D62" s="115"/>
      <c r="E62" s="112">
        <v>1</v>
      </c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>
        <v>1</v>
      </c>
      <c r="Y62" s="116"/>
      <c r="Z62" s="116"/>
      <c r="AA62" s="117" t="s">
        <v>206</v>
      </c>
      <c r="AB62" s="116"/>
      <c r="AC62" s="116"/>
      <c r="AD62" s="116"/>
      <c r="AE62" s="116"/>
      <c r="AF62" s="118">
        <v>440000</v>
      </c>
      <c r="AG62" s="118">
        <v>440000</v>
      </c>
      <c r="AH62" s="112" t="s">
        <v>94</v>
      </c>
      <c r="AI62" s="112"/>
      <c r="AJ62" s="112" t="s">
        <v>189</v>
      </c>
      <c r="AK62" s="112" t="s">
        <v>178</v>
      </c>
      <c r="AL62" s="114" t="s">
        <v>223</v>
      </c>
      <c r="AM62" s="119"/>
    </row>
    <row r="63" spans="1:39" s="120" customFormat="1">
      <c r="A63" s="112">
        <v>14</v>
      </c>
      <c r="B63" s="123" t="s">
        <v>210</v>
      </c>
      <c r="C63" s="124" t="s">
        <v>211</v>
      </c>
      <c r="D63" s="115"/>
      <c r="E63" s="112">
        <v>1</v>
      </c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>
        <v>1</v>
      </c>
      <c r="Y63" s="116"/>
      <c r="Z63" s="116"/>
      <c r="AA63" s="117" t="s">
        <v>206</v>
      </c>
      <c r="AB63" s="116"/>
      <c r="AC63" s="116"/>
      <c r="AD63" s="116"/>
      <c r="AE63" s="116"/>
      <c r="AF63" s="125">
        <v>600000</v>
      </c>
      <c r="AG63" s="125">
        <v>600000</v>
      </c>
      <c r="AH63" s="112" t="s">
        <v>94</v>
      </c>
      <c r="AI63" s="112"/>
      <c r="AJ63" s="112"/>
      <c r="AK63" s="112" t="s">
        <v>178</v>
      </c>
      <c r="AL63" s="114" t="s">
        <v>223</v>
      </c>
      <c r="AM63" s="119"/>
    </row>
    <row r="64" spans="1:39" s="120" customFormat="1">
      <c r="A64" s="112">
        <v>15</v>
      </c>
      <c r="B64" s="123" t="s">
        <v>212</v>
      </c>
      <c r="C64" s="124" t="s">
        <v>213</v>
      </c>
      <c r="D64" s="124" t="s">
        <v>214</v>
      </c>
      <c r="E64" s="112">
        <v>1</v>
      </c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>
        <v>1</v>
      </c>
      <c r="Y64" s="116"/>
      <c r="Z64" s="116"/>
      <c r="AA64" s="117" t="s">
        <v>206</v>
      </c>
      <c r="AB64" s="116"/>
      <c r="AC64" s="116"/>
      <c r="AD64" s="116"/>
      <c r="AE64" s="116"/>
      <c r="AF64" s="125">
        <v>6500000</v>
      </c>
      <c r="AG64" s="125">
        <v>6500000</v>
      </c>
      <c r="AH64" s="112" t="s">
        <v>94</v>
      </c>
      <c r="AI64" s="112"/>
      <c r="AJ64" s="112" t="s">
        <v>189</v>
      </c>
      <c r="AK64" s="112" t="s">
        <v>178</v>
      </c>
      <c r="AL64" s="114" t="s">
        <v>191</v>
      </c>
      <c r="AM64" s="119"/>
    </row>
    <row r="65" spans="1:42" s="120" customFormat="1">
      <c r="A65" s="112">
        <v>16</v>
      </c>
      <c r="B65" s="123" t="s">
        <v>215</v>
      </c>
      <c r="C65" s="124" t="s">
        <v>216</v>
      </c>
      <c r="D65" s="124" t="s">
        <v>217</v>
      </c>
      <c r="E65" s="112">
        <v>1</v>
      </c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>
        <v>1</v>
      </c>
      <c r="Y65" s="116"/>
      <c r="Z65" s="116"/>
      <c r="AA65" s="117" t="s">
        <v>206</v>
      </c>
      <c r="AB65" s="116"/>
      <c r="AC65" s="116"/>
      <c r="AD65" s="116"/>
      <c r="AE65" s="116"/>
      <c r="AF65" s="125">
        <v>5200000</v>
      </c>
      <c r="AG65" s="125">
        <v>5200000</v>
      </c>
      <c r="AH65" s="112" t="s">
        <v>94</v>
      </c>
      <c r="AI65" s="112"/>
      <c r="AJ65" s="112"/>
      <c r="AK65" s="112" t="s">
        <v>178</v>
      </c>
      <c r="AL65" s="114" t="s">
        <v>223</v>
      </c>
      <c r="AM65" s="119"/>
    </row>
    <row r="66" spans="1:42" s="120" customFormat="1">
      <c r="A66" s="115">
        <v>17</v>
      </c>
      <c r="B66" s="123" t="s">
        <v>218</v>
      </c>
      <c r="C66" s="124" t="s">
        <v>219</v>
      </c>
      <c r="D66" s="115"/>
      <c r="E66" s="112">
        <v>1</v>
      </c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>
        <v>1</v>
      </c>
      <c r="Y66" s="116"/>
      <c r="Z66" s="116"/>
      <c r="AA66" s="117" t="s">
        <v>206</v>
      </c>
      <c r="AB66" s="116"/>
      <c r="AC66" s="116"/>
      <c r="AD66" s="116"/>
      <c r="AE66" s="116"/>
      <c r="AF66" s="125">
        <v>5000000</v>
      </c>
      <c r="AG66" s="125">
        <v>5000000</v>
      </c>
      <c r="AH66" s="112" t="s">
        <v>94</v>
      </c>
      <c r="AI66" s="112"/>
      <c r="AJ66" s="112"/>
      <c r="AK66" s="112" t="s">
        <v>178</v>
      </c>
      <c r="AL66" s="114" t="s">
        <v>191</v>
      </c>
      <c r="AM66" s="119"/>
    </row>
    <row r="67" spans="1:42" s="1" customFormat="1">
      <c r="A67" s="99"/>
      <c r="B67" s="102" t="s">
        <v>230</v>
      </c>
      <c r="C67" s="60"/>
      <c r="D67" s="102"/>
      <c r="E67" s="99"/>
      <c r="F67" s="99"/>
      <c r="G67" s="78"/>
      <c r="H67" s="78"/>
      <c r="I67" s="78"/>
      <c r="J67" s="103"/>
      <c r="K67" s="103"/>
      <c r="L67" s="97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99"/>
      <c r="Z67" s="103"/>
      <c r="AA67" s="78"/>
      <c r="AB67" s="104"/>
      <c r="AC67" s="103"/>
      <c r="AD67" s="103"/>
      <c r="AE67" s="105"/>
      <c r="AF67" s="106"/>
      <c r="AG67" s="97">
        <f>SUM(AG22:AG66)</f>
        <v>103736640</v>
      </c>
      <c r="AH67" s="107"/>
      <c r="AI67" s="99"/>
      <c r="AJ67" s="99"/>
      <c r="AK67" s="96"/>
      <c r="AL67" s="108"/>
      <c r="AM67" s="109"/>
      <c r="AN67" s="110"/>
      <c r="AO67" s="111"/>
      <c r="AP67" s="110"/>
    </row>
    <row r="68" spans="1:42" s="1" customFormat="1" ht="13.5" customHeight="1">
      <c r="A68" s="94"/>
      <c r="E68" s="94"/>
      <c r="F68" s="86"/>
      <c r="K68" s="94"/>
      <c r="X68" s="94"/>
      <c r="AA68" s="47"/>
      <c r="AB68" s="87"/>
      <c r="AF68" s="45"/>
      <c r="AG68" s="45"/>
      <c r="AH68" s="94"/>
      <c r="AI68" s="160" t="s">
        <v>220</v>
      </c>
      <c r="AJ68" s="160"/>
      <c r="AK68" s="160"/>
      <c r="AL68" s="160"/>
    </row>
    <row r="69" spans="1:42" s="1" customFormat="1" ht="13.5" customHeight="1">
      <c r="A69" s="94"/>
      <c r="B69" s="1" t="s">
        <v>52</v>
      </c>
      <c r="C69" s="154" t="s">
        <v>153</v>
      </c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AA69" s="154" t="s">
        <v>53</v>
      </c>
      <c r="AB69" s="154"/>
      <c r="AC69" s="154"/>
      <c r="AD69" s="154"/>
      <c r="AE69" s="154"/>
      <c r="AF69" s="154"/>
      <c r="AG69" s="154"/>
      <c r="AH69" s="154"/>
      <c r="AI69" s="154"/>
      <c r="AJ69" s="154" t="s">
        <v>54</v>
      </c>
      <c r="AK69" s="154"/>
      <c r="AL69" s="154"/>
    </row>
    <row r="70" spans="1:42" s="1" customFormat="1" ht="18.75" customHeight="1">
      <c r="A70" s="94" t="s">
        <v>55</v>
      </c>
      <c r="B70" s="1" t="s">
        <v>93</v>
      </c>
      <c r="C70" s="43"/>
      <c r="E70" s="94"/>
      <c r="F70" s="86"/>
      <c r="K70" s="94"/>
      <c r="X70" s="94"/>
      <c r="AA70" s="47"/>
      <c r="AB70" s="87"/>
      <c r="AF70" s="45"/>
      <c r="AG70" s="45"/>
      <c r="AH70" s="94"/>
      <c r="AI70" s="94"/>
      <c r="AJ70" s="94"/>
      <c r="AK70" s="94"/>
      <c r="AL70" s="88"/>
    </row>
    <row r="71" spans="1:42" s="1" customFormat="1" ht="18.75" customHeight="1">
      <c r="A71" s="94" t="s">
        <v>55</v>
      </c>
      <c r="B71" s="1" t="s">
        <v>90</v>
      </c>
      <c r="C71" s="43"/>
      <c r="E71" s="94"/>
      <c r="F71" s="86"/>
      <c r="K71" s="94"/>
      <c r="X71" s="94"/>
      <c r="AA71" s="47"/>
      <c r="AB71" s="87"/>
      <c r="AF71" s="45"/>
      <c r="AG71" s="45"/>
      <c r="AH71" s="94"/>
      <c r="AI71" s="94"/>
      <c r="AJ71" s="94"/>
      <c r="AK71" s="94"/>
      <c r="AL71" s="88"/>
    </row>
    <row r="72" spans="1:42" s="1" customFormat="1" ht="18.75" customHeight="1">
      <c r="A72" s="94" t="s">
        <v>55</v>
      </c>
      <c r="B72" s="1" t="s">
        <v>156</v>
      </c>
      <c r="D72" s="43"/>
      <c r="E72" s="94"/>
      <c r="F72" s="86"/>
      <c r="K72" s="94"/>
      <c r="X72" s="94"/>
      <c r="AA72" s="47"/>
      <c r="AB72" s="89"/>
      <c r="AF72" s="45"/>
      <c r="AG72" s="45"/>
      <c r="AJ72" s="94"/>
      <c r="AK72" s="94"/>
      <c r="AL72" s="88"/>
    </row>
    <row r="73" spans="1:42" s="1" customFormat="1" ht="18.75" customHeight="1">
      <c r="A73" s="94" t="s">
        <v>55</v>
      </c>
      <c r="B73" s="1" t="s">
        <v>222</v>
      </c>
      <c r="C73" s="43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</row>
    <row r="74" spans="1:42" s="1" customFormat="1" ht="21" customHeight="1">
      <c r="A74" s="94"/>
      <c r="C74" s="154" t="s">
        <v>134</v>
      </c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AA74" s="154" t="s">
        <v>221</v>
      </c>
      <c r="AB74" s="154"/>
      <c r="AC74" s="154"/>
      <c r="AD74" s="154"/>
      <c r="AE74" s="154"/>
      <c r="AF74" s="154"/>
      <c r="AG74" s="154"/>
      <c r="AH74" s="154"/>
      <c r="AI74" s="154"/>
      <c r="AJ74" s="154" t="s">
        <v>152</v>
      </c>
      <c r="AK74" s="154"/>
      <c r="AL74" s="154"/>
    </row>
    <row r="75" spans="1:42" s="1" customFormat="1" ht="14.25" customHeight="1">
      <c r="A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AA75" s="47"/>
      <c r="AB75" s="94"/>
      <c r="AC75" s="94"/>
      <c r="AD75" s="94"/>
      <c r="AE75" s="94"/>
      <c r="AF75" s="45"/>
      <c r="AG75" s="45"/>
      <c r="AH75" s="94"/>
      <c r="AI75" s="94"/>
      <c r="AJ75" s="94"/>
      <c r="AK75" s="94"/>
      <c r="AL75" s="90"/>
    </row>
    <row r="76" spans="1:42" s="1" customFormat="1" ht="14.25" customHeight="1">
      <c r="A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AA76" s="47"/>
      <c r="AB76" s="94"/>
      <c r="AC76" s="94"/>
      <c r="AD76" s="94"/>
      <c r="AE76" s="94"/>
      <c r="AF76" s="45"/>
      <c r="AG76" s="45"/>
      <c r="AH76" s="94"/>
      <c r="AI76" s="94"/>
      <c r="AJ76" s="94"/>
      <c r="AK76" s="94"/>
      <c r="AL76" s="90"/>
    </row>
    <row r="77" spans="1:42" s="1" customFormat="1">
      <c r="A77" s="94"/>
      <c r="E77" s="94"/>
      <c r="F77" s="86"/>
      <c r="K77" s="94"/>
      <c r="X77" s="94"/>
      <c r="AA77" s="47"/>
      <c r="AB77" s="87"/>
      <c r="AF77" s="45"/>
      <c r="AG77" s="45"/>
      <c r="AH77" s="94"/>
      <c r="AI77" s="94"/>
      <c r="AJ77" s="94"/>
      <c r="AK77" s="94"/>
      <c r="AL77" s="88"/>
    </row>
    <row r="78" spans="1:42" s="1" customFormat="1">
      <c r="A78" s="94"/>
      <c r="E78" s="94"/>
      <c r="F78" s="86"/>
      <c r="K78" s="94"/>
      <c r="X78" s="94"/>
      <c r="AA78" s="47"/>
      <c r="AB78" s="87"/>
      <c r="AF78" s="45"/>
      <c r="AG78" s="45"/>
      <c r="AH78" s="94"/>
      <c r="AI78" s="94"/>
      <c r="AJ78" s="94"/>
      <c r="AK78" s="94"/>
      <c r="AL78" s="88"/>
    </row>
    <row r="91" spans="1:39">
      <c r="A91" s="144" t="s">
        <v>146</v>
      </c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</row>
    <row r="93" spans="1:39" ht="33" customHeight="1">
      <c r="A93" s="145" t="s">
        <v>5</v>
      </c>
      <c r="B93" s="146" t="s">
        <v>6</v>
      </c>
      <c r="C93" s="147" t="s">
        <v>7</v>
      </c>
      <c r="D93" s="147" t="s">
        <v>8</v>
      </c>
      <c r="E93" s="145" t="s">
        <v>47</v>
      </c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99"/>
      <c r="R93" s="99"/>
      <c r="S93" s="99"/>
      <c r="T93" s="99"/>
      <c r="U93" s="99"/>
      <c r="V93" s="99"/>
      <c r="W93" s="97"/>
      <c r="X93" s="150" t="s">
        <v>48</v>
      </c>
      <c r="Y93" s="143"/>
      <c r="Z93" s="143"/>
      <c r="AA93" s="150" t="s">
        <v>49</v>
      </c>
      <c r="AB93" s="143"/>
      <c r="AC93" s="143"/>
      <c r="AD93" s="145" t="s">
        <v>9</v>
      </c>
      <c r="AE93" s="145" t="s">
        <v>10</v>
      </c>
      <c r="AF93" s="91"/>
      <c r="AG93" s="91"/>
      <c r="AH93" s="145" t="s">
        <v>11</v>
      </c>
      <c r="AI93" s="145" t="s">
        <v>12</v>
      </c>
      <c r="AJ93" s="145" t="s">
        <v>13</v>
      </c>
      <c r="AK93" s="147" t="s">
        <v>51</v>
      </c>
      <c r="AL93" s="145" t="s">
        <v>14</v>
      </c>
    </row>
    <row r="94" spans="1:39" ht="31.5" customHeight="1">
      <c r="A94" s="146"/>
      <c r="B94" s="146"/>
      <c r="C94" s="148"/>
      <c r="D94" s="149"/>
      <c r="E94" s="95" t="s">
        <v>50</v>
      </c>
      <c r="F94" s="53" t="s">
        <v>15</v>
      </c>
      <c r="G94" s="143" t="s">
        <v>16</v>
      </c>
      <c r="H94" s="143"/>
      <c r="I94" s="143"/>
      <c r="J94" s="97" t="s">
        <v>17</v>
      </c>
      <c r="K94" s="99" t="s">
        <v>18</v>
      </c>
      <c r="L94" s="97"/>
      <c r="M94" s="97" t="s">
        <v>17</v>
      </c>
      <c r="N94" s="97" t="s">
        <v>17</v>
      </c>
      <c r="O94" s="97" t="s">
        <v>17</v>
      </c>
      <c r="P94" s="97" t="s">
        <v>19</v>
      </c>
      <c r="Q94" s="97" t="s">
        <v>19</v>
      </c>
      <c r="R94" s="97" t="s">
        <v>19</v>
      </c>
      <c r="S94" s="97" t="s">
        <v>19</v>
      </c>
      <c r="T94" s="97" t="s">
        <v>19</v>
      </c>
      <c r="U94" s="97" t="s">
        <v>19</v>
      </c>
      <c r="V94" s="97" t="s">
        <v>20</v>
      </c>
      <c r="W94" s="97"/>
      <c r="X94" s="95" t="s">
        <v>50</v>
      </c>
      <c r="Y94" s="53" t="s">
        <v>21</v>
      </c>
      <c r="Z94" s="53" t="s">
        <v>22</v>
      </c>
      <c r="AA94" s="54" t="s">
        <v>50</v>
      </c>
      <c r="AB94" s="53" t="s">
        <v>21</v>
      </c>
      <c r="AC94" s="53" t="s">
        <v>23</v>
      </c>
      <c r="AD94" s="145"/>
      <c r="AE94" s="145"/>
      <c r="AF94" s="91"/>
      <c r="AG94" s="91"/>
      <c r="AH94" s="151"/>
      <c r="AI94" s="151"/>
      <c r="AJ94" s="146"/>
      <c r="AK94" s="148"/>
      <c r="AL94" s="152"/>
    </row>
    <row r="95" spans="1:39" s="1" customFormat="1" ht="33.75" customHeight="1">
      <c r="A95" s="65">
        <v>1</v>
      </c>
      <c r="B95" s="77" t="s">
        <v>96</v>
      </c>
      <c r="C95" s="97"/>
      <c r="D95" s="99"/>
      <c r="E95" s="65">
        <v>1</v>
      </c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64">
        <v>1</v>
      </c>
      <c r="Y95" s="61"/>
      <c r="Z95" s="61"/>
      <c r="AA95" s="76">
        <v>0</v>
      </c>
      <c r="AB95" s="61"/>
      <c r="AC95" s="61"/>
      <c r="AD95" s="61"/>
      <c r="AE95" s="61"/>
      <c r="AF95" s="78"/>
      <c r="AG95" s="78"/>
      <c r="AH95" s="65" t="s">
        <v>94</v>
      </c>
      <c r="AI95" s="92" t="s">
        <v>97</v>
      </c>
      <c r="AJ95" s="65" t="s">
        <v>139</v>
      </c>
      <c r="AK95" s="65" t="s">
        <v>141</v>
      </c>
      <c r="AL95" s="75"/>
      <c r="AM95" s="80"/>
    </row>
    <row r="96" spans="1:39" s="1" customFormat="1" ht="21" customHeight="1">
      <c r="A96" s="65">
        <v>4</v>
      </c>
      <c r="B96" s="77" t="s">
        <v>108</v>
      </c>
      <c r="C96" s="97"/>
      <c r="D96" s="99"/>
      <c r="E96" s="64">
        <v>1</v>
      </c>
      <c r="F96" s="74"/>
      <c r="G96" s="74"/>
      <c r="H96" s="82"/>
      <c r="I96" s="82"/>
      <c r="J96" s="82"/>
      <c r="K96" s="65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64">
        <v>1</v>
      </c>
      <c r="Y96" s="61"/>
      <c r="Z96" s="61"/>
      <c r="AA96" s="76">
        <v>0</v>
      </c>
      <c r="AB96" s="61"/>
      <c r="AC96" s="61"/>
      <c r="AD96" s="61"/>
      <c r="AE96" s="61"/>
      <c r="AF96" s="78"/>
      <c r="AG96" s="78"/>
      <c r="AH96" s="65" t="s">
        <v>94</v>
      </c>
      <c r="AI96" s="68" t="s">
        <v>145</v>
      </c>
      <c r="AJ96" s="65" t="s">
        <v>139</v>
      </c>
      <c r="AK96" s="65" t="s">
        <v>141</v>
      </c>
      <c r="AL96" s="75"/>
      <c r="AM96" s="80"/>
    </row>
    <row r="97" spans="1:39" s="1" customFormat="1" ht="21" customHeight="1">
      <c r="A97" s="65">
        <v>5</v>
      </c>
      <c r="B97" s="77" t="s">
        <v>109</v>
      </c>
      <c r="C97" s="97"/>
      <c r="D97" s="99"/>
      <c r="E97" s="64">
        <v>1</v>
      </c>
      <c r="F97" s="74"/>
      <c r="G97" s="74"/>
      <c r="H97" s="82"/>
      <c r="I97" s="82"/>
      <c r="J97" s="82"/>
      <c r="K97" s="65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64">
        <v>1</v>
      </c>
      <c r="Y97" s="61"/>
      <c r="Z97" s="61"/>
      <c r="AA97" s="76">
        <v>0</v>
      </c>
      <c r="AB97" s="61"/>
      <c r="AC97" s="61"/>
      <c r="AD97" s="61"/>
      <c r="AE97" s="61"/>
      <c r="AF97" s="78"/>
      <c r="AG97" s="78"/>
      <c r="AH97" s="65" t="s">
        <v>94</v>
      </c>
      <c r="AI97" s="68" t="s">
        <v>145</v>
      </c>
      <c r="AJ97" s="65" t="s">
        <v>139</v>
      </c>
      <c r="AK97" s="65" t="s">
        <v>141</v>
      </c>
      <c r="AL97" s="75"/>
      <c r="AM97" s="80"/>
    </row>
    <row r="98" spans="1:39" s="1" customFormat="1" ht="29.25" customHeight="1">
      <c r="A98" s="65">
        <v>7</v>
      </c>
      <c r="B98" s="77" t="s">
        <v>98</v>
      </c>
      <c r="C98" s="97"/>
      <c r="D98" s="99"/>
      <c r="E98" s="64">
        <v>2</v>
      </c>
      <c r="F98" s="64">
        <f t="shared" ref="F98:W98" si="0">43-6</f>
        <v>37</v>
      </c>
      <c r="G98" s="64">
        <f t="shared" si="0"/>
        <v>37</v>
      </c>
      <c r="H98" s="64">
        <f t="shared" si="0"/>
        <v>37</v>
      </c>
      <c r="I98" s="64">
        <f t="shared" si="0"/>
        <v>37</v>
      </c>
      <c r="J98" s="64">
        <f t="shared" si="0"/>
        <v>37</v>
      </c>
      <c r="K98" s="64">
        <f t="shared" si="0"/>
        <v>37</v>
      </c>
      <c r="L98" s="64">
        <f t="shared" si="0"/>
        <v>37</v>
      </c>
      <c r="M98" s="64">
        <f t="shared" si="0"/>
        <v>37</v>
      </c>
      <c r="N98" s="64">
        <f t="shared" si="0"/>
        <v>37</v>
      </c>
      <c r="O98" s="64">
        <f t="shared" si="0"/>
        <v>37</v>
      </c>
      <c r="P98" s="64">
        <f t="shared" si="0"/>
        <v>37</v>
      </c>
      <c r="Q98" s="64">
        <f t="shared" si="0"/>
        <v>37</v>
      </c>
      <c r="R98" s="64">
        <f t="shared" si="0"/>
        <v>37</v>
      </c>
      <c r="S98" s="64">
        <f t="shared" si="0"/>
        <v>37</v>
      </c>
      <c r="T98" s="64">
        <f t="shared" si="0"/>
        <v>37</v>
      </c>
      <c r="U98" s="64">
        <f t="shared" si="0"/>
        <v>37</v>
      </c>
      <c r="V98" s="64">
        <f t="shared" si="0"/>
        <v>37</v>
      </c>
      <c r="W98" s="64">
        <f t="shared" si="0"/>
        <v>37</v>
      </c>
      <c r="X98" s="64">
        <v>2</v>
      </c>
      <c r="Y98" s="61"/>
      <c r="Z98" s="61"/>
      <c r="AA98" s="76">
        <v>0</v>
      </c>
      <c r="AB98" s="61"/>
      <c r="AC98" s="61"/>
      <c r="AD98" s="61"/>
      <c r="AE98" s="61"/>
      <c r="AF98" s="78"/>
      <c r="AG98" s="78"/>
      <c r="AH98" s="65" t="s">
        <v>94</v>
      </c>
      <c r="AI98" s="68" t="s">
        <v>145</v>
      </c>
      <c r="AJ98" s="65" t="s">
        <v>65</v>
      </c>
      <c r="AK98" s="65" t="s">
        <v>141</v>
      </c>
      <c r="AL98" s="75"/>
      <c r="AM98" s="80"/>
    </row>
    <row r="99" spans="1:39" s="1" customFormat="1" ht="26.25" customHeight="1">
      <c r="A99" s="65">
        <v>10</v>
      </c>
      <c r="B99" s="77" t="s">
        <v>110</v>
      </c>
      <c r="C99" s="97"/>
      <c r="D99" s="99"/>
      <c r="E99" s="64">
        <v>10</v>
      </c>
      <c r="F99" s="74"/>
      <c r="G99" s="74"/>
      <c r="H99" s="82"/>
      <c r="I99" s="82"/>
      <c r="J99" s="82"/>
      <c r="K99" s="65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64">
        <v>10</v>
      </c>
      <c r="Y99" s="61"/>
      <c r="Z99" s="61"/>
      <c r="AA99" s="76">
        <v>0</v>
      </c>
      <c r="AB99" s="61"/>
      <c r="AC99" s="61"/>
      <c r="AD99" s="61"/>
      <c r="AE99" s="61"/>
      <c r="AF99" s="78"/>
      <c r="AG99" s="78"/>
      <c r="AH99" s="65" t="s">
        <v>94</v>
      </c>
      <c r="AI99" s="68" t="s">
        <v>145</v>
      </c>
      <c r="AJ99" s="65" t="s">
        <v>65</v>
      </c>
      <c r="AK99" s="65" t="s">
        <v>141</v>
      </c>
      <c r="AL99" s="79"/>
      <c r="AM99" s="80"/>
    </row>
    <row r="100" spans="1:39" s="1" customFormat="1" ht="32.25" customHeight="1">
      <c r="A100" s="65">
        <v>11</v>
      </c>
      <c r="B100" s="77" t="s">
        <v>111</v>
      </c>
      <c r="C100" s="97"/>
      <c r="D100" s="99"/>
      <c r="E100" s="65">
        <v>1</v>
      </c>
      <c r="F100" s="74"/>
      <c r="G100" s="74"/>
      <c r="H100" s="82"/>
      <c r="I100" s="74"/>
      <c r="J100" s="82"/>
      <c r="K100" s="65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64">
        <v>1</v>
      </c>
      <c r="Y100" s="61"/>
      <c r="Z100" s="61"/>
      <c r="AA100" s="76">
        <v>0</v>
      </c>
      <c r="AB100" s="61"/>
      <c r="AC100" s="61"/>
      <c r="AD100" s="61"/>
      <c r="AE100" s="61"/>
      <c r="AF100" s="78"/>
      <c r="AG100" s="78"/>
      <c r="AH100" s="65" t="s">
        <v>94</v>
      </c>
      <c r="AI100" s="68" t="s">
        <v>145</v>
      </c>
      <c r="AJ100" s="65" t="s">
        <v>65</v>
      </c>
      <c r="AK100" s="65" t="s">
        <v>141</v>
      </c>
      <c r="AL100" s="75"/>
      <c r="AM100" s="80"/>
    </row>
    <row r="101" spans="1:39" s="1" customFormat="1" ht="30" customHeight="1">
      <c r="A101" s="65">
        <v>12</v>
      </c>
      <c r="B101" s="77" t="s">
        <v>98</v>
      </c>
      <c r="C101" s="97"/>
      <c r="D101" s="99"/>
      <c r="E101" s="65">
        <v>1</v>
      </c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64">
        <v>1</v>
      </c>
      <c r="Y101" s="61"/>
      <c r="Z101" s="61"/>
      <c r="AA101" s="76">
        <v>0</v>
      </c>
      <c r="AB101" s="61"/>
      <c r="AC101" s="61"/>
      <c r="AD101" s="61"/>
      <c r="AE101" s="61"/>
      <c r="AF101" s="78"/>
      <c r="AG101" s="78"/>
      <c r="AH101" s="65" t="s">
        <v>94</v>
      </c>
      <c r="AI101" s="68" t="s">
        <v>145</v>
      </c>
      <c r="AJ101" s="65" t="s">
        <v>65</v>
      </c>
      <c r="AK101" s="65" t="s">
        <v>141</v>
      </c>
      <c r="AL101" s="79"/>
      <c r="AM101" s="80"/>
    </row>
  </sheetData>
  <mergeCells count="57">
    <mergeCell ref="C74:X74"/>
    <mergeCell ref="AA74:AI74"/>
    <mergeCell ref="AJ74:AL74"/>
    <mergeCell ref="AI68:AL68"/>
    <mergeCell ref="C69:X69"/>
    <mergeCell ref="AA69:AI69"/>
    <mergeCell ref="AJ69:AL69"/>
    <mergeCell ref="E73:AH73"/>
    <mergeCell ref="AI73:AJ73"/>
    <mergeCell ref="AK73:AL73"/>
    <mergeCell ref="AK14:AK15"/>
    <mergeCell ref="AL14:AL15"/>
    <mergeCell ref="G15:I15"/>
    <mergeCell ref="AF14:AF15"/>
    <mergeCell ref="AG14:AG15"/>
    <mergeCell ref="AA14:AC14"/>
    <mergeCell ref="AD14:AD15"/>
    <mergeCell ref="AE14:AE15"/>
    <mergeCell ref="AH14:AH15"/>
    <mergeCell ref="AI14:AI15"/>
    <mergeCell ref="B14:B15"/>
    <mergeCell ref="C14:C15"/>
    <mergeCell ref="E14:P14"/>
    <mergeCell ref="X14:Z14"/>
    <mergeCell ref="AJ14:AJ15"/>
    <mergeCell ref="AL93:AL94"/>
    <mergeCell ref="A1:X1"/>
    <mergeCell ref="Z1:AL1"/>
    <mergeCell ref="A2:X2"/>
    <mergeCell ref="Z2:AL2"/>
    <mergeCell ref="A3:AL3"/>
    <mergeCell ref="D14:D15"/>
    <mergeCell ref="A5:AL5"/>
    <mergeCell ref="A6:AL6"/>
    <mergeCell ref="A7:C7"/>
    <mergeCell ref="A8:B8"/>
    <mergeCell ref="A9:B9"/>
    <mergeCell ref="A10:B10"/>
    <mergeCell ref="A11:B11"/>
    <mergeCell ref="A12:B12"/>
    <mergeCell ref="A14:A15"/>
    <mergeCell ref="G94:I94"/>
    <mergeCell ref="Z4:AL4"/>
    <mergeCell ref="A91:AL91"/>
    <mergeCell ref="A93:A94"/>
    <mergeCell ref="B93:B94"/>
    <mergeCell ref="C93:C94"/>
    <mergeCell ref="D93:D94"/>
    <mergeCell ref="E93:P93"/>
    <mergeCell ref="X93:Z93"/>
    <mergeCell ref="AA93:AC93"/>
    <mergeCell ref="AD93:AD94"/>
    <mergeCell ref="AE93:AE94"/>
    <mergeCell ref="AH93:AH94"/>
    <mergeCell ref="AI93:AI94"/>
    <mergeCell ref="AJ93:AJ94"/>
    <mergeCell ref="AK93:AK94"/>
  </mergeCells>
  <phoneticPr fontId="20" type="noConversion"/>
  <printOptions horizontalCentered="1"/>
  <pageMargins left="0.19685039370078741" right="0.19685039370078741" top="0.31496062992125984" bottom="0.27559055118110237" header="0.19685039370078741" footer="0.19685039370078741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AN55"/>
  <sheetViews>
    <sheetView tabSelected="1" topLeftCell="A35" zoomScaleSheetLayoutView="102" workbookViewId="0">
      <selection activeCell="Y27" sqref="Y27"/>
    </sheetView>
  </sheetViews>
  <sheetFormatPr defaultRowHeight="15.75"/>
  <cols>
    <col min="1" max="1" width="0.140625" style="10" customWidth="1"/>
    <col min="2" max="2" width="7" style="13" customWidth="1"/>
    <col min="3" max="3" width="37.7109375" style="10" customWidth="1"/>
    <col min="4" max="5" width="8.5703125" style="10" customWidth="1"/>
    <col min="6" max="6" width="8.7109375" style="13" customWidth="1"/>
    <col min="7" max="7" width="11.5703125" style="14" hidden="1" customWidth="1"/>
    <col min="8" max="8" width="12.140625" style="10" hidden="1" customWidth="1"/>
    <col min="9" max="9" width="11.28515625" style="10" hidden="1" customWidth="1"/>
    <col min="10" max="10" width="12.42578125" style="10" hidden="1" customWidth="1"/>
    <col min="11" max="11" width="10.140625" style="10" hidden="1" customWidth="1"/>
    <col min="12" max="12" width="12.5703125" style="13" hidden="1" customWidth="1"/>
    <col min="13" max="13" width="10.85546875" style="10" hidden="1" customWidth="1"/>
    <col min="14" max="15" width="9.28515625" style="10" hidden="1" customWidth="1"/>
    <col min="16" max="16" width="10" style="10" hidden="1" customWidth="1"/>
    <col min="17" max="17" width="9.5703125" style="10" hidden="1" customWidth="1"/>
    <col min="18" max="18" width="9.42578125" style="10" hidden="1" customWidth="1"/>
    <col min="19" max="19" width="9" style="10" hidden="1" customWidth="1"/>
    <col min="20" max="20" width="11.28515625" style="10" hidden="1" customWidth="1"/>
    <col min="21" max="21" width="11.5703125" style="10" hidden="1" customWidth="1"/>
    <col min="22" max="23" width="10.5703125" style="10" hidden="1" customWidth="1"/>
    <col min="24" max="24" width="0.140625" style="10" hidden="1" customWidth="1"/>
    <col min="25" max="25" width="8.7109375" style="13" customWidth="1"/>
    <col min="26" max="26" width="12" style="10" hidden="1" customWidth="1"/>
    <col min="27" max="27" width="5.5703125" style="10" hidden="1" customWidth="1"/>
    <col min="28" max="28" width="8.7109375" style="42" customWidth="1"/>
    <col min="29" max="29" width="6.140625" style="10" hidden="1" customWidth="1"/>
    <col min="30" max="30" width="5.5703125" style="10" hidden="1" customWidth="1"/>
    <col min="31" max="31" width="7.140625" style="10" hidden="1" customWidth="1"/>
    <col min="32" max="32" width="5.42578125" style="10" hidden="1" customWidth="1"/>
    <col min="33" max="33" width="13.140625" style="10" customWidth="1"/>
    <col min="34" max="34" width="14.7109375" style="10" customWidth="1"/>
    <col min="35" max="35" width="12.7109375" style="10" customWidth="1"/>
    <col min="36" max="36" width="14" style="13" customWidth="1"/>
    <col min="37" max="37" width="9.140625" style="13" customWidth="1"/>
    <col min="38" max="38" width="10.5703125" style="10" customWidth="1"/>
    <col min="39" max="39" width="10.7109375" style="10" customWidth="1"/>
    <col min="40" max="16384" width="9.140625" style="10"/>
  </cols>
  <sheetData>
    <row r="1" spans="1:39" ht="15.75" customHeight="1">
      <c r="B1" s="11" t="s">
        <v>45</v>
      </c>
      <c r="C1" s="12"/>
      <c r="D1" s="12"/>
      <c r="I1" s="15"/>
      <c r="J1" s="15"/>
      <c r="K1" s="16" t="s">
        <v>0</v>
      </c>
      <c r="L1" s="15"/>
      <c r="M1" s="15"/>
      <c r="N1" s="15"/>
      <c r="O1" s="15"/>
      <c r="Q1" s="16"/>
      <c r="R1" s="16"/>
      <c r="S1" s="16"/>
      <c r="T1" s="16"/>
      <c r="U1" s="16"/>
      <c r="V1" s="16"/>
      <c r="W1" s="16"/>
      <c r="X1" s="16"/>
      <c r="AA1" s="161" t="s">
        <v>0</v>
      </c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</row>
    <row r="2" spans="1:39" ht="15" customHeight="1">
      <c r="B2" s="17" t="s">
        <v>46</v>
      </c>
      <c r="L2" s="10"/>
      <c r="P2" s="18"/>
      <c r="Q2" s="18"/>
      <c r="R2" s="18"/>
      <c r="S2" s="18"/>
      <c r="T2" s="18"/>
      <c r="U2" s="18"/>
      <c r="V2" s="18"/>
      <c r="W2" s="18"/>
      <c r="X2" s="18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</row>
    <row r="3" spans="1:39" ht="22.5" hidden="1" customHeight="1">
      <c r="B3" s="161" t="s">
        <v>1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</row>
    <row r="4" spans="1:39" ht="15" customHeight="1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</row>
    <row r="5" spans="1:39" ht="44.25" customHeight="1">
      <c r="B5" s="163" t="s">
        <v>158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</row>
    <row r="6" spans="1:39" ht="12" customHeight="1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34"/>
      <c r="AH6" s="134"/>
      <c r="AI6" s="19"/>
      <c r="AJ6" s="19"/>
      <c r="AK6" s="19"/>
      <c r="AL6" s="19"/>
      <c r="AM6" s="19"/>
    </row>
    <row r="7" spans="1:39" ht="18" customHeight="1">
      <c r="A7" s="12" t="s">
        <v>155</v>
      </c>
      <c r="C7" s="13"/>
      <c r="D7" s="13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0"/>
      <c r="AB7" s="16"/>
      <c r="AC7" s="16"/>
      <c r="AD7" s="16"/>
      <c r="AE7" s="16"/>
      <c r="AF7" s="16"/>
      <c r="AG7" s="131"/>
      <c r="AH7" s="131"/>
      <c r="AK7" s="10"/>
      <c r="AL7" s="21"/>
    </row>
    <row r="8" spans="1:39" ht="18" customHeight="1">
      <c r="A8" s="22" t="s">
        <v>150</v>
      </c>
      <c r="D8" s="10" t="s">
        <v>151</v>
      </c>
      <c r="E8" s="16"/>
      <c r="F8" s="10"/>
      <c r="G8" s="10"/>
      <c r="H8" s="22"/>
      <c r="I8" s="16"/>
      <c r="K8" s="22" t="s">
        <v>2</v>
      </c>
      <c r="L8" s="16"/>
      <c r="M8" s="23"/>
      <c r="S8" s="22"/>
      <c r="T8" s="24"/>
      <c r="W8" s="20"/>
      <c r="X8" s="16"/>
      <c r="Y8" s="10"/>
      <c r="Z8" s="16"/>
      <c r="AA8" s="16"/>
      <c r="AB8" s="22"/>
      <c r="AI8" s="22" t="s">
        <v>54</v>
      </c>
      <c r="AK8" s="10"/>
      <c r="AL8" s="21"/>
    </row>
    <row r="9" spans="1:39" ht="18" customHeight="1">
      <c r="A9" s="22" t="s">
        <v>57</v>
      </c>
      <c r="D9" s="10" t="s">
        <v>53</v>
      </c>
      <c r="E9" s="13"/>
      <c r="F9" s="10"/>
      <c r="G9" s="10"/>
      <c r="H9" s="22"/>
      <c r="I9" s="16"/>
      <c r="K9" s="22"/>
      <c r="L9" s="16"/>
      <c r="M9" s="23"/>
      <c r="S9" s="22"/>
      <c r="T9" s="24"/>
      <c r="W9" s="20"/>
      <c r="X9" s="16"/>
      <c r="Y9" s="10"/>
      <c r="Z9" s="16"/>
      <c r="AA9" s="16"/>
      <c r="AB9" s="22"/>
      <c r="AI9" s="10" t="s">
        <v>58</v>
      </c>
      <c r="AK9" s="10"/>
      <c r="AL9" s="21"/>
    </row>
    <row r="10" spans="1:39" ht="18" customHeight="1">
      <c r="A10" s="22" t="s">
        <v>59</v>
      </c>
      <c r="D10" s="10" t="s">
        <v>60</v>
      </c>
      <c r="E10" s="16"/>
      <c r="F10" s="10"/>
      <c r="G10" s="10"/>
      <c r="H10" s="22"/>
      <c r="I10" s="16"/>
      <c r="K10" s="22" t="s">
        <v>3</v>
      </c>
      <c r="L10" s="16"/>
      <c r="M10" s="23"/>
      <c r="S10" s="22"/>
      <c r="T10" s="24"/>
      <c r="W10" s="20"/>
      <c r="X10" s="16"/>
      <c r="Y10" s="10"/>
      <c r="Z10" s="16"/>
      <c r="AA10" s="16"/>
      <c r="AB10" s="22"/>
      <c r="AI10" s="10" t="s">
        <v>61</v>
      </c>
      <c r="AK10" s="10"/>
      <c r="AL10" s="21"/>
    </row>
    <row r="11" spans="1:39" ht="18" customHeight="1">
      <c r="A11" s="22" t="s">
        <v>64</v>
      </c>
      <c r="B11" s="22" t="s">
        <v>136</v>
      </c>
      <c r="C11" s="10" t="s">
        <v>134</v>
      </c>
      <c r="D11" s="10" t="s">
        <v>149</v>
      </c>
      <c r="F11" s="10"/>
      <c r="G11" s="10"/>
      <c r="L11" s="10"/>
      <c r="Y11" s="10"/>
      <c r="AB11" s="10"/>
      <c r="AI11" s="10" t="s">
        <v>62</v>
      </c>
      <c r="AK11" s="10"/>
    </row>
    <row r="12" spans="1:39" ht="18" customHeight="1">
      <c r="A12" s="22" t="s">
        <v>63</v>
      </c>
      <c r="B12" s="10"/>
      <c r="F12" s="10"/>
      <c r="G12" s="10"/>
      <c r="L12" s="10"/>
      <c r="Y12" s="10"/>
      <c r="AB12" s="10"/>
      <c r="AK12" s="10"/>
    </row>
    <row r="13" spans="1:39" ht="18" customHeight="1">
      <c r="A13" s="22" t="s">
        <v>4</v>
      </c>
      <c r="B13" s="10"/>
      <c r="E13" s="13"/>
      <c r="F13" s="14"/>
      <c r="G13" s="10"/>
      <c r="K13" s="13"/>
      <c r="L13" s="10"/>
      <c r="X13" s="13"/>
      <c r="Y13" s="10"/>
      <c r="AA13" s="25"/>
      <c r="AB13" s="10"/>
      <c r="AK13" s="10"/>
      <c r="AL13" s="21"/>
    </row>
    <row r="14" spans="1:39" ht="11.25" customHeight="1">
      <c r="A14" s="22"/>
      <c r="B14" s="10"/>
      <c r="E14" s="13"/>
      <c r="F14" s="14"/>
      <c r="G14" s="10"/>
      <c r="K14" s="13"/>
      <c r="L14" s="10"/>
      <c r="X14" s="13"/>
      <c r="Y14" s="10"/>
      <c r="AA14" s="25"/>
      <c r="AB14" s="10"/>
      <c r="AK14" s="10"/>
      <c r="AL14" s="21"/>
    </row>
    <row r="15" spans="1:39" ht="3" hidden="1" customHeight="1">
      <c r="AB15" s="26"/>
    </row>
    <row r="16" spans="1:39" ht="36" customHeight="1">
      <c r="A16" s="180" t="s">
        <v>5</v>
      </c>
      <c r="B16" s="165" t="s">
        <v>5</v>
      </c>
      <c r="C16" s="176" t="s">
        <v>6</v>
      </c>
      <c r="D16" s="167" t="s">
        <v>71</v>
      </c>
      <c r="E16" s="167" t="s">
        <v>8</v>
      </c>
      <c r="F16" s="165" t="s">
        <v>47</v>
      </c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4"/>
      <c r="S16" s="4"/>
      <c r="T16" s="4"/>
      <c r="U16" s="4"/>
      <c r="V16" s="4"/>
      <c r="W16" s="4"/>
      <c r="X16" s="2"/>
      <c r="Y16" s="177" t="s">
        <v>48</v>
      </c>
      <c r="Z16" s="178"/>
      <c r="AA16" s="178"/>
      <c r="AB16" s="177" t="s">
        <v>49</v>
      </c>
      <c r="AC16" s="178"/>
      <c r="AD16" s="178"/>
      <c r="AE16" s="165" t="s">
        <v>9</v>
      </c>
      <c r="AF16" s="165" t="s">
        <v>10</v>
      </c>
      <c r="AG16" s="185" t="s">
        <v>231</v>
      </c>
      <c r="AH16" s="185" t="s">
        <v>172</v>
      </c>
      <c r="AI16" s="165" t="s">
        <v>11</v>
      </c>
      <c r="AJ16" s="165" t="s">
        <v>12</v>
      </c>
      <c r="AK16" s="165" t="s">
        <v>13</v>
      </c>
      <c r="AL16" s="167" t="s">
        <v>72</v>
      </c>
      <c r="AM16" s="165" t="s">
        <v>73</v>
      </c>
    </row>
    <row r="17" spans="1:39" ht="36" customHeight="1">
      <c r="A17" s="181"/>
      <c r="B17" s="176"/>
      <c r="C17" s="176"/>
      <c r="D17" s="182"/>
      <c r="E17" s="168"/>
      <c r="F17" s="167" t="s">
        <v>50</v>
      </c>
      <c r="G17" s="173" t="s">
        <v>15</v>
      </c>
      <c r="H17" s="178" t="s">
        <v>16</v>
      </c>
      <c r="I17" s="178"/>
      <c r="J17" s="178"/>
      <c r="K17" s="2" t="s">
        <v>17</v>
      </c>
      <c r="L17" s="4" t="s">
        <v>18</v>
      </c>
      <c r="M17" s="2"/>
      <c r="N17" s="2" t="s">
        <v>17</v>
      </c>
      <c r="O17" s="2" t="s">
        <v>17</v>
      </c>
      <c r="P17" s="2" t="s">
        <v>17</v>
      </c>
      <c r="Q17" s="2" t="s">
        <v>19</v>
      </c>
      <c r="R17" s="2" t="s">
        <v>19</v>
      </c>
      <c r="S17" s="2" t="s">
        <v>19</v>
      </c>
      <c r="T17" s="2" t="s">
        <v>19</v>
      </c>
      <c r="U17" s="2" t="s">
        <v>19</v>
      </c>
      <c r="V17" s="2" t="s">
        <v>19</v>
      </c>
      <c r="W17" s="2" t="s">
        <v>20</v>
      </c>
      <c r="X17" s="2"/>
      <c r="Y17" s="167" t="s">
        <v>50</v>
      </c>
      <c r="Z17" s="173" t="s">
        <v>21</v>
      </c>
      <c r="AA17" s="173" t="s">
        <v>22</v>
      </c>
      <c r="AB17" s="167" t="s">
        <v>50</v>
      </c>
      <c r="AC17" s="173" t="s">
        <v>21</v>
      </c>
      <c r="AD17" s="173" t="s">
        <v>23</v>
      </c>
      <c r="AE17" s="165"/>
      <c r="AF17" s="165"/>
      <c r="AG17" s="186"/>
      <c r="AH17" s="186"/>
      <c r="AI17" s="166"/>
      <c r="AJ17" s="184"/>
      <c r="AK17" s="176"/>
      <c r="AL17" s="182"/>
      <c r="AM17" s="166"/>
    </row>
    <row r="18" spans="1:39" ht="5.25" customHeight="1">
      <c r="A18" s="181"/>
      <c r="B18" s="176"/>
      <c r="C18" s="176"/>
      <c r="D18" s="182"/>
      <c r="E18" s="168"/>
      <c r="F18" s="168"/>
      <c r="G18" s="174"/>
      <c r="H18" s="173" t="s">
        <v>24</v>
      </c>
      <c r="I18" s="178" t="s">
        <v>25</v>
      </c>
      <c r="J18" s="178"/>
      <c r="K18" s="2" t="s">
        <v>26</v>
      </c>
      <c r="L18" s="4" t="s">
        <v>27</v>
      </c>
      <c r="M18" s="2" t="s">
        <v>28</v>
      </c>
      <c r="N18" s="2" t="s">
        <v>26</v>
      </c>
      <c r="O18" s="2" t="s">
        <v>26</v>
      </c>
      <c r="P18" s="2" t="s">
        <v>26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26</v>
      </c>
      <c r="X18" s="2" t="s">
        <v>30</v>
      </c>
      <c r="Y18" s="168"/>
      <c r="Z18" s="174"/>
      <c r="AA18" s="174"/>
      <c r="AB18" s="168"/>
      <c r="AC18" s="174"/>
      <c r="AD18" s="174"/>
      <c r="AE18" s="165"/>
      <c r="AF18" s="165"/>
      <c r="AG18" s="186"/>
      <c r="AH18" s="186"/>
      <c r="AI18" s="166"/>
      <c r="AJ18" s="184"/>
      <c r="AK18" s="176"/>
      <c r="AL18" s="182"/>
      <c r="AM18" s="166"/>
    </row>
    <row r="19" spans="1:39" ht="2.25" customHeight="1">
      <c r="A19" s="181"/>
      <c r="B19" s="176"/>
      <c r="C19" s="176"/>
      <c r="D19" s="183"/>
      <c r="E19" s="169"/>
      <c r="F19" s="169"/>
      <c r="G19" s="175"/>
      <c r="H19" s="179"/>
      <c r="I19" s="28" t="s">
        <v>31</v>
      </c>
      <c r="J19" s="27" t="s">
        <v>32</v>
      </c>
      <c r="K19" s="2" t="s">
        <v>33</v>
      </c>
      <c r="L19" s="4" t="s">
        <v>34</v>
      </c>
      <c r="M19" s="2" t="s">
        <v>35</v>
      </c>
      <c r="N19" s="2" t="s">
        <v>33</v>
      </c>
      <c r="O19" s="2" t="s">
        <v>36</v>
      </c>
      <c r="P19" s="2" t="s">
        <v>36</v>
      </c>
      <c r="Q19" s="2" t="s">
        <v>36</v>
      </c>
      <c r="R19" s="2" t="s">
        <v>36</v>
      </c>
      <c r="S19" s="2" t="s">
        <v>36</v>
      </c>
      <c r="T19" s="2" t="s">
        <v>36</v>
      </c>
      <c r="U19" s="2" t="s">
        <v>36</v>
      </c>
      <c r="V19" s="2" t="s">
        <v>36</v>
      </c>
      <c r="W19" s="2" t="s">
        <v>36</v>
      </c>
      <c r="X19" s="2" t="s">
        <v>37</v>
      </c>
      <c r="Y19" s="169"/>
      <c r="Z19" s="175"/>
      <c r="AA19" s="175"/>
      <c r="AB19" s="169"/>
      <c r="AC19" s="175"/>
      <c r="AD19" s="175"/>
      <c r="AE19" s="165"/>
      <c r="AF19" s="165"/>
      <c r="AG19" s="187"/>
      <c r="AH19" s="187"/>
      <c r="AI19" s="166"/>
      <c r="AJ19" s="184"/>
      <c r="AK19" s="176"/>
      <c r="AL19" s="183"/>
      <c r="AM19" s="166"/>
    </row>
    <row r="20" spans="1:39" s="31" customFormat="1" ht="23.25" customHeight="1">
      <c r="A20" s="29"/>
      <c r="B20" s="4" t="s">
        <v>38</v>
      </c>
      <c r="C20" s="4" t="s">
        <v>39</v>
      </c>
      <c r="D20" s="4" t="s">
        <v>40</v>
      </c>
      <c r="E20" s="4" t="s">
        <v>41</v>
      </c>
      <c r="F20" s="4">
        <v>1</v>
      </c>
      <c r="G20" s="2">
        <v>2</v>
      </c>
      <c r="H20" s="30">
        <v>3</v>
      </c>
      <c r="I20" s="30">
        <v>4</v>
      </c>
      <c r="J20" s="2">
        <v>5</v>
      </c>
      <c r="K20" s="30">
        <v>7</v>
      </c>
      <c r="L20" s="2">
        <v>8</v>
      </c>
      <c r="M20" s="30">
        <v>9</v>
      </c>
      <c r="N20" s="2">
        <v>10</v>
      </c>
      <c r="O20" s="2"/>
      <c r="P20" s="30">
        <v>6</v>
      </c>
      <c r="Q20" s="30"/>
      <c r="R20" s="30"/>
      <c r="S20" s="30"/>
      <c r="T20" s="30"/>
      <c r="U20" s="30"/>
      <c r="V20" s="30"/>
      <c r="W20" s="30"/>
      <c r="X20" s="30">
        <v>5</v>
      </c>
      <c r="Y20" s="4">
        <v>2</v>
      </c>
      <c r="Z20" s="2">
        <v>7</v>
      </c>
      <c r="AA20" s="2">
        <v>8</v>
      </c>
      <c r="AB20" s="2">
        <v>3</v>
      </c>
      <c r="AC20" s="4">
        <v>10</v>
      </c>
      <c r="AD20" s="30">
        <v>11</v>
      </c>
      <c r="AE20" s="4"/>
      <c r="AF20" s="4"/>
      <c r="AG20" s="132"/>
      <c r="AH20" s="132"/>
      <c r="AI20" s="4">
        <v>4</v>
      </c>
      <c r="AJ20" s="4">
        <v>5</v>
      </c>
      <c r="AK20" s="4">
        <v>6</v>
      </c>
      <c r="AL20" s="4">
        <v>7</v>
      </c>
      <c r="AM20" s="4">
        <v>8</v>
      </c>
    </row>
    <row r="21" spans="1:39" s="34" customFormat="1">
      <c r="A21" s="32"/>
      <c r="B21" s="2" t="s">
        <v>87</v>
      </c>
      <c r="C21" s="3" t="s">
        <v>132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133"/>
      <c r="AH21" s="133"/>
      <c r="AI21" s="2"/>
      <c r="AJ21" s="4"/>
      <c r="AK21" s="4"/>
      <c r="AL21" s="33"/>
      <c r="AM21" s="4"/>
    </row>
    <row r="22" spans="1:39" s="31" customFormat="1">
      <c r="A22" s="29"/>
      <c r="B22" s="35">
        <v>1</v>
      </c>
      <c r="C22" s="5" t="s">
        <v>76</v>
      </c>
      <c r="D22" s="6" t="s">
        <v>77</v>
      </c>
      <c r="E22" s="6">
        <v>2022</v>
      </c>
      <c r="F22" s="6">
        <v>15</v>
      </c>
      <c r="G22" s="35">
        <v>15</v>
      </c>
      <c r="H22" s="35">
        <v>15</v>
      </c>
      <c r="I22" s="35">
        <v>15</v>
      </c>
      <c r="J22" s="35">
        <v>15</v>
      </c>
      <c r="K22" s="35">
        <v>15</v>
      </c>
      <c r="L22" s="35">
        <v>15</v>
      </c>
      <c r="M22" s="35">
        <v>15</v>
      </c>
      <c r="N22" s="35">
        <v>15</v>
      </c>
      <c r="O22" s="35">
        <v>15</v>
      </c>
      <c r="P22" s="35">
        <v>15</v>
      </c>
      <c r="Q22" s="35">
        <v>15</v>
      </c>
      <c r="R22" s="35">
        <v>15</v>
      </c>
      <c r="S22" s="35">
        <v>15</v>
      </c>
      <c r="T22" s="35">
        <v>15</v>
      </c>
      <c r="U22" s="35">
        <v>15</v>
      </c>
      <c r="V22" s="35">
        <v>15</v>
      </c>
      <c r="W22" s="35">
        <v>15</v>
      </c>
      <c r="X22" s="35">
        <v>15</v>
      </c>
      <c r="Y22" s="6">
        <v>15</v>
      </c>
      <c r="Z22" s="35"/>
      <c r="AA22" s="35"/>
      <c r="AB22" s="35">
        <v>0</v>
      </c>
      <c r="AC22" s="35"/>
      <c r="AD22" s="35"/>
      <c r="AE22" s="35"/>
      <c r="AF22" s="35"/>
      <c r="AG22" s="35"/>
      <c r="AH22" s="35"/>
      <c r="AI22" s="35" t="s">
        <v>94</v>
      </c>
      <c r="AJ22" s="35" t="s">
        <v>74</v>
      </c>
      <c r="AK22" s="35" t="s">
        <v>75</v>
      </c>
      <c r="AL22" s="33"/>
      <c r="AM22" s="5"/>
    </row>
    <row r="23" spans="1:39" s="31" customFormat="1">
      <c r="A23" s="29"/>
      <c r="B23" s="35">
        <v>2</v>
      </c>
      <c r="C23" s="5" t="s">
        <v>78</v>
      </c>
      <c r="D23" s="6" t="s">
        <v>77</v>
      </c>
      <c r="E23" s="6">
        <v>2022</v>
      </c>
      <c r="F23" s="6">
        <v>1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 s="35">
        <v>1</v>
      </c>
      <c r="N23" s="35">
        <v>1</v>
      </c>
      <c r="O23" s="35">
        <v>1</v>
      </c>
      <c r="P23" s="35">
        <v>1</v>
      </c>
      <c r="Q23" s="35">
        <v>1</v>
      </c>
      <c r="R23" s="35">
        <v>1</v>
      </c>
      <c r="S23" s="35">
        <v>1</v>
      </c>
      <c r="T23" s="35">
        <v>1</v>
      </c>
      <c r="U23" s="35">
        <v>1</v>
      </c>
      <c r="V23" s="35">
        <v>1</v>
      </c>
      <c r="W23" s="35">
        <v>1</v>
      </c>
      <c r="X23" s="35">
        <v>1</v>
      </c>
      <c r="Y23" s="6">
        <v>1</v>
      </c>
      <c r="Z23" s="35"/>
      <c r="AA23" s="35"/>
      <c r="AB23" s="35">
        <v>0</v>
      </c>
      <c r="AC23" s="35"/>
      <c r="AD23" s="35"/>
      <c r="AE23" s="35"/>
      <c r="AF23" s="35"/>
      <c r="AG23" s="35"/>
      <c r="AH23" s="35"/>
      <c r="AI23" s="35" t="s">
        <v>94</v>
      </c>
      <c r="AJ23" s="35" t="s">
        <v>74</v>
      </c>
      <c r="AK23" s="35" t="s">
        <v>75</v>
      </c>
      <c r="AL23" s="5"/>
      <c r="AM23" s="5"/>
    </row>
    <row r="24" spans="1:39" s="31" customFormat="1">
      <c r="A24" s="29"/>
      <c r="B24" s="35">
        <v>3</v>
      </c>
      <c r="C24" s="5" t="s">
        <v>79</v>
      </c>
      <c r="D24" s="6" t="s">
        <v>77</v>
      </c>
      <c r="E24" s="6">
        <v>2022</v>
      </c>
      <c r="F24" s="6">
        <v>7</v>
      </c>
      <c r="G24" s="35">
        <v>5</v>
      </c>
      <c r="H24" s="35">
        <v>5</v>
      </c>
      <c r="I24" s="35">
        <v>5</v>
      </c>
      <c r="J24" s="35">
        <v>5</v>
      </c>
      <c r="K24" s="35">
        <v>5</v>
      </c>
      <c r="L24" s="35">
        <v>5</v>
      </c>
      <c r="M24" s="35">
        <v>5</v>
      </c>
      <c r="N24" s="35">
        <v>5</v>
      </c>
      <c r="O24" s="35">
        <v>5</v>
      </c>
      <c r="P24" s="35">
        <v>5</v>
      </c>
      <c r="Q24" s="35">
        <v>5</v>
      </c>
      <c r="R24" s="35">
        <v>5</v>
      </c>
      <c r="S24" s="35">
        <v>5</v>
      </c>
      <c r="T24" s="35">
        <v>5</v>
      </c>
      <c r="U24" s="35">
        <v>5</v>
      </c>
      <c r="V24" s="35">
        <v>5</v>
      </c>
      <c r="W24" s="35">
        <v>5</v>
      </c>
      <c r="X24" s="35">
        <v>5</v>
      </c>
      <c r="Y24" s="6">
        <v>7</v>
      </c>
      <c r="Z24" s="35"/>
      <c r="AA24" s="35"/>
      <c r="AB24" s="35">
        <v>0</v>
      </c>
      <c r="AC24" s="35"/>
      <c r="AD24" s="35"/>
      <c r="AE24" s="35"/>
      <c r="AF24" s="35"/>
      <c r="AG24" s="35"/>
      <c r="AH24" s="35"/>
      <c r="AI24" s="35" t="s">
        <v>94</v>
      </c>
      <c r="AJ24" s="35" t="s">
        <v>74</v>
      </c>
      <c r="AK24" s="35" t="s">
        <v>75</v>
      </c>
      <c r="AL24" s="5"/>
      <c r="AM24" s="5"/>
    </row>
    <row r="25" spans="1:39" s="31" customFormat="1">
      <c r="A25" s="29"/>
      <c r="B25" s="35">
        <v>4</v>
      </c>
      <c r="C25" s="5" t="s">
        <v>121</v>
      </c>
      <c r="D25" s="6" t="s">
        <v>77</v>
      </c>
      <c r="E25" s="6">
        <v>2022</v>
      </c>
      <c r="F25" s="6">
        <v>2</v>
      </c>
      <c r="G25" s="35">
        <v>1</v>
      </c>
      <c r="H25" s="35">
        <v>1</v>
      </c>
      <c r="I25" s="35">
        <v>1</v>
      </c>
      <c r="J25" s="35">
        <v>1</v>
      </c>
      <c r="K25" s="35">
        <v>1</v>
      </c>
      <c r="L25" s="35">
        <v>1</v>
      </c>
      <c r="M25" s="35">
        <v>1</v>
      </c>
      <c r="N25" s="35">
        <v>1</v>
      </c>
      <c r="O25" s="35">
        <v>1</v>
      </c>
      <c r="P25" s="35">
        <v>1</v>
      </c>
      <c r="Q25" s="35">
        <v>1</v>
      </c>
      <c r="R25" s="35">
        <v>1</v>
      </c>
      <c r="S25" s="35">
        <v>1</v>
      </c>
      <c r="T25" s="35">
        <v>1</v>
      </c>
      <c r="U25" s="35">
        <v>1</v>
      </c>
      <c r="V25" s="35">
        <v>1</v>
      </c>
      <c r="W25" s="35">
        <v>1</v>
      </c>
      <c r="X25" s="35">
        <v>1</v>
      </c>
      <c r="Y25" s="6">
        <v>2</v>
      </c>
      <c r="Z25" s="35"/>
      <c r="AA25" s="35"/>
      <c r="AB25" s="35">
        <v>0</v>
      </c>
      <c r="AC25" s="35"/>
      <c r="AD25" s="35"/>
      <c r="AE25" s="35"/>
      <c r="AF25" s="35"/>
      <c r="AG25" s="35"/>
      <c r="AH25" s="35"/>
      <c r="AI25" s="35" t="s">
        <v>94</v>
      </c>
      <c r="AJ25" s="35" t="s">
        <v>74</v>
      </c>
      <c r="AK25" s="35" t="s">
        <v>75</v>
      </c>
      <c r="AL25" s="5"/>
      <c r="AM25" s="5"/>
    </row>
    <row r="26" spans="1:39" s="31" customFormat="1">
      <c r="A26" s="29"/>
      <c r="B26" s="35">
        <v>5</v>
      </c>
      <c r="C26" s="5" t="s">
        <v>80</v>
      </c>
      <c r="D26" s="6" t="s">
        <v>77</v>
      </c>
      <c r="E26" s="6">
        <v>2022</v>
      </c>
      <c r="F26" s="6">
        <v>1</v>
      </c>
      <c r="G26" s="35">
        <v>2</v>
      </c>
      <c r="H26" s="35">
        <v>2</v>
      </c>
      <c r="I26" s="35">
        <v>2</v>
      </c>
      <c r="J26" s="35">
        <v>2</v>
      </c>
      <c r="K26" s="35">
        <v>2</v>
      </c>
      <c r="L26" s="35">
        <v>2</v>
      </c>
      <c r="M26" s="35">
        <v>2</v>
      </c>
      <c r="N26" s="35">
        <v>2</v>
      </c>
      <c r="O26" s="35">
        <v>2</v>
      </c>
      <c r="P26" s="35">
        <v>2</v>
      </c>
      <c r="Q26" s="35">
        <v>2</v>
      </c>
      <c r="R26" s="35">
        <v>2</v>
      </c>
      <c r="S26" s="35">
        <v>2</v>
      </c>
      <c r="T26" s="35">
        <v>2</v>
      </c>
      <c r="U26" s="35">
        <v>2</v>
      </c>
      <c r="V26" s="35">
        <v>2</v>
      </c>
      <c r="W26" s="35">
        <v>2</v>
      </c>
      <c r="X26" s="35">
        <v>2</v>
      </c>
      <c r="Y26" s="6">
        <v>1</v>
      </c>
      <c r="Z26" s="35"/>
      <c r="AA26" s="35"/>
      <c r="AB26" s="35">
        <v>0</v>
      </c>
      <c r="AC26" s="35"/>
      <c r="AD26" s="35"/>
      <c r="AE26" s="35"/>
      <c r="AF26" s="35"/>
      <c r="AG26" s="35"/>
      <c r="AH26" s="35"/>
      <c r="AI26" s="35" t="s">
        <v>94</v>
      </c>
      <c r="AJ26" s="35" t="s">
        <v>74</v>
      </c>
      <c r="AK26" s="35" t="s">
        <v>75</v>
      </c>
      <c r="AL26" s="36"/>
      <c r="AM26" s="5"/>
    </row>
    <row r="27" spans="1:39" s="31" customFormat="1">
      <c r="A27" s="29"/>
      <c r="B27" s="35">
        <v>6</v>
      </c>
      <c r="C27" s="5" t="s">
        <v>81</v>
      </c>
      <c r="D27" s="6" t="s">
        <v>82</v>
      </c>
      <c r="E27" s="6">
        <v>2022</v>
      </c>
      <c r="F27" s="6">
        <v>1</v>
      </c>
      <c r="G27" s="35">
        <v>6</v>
      </c>
      <c r="H27" s="35">
        <v>6</v>
      </c>
      <c r="I27" s="35">
        <v>6</v>
      </c>
      <c r="J27" s="35">
        <v>6</v>
      </c>
      <c r="K27" s="35">
        <v>6</v>
      </c>
      <c r="L27" s="35">
        <v>6</v>
      </c>
      <c r="M27" s="35">
        <v>6</v>
      </c>
      <c r="N27" s="35">
        <v>6</v>
      </c>
      <c r="O27" s="35">
        <v>6</v>
      </c>
      <c r="P27" s="35">
        <v>6</v>
      </c>
      <c r="Q27" s="35">
        <v>6</v>
      </c>
      <c r="R27" s="35">
        <v>6</v>
      </c>
      <c r="S27" s="35">
        <v>6</v>
      </c>
      <c r="T27" s="35">
        <v>6</v>
      </c>
      <c r="U27" s="35">
        <v>6</v>
      </c>
      <c r="V27" s="35">
        <v>6</v>
      </c>
      <c r="W27" s="35">
        <v>6</v>
      </c>
      <c r="X27" s="35">
        <v>6</v>
      </c>
      <c r="Y27" s="6">
        <v>1</v>
      </c>
      <c r="Z27" s="35"/>
      <c r="AA27" s="35"/>
      <c r="AB27" s="35">
        <v>0</v>
      </c>
      <c r="AC27" s="35"/>
      <c r="AD27" s="35"/>
      <c r="AE27" s="35"/>
      <c r="AF27" s="35"/>
      <c r="AG27" s="35"/>
      <c r="AH27" s="35"/>
      <c r="AI27" s="35" t="s">
        <v>94</v>
      </c>
      <c r="AJ27" s="35" t="s">
        <v>74</v>
      </c>
      <c r="AK27" s="35" t="s">
        <v>75</v>
      </c>
      <c r="AL27" s="36"/>
      <c r="AM27" s="5"/>
    </row>
    <row r="28" spans="1:39" s="31" customFormat="1" ht="30">
      <c r="A28" s="29"/>
      <c r="B28" s="35">
        <v>7</v>
      </c>
      <c r="C28" s="7" t="s">
        <v>83</v>
      </c>
      <c r="D28" s="6" t="s">
        <v>82</v>
      </c>
      <c r="E28" s="6">
        <v>2022</v>
      </c>
      <c r="F28" s="6">
        <v>6</v>
      </c>
      <c r="G28" s="35">
        <v>2</v>
      </c>
      <c r="H28" s="35">
        <v>2</v>
      </c>
      <c r="I28" s="35">
        <v>2</v>
      </c>
      <c r="J28" s="35">
        <v>2</v>
      </c>
      <c r="K28" s="35">
        <v>2</v>
      </c>
      <c r="L28" s="35">
        <v>2</v>
      </c>
      <c r="M28" s="35">
        <v>2</v>
      </c>
      <c r="N28" s="35">
        <v>2</v>
      </c>
      <c r="O28" s="35">
        <v>2</v>
      </c>
      <c r="P28" s="35">
        <v>2</v>
      </c>
      <c r="Q28" s="35">
        <v>2</v>
      </c>
      <c r="R28" s="35">
        <v>2</v>
      </c>
      <c r="S28" s="35">
        <v>2</v>
      </c>
      <c r="T28" s="35">
        <v>2</v>
      </c>
      <c r="U28" s="35">
        <v>2</v>
      </c>
      <c r="V28" s="35">
        <v>2</v>
      </c>
      <c r="W28" s="35">
        <v>2</v>
      </c>
      <c r="X28" s="35">
        <v>2</v>
      </c>
      <c r="Y28" s="6">
        <v>6</v>
      </c>
      <c r="Z28" s="35"/>
      <c r="AA28" s="35"/>
      <c r="AB28" s="35">
        <v>0</v>
      </c>
      <c r="AC28" s="35"/>
      <c r="AD28" s="35"/>
      <c r="AE28" s="35"/>
      <c r="AF28" s="35"/>
      <c r="AG28" s="35"/>
      <c r="AH28" s="35"/>
      <c r="AI28" s="35" t="s">
        <v>94</v>
      </c>
      <c r="AJ28" s="35" t="s">
        <v>74</v>
      </c>
      <c r="AK28" s="35" t="s">
        <v>75</v>
      </c>
      <c r="AL28" s="36"/>
      <c r="AM28" s="5"/>
    </row>
    <row r="29" spans="1:39" s="31" customFormat="1" ht="30">
      <c r="A29" s="29"/>
      <c r="B29" s="35">
        <v>8</v>
      </c>
      <c r="C29" s="8" t="s">
        <v>122</v>
      </c>
      <c r="D29" s="6" t="s">
        <v>82</v>
      </c>
      <c r="E29" s="6">
        <v>2022</v>
      </c>
      <c r="F29" s="6">
        <v>1</v>
      </c>
      <c r="G29" s="35">
        <v>4</v>
      </c>
      <c r="H29" s="35">
        <v>4</v>
      </c>
      <c r="I29" s="35">
        <v>4</v>
      </c>
      <c r="J29" s="35">
        <v>4</v>
      </c>
      <c r="K29" s="35">
        <v>4</v>
      </c>
      <c r="L29" s="35">
        <v>4</v>
      </c>
      <c r="M29" s="35">
        <v>4</v>
      </c>
      <c r="N29" s="35">
        <v>4</v>
      </c>
      <c r="O29" s="35">
        <v>4</v>
      </c>
      <c r="P29" s="35">
        <v>4</v>
      </c>
      <c r="Q29" s="35">
        <v>4</v>
      </c>
      <c r="R29" s="35">
        <v>4</v>
      </c>
      <c r="S29" s="35">
        <v>4</v>
      </c>
      <c r="T29" s="35">
        <v>4</v>
      </c>
      <c r="U29" s="35">
        <v>4</v>
      </c>
      <c r="V29" s="35">
        <v>4</v>
      </c>
      <c r="W29" s="35">
        <v>4</v>
      </c>
      <c r="X29" s="35">
        <v>4</v>
      </c>
      <c r="Y29" s="6">
        <v>1</v>
      </c>
      <c r="Z29" s="35"/>
      <c r="AA29" s="35"/>
      <c r="AB29" s="35">
        <v>0</v>
      </c>
      <c r="AC29" s="35"/>
      <c r="AD29" s="35"/>
      <c r="AE29" s="35"/>
      <c r="AF29" s="35"/>
      <c r="AG29" s="35"/>
      <c r="AH29" s="35"/>
      <c r="AI29" s="35" t="s">
        <v>94</v>
      </c>
      <c r="AJ29" s="35" t="s">
        <v>74</v>
      </c>
      <c r="AK29" s="35" t="s">
        <v>75</v>
      </c>
      <c r="AL29" s="36"/>
      <c r="AM29" s="170" t="s">
        <v>144</v>
      </c>
    </row>
    <row r="30" spans="1:39" s="31" customFormat="1">
      <c r="B30" s="35">
        <v>9</v>
      </c>
      <c r="C30" s="5" t="s">
        <v>123</v>
      </c>
      <c r="D30" s="6" t="s">
        <v>82</v>
      </c>
      <c r="E30" s="6">
        <v>2022</v>
      </c>
      <c r="F30" s="6">
        <v>1</v>
      </c>
      <c r="G30" s="35">
        <v>1</v>
      </c>
      <c r="H30" s="35">
        <v>1</v>
      </c>
      <c r="I30" s="35">
        <v>1</v>
      </c>
      <c r="J30" s="35">
        <v>1</v>
      </c>
      <c r="K30" s="35">
        <v>1</v>
      </c>
      <c r="L30" s="35">
        <v>1</v>
      </c>
      <c r="M30" s="35">
        <v>1</v>
      </c>
      <c r="N30" s="35">
        <v>1</v>
      </c>
      <c r="O30" s="35">
        <v>1</v>
      </c>
      <c r="P30" s="35">
        <v>1</v>
      </c>
      <c r="Q30" s="35">
        <v>1</v>
      </c>
      <c r="R30" s="35">
        <v>1</v>
      </c>
      <c r="S30" s="35">
        <v>1</v>
      </c>
      <c r="T30" s="35">
        <v>1</v>
      </c>
      <c r="U30" s="35">
        <v>1</v>
      </c>
      <c r="V30" s="35">
        <v>1</v>
      </c>
      <c r="W30" s="35">
        <v>1</v>
      </c>
      <c r="X30" s="35">
        <v>1</v>
      </c>
      <c r="Y30" s="6">
        <v>1</v>
      </c>
      <c r="Z30" s="35"/>
      <c r="AA30" s="35"/>
      <c r="AB30" s="35">
        <v>0</v>
      </c>
      <c r="AC30" s="35"/>
      <c r="AD30" s="35"/>
      <c r="AE30" s="35"/>
      <c r="AF30" s="35"/>
      <c r="AG30" s="35"/>
      <c r="AH30" s="35"/>
      <c r="AI30" s="35" t="s">
        <v>94</v>
      </c>
      <c r="AJ30" s="35" t="s">
        <v>74</v>
      </c>
      <c r="AK30" s="35" t="s">
        <v>75</v>
      </c>
      <c r="AL30" s="36"/>
      <c r="AM30" s="171"/>
    </row>
    <row r="31" spans="1:39" s="31" customFormat="1" ht="30">
      <c r="B31" s="35">
        <v>10</v>
      </c>
      <c r="C31" s="8" t="s">
        <v>124</v>
      </c>
      <c r="D31" s="6" t="s">
        <v>82</v>
      </c>
      <c r="E31" s="6">
        <v>2022</v>
      </c>
      <c r="F31" s="6">
        <v>1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6">
        <v>1</v>
      </c>
      <c r="Z31" s="35"/>
      <c r="AA31" s="35"/>
      <c r="AB31" s="35">
        <v>0</v>
      </c>
      <c r="AC31" s="35"/>
      <c r="AD31" s="35"/>
      <c r="AE31" s="35"/>
      <c r="AF31" s="35"/>
      <c r="AG31" s="35"/>
      <c r="AH31" s="35"/>
      <c r="AI31" s="35" t="s">
        <v>94</v>
      </c>
      <c r="AJ31" s="35" t="s">
        <v>74</v>
      </c>
      <c r="AK31" s="35" t="s">
        <v>75</v>
      </c>
      <c r="AL31" s="5"/>
      <c r="AM31" s="171"/>
    </row>
    <row r="32" spans="1:39" s="31" customFormat="1">
      <c r="B32" s="35">
        <v>11</v>
      </c>
      <c r="C32" s="5" t="s">
        <v>125</v>
      </c>
      <c r="D32" s="6" t="s">
        <v>82</v>
      </c>
      <c r="E32" s="6">
        <v>2022</v>
      </c>
      <c r="F32" s="6">
        <v>1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6">
        <v>1</v>
      </c>
      <c r="Z32" s="35"/>
      <c r="AA32" s="35"/>
      <c r="AB32" s="35">
        <v>0</v>
      </c>
      <c r="AC32" s="35"/>
      <c r="AD32" s="35"/>
      <c r="AE32" s="35"/>
      <c r="AF32" s="35"/>
      <c r="AG32" s="35"/>
      <c r="AH32" s="35"/>
      <c r="AI32" s="35" t="s">
        <v>94</v>
      </c>
      <c r="AJ32" s="35" t="s">
        <v>74</v>
      </c>
      <c r="AK32" s="35" t="s">
        <v>75</v>
      </c>
      <c r="AL32" s="5"/>
      <c r="AM32" s="171"/>
    </row>
    <row r="33" spans="1:40" s="31" customFormat="1">
      <c r="B33" s="35">
        <v>12</v>
      </c>
      <c r="C33" s="5" t="s">
        <v>126</v>
      </c>
      <c r="D33" s="6" t="s">
        <v>82</v>
      </c>
      <c r="E33" s="6">
        <v>2022</v>
      </c>
      <c r="F33" s="6">
        <v>1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6">
        <v>1</v>
      </c>
      <c r="Z33" s="35"/>
      <c r="AA33" s="35"/>
      <c r="AB33" s="35">
        <v>0</v>
      </c>
      <c r="AC33" s="35"/>
      <c r="AD33" s="35"/>
      <c r="AE33" s="35"/>
      <c r="AF33" s="35"/>
      <c r="AG33" s="35"/>
      <c r="AH33" s="35"/>
      <c r="AI33" s="35" t="s">
        <v>94</v>
      </c>
      <c r="AJ33" s="35" t="s">
        <v>74</v>
      </c>
      <c r="AK33" s="35" t="s">
        <v>75</v>
      </c>
      <c r="AL33" s="5"/>
      <c r="AM33" s="172"/>
    </row>
    <row r="34" spans="1:40" s="31" customFormat="1">
      <c r="B34" s="35">
        <v>13</v>
      </c>
      <c r="C34" s="5" t="s">
        <v>127</v>
      </c>
      <c r="D34" s="6" t="s">
        <v>77</v>
      </c>
      <c r="E34" s="6">
        <v>2022</v>
      </c>
      <c r="F34" s="6">
        <v>1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6">
        <v>1</v>
      </c>
      <c r="Z34" s="35"/>
      <c r="AA34" s="35"/>
      <c r="AB34" s="35">
        <v>0</v>
      </c>
      <c r="AC34" s="35"/>
      <c r="AD34" s="35"/>
      <c r="AE34" s="35"/>
      <c r="AF34" s="35"/>
      <c r="AG34" s="139">
        <v>48180000</v>
      </c>
      <c r="AH34" s="139">
        <v>48180000</v>
      </c>
      <c r="AI34" s="35" t="s">
        <v>94</v>
      </c>
      <c r="AJ34" s="35" t="s">
        <v>74</v>
      </c>
      <c r="AK34" s="35" t="s">
        <v>75</v>
      </c>
      <c r="AL34" s="5"/>
      <c r="AM34" s="5"/>
    </row>
    <row r="35" spans="1:40" s="31" customFormat="1">
      <c r="B35" s="35">
        <v>14</v>
      </c>
      <c r="C35" s="5" t="s">
        <v>128</v>
      </c>
      <c r="D35" s="6" t="s">
        <v>77</v>
      </c>
      <c r="E35" s="6">
        <v>2022</v>
      </c>
      <c r="F35" s="6">
        <v>1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6">
        <v>1</v>
      </c>
      <c r="Z35" s="35"/>
      <c r="AA35" s="35"/>
      <c r="AB35" s="35">
        <v>0</v>
      </c>
      <c r="AC35" s="35"/>
      <c r="AD35" s="35"/>
      <c r="AE35" s="35"/>
      <c r="AF35" s="35"/>
      <c r="AG35" s="138">
        <v>44440000</v>
      </c>
      <c r="AH35" s="138">
        <v>44440000</v>
      </c>
      <c r="AI35" s="35" t="s">
        <v>94</v>
      </c>
      <c r="AJ35" s="35" t="s">
        <v>74</v>
      </c>
      <c r="AK35" s="35" t="s">
        <v>75</v>
      </c>
      <c r="AL35" s="5"/>
      <c r="AM35" s="5"/>
    </row>
    <row r="36" spans="1:40" s="31" customFormat="1">
      <c r="B36" s="35">
        <v>15</v>
      </c>
      <c r="C36" s="5" t="s">
        <v>129</v>
      </c>
      <c r="D36" s="6" t="s">
        <v>77</v>
      </c>
      <c r="E36" s="6">
        <v>2022</v>
      </c>
      <c r="F36" s="6">
        <v>1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6">
        <v>1</v>
      </c>
      <c r="Z36" s="35"/>
      <c r="AA36" s="35"/>
      <c r="AB36" s="35">
        <v>0</v>
      </c>
      <c r="AC36" s="35"/>
      <c r="AD36" s="35"/>
      <c r="AE36" s="35"/>
      <c r="AF36" s="35"/>
      <c r="AG36" s="35"/>
      <c r="AH36" s="35"/>
      <c r="AI36" s="35" t="s">
        <v>94</v>
      </c>
      <c r="AJ36" s="35" t="s">
        <v>74</v>
      </c>
      <c r="AK36" s="35" t="s">
        <v>75</v>
      </c>
      <c r="AL36" s="5"/>
      <c r="AM36" s="5"/>
    </row>
    <row r="37" spans="1:40" s="31" customFormat="1">
      <c r="B37" s="2" t="s">
        <v>88</v>
      </c>
      <c r="C37" s="9" t="s">
        <v>114</v>
      </c>
      <c r="D37" s="5"/>
      <c r="E37" s="6"/>
      <c r="F37" s="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6"/>
      <c r="AK37" s="35"/>
      <c r="AL37" s="33"/>
      <c r="AM37" s="5"/>
    </row>
    <row r="38" spans="1:40" s="31" customFormat="1">
      <c r="B38" s="35">
        <v>1</v>
      </c>
      <c r="C38" s="5" t="s">
        <v>130</v>
      </c>
      <c r="D38" s="6" t="s">
        <v>77</v>
      </c>
      <c r="E38" s="6">
        <v>2022</v>
      </c>
      <c r="F38" s="6">
        <v>8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6">
        <v>8</v>
      </c>
      <c r="Z38" s="35"/>
      <c r="AA38" s="35"/>
      <c r="AB38" s="35">
        <v>0</v>
      </c>
      <c r="AC38" s="35"/>
      <c r="AD38" s="35"/>
      <c r="AE38" s="35"/>
      <c r="AF38" s="35"/>
      <c r="AG38" s="35"/>
      <c r="AH38" s="35"/>
      <c r="AI38" s="35" t="s">
        <v>94</v>
      </c>
      <c r="AJ38" s="6" t="s">
        <v>133</v>
      </c>
      <c r="AK38" s="35" t="s">
        <v>75</v>
      </c>
      <c r="AL38" s="5"/>
      <c r="AM38" s="5"/>
    </row>
    <row r="39" spans="1:40" s="31" customFormat="1">
      <c r="B39" s="35">
        <v>2</v>
      </c>
      <c r="C39" s="5" t="s">
        <v>85</v>
      </c>
      <c r="D39" s="6" t="s">
        <v>77</v>
      </c>
      <c r="E39" s="6">
        <v>2022</v>
      </c>
      <c r="F39" s="6">
        <v>1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6">
        <v>1</v>
      </c>
      <c r="Z39" s="35"/>
      <c r="AA39" s="35"/>
      <c r="AB39" s="35">
        <v>0</v>
      </c>
      <c r="AC39" s="35"/>
      <c r="AD39" s="35"/>
      <c r="AE39" s="35"/>
      <c r="AF39" s="35"/>
      <c r="AG39" s="35"/>
      <c r="AH39" s="35"/>
      <c r="AI39" s="35" t="s">
        <v>94</v>
      </c>
      <c r="AJ39" s="6" t="s">
        <v>133</v>
      </c>
      <c r="AK39" s="35" t="s">
        <v>75</v>
      </c>
      <c r="AL39" s="5"/>
      <c r="AM39" s="5"/>
    </row>
    <row r="40" spans="1:40" s="31" customFormat="1">
      <c r="B40" s="35">
        <v>3</v>
      </c>
      <c r="C40" s="5" t="s">
        <v>79</v>
      </c>
      <c r="D40" s="6" t="s">
        <v>77</v>
      </c>
      <c r="E40" s="6">
        <v>2022</v>
      </c>
      <c r="F40" s="6">
        <v>6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6">
        <v>6</v>
      </c>
      <c r="Z40" s="35"/>
      <c r="AA40" s="35"/>
      <c r="AB40" s="35">
        <v>0</v>
      </c>
      <c r="AC40" s="35"/>
      <c r="AD40" s="35"/>
      <c r="AE40" s="35"/>
      <c r="AF40" s="35"/>
      <c r="AG40" s="35"/>
      <c r="AH40" s="35"/>
      <c r="AI40" s="35" t="s">
        <v>94</v>
      </c>
      <c r="AJ40" s="6" t="s">
        <v>133</v>
      </c>
      <c r="AK40" s="35" t="s">
        <v>75</v>
      </c>
      <c r="AL40" s="5"/>
      <c r="AM40" s="5"/>
    </row>
    <row r="41" spans="1:40" s="31" customFormat="1">
      <c r="B41" s="35">
        <v>4</v>
      </c>
      <c r="C41" s="5" t="s">
        <v>80</v>
      </c>
      <c r="D41" s="6" t="s">
        <v>77</v>
      </c>
      <c r="E41" s="6">
        <v>2022</v>
      </c>
      <c r="F41" s="6">
        <v>1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6">
        <v>1</v>
      </c>
      <c r="Z41" s="35"/>
      <c r="AA41" s="35"/>
      <c r="AB41" s="35">
        <v>0</v>
      </c>
      <c r="AC41" s="35"/>
      <c r="AD41" s="35"/>
      <c r="AE41" s="35"/>
      <c r="AF41" s="35"/>
      <c r="AG41" s="35"/>
      <c r="AH41" s="35"/>
      <c r="AI41" s="35" t="s">
        <v>94</v>
      </c>
      <c r="AJ41" s="6" t="s">
        <v>133</v>
      </c>
      <c r="AK41" s="35" t="s">
        <v>75</v>
      </c>
      <c r="AL41" s="5"/>
      <c r="AM41" s="5"/>
    </row>
    <row r="42" spans="1:40" s="31" customFormat="1">
      <c r="B42" s="35">
        <v>5</v>
      </c>
      <c r="C42" s="5" t="s">
        <v>81</v>
      </c>
      <c r="D42" s="6" t="s">
        <v>82</v>
      </c>
      <c r="E42" s="6">
        <v>2022</v>
      </c>
      <c r="F42" s="6">
        <v>1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6">
        <v>1</v>
      </c>
      <c r="Z42" s="35"/>
      <c r="AA42" s="35"/>
      <c r="AB42" s="35">
        <v>0</v>
      </c>
      <c r="AC42" s="35"/>
      <c r="AD42" s="35"/>
      <c r="AE42" s="35"/>
      <c r="AF42" s="35"/>
      <c r="AG42" s="35"/>
      <c r="AH42" s="35"/>
      <c r="AI42" s="35" t="s">
        <v>94</v>
      </c>
      <c r="AJ42" s="6" t="s">
        <v>133</v>
      </c>
      <c r="AK42" s="35" t="s">
        <v>75</v>
      </c>
      <c r="AL42" s="5"/>
      <c r="AM42" s="5"/>
    </row>
    <row r="43" spans="1:40" s="31" customFormat="1" ht="30">
      <c r="B43" s="35">
        <v>6</v>
      </c>
      <c r="C43" s="7" t="s">
        <v>131</v>
      </c>
      <c r="D43" s="6" t="s">
        <v>82</v>
      </c>
      <c r="E43" s="6">
        <v>2022</v>
      </c>
      <c r="F43" s="6">
        <v>3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6">
        <v>3</v>
      </c>
      <c r="Z43" s="35"/>
      <c r="AA43" s="35"/>
      <c r="AB43" s="35">
        <v>0</v>
      </c>
      <c r="AC43" s="35"/>
      <c r="AD43" s="35"/>
      <c r="AE43" s="35"/>
      <c r="AF43" s="35"/>
      <c r="AG43" s="35"/>
      <c r="AH43" s="35"/>
      <c r="AI43" s="35" t="s">
        <v>94</v>
      </c>
      <c r="AJ43" s="6" t="s">
        <v>133</v>
      </c>
      <c r="AK43" s="35" t="s">
        <v>75</v>
      </c>
      <c r="AL43" s="5"/>
      <c r="AM43" s="5"/>
    </row>
    <row r="44" spans="1:40" s="31" customFormat="1">
      <c r="B44" s="35">
        <v>7</v>
      </c>
      <c r="C44" s="5" t="s">
        <v>86</v>
      </c>
      <c r="D44" s="6" t="s">
        <v>77</v>
      </c>
      <c r="E44" s="6">
        <v>2022</v>
      </c>
      <c r="F44" s="6">
        <v>2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6">
        <v>2</v>
      </c>
      <c r="Z44" s="35"/>
      <c r="AA44" s="35"/>
      <c r="AB44" s="35">
        <v>0</v>
      </c>
      <c r="AC44" s="35"/>
      <c r="AD44" s="35"/>
      <c r="AE44" s="35"/>
      <c r="AF44" s="35"/>
      <c r="AG44" s="139">
        <v>15675000</v>
      </c>
      <c r="AH44" s="35">
        <f>+Y44*AG44</f>
        <v>31350000</v>
      </c>
      <c r="AI44" s="35" t="s">
        <v>94</v>
      </c>
      <c r="AJ44" s="6" t="s">
        <v>133</v>
      </c>
      <c r="AK44" s="35" t="s">
        <v>75</v>
      </c>
      <c r="AL44" s="5"/>
      <c r="AM44" s="5"/>
    </row>
    <row r="45" spans="1:40" s="31" customFormat="1">
      <c r="B45" s="35">
        <v>8</v>
      </c>
      <c r="C45" s="5" t="s">
        <v>84</v>
      </c>
      <c r="D45" s="6" t="s">
        <v>77</v>
      </c>
      <c r="E45" s="6">
        <v>2022</v>
      </c>
      <c r="F45" s="6">
        <v>1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6">
        <v>1</v>
      </c>
      <c r="Z45" s="35"/>
      <c r="AA45" s="35"/>
      <c r="AB45" s="35">
        <v>0</v>
      </c>
      <c r="AC45" s="35"/>
      <c r="AD45" s="35"/>
      <c r="AE45" s="35"/>
      <c r="AF45" s="35"/>
      <c r="AG45" s="35"/>
      <c r="AH45" s="35"/>
      <c r="AI45" s="35" t="s">
        <v>94</v>
      </c>
      <c r="AJ45" s="6" t="s">
        <v>133</v>
      </c>
      <c r="AK45" s="35" t="s">
        <v>75</v>
      </c>
      <c r="AL45" s="5"/>
      <c r="AM45" s="5"/>
    </row>
    <row r="46" spans="1:40" s="142" customFormat="1" ht="15" customHeight="1">
      <c r="A46" s="140"/>
      <c r="B46" s="140" t="s">
        <v>230</v>
      </c>
      <c r="C46" s="140" t="s">
        <v>230</v>
      </c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>
        <f>SUM(AH26:AH45)</f>
        <v>123970000</v>
      </c>
      <c r="AI46" s="141"/>
      <c r="AJ46" s="141"/>
      <c r="AK46" s="141"/>
      <c r="AL46" s="141"/>
    </row>
    <row r="47" spans="1:40" s="40" customFormat="1" ht="9" customHeight="1">
      <c r="A47" s="37"/>
      <c r="B47" s="15"/>
      <c r="C47" s="15"/>
      <c r="D47" s="15"/>
      <c r="E47" s="16"/>
      <c r="F47" s="38"/>
      <c r="G47" s="15"/>
      <c r="H47" s="15"/>
      <c r="I47" s="15"/>
      <c r="J47" s="15"/>
      <c r="K47" s="16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15"/>
      <c r="Z47" s="15"/>
      <c r="AA47" s="16"/>
      <c r="AB47" s="39"/>
      <c r="AC47" s="15"/>
      <c r="AD47" s="15"/>
      <c r="AE47" s="15"/>
      <c r="AF47" s="15"/>
      <c r="AG47" s="15"/>
      <c r="AH47" s="15"/>
      <c r="AI47" s="161"/>
      <c r="AJ47" s="161"/>
      <c r="AK47" s="161"/>
      <c r="AL47" s="161"/>
      <c r="AM47" s="161"/>
      <c r="AN47" s="15"/>
    </row>
    <row r="48" spans="1:40" s="15" customFormat="1" ht="13.5" customHeight="1">
      <c r="A48" s="16"/>
      <c r="E48" s="16"/>
      <c r="F48" s="38"/>
      <c r="K48" s="16"/>
      <c r="X48" s="16"/>
      <c r="AA48" s="16"/>
      <c r="AB48" s="41"/>
      <c r="AF48" s="16"/>
      <c r="AG48" s="131"/>
      <c r="AH48" s="131"/>
      <c r="AI48" s="161" t="s">
        <v>159</v>
      </c>
      <c r="AJ48" s="161"/>
      <c r="AK48" s="161"/>
      <c r="AL48" s="161"/>
      <c r="AM48" s="161"/>
    </row>
    <row r="49" spans="1:40" s="40" customFormat="1" ht="16.5" customHeight="1">
      <c r="A49" s="37"/>
      <c r="B49" s="15" t="s">
        <v>52</v>
      </c>
      <c r="C49" s="15"/>
      <c r="D49" s="161" t="s">
        <v>153</v>
      </c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5"/>
      <c r="AA49" s="15"/>
      <c r="AB49" s="161" t="s">
        <v>53</v>
      </c>
      <c r="AC49" s="161"/>
      <c r="AD49" s="161"/>
      <c r="AE49" s="161"/>
      <c r="AF49" s="161"/>
      <c r="AG49" s="161"/>
      <c r="AH49" s="161"/>
      <c r="AI49" s="161"/>
      <c r="AJ49" s="161"/>
      <c r="AK49" s="161" t="s">
        <v>54</v>
      </c>
      <c r="AL49" s="161"/>
      <c r="AM49" s="161"/>
      <c r="AN49" s="15"/>
    </row>
    <row r="50" spans="1:40" s="40" customFormat="1" ht="19.5" customHeight="1">
      <c r="A50" s="37" t="s">
        <v>55</v>
      </c>
      <c r="B50" s="24" t="s">
        <v>55</v>
      </c>
      <c r="C50" s="15" t="s">
        <v>92</v>
      </c>
      <c r="D50" s="10"/>
      <c r="E50" s="16"/>
      <c r="F50" s="38"/>
      <c r="G50" s="15"/>
      <c r="H50" s="15"/>
      <c r="I50" s="15"/>
      <c r="J50" s="15"/>
      <c r="K50" s="16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15"/>
      <c r="Z50" s="15"/>
      <c r="AA50" s="16"/>
      <c r="AB50" s="39"/>
      <c r="AC50" s="15"/>
      <c r="AD50" s="15"/>
      <c r="AE50" s="15"/>
      <c r="AF50" s="15"/>
      <c r="AG50" s="15"/>
      <c r="AH50" s="15"/>
      <c r="AI50" s="15"/>
      <c r="AJ50" s="16"/>
      <c r="AK50" s="16"/>
      <c r="AL50" s="15"/>
      <c r="AM50" s="15"/>
      <c r="AN50" s="15"/>
    </row>
    <row r="51" spans="1:40" s="40" customFormat="1" ht="19.5" customHeight="1">
      <c r="A51" s="37" t="s">
        <v>55</v>
      </c>
      <c r="B51" s="24" t="s">
        <v>55</v>
      </c>
      <c r="C51" s="15" t="s">
        <v>91</v>
      </c>
      <c r="D51" s="10"/>
      <c r="E51" s="16"/>
      <c r="F51" s="38"/>
      <c r="G51" s="15"/>
      <c r="H51" s="15"/>
      <c r="I51" s="15"/>
      <c r="J51" s="15"/>
      <c r="K51" s="16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15"/>
      <c r="Z51" s="15"/>
      <c r="AA51" s="16"/>
      <c r="AB51" s="39"/>
      <c r="AC51" s="15"/>
      <c r="AD51" s="15"/>
      <c r="AE51" s="15"/>
      <c r="AF51" s="15"/>
      <c r="AG51" s="15"/>
      <c r="AH51" s="15"/>
      <c r="AI51" s="15"/>
      <c r="AJ51" s="16"/>
      <c r="AK51" s="16"/>
      <c r="AL51" s="15"/>
      <c r="AM51" s="15"/>
      <c r="AN51" s="15"/>
    </row>
    <row r="52" spans="1:40" s="40" customFormat="1" ht="19.5" customHeight="1">
      <c r="A52" s="37" t="s">
        <v>55</v>
      </c>
      <c r="B52" s="24" t="s">
        <v>55</v>
      </c>
      <c r="C52" s="15" t="s">
        <v>90</v>
      </c>
      <c r="D52" s="10"/>
      <c r="E52" s="16"/>
      <c r="F52" s="38"/>
      <c r="G52" s="15"/>
      <c r="H52" s="15"/>
      <c r="I52" s="15"/>
      <c r="J52" s="15"/>
      <c r="K52" s="16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15"/>
      <c r="Z52" s="15"/>
      <c r="AA52" s="16"/>
      <c r="AB52" s="39"/>
      <c r="AC52" s="15"/>
      <c r="AD52" s="15"/>
      <c r="AE52" s="15"/>
      <c r="AF52" s="15"/>
      <c r="AG52" s="15"/>
      <c r="AH52" s="15"/>
      <c r="AI52" s="15"/>
      <c r="AJ52" s="16"/>
      <c r="AK52" s="16"/>
      <c r="AL52" s="15"/>
      <c r="AM52" s="15"/>
      <c r="AN52" s="15"/>
    </row>
    <row r="53" spans="1:40" s="40" customFormat="1" ht="19.5" customHeight="1">
      <c r="A53" s="37" t="s">
        <v>55</v>
      </c>
      <c r="B53" s="24" t="s">
        <v>55</v>
      </c>
      <c r="C53" s="15" t="s">
        <v>89</v>
      </c>
      <c r="D53" s="10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31"/>
      <c r="AH53" s="131"/>
      <c r="AI53" s="161"/>
      <c r="AJ53" s="161"/>
      <c r="AK53" s="161"/>
      <c r="AL53" s="161"/>
      <c r="AM53" s="15"/>
      <c r="AN53" s="15"/>
    </row>
    <row r="54" spans="1:40" s="15" customFormat="1" ht="21" customHeight="1">
      <c r="A54" s="16"/>
      <c r="B54" s="24" t="s">
        <v>55</v>
      </c>
      <c r="C54" s="15" t="s">
        <v>157</v>
      </c>
      <c r="D54" s="161" t="s">
        <v>134</v>
      </c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AB54" s="161" t="s">
        <v>56</v>
      </c>
      <c r="AC54" s="161"/>
      <c r="AD54" s="161"/>
      <c r="AE54" s="161"/>
      <c r="AF54" s="161"/>
      <c r="AG54" s="161"/>
      <c r="AH54" s="161"/>
      <c r="AI54" s="161"/>
      <c r="AJ54" s="161"/>
      <c r="AK54" s="161" t="s">
        <v>152</v>
      </c>
      <c r="AL54" s="161"/>
      <c r="AM54" s="161"/>
    </row>
    <row r="55" spans="1:40" s="15" customFormat="1" ht="11.25" customHeight="1">
      <c r="B55" s="16"/>
      <c r="D55" s="10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31"/>
      <c r="AH55" s="131"/>
      <c r="AI55" s="161"/>
      <c r="AJ55" s="161"/>
      <c r="AK55" s="161"/>
      <c r="AL55" s="161"/>
      <c r="AM55" s="161"/>
    </row>
  </sheetData>
  <autoFilter ref="A16:AN46" xr:uid="{770C2210-6D6A-474D-9F6F-4D86C54683DC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24" showButton="0"/>
    <filterColumn colId="25" showButton="0"/>
    <filterColumn colId="27" showButton="0"/>
    <filterColumn colId="28" showButton="0"/>
  </autoFilter>
  <mergeCells count="48">
    <mergeCell ref="AI48:AM48"/>
    <mergeCell ref="E55:AF55"/>
    <mergeCell ref="AI55:AJ55"/>
    <mergeCell ref="AK55:AM55"/>
    <mergeCell ref="E53:AF53"/>
    <mergeCell ref="AI53:AJ53"/>
    <mergeCell ref="AK53:AL53"/>
    <mergeCell ref="D54:Y54"/>
    <mergeCell ref="AB54:AJ54"/>
    <mergeCell ref="AK54:AM54"/>
    <mergeCell ref="D49:Y49"/>
    <mergeCell ref="AB49:AJ49"/>
    <mergeCell ref="AK49:AM49"/>
    <mergeCell ref="AJ16:AJ19"/>
    <mergeCell ref="AK16:AK19"/>
    <mergeCell ref="AL16:AL19"/>
    <mergeCell ref="AM16:AM19"/>
    <mergeCell ref="F17:F19"/>
    <mergeCell ref="G17:G19"/>
    <mergeCell ref="I18:J18"/>
    <mergeCell ref="AB16:AD16"/>
    <mergeCell ref="AB17:AB19"/>
    <mergeCell ref="AC17:AC19"/>
    <mergeCell ref="AD17:AD19"/>
    <mergeCell ref="H17:J17"/>
    <mergeCell ref="AG16:AG19"/>
    <mergeCell ref="AH16:AH19"/>
    <mergeCell ref="A16:A19"/>
    <mergeCell ref="B16:B19"/>
    <mergeCell ref="C16:C19"/>
    <mergeCell ref="D16:D19"/>
    <mergeCell ref="E16:E19"/>
    <mergeCell ref="AI47:AM47"/>
    <mergeCell ref="AA1:AM1"/>
    <mergeCell ref="AA2:AM2"/>
    <mergeCell ref="B3:AM3"/>
    <mergeCell ref="AA4:AM4"/>
    <mergeCell ref="B5:AM5"/>
    <mergeCell ref="AE16:AE19"/>
    <mergeCell ref="AF16:AF19"/>
    <mergeCell ref="AI16:AI19"/>
    <mergeCell ref="Y17:Y19"/>
    <mergeCell ref="AM29:AM33"/>
    <mergeCell ref="Z17:Z19"/>
    <mergeCell ref="AA17:AA19"/>
    <mergeCell ref="F16:Q16"/>
    <mergeCell ref="Y16:AA16"/>
    <mergeCell ref="H18:H19"/>
  </mergeCells>
  <printOptions horizontalCentered="1"/>
  <pageMargins left="0" right="0" top="0.32" bottom="0.25" header="0.2" footer="0.31496062992126"/>
  <pageSetup paperSize="9" orientation="landscape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Khoa SKSS-TB VP-2025</vt:lpstr>
      <vt:lpstr>Khoa SKSS-2025-TB Điện</vt:lpstr>
      <vt:lpstr>'Khoa SKSS-TB VP-2025'!Print_Area</vt:lpstr>
      <vt:lpstr>'Khoa SKSS-2025-TB Điện'!Print_Titles</vt:lpstr>
      <vt:lpstr>'Khoa SKSS-TB VP-2025'!Print_Titles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2026-05-06T02:29:59Z</cp:lastPrinted>
  <dcterms:created xsi:type="dcterms:W3CDTF">2019-01-08T07:18:38Z</dcterms:created>
  <dcterms:modified xsi:type="dcterms:W3CDTF">2026-06-17T02:01:48Z</dcterms:modified>
</cp:coreProperties>
</file>