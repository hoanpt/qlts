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3F31991C-98F0-4E57-AAC1-4859AE0CDA19}" xr6:coauthVersionLast="36" xr6:coauthVersionMax="47" xr10:uidLastSave="{00000000-0000-0000-0000-000000000000}"/>
  <bookViews>
    <workbookView xWindow="-120" yWindow="-120" windowWidth="19800" windowHeight="11760" firstSheet="12" activeTab="13" xr2:uid="{00000000-000D-0000-FFFF-FFFF00000000}"/>
  </bookViews>
  <sheets>
    <sheet name="XXXXXXXXX" sheetId="4" state="veryHidden" r:id="rId1"/>
    <sheet name="Kangatang" sheetId="6" state="veryHidden" r:id="rId2"/>
    <sheet name="Kangatang_2" sheetId="7" state="veryHidden" r:id="rId3"/>
    <sheet name="Kangatang_3" sheetId="8" state="veryHidden" r:id="rId4"/>
    <sheet name="Kangatang_4" sheetId="9" state="veryHidden" r:id="rId5"/>
    <sheet name="Kangatang_5" sheetId="10" state="veryHidden" r:id="rId6"/>
    <sheet name="Kangatang_6" sheetId="11" state="veryHidden" r:id="rId7"/>
    <sheet name="Kangatang_7" sheetId="12" state="veryHidden" r:id="rId8"/>
    <sheet name="Kangatang_8" sheetId="13" state="veryHidden" r:id="rId9"/>
    <sheet name="Kangatang_9" sheetId="14" state="veryHidden" r:id="rId10"/>
    <sheet name="foxz" sheetId="15" state="hidden" r:id="rId11"/>
    <sheet name="foxz_2" sheetId="16" state="veryHidden" r:id="rId12"/>
    <sheet name="Khoa PCBKLN-TB VP-2025" sheetId="3" r:id="rId13"/>
    <sheet name="KHoa PCBKLN-2025-TB Điện" sheetId="5" r:id="rId14"/>
  </sheets>
  <definedNames>
    <definedName name="_Fill" localSheetId="13" hidden="1">#REF!</definedName>
    <definedName name="_Fill" localSheetId="12" hidden="1">#REF!</definedName>
    <definedName name="_Fill" hidden="1">#REF!</definedName>
    <definedName name="_xlnm._FilterDatabase" localSheetId="13" hidden="1">'KHoa PCBKLN-2025-TB Điện'!$A$16:$AN$41</definedName>
    <definedName name="_xlnm._FilterDatabase" localSheetId="12" hidden="1">'Khoa PCBKLN-TB VP-2025'!$A$14:$AN$59</definedName>
    <definedName name="_xlnm.Print_Area" localSheetId="12">'Khoa PCBKLN-TB VP-2025'!$A$1:$AL$99</definedName>
    <definedName name="_xlnm.Print_Titles" localSheetId="13">'KHoa PCBKLN-2025-TB Điện'!$16:$20</definedName>
    <definedName name="_xlnm.Print_Titles" localSheetId="12">'Khoa PCBKLN-TB VP-2025'!$14:$16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H38" i="5" l="1"/>
  <c r="AH28" i="5"/>
  <c r="AH41" i="5" l="1"/>
  <c r="AG70" i="3"/>
  <c r="AG21" i="3" l="1"/>
  <c r="T20" i="3"/>
  <c r="S20" i="3"/>
  <c r="R20" i="3"/>
  <c r="G20" i="3"/>
  <c r="Y20" i="3" s="1"/>
  <c r="P20" i="3" l="1"/>
  <c r="Q20" i="3"/>
  <c r="V20" i="3" s="1"/>
  <c r="W20" i="3" s="1"/>
  <c r="AG29" i="3" l="1"/>
  <c r="AG52" i="3"/>
  <c r="AG49" i="3" l="1"/>
  <c r="T69" i="3" l="1"/>
  <c r="S69" i="3"/>
  <c r="R69" i="3"/>
  <c r="G69" i="3"/>
  <c r="Y69" i="3" s="1"/>
  <c r="T68" i="3"/>
  <c r="S68" i="3"/>
  <c r="R68" i="3"/>
  <c r="G68" i="3"/>
  <c r="Y68" i="3" s="1"/>
  <c r="T67" i="3"/>
  <c r="S67" i="3"/>
  <c r="R67" i="3"/>
  <c r="P67" i="3"/>
  <c r="G67" i="3"/>
  <c r="Y67" i="3" s="1"/>
  <c r="T66" i="3"/>
  <c r="S66" i="3"/>
  <c r="R66" i="3"/>
  <c r="G66" i="3"/>
  <c r="P66" i="3" s="1"/>
  <c r="T65" i="3"/>
  <c r="S65" i="3"/>
  <c r="R65" i="3"/>
  <c r="G65" i="3"/>
  <c r="Y65" i="3" s="1"/>
  <c r="T64" i="3"/>
  <c r="S64" i="3"/>
  <c r="R64" i="3"/>
  <c r="G64" i="3"/>
  <c r="Y64" i="3" s="1"/>
  <c r="T63" i="3"/>
  <c r="S63" i="3"/>
  <c r="R63" i="3"/>
  <c r="G63" i="3"/>
  <c r="Y63" i="3" s="1"/>
  <c r="T62" i="3"/>
  <c r="S62" i="3"/>
  <c r="R62" i="3"/>
  <c r="G62" i="3"/>
  <c r="Q62" i="3" s="1"/>
  <c r="T61" i="3"/>
  <c r="S61" i="3"/>
  <c r="R61" i="3"/>
  <c r="G61" i="3"/>
  <c r="G41" i="3"/>
  <c r="Y41" i="3" s="1"/>
  <c r="AB41" i="3" s="1"/>
  <c r="R41" i="3"/>
  <c r="S41" i="3"/>
  <c r="T41" i="3"/>
  <c r="U41" i="3"/>
  <c r="AC41" i="3"/>
  <c r="AC90" i="3"/>
  <c r="U90" i="3"/>
  <c r="T90" i="3"/>
  <c r="S90" i="3"/>
  <c r="R90" i="3"/>
  <c r="G90" i="3"/>
  <c r="Y90" i="3" s="1"/>
  <c r="AB90" i="3" s="1"/>
  <c r="AC58" i="3"/>
  <c r="U58" i="3"/>
  <c r="T58" i="3"/>
  <c r="S58" i="3"/>
  <c r="R58" i="3"/>
  <c r="G58" i="3"/>
  <c r="Y58" i="3" s="1"/>
  <c r="AB58" i="3" s="1"/>
  <c r="AC53" i="3"/>
  <c r="U53" i="3"/>
  <c r="T53" i="3"/>
  <c r="S53" i="3"/>
  <c r="R53" i="3"/>
  <c r="G53" i="3"/>
  <c r="Y53" i="3" s="1"/>
  <c r="AB53" i="3" s="1"/>
  <c r="AC103" i="3"/>
  <c r="G103" i="3"/>
  <c r="AB103" i="3" s="1"/>
  <c r="AC102" i="3"/>
  <c r="V102" i="3"/>
  <c r="G102" i="3"/>
  <c r="Y102" i="3" s="1"/>
  <c r="AB102" i="3" s="1"/>
  <c r="AC93" i="3"/>
  <c r="G93" i="3"/>
  <c r="Y93" i="3" s="1"/>
  <c r="AB93" i="3" s="1"/>
  <c r="AC57" i="3"/>
  <c r="G57" i="3"/>
  <c r="Y57" i="3" s="1"/>
  <c r="AB57" i="3" s="1"/>
  <c r="AC94" i="3"/>
  <c r="G94" i="3"/>
  <c r="Y94" i="3" s="1"/>
  <c r="AB94" i="3" s="1"/>
  <c r="AC59" i="3"/>
  <c r="G59" i="3"/>
  <c r="Y59" i="3" s="1"/>
  <c r="AB59" i="3" s="1"/>
  <c r="R103" i="3"/>
  <c r="V103" i="3" s="1"/>
  <c r="S103" i="3"/>
  <c r="U93" i="3"/>
  <c r="S93" i="3"/>
  <c r="T93" i="3"/>
  <c r="R93" i="3"/>
  <c r="S59" i="3"/>
  <c r="T59" i="3"/>
  <c r="R59" i="3"/>
  <c r="T94" i="3"/>
  <c r="R94" i="3"/>
  <c r="U94" i="3"/>
  <c r="S94" i="3"/>
  <c r="T57" i="3"/>
  <c r="R57" i="3"/>
  <c r="U57" i="3"/>
  <c r="S57" i="3"/>
  <c r="Q64" i="3" l="1"/>
  <c r="P64" i="3"/>
  <c r="Q66" i="3"/>
  <c r="V66" i="3" s="1"/>
  <c r="W66" i="3" s="1"/>
  <c r="P63" i="3"/>
  <c r="P65" i="3"/>
  <c r="Q63" i="3"/>
  <c r="V63" i="3" s="1"/>
  <c r="W63" i="3" s="1"/>
  <c r="P69" i="3"/>
  <c r="Q69" i="3"/>
  <c r="P68" i="3"/>
  <c r="Q68" i="3"/>
  <c r="Q67" i="3"/>
  <c r="V67" i="3" s="1"/>
  <c r="W67" i="3" s="1"/>
  <c r="Y66" i="3"/>
  <c r="Q61" i="3"/>
  <c r="P62" i="3"/>
  <c r="V62" i="3" s="1"/>
  <c r="W62" i="3" s="1"/>
  <c r="Q65" i="3"/>
  <c r="V65" i="3" s="1"/>
  <c r="W65" i="3" s="1"/>
  <c r="Y61" i="3"/>
  <c r="P61" i="3"/>
  <c r="Y62" i="3"/>
  <c r="V41" i="3"/>
  <c r="W41" i="3" s="1"/>
  <c r="W102" i="3"/>
  <c r="V57" i="3"/>
  <c r="W57" i="3" s="1"/>
  <c r="J102" i="3"/>
  <c r="K102" i="3"/>
  <c r="V94" i="3"/>
  <c r="W94" i="3" s="1"/>
  <c r="P59" i="3"/>
  <c r="Q59" i="3"/>
  <c r="V93" i="3"/>
  <c r="W93" i="3" s="1"/>
  <c r="V53" i="3"/>
  <c r="W53" i="3" s="1"/>
  <c r="V58" i="3"/>
  <c r="W58" i="3" s="1"/>
  <c r="V90" i="3"/>
  <c r="W90" i="3" s="1"/>
  <c r="V64" i="3" l="1"/>
  <c r="W64" i="3" s="1"/>
  <c r="V61" i="3"/>
  <c r="W61" i="3" s="1"/>
  <c r="V69" i="3"/>
  <c r="W69" i="3" s="1"/>
  <c r="V68" i="3"/>
  <c r="W68" i="3" s="1"/>
  <c r="V59" i="3"/>
  <c r="W59" i="3" s="1"/>
  <c r="L102" i="3"/>
</calcChain>
</file>

<file path=xl/sharedStrings.xml><?xml version="1.0" encoding="utf-8"?>
<sst xmlns="http://schemas.openxmlformats.org/spreadsheetml/2006/main" count="658" uniqueCount="229">
  <si>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</si>
  <si>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</si>
  <si>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</si>
  <si>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</si>
  <si>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</si>
  <si>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</si>
  <si>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</si>
  <si>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</si>
  <si>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</si>
  <si>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</si>
  <si>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</si>
  <si>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</si>
  <si>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</si>
  <si>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</si>
  <si>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Ghi 
chú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</si>
  <si>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</si>
  <si>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</si>
  <si>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</si>
  <si>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</si>
  <si>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</si>
  <si>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</si>
  <si>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</si>
  <si>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</si>
  <si>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</si>
  <si>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</si>
  <si>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</si>
  <si>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</si>
  <si>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</si>
  <si>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</si>
  <si>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</si>
  <si>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</si>
  <si>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</si>
  <si>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</si>
  <si>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</si>
  <si>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</si>
  <si>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</si>
  <si>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</si>
  <si>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</si>
  <si>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</si>
  <si>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</si>
  <si>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</si>
  <si>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</si>
  <si>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Nhật</t>
  </si>
  <si>
    <t>đang sd</t>
  </si>
  <si>
    <t>ĐNA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</si>
  <si>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</si>
  <si>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</si>
  <si>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</si>
  <si>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</si>
  <si>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</si>
  <si>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</si>
  <si>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chuyển đến</t>
  </si>
  <si>
    <t xml:space="preserve">Máy điều hoà </t>
  </si>
  <si>
    <t>Thành viên tổ kiểm kê</t>
  </si>
  <si>
    <t>Trưởng phòng TC - KT</t>
  </si>
  <si>
    <t>Chủ tịch hội đồng</t>
  </si>
  <si>
    <t>-</t>
  </si>
  <si>
    <t>Nguyễn Thanh Huỳnh</t>
  </si>
  <si>
    <t>2. Ông. Nguyễn Thanh Huỳnh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</si>
  <si>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</si>
  <si>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</si>
  <si>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</si>
  <si>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</si>
  <si>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</si>
  <si>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</si>
  <si>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TCHC</t>
  </si>
  <si>
    <t>Phòng 2 - TCHC-A.Linh</t>
  </si>
  <si>
    <t>Hàng ủng hộ PC covid-19</t>
  </si>
  <si>
    <t>Quạt đứng</t>
  </si>
  <si>
    <t>Quạt đứng Natifan</t>
  </si>
  <si>
    <t>315 PCT</t>
  </si>
  <si>
    <t>Phòng làm việc</t>
  </si>
  <si>
    <t>Đơn vị tính</t>
  </si>
  <si>
    <t>Nơi tài sản mới chuyển đến</t>
  </si>
  <si>
    <t xml:space="preserve">Ghi chú
</t>
  </si>
  <si>
    <t>Phòng LV</t>
  </si>
  <si>
    <t>đang SD</t>
  </si>
  <si>
    <t>bộ</t>
  </si>
  <si>
    <t>Ổ cắm đôi 3 chấu</t>
  </si>
  <si>
    <t>Tủ điện âm tường bao gồm thiết bị</t>
  </si>
  <si>
    <t>Đầu báo khói địa chỉ (kể cả đế)</t>
  </si>
  <si>
    <t>cái</t>
  </si>
  <si>
    <t xml:space="preserve">Đầu phun sprinkler 68 độ C (loại quay xuống) + đế </t>
  </si>
  <si>
    <t>Quạt trần + hộp số</t>
  </si>
  <si>
    <t>Miệng gió 250x250 + OBD</t>
  </si>
  <si>
    <t>Công tắc đôi</t>
  </si>
  <si>
    <t>Điều hòa treo tường 24.000 Btu/h + remote</t>
  </si>
  <si>
    <t>Miệng gió 200x200 + OBD</t>
  </si>
  <si>
    <t>Không sd</t>
  </si>
  <si>
    <t>I</t>
  </si>
  <si>
    <t>II</t>
  </si>
  <si>
    <t>Đặng Thị Tuyến……………………….</t>
  </si>
  <si>
    <t>Trần Quốc Việt………………………...</t>
  </si>
  <si>
    <t>Lưu Thị Mận………………………..…</t>
  </si>
  <si>
    <t>Trần Liên…………………………...….</t>
  </si>
  <si>
    <t>TS Tại 315 PCT</t>
  </si>
  <si>
    <t>Trần Liên………………...…………….</t>
  </si>
  <si>
    <t>Bàn làm việc - BLV15-1
- Kích thước: (1.500x750x760)mm.
- Gỗ công nghiệp phủ melamine có hộc liền.</t>
  </si>
  <si>
    <t>Tủ đựng dụng cụ
- Kích thước: (1.000x450x1.830)mm.
- Khung sắt sơn tĩnh điện khoang trên có 03 khoang, có 02 đợt di động. Khung cánh kính mở</t>
  </si>
  <si>
    <t>Ghế làm việc
- Kích thước: (550x530x865/990)mm.
- Khung nhựa, đệm tựa bọc vải tay nhựa.</t>
  </si>
  <si>
    <t>Bàn làm việc - BLV1809-1
- Kích thước: (1.800x900x760)mm.
- Gỗ công nghiệp phun PU</t>
  </si>
  <si>
    <t>4. Ông. Nguyễn Ngọc Ánh</t>
  </si>
  <si>
    <t>Trưởng khoa Phòng chống bệnh không lây nhiễm</t>
  </si>
  <si>
    <t>K. PCBKLN</t>
  </si>
  <si>
    <t>BLV 1809/22</t>
  </si>
  <si>
    <t>BLV 149,150</t>
  </si>
  <si>
    <t>Quầy - BQ4970
-Kích thước: (4.900x700x750)mm.
- Gỗ tự nhiên ghép thanh, có thọa, có hộc đựng hồ sơ, kệ CPU.</t>
  </si>
  <si>
    <t>Ghế quầy
-Kích thước: (590x540x920)mm.
- Khung nhựa, đệm tựa bọc vải lưới, chân mạ.</t>
  </si>
  <si>
    <t>Bàn làm việc 1,2m x 0,6m màu vàng</t>
  </si>
  <si>
    <t>Bàn họp gỗ Oval</t>
  </si>
  <si>
    <t>Phòng giao ban</t>
  </si>
  <si>
    <t>Tủ hồ sơ màu ghi đựng thuốc</t>
  </si>
  <si>
    <t>Bàn làm việc 1,2m x 0,6m màu ghi</t>
  </si>
  <si>
    <t xml:space="preserve">Ghế gỗ </t>
  </si>
  <si>
    <t>đã hỏng</t>
  </si>
  <si>
    <t>Quạt đứng Asia</t>
  </si>
  <si>
    <t>Bàn lớn 1,6m x 2m</t>
  </si>
  <si>
    <t>Quạt trần</t>
  </si>
  <si>
    <t>K. PCBKLN 315</t>
  </si>
  <si>
    <t>Trưởng khoa PCBKLN</t>
  </si>
  <si>
    <t>Nguyễn Ngọc Ánh</t>
  </si>
  <si>
    <t>Đèn led panel 45 w vuông 0,6x0,6 m</t>
  </si>
  <si>
    <t>Công tắc 3</t>
  </si>
  <si>
    <t>K.PCBKLN</t>
  </si>
  <si>
    <t>Đèn led panel 45w 0,3x1,2 m</t>
  </si>
  <si>
    <t>Điều hòa treo tường 18.000 Btu/h + remote</t>
  </si>
  <si>
    <t>Phòng GB</t>
  </si>
  <si>
    <t>Phòng Giao ban - Kho (T6.13)</t>
  </si>
  <si>
    <t>Phòng Làm việc khoa không lây nhiễm (T6.18)</t>
  </si>
  <si>
    <t>Tủ gương</t>
  </si>
  <si>
    <t>Bàn làm việc 1,2m x 0,6m (màu vàng)</t>
  </si>
  <si>
    <t>Bàn làm việc có tủ con + gương</t>
  </si>
  <si>
    <t>Ghế nệm xoay</t>
  </si>
  <si>
    <t>Ghế dựa gỗ</t>
  </si>
  <si>
    <t>TDC 79</t>
  </si>
  <si>
    <t>Tủ (màu vàng, 5 cánh)</t>
  </si>
  <si>
    <t>Tủ (màu vàng, 4 cánh)</t>
  </si>
  <si>
    <t>P. TCHC</t>
  </si>
  <si>
    <t xml:space="preserve">TBVP KHOA PC BỆNH KHÔNG LÂY NHIỄM </t>
  </si>
  <si>
    <t>PHÒNG LÀM VIỆC TẦNG 6  (T6.18)</t>
  </si>
  <si>
    <t>PHÒNG GIAO BAN - KHO TẦNG 6 (T6.13)</t>
  </si>
  <si>
    <t>Tiếp nhận năm 2022</t>
  </si>
  <si>
    <t>Hỏng</t>
  </si>
  <si>
    <t>Tầng hầm 118</t>
  </si>
  <si>
    <t>ko sd</t>
  </si>
  <si>
    <t>PCBKLN</t>
  </si>
  <si>
    <t>TÀI SẢN THANH LÝ THEO QUYẾT ĐỊNH 443/QĐ-TTKSBT NGÀY 13/12/2023</t>
  </si>
  <si>
    <t>Tầng hầm</t>
  </si>
  <si>
    <t>TÀI SẢN GẮN LIỀN BÀN GIAO NHÀ ĐÂT 315 PHAN CHÂU TRINH CHO CÔNG AN</t>
  </si>
  <si>
    <t>1. Ông. Nguyễn Đại Vĩnh</t>
  </si>
  <si>
    <t>Giám đốc</t>
  </si>
  <si>
    <t>Nguyễn Đại Vĩnh</t>
  </si>
  <si>
    <t>BIÊN BẢN KIỂM KÊ TÀI SẢN CỐ ĐỊNH NĂM 2025</t>
  </si>
  <si>
    <t>Lê Thị Bích Trâm………………………..</t>
  </si>
  <si>
    <t>+2</t>
  </si>
  <si>
    <t>-2</t>
  </si>
  <si>
    <t>-1</t>
  </si>
  <si>
    <t>+1</t>
  </si>
  <si>
    <t>BIÊN BẢN KIỂM KÊ TÀI SẢN CỐ ĐỊNH NĂM 2025
THIẾT BỊ ĐIỆN KHOA PHÒNG CHỐNG BỆNH KHÔNG LÂY NHIỄM</t>
  </si>
  <si>
    <t>- Hôm nay, ngày  06   tháng 6  năm 2025, tại Trung tâm Kiểm soát bệnh tật TP Đà Nẵng chúng tôi gồm:</t>
  </si>
  <si>
    <t>Trưởng khoa PC bệnh không lây nhiễm</t>
  </si>
  <si>
    <t>Lê Thị Bích Trâm……………………….</t>
  </si>
  <si>
    <t>Đà Nẵng, ngày  06   tháng 6  năm 2025</t>
  </si>
  <si>
    <t>3</t>
  </si>
  <si>
    <t>Chuyển P.Giao ban - Kho tầng 6</t>
  </si>
  <si>
    <t>Phòng làm việc chuyển sang</t>
  </si>
  <si>
    <t>BQ 4970/4 chuyển P.Giao ban - Kho tầng 6</t>
  </si>
  <si>
    <t>BQ 4970/4</t>
  </si>
  <si>
    <t>BQ 4970/3</t>
  </si>
  <si>
    <t>GQ 08 chuyển P.Giao ban - Kho tầng 6</t>
  </si>
  <si>
    <t xml:space="preserve"> BQ 4970/4 Phòng làm việc chuyển sang</t>
  </si>
  <si>
    <t>GQ 08 Phòng làm việc chuyển sang</t>
  </si>
  <si>
    <t>GLV 242</t>
  </si>
  <si>
    <t>-3</t>
  </si>
  <si>
    <t>GLV 243-245 chuyển P.Giao ban - Kho tầng 6</t>
  </si>
  <si>
    <t>GLV 243-245</t>
  </si>
  <si>
    <t>+3</t>
  </si>
  <si>
    <t>GLV 243-245 Phòng làm việc chuyển sang</t>
  </si>
  <si>
    <t>Chuyển sang P.Giao ban - Kho tầng 6</t>
  </si>
  <si>
    <t>0</t>
  </si>
  <si>
    <t xml:space="preserve">Phòng làm việc chuyển sang </t>
  </si>
  <si>
    <t>CS2</t>
  </si>
  <si>
    <t>CS 2 chuyển ra (Khoa Truyền thông - GDSK)</t>
  </si>
  <si>
    <t>Tủ kính đựng tài liệu : TU08 (CAT08G)</t>
  </si>
  <si>
    <t>154-HIV/17</t>
  </si>
  <si>
    <t>CS 2 chuyển ra</t>
  </si>
  <si>
    <t>Bàn gỗ + ghế vi tính (ghế xếp nệm xanh)</t>
  </si>
  <si>
    <t>156-HIV/17</t>
  </si>
  <si>
    <t>Bàn làm việc 2016: HP1200SHL</t>
  </si>
  <si>
    <t>157-HIV/17</t>
  </si>
  <si>
    <t>158-HIV/17</t>
  </si>
  <si>
    <t>Quạt đứng ASIA</t>
  </si>
  <si>
    <t>Ghế xoay</t>
  </si>
  <si>
    <t>Dân số chuyển qua</t>
  </si>
  <si>
    <t>DS</t>
  </si>
  <si>
    <t>GQ 14</t>
  </si>
  <si>
    <t>GQ 15</t>
  </si>
  <si>
    <t>- Hôm nay, ngày   tháng     năm 2025, tại Trung tâm Kiểm soát bệnh tât TP Đà Nẵng chúng tôi gồm:</t>
  </si>
  <si>
    <t>2. Ông. Hồ Phú Quảng</t>
  </si>
  <si>
    <t xml:space="preserve">4. Ông. </t>
  </si>
  <si>
    <t>Nguyễn Thị Hà Vy………………………..</t>
  </si>
  <si>
    <t>Hồ Phú Quảng</t>
  </si>
  <si>
    <t xml:space="preserve">           Đà Nẵng, ngày       tháng 01 năm 2026</t>
  </si>
  <si>
    <t>CƠ SỞ 1</t>
  </si>
  <si>
    <t>CƠ SỞ 2</t>
  </si>
  <si>
    <t>Tủ đựng file 2016: MSP : GS3.Việt Nam</t>
  </si>
  <si>
    <t>155-HIV/17</t>
  </si>
  <si>
    <t>Ghế xếp Inox da (màu đà)</t>
  </si>
  <si>
    <t>1/YTDP</t>
  </si>
  <si>
    <t>1/SRBC</t>
  </si>
  <si>
    <t>Tủ hồ sơ sắt</t>
  </si>
  <si>
    <t>3/SRBC</t>
  </si>
  <si>
    <t>Bộ bàn ghế San lon gỗ</t>
  </si>
  <si>
    <t>4/SRBC</t>
  </si>
  <si>
    <t>159-HIV/17</t>
  </si>
  <si>
    <t>160-HIV/17</t>
  </si>
  <si>
    <t>Tủ hồ sơ gỗ 1,2m</t>
  </si>
  <si>
    <t>5/SRBC</t>
  </si>
  <si>
    <t>15 THĐ</t>
  </si>
  <si>
    <t>34-HIV/17</t>
  </si>
  <si>
    <t>Máy điều hòa 2 mãnh Tosiba</t>
  </si>
  <si>
    <t xml:space="preserve">SR 01/2000 </t>
  </si>
  <si>
    <t>15 THĐ - Chuyển P.KHNV A Lợi</t>
  </si>
  <si>
    <t>NVT - bàn giao toà nhà</t>
  </si>
  <si>
    <t>TỔNG CỘNG</t>
  </si>
  <si>
    <t>THEO DÕI CCDC</t>
  </si>
  <si>
    <t>Đơn giá</t>
  </si>
  <si>
    <t>Thành tiền</t>
  </si>
  <si>
    <t xml:space="preserve">Đơn giá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</si>
</sst>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  <numFmt numFmtId="174" formatCode="_-* #,##0&quot; &quot;_ _-;\-* #,##0&quot; &quot;_ _-;_-* &quot;-&quot;??&quot; &quot;_ _-;_-@_-"/>
  </numFmts>
  <fonts count="35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2"/>
      <color indexed="8"/>
      <name val="VNI-Times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sz val="8"/>
      <name val="VNtimes new roman"/>
    </font>
    <font>
      <sz val="8"/>
      <color indexed="8"/>
      <name val="Arial"/>
      <family val="2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14"/>
      <name val="Times New Roman"/>
      <family val="1"/>
      <charset val="163"/>
    </font>
    <font>
      <sz val="8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name val="VNtimes new roman"/>
      <family val="2"/>
      <charset val="163"/>
    </font>
    <font>
      <sz val="11"/>
      <name val="Times New Roman"/>
      <family val="1"/>
      <charset val="163"/>
    </font>
    <font>
      <b/>
      <i/>
      <sz val="12"/>
      <name val="Times New Roman"/>
      <family val="1"/>
      <charset val="163"/>
    </font>
    <font>
      <b/>
      <sz val="10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sz val="12"/>
      <color rgb="FFFF000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40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8" fontId="2" fillId="0" borderId="0"/>
    <xf numFmtId="0" fontId="16" fillId="0" borderId="0"/>
    <xf numFmtId="0" fontId="16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" fillId="0" borderId="0"/>
    <xf numFmtId="0" fontId="23" fillId="0" borderId="0" applyNumberFormat="0" applyFill="0" applyBorder="0" applyAlignment="0" applyProtection="0">
      <alignment vertical="top"/>
    </xf>
    <xf numFmtId="0" fontId="12" fillId="0" borderId="0" applyAlignment="0">
      <alignment vertical="top" wrapText="1"/>
      <protection locked="0"/>
    </xf>
    <xf numFmtId="164" fontId="2" fillId="0" borderId="0" applyFont="0" applyFill="0" applyBorder="0" applyAlignment="0" applyProtection="0"/>
    <xf numFmtId="0" fontId="1" fillId="0" borderId="0"/>
  </cellStyleXfs>
  <cellXfs count="215">
    <xf numFmtId="0" fontId="0" fillId="0" borderId="0" xfId="0"/>
    <xf numFmtId="3" fontId="12" fillId="2" borderId="2" xfId="0" applyNumberFormat="1" applyFont="1" applyFill="1" applyBorder="1" applyAlignment="1">
      <alignment horizontal="center" vertical="center"/>
    </xf>
    <xf numFmtId="0" fontId="10" fillId="2" borderId="0" xfId="0" applyFont="1" applyFill="1"/>
    <xf numFmtId="0" fontId="15" fillId="2" borderId="0" xfId="0" applyFont="1" applyFill="1"/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5" fillId="2" borderId="0" xfId="0" quotePrefix="1" applyFont="1" applyFill="1" applyAlignment="1">
      <alignment horizontal="left"/>
    </xf>
    <xf numFmtId="0" fontId="10" fillId="2" borderId="0" xfId="0" quotePrefix="1" applyFont="1" applyFill="1" applyAlignment="1">
      <alignment horizontal="left"/>
    </xf>
    <xf numFmtId="0" fontId="10" fillId="2" borderId="0" xfId="0" applyFont="1" applyFill="1" applyAlignment="1">
      <alignment horizontal="center"/>
    </xf>
    <xf numFmtId="3" fontId="10" fillId="2" borderId="0" xfId="0" applyNumberFormat="1" applyFont="1" applyFill="1" applyAlignment="1">
      <alignment horizontal="right"/>
    </xf>
    <xf numFmtId="0" fontId="15" fillId="2" borderId="0" xfId="0" applyFont="1" applyFill="1" applyAlignment="1">
      <alignment horizontal="center"/>
    </xf>
    <xf numFmtId="0" fontId="15" fillId="2" borderId="0" xfId="0" quotePrefix="1" applyFont="1" applyFill="1"/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165" fontId="15" fillId="2" borderId="0" xfId="7" applyNumberFormat="1" applyFont="1" applyFill="1" applyAlignment="1">
      <alignment horizontal="center"/>
    </xf>
    <xf numFmtId="0" fontId="19" fillId="2" borderId="0" xfId="0" applyFont="1" applyFill="1"/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/>
    </xf>
    <xf numFmtId="165" fontId="10" fillId="2" borderId="0" xfId="7" applyNumberFormat="1" applyFont="1" applyFill="1" applyBorder="1" applyAlignment="1">
      <alignment horizontal="center"/>
    </xf>
    <xf numFmtId="165" fontId="10" fillId="2" borderId="0" xfId="8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166" fontId="20" fillId="2" borderId="2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20" fillId="2" borderId="2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3" fontId="14" fillId="2" borderId="2" xfId="0" applyNumberFormat="1" applyFont="1" applyFill="1" applyBorder="1" applyAlignment="1">
      <alignment horizontal="center" vertical="center" wrapText="1"/>
    </xf>
    <xf numFmtId="3" fontId="12" fillId="2" borderId="2" xfId="0" applyNumberFormat="1" applyFont="1" applyFill="1" applyBorder="1" applyAlignment="1">
      <alignment vertical="center"/>
    </xf>
    <xf numFmtId="3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20" fillId="2" borderId="0" xfId="0" applyFont="1" applyFill="1" applyAlignment="1">
      <alignment horizontal="center"/>
    </xf>
    <xf numFmtId="3" fontId="15" fillId="2" borderId="0" xfId="0" applyNumberFormat="1" applyFont="1" applyFill="1" applyAlignment="1">
      <alignment horizontal="right"/>
    </xf>
    <xf numFmtId="165" fontId="15" fillId="2" borderId="0" xfId="8" applyNumberFormat="1" applyFont="1" applyFill="1" applyBorder="1"/>
    <xf numFmtId="0" fontId="20" fillId="2" borderId="0" xfId="0" applyFont="1" applyFill="1"/>
    <xf numFmtId="165" fontId="10" fillId="2" borderId="0" xfId="8" applyNumberFormat="1" applyFont="1" applyFill="1" applyAlignment="1">
      <alignment horizontal="center"/>
    </xf>
    <xf numFmtId="3" fontId="13" fillId="2" borderId="2" xfId="0" applyNumberFormat="1" applyFont="1" applyFill="1" applyBorder="1" applyAlignment="1">
      <alignment horizontal="center" vertical="center"/>
    </xf>
    <xf numFmtId="0" fontId="13" fillId="2" borderId="2" xfId="16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2" fillId="2" borderId="2" xfId="19" applyFont="1" applyFill="1" applyBorder="1" applyAlignment="1">
      <alignment vertical="center"/>
    </xf>
    <xf numFmtId="0" fontId="12" fillId="2" borderId="2" xfId="20" applyFont="1" applyFill="1" applyBorder="1" applyAlignment="1">
      <alignment horizontal="center" vertical="center"/>
    </xf>
    <xf numFmtId="0" fontId="12" fillId="2" borderId="2" xfId="21" applyFont="1" applyFill="1" applyBorder="1" applyAlignment="1">
      <alignment horizontal="center" vertical="center"/>
    </xf>
    <xf numFmtId="0" fontId="12" fillId="2" borderId="2" xfId="16" applyFont="1" applyFill="1" applyBorder="1" applyAlignment="1">
      <alignment horizontal="left" vertical="center" wrapText="1"/>
    </xf>
    <xf numFmtId="0" fontId="13" fillId="2" borderId="2" xfId="16" applyFont="1" applyFill="1" applyBorder="1" applyAlignment="1">
      <alignment vertical="center" wrapText="1"/>
    </xf>
    <xf numFmtId="0" fontId="12" fillId="2" borderId="2" xfId="22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2" fillId="2" borderId="2" xfId="22" applyFont="1" applyFill="1" applyBorder="1" applyAlignment="1">
      <alignment horizontal="center" vertical="center"/>
    </xf>
    <xf numFmtId="0" fontId="12" fillId="2" borderId="2" xfId="23" applyFont="1" applyFill="1" applyBorder="1" applyAlignment="1">
      <alignment horizontal="center" vertical="center"/>
    </xf>
    <xf numFmtId="0" fontId="12" fillId="2" borderId="2" xfId="14" applyFont="1" applyFill="1" applyBorder="1" applyAlignment="1">
      <alignment horizontal="center" vertical="center"/>
    </xf>
    <xf numFmtId="0" fontId="12" fillId="2" borderId="0" xfId="22" applyFont="1" applyFill="1"/>
    <xf numFmtId="0" fontId="12" fillId="2" borderId="0" xfId="22" applyFont="1" applyFill="1" applyAlignment="1">
      <alignment horizontal="center"/>
    </xf>
    <xf numFmtId="0" fontId="12" fillId="2" borderId="0" xfId="23" applyFont="1" applyFill="1" applyAlignment="1">
      <alignment horizontal="center"/>
    </xf>
    <xf numFmtId="0" fontId="12" fillId="2" borderId="0" xfId="14" applyFont="1" applyFill="1" applyAlignment="1">
      <alignment horizontal="center"/>
    </xf>
    <xf numFmtId="0" fontId="25" fillId="2" borderId="0" xfId="0" applyFont="1" applyFill="1"/>
    <xf numFmtId="0" fontId="25" fillId="2" borderId="0" xfId="0" applyFont="1" applyFill="1" applyAlignment="1">
      <alignment horizontal="right"/>
    </xf>
    <xf numFmtId="0" fontId="24" fillId="2" borderId="0" xfId="0" applyFont="1" applyFill="1" applyAlignment="1">
      <alignment horizontal="right"/>
    </xf>
    <xf numFmtId="165" fontId="24" fillId="2" borderId="0" xfId="7" applyNumberFormat="1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wrapText="1"/>
    </xf>
    <xf numFmtId="49" fontId="25" fillId="2" borderId="0" xfId="0" applyNumberFormat="1" applyFont="1" applyFill="1"/>
    <xf numFmtId="0" fontId="25" fillId="2" borderId="0" xfId="0" applyFont="1" applyFill="1" applyAlignment="1">
      <alignment wrapText="1"/>
    </xf>
    <xf numFmtId="3" fontId="25" fillId="2" borderId="0" xfId="0" applyNumberFormat="1" applyFont="1" applyFill="1" applyAlignment="1">
      <alignment horizontal="right"/>
    </xf>
    <xf numFmtId="49" fontId="25" fillId="2" borderId="0" xfId="7" applyNumberFormat="1" applyFont="1" applyFill="1" applyBorder="1" applyAlignment="1">
      <alignment horizontal="center"/>
    </xf>
    <xf numFmtId="0" fontId="25" fillId="2" borderId="1" xfId="0" applyFont="1" applyFill="1" applyBorder="1"/>
    <xf numFmtId="0" fontId="28" fillId="2" borderId="2" xfId="0" applyFont="1" applyFill="1" applyBorder="1" applyAlignment="1">
      <alignment horizontal="right" vertical="center" wrapText="1"/>
    </xf>
    <xf numFmtId="3" fontId="28" fillId="2" borderId="3" xfId="0" applyNumberFormat="1" applyFont="1" applyFill="1" applyBorder="1" applyAlignment="1">
      <alignment horizontal="center" vertical="center" wrapText="1"/>
    </xf>
    <xf numFmtId="49" fontId="28" fillId="2" borderId="3" xfId="0" applyNumberFormat="1" applyFont="1" applyFill="1" applyBorder="1" applyAlignment="1">
      <alignment horizontal="center" vertical="center" wrapText="1"/>
    </xf>
    <xf numFmtId="166" fontId="28" fillId="2" borderId="2" xfId="0" applyNumberFormat="1" applyFont="1" applyFill="1" applyBorder="1" applyAlignment="1">
      <alignment horizontal="center" vertical="center"/>
    </xf>
    <xf numFmtId="49" fontId="28" fillId="2" borderId="2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3" fontId="24" fillId="2" borderId="2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49" fontId="24" fillId="2" borderId="2" xfId="0" applyNumberFormat="1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right" vertical="center"/>
    </xf>
    <xf numFmtId="0" fontId="24" fillId="2" borderId="2" xfId="0" applyFont="1" applyFill="1" applyBorder="1" applyAlignment="1">
      <alignment horizontal="center" vertical="center" wrapText="1"/>
    </xf>
    <xf numFmtId="3" fontId="30" fillId="2" borderId="2" xfId="0" applyNumberFormat="1" applyFont="1" applyFill="1" applyBorder="1" applyAlignment="1">
      <alignment horizontal="center" vertical="center"/>
    </xf>
    <xf numFmtId="0" fontId="30" fillId="2" borderId="2" xfId="18" applyFont="1" applyFill="1" applyBorder="1" applyAlignment="1">
      <alignment vertical="center" wrapText="1"/>
    </xf>
    <xf numFmtId="3" fontId="30" fillId="2" borderId="2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3" fontId="30" fillId="2" borderId="2" xfId="0" applyNumberFormat="1" applyFont="1" applyFill="1" applyBorder="1" applyAlignment="1">
      <alignment horizontal="left" vertical="center"/>
    </xf>
    <xf numFmtId="49" fontId="30" fillId="2" borderId="2" xfId="0" quotePrefix="1" applyNumberFormat="1" applyFont="1" applyFill="1" applyBorder="1" applyAlignment="1">
      <alignment horizontal="center" vertical="center"/>
    </xf>
    <xf numFmtId="173" fontId="25" fillId="2" borderId="2" xfId="37" applyNumberFormat="1" applyFont="1" applyFill="1" applyBorder="1" applyAlignment="1" applyProtection="1">
      <alignment horizontal="right" vertical="center" wrapText="1"/>
    </xf>
    <xf numFmtId="3" fontId="30" fillId="2" borderId="2" xfId="0" applyNumberFormat="1" applyFont="1" applyFill="1" applyBorder="1" applyAlignment="1">
      <alignment horizontal="left" vertical="center" wrapText="1"/>
    </xf>
    <xf numFmtId="0" fontId="25" fillId="3" borderId="2" xfId="36" applyFont="1" applyFill="1" applyBorder="1" applyAlignment="1" applyProtection="1">
      <alignment horizontal="center" vertical="center" wrapText="1" shrinkToFit="1"/>
      <protection locked="0"/>
    </xf>
    <xf numFmtId="49" fontId="30" fillId="2" borderId="2" xfId="0" applyNumberFormat="1" applyFont="1" applyFill="1" applyBorder="1" applyAlignment="1">
      <alignment horizontal="center" vertical="center"/>
    </xf>
    <xf numFmtId="3" fontId="30" fillId="3" borderId="2" xfId="36" applyNumberFormat="1" applyFont="1" applyFill="1" applyBorder="1" applyAlignment="1" applyProtection="1">
      <alignment horizontal="right" vertical="center" wrapText="1" shrinkToFit="1"/>
      <protection locked="0"/>
    </xf>
    <xf numFmtId="0" fontId="24" fillId="3" borderId="2" xfId="36" applyFont="1" applyFill="1" applyBorder="1" applyAlignment="1" applyProtection="1">
      <alignment horizontal="center" vertical="center" wrapText="1" shrinkToFit="1"/>
      <protection locked="0"/>
    </xf>
    <xf numFmtId="3" fontId="28" fillId="3" borderId="2" xfId="36" applyNumberFormat="1" applyFont="1" applyFill="1" applyBorder="1" applyAlignment="1" applyProtection="1">
      <alignment horizontal="right" vertical="center" wrapText="1" shrinkToFit="1"/>
      <protection locked="0"/>
    </xf>
    <xf numFmtId="3" fontId="28" fillId="2" borderId="2" xfId="0" applyNumberFormat="1" applyFont="1" applyFill="1" applyBorder="1" applyAlignment="1">
      <alignment horizontal="left" vertical="center"/>
    </xf>
    <xf numFmtId="3" fontId="30" fillId="2" borderId="2" xfId="0" applyNumberFormat="1" applyFont="1" applyFill="1" applyBorder="1" applyAlignment="1">
      <alignment horizontal="right" vertical="center"/>
    </xf>
    <xf numFmtId="0" fontId="30" fillId="2" borderId="2" xfId="17" applyFont="1" applyFill="1" applyBorder="1" applyAlignment="1">
      <alignment vertical="center" wrapText="1"/>
    </xf>
    <xf numFmtId="3" fontId="28" fillId="2" borderId="2" xfId="0" applyNumberFormat="1" applyFont="1" applyFill="1" applyBorder="1" applyAlignment="1">
      <alignment horizontal="right" vertical="center"/>
    </xf>
    <xf numFmtId="3" fontId="28" fillId="2" borderId="2" xfId="0" applyNumberFormat="1" applyFont="1" applyFill="1" applyBorder="1" applyAlignment="1">
      <alignment horizontal="left" vertical="center" wrapText="1"/>
    </xf>
    <xf numFmtId="0" fontId="24" fillId="2" borderId="1" xfId="0" applyFont="1" applyFill="1" applyBorder="1"/>
    <xf numFmtId="0" fontId="24" fillId="2" borderId="0" xfId="0" applyFont="1" applyFill="1"/>
    <xf numFmtId="0" fontId="30" fillId="2" borderId="2" xfId="15" applyFont="1" applyFill="1" applyBorder="1" applyAlignment="1">
      <alignment horizontal="left" vertical="center" wrapText="1"/>
    </xf>
    <xf numFmtId="0" fontId="30" fillId="2" borderId="2" xfId="15" applyFont="1" applyFill="1" applyBorder="1" applyAlignment="1">
      <alignment horizontal="center" vertical="center" wrapText="1"/>
    </xf>
    <xf numFmtId="173" fontId="30" fillId="2" borderId="2" xfId="7" applyNumberFormat="1" applyFont="1" applyFill="1" applyBorder="1" applyAlignment="1">
      <alignment horizontal="right" vertical="center" wrapText="1"/>
    </xf>
    <xf numFmtId="3" fontId="24" fillId="2" borderId="0" xfId="0" applyNumberFormat="1" applyFont="1" applyFill="1" applyAlignment="1">
      <alignment horizontal="right"/>
    </xf>
    <xf numFmtId="165" fontId="24" fillId="2" borderId="0" xfId="7" applyNumberFormat="1" applyFont="1" applyFill="1" applyBorder="1"/>
    <xf numFmtId="0" fontId="24" fillId="2" borderId="0" xfId="0" applyFont="1" applyFill="1" applyAlignment="1">
      <alignment wrapText="1"/>
    </xf>
    <xf numFmtId="0" fontId="32" fillId="2" borderId="0" xfId="0" applyFont="1" applyFill="1" applyAlignment="1">
      <alignment horizontal="center"/>
    </xf>
    <xf numFmtId="0" fontId="32" fillId="2" borderId="0" xfId="0" applyFont="1" applyFill="1"/>
    <xf numFmtId="165" fontId="24" fillId="2" borderId="0" xfId="8" applyNumberFormat="1" applyFont="1" applyFill="1" applyBorder="1"/>
    <xf numFmtId="49" fontId="25" fillId="2" borderId="0" xfId="0" applyNumberFormat="1" applyFont="1" applyFill="1" applyAlignment="1">
      <alignment horizontal="center"/>
    </xf>
    <xf numFmtId="165" fontId="25" fillId="2" borderId="0" xfId="7" applyNumberFormat="1" applyFont="1" applyFill="1" applyBorder="1"/>
    <xf numFmtId="49" fontId="25" fillId="2" borderId="0" xfId="7" applyNumberFormat="1" applyFont="1" applyFill="1" applyAlignment="1">
      <alignment horizontal="center"/>
    </xf>
    <xf numFmtId="3" fontId="28" fillId="2" borderId="2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/>
    </xf>
    <xf numFmtId="0" fontId="28" fillId="2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0" fontId="24" fillId="2" borderId="0" xfId="0" applyFont="1" applyFill="1" applyAlignment="1">
      <alignment horizont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/>
    </xf>
    <xf numFmtId="3" fontId="33" fillId="2" borderId="2" xfId="0" applyNumberFormat="1" applyFont="1" applyFill="1" applyBorder="1" applyAlignment="1">
      <alignment horizontal="center" vertical="center"/>
    </xf>
    <xf numFmtId="0" fontId="33" fillId="2" borderId="2" xfId="18" applyFont="1" applyFill="1" applyBorder="1" applyAlignment="1">
      <alignment vertical="center" wrapText="1"/>
    </xf>
    <xf numFmtId="3" fontId="33" fillId="2" borderId="2" xfId="0" applyNumberFormat="1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/>
    </xf>
    <xf numFmtId="3" fontId="33" fillId="2" borderId="2" xfId="0" applyNumberFormat="1" applyFont="1" applyFill="1" applyBorder="1" applyAlignment="1">
      <alignment horizontal="left" vertical="center"/>
    </xf>
    <xf numFmtId="49" fontId="33" fillId="2" borderId="2" xfId="0" quotePrefix="1" applyNumberFormat="1" applyFont="1" applyFill="1" applyBorder="1" applyAlignment="1">
      <alignment horizontal="center" vertical="center"/>
    </xf>
    <xf numFmtId="173" fontId="34" fillId="2" borderId="2" xfId="37" applyNumberFormat="1" applyFont="1" applyFill="1" applyBorder="1" applyAlignment="1" applyProtection="1">
      <alignment horizontal="right" vertical="center" wrapText="1"/>
    </xf>
    <xf numFmtId="3" fontId="33" fillId="2" borderId="2" xfId="0" applyNumberFormat="1" applyFont="1" applyFill="1" applyBorder="1" applyAlignment="1">
      <alignment horizontal="left" vertical="center" wrapText="1"/>
    </xf>
    <xf numFmtId="0" fontId="34" fillId="2" borderId="1" xfId="0" applyFont="1" applyFill="1" applyBorder="1"/>
    <xf numFmtId="0" fontId="34" fillId="2" borderId="0" xfId="0" applyFont="1" applyFill="1"/>
    <xf numFmtId="0" fontId="34" fillId="3" borderId="2" xfId="36" applyFont="1" applyFill="1" applyBorder="1" applyAlignment="1" applyProtection="1">
      <alignment horizontal="left" vertical="center" wrapText="1" shrinkToFit="1"/>
      <protection locked="0"/>
    </xf>
    <xf numFmtId="0" fontId="34" fillId="3" borderId="2" xfId="36" applyFont="1" applyFill="1" applyBorder="1" applyAlignment="1" applyProtection="1">
      <alignment horizontal="center" vertical="center" wrapText="1" shrinkToFit="1"/>
      <protection locked="0"/>
    </xf>
    <xf numFmtId="49" fontId="33" fillId="2" borderId="2" xfId="0" applyNumberFormat="1" applyFont="1" applyFill="1" applyBorder="1" applyAlignment="1">
      <alignment horizontal="center" vertical="center"/>
    </xf>
    <xf numFmtId="3" fontId="33" fillId="3" borderId="2" xfId="36" applyNumberFormat="1" applyFont="1" applyFill="1" applyBorder="1" applyAlignment="1" applyProtection="1">
      <alignment horizontal="right" vertical="center" wrapText="1" shrinkToFit="1"/>
      <protection locked="0"/>
    </xf>
    <xf numFmtId="0" fontId="20" fillId="3" borderId="2" xfId="36" applyFont="1" applyFill="1" applyBorder="1" applyAlignment="1" applyProtection="1">
      <alignment horizontal="center" vertical="center" wrapText="1" shrinkToFit="1"/>
      <protection locked="0"/>
    </xf>
    <xf numFmtId="0" fontId="20" fillId="2" borderId="2" xfId="0" applyFont="1" applyFill="1" applyBorder="1" applyAlignment="1">
      <alignment horizontal="left" vertical="center"/>
    </xf>
    <xf numFmtId="3" fontId="20" fillId="2" borderId="2" xfId="0" applyNumberFormat="1" applyFont="1" applyFill="1" applyBorder="1" applyAlignment="1">
      <alignment horizontal="right" vertical="center"/>
    </xf>
    <xf numFmtId="3" fontId="20" fillId="2" borderId="2" xfId="0" applyNumberFormat="1" applyFont="1" applyFill="1" applyBorder="1" applyAlignment="1">
      <alignment vertical="center"/>
    </xf>
    <xf numFmtId="49" fontId="20" fillId="2" borderId="2" xfId="38" applyNumberFormat="1" applyFont="1" applyFill="1" applyBorder="1" applyAlignment="1">
      <alignment vertical="center"/>
    </xf>
    <xf numFmtId="9" fontId="20" fillId="2" borderId="2" xfId="0" applyNumberFormat="1" applyFont="1" applyFill="1" applyBorder="1" applyAlignment="1">
      <alignment horizontal="right" vertical="center"/>
    </xf>
    <xf numFmtId="174" fontId="20" fillId="2" borderId="2" xfId="0" applyNumberFormat="1" applyFont="1" applyFill="1" applyBorder="1" applyAlignment="1">
      <alignment horizontal="center" vertical="center"/>
    </xf>
    <xf numFmtId="0" fontId="20" fillId="2" borderId="2" xfId="39" applyFont="1" applyFill="1" applyBorder="1" applyAlignment="1">
      <alignment vertical="center" wrapText="1"/>
    </xf>
    <xf numFmtId="0" fontId="20" fillId="2" borderId="0" xfId="39" applyFont="1" applyFill="1" applyAlignment="1">
      <alignment horizontal="center" vertical="center" wrapText="1"/>
    </xf>
    <xf numFmtId="0" fontId="20" fillId="2" borderId="0" xfId="39" applyFont="1" applyFill="1" applyAlignment="1">
      <alignment vertical="center" wrapText="1"/>
    </xf>
    <xf numFmtId="3" fontId="33" fillId="2" borderId="2" xfId="0" applyNumberFormat="1" applyFont="1" applyFill="1" applyBorder="1" applyAlignment="1">
      <alignment horizontal="right" vertical="center"/>
    </xf>
    <xf numFmtId="0" fontId="33" fillId="2" borderId="2" xfId="15" applyFont="1" applyFill="1" applyBorder="1" applyAlignment="1">
      <alignment horizontal="left" vertical="center" wrapText="1"/>
    </xf>
    <xf numFmtId="0" fontId="33" fillId="2" borderId="2" xfId="15" applyFont="1" applyFill="1" applyBorder="1" applyAlignment="1">
      <alignment horizontal="center" vertical="center" wrapText="1"/>
    </xf>
    <xf numFmtId="173" fontId="33" fillId="2" borderId="2" xfId="7" applyNumberFormat="1" applyFont="1" applyFill="1" applyBorder="1" applyAlignment="1">
      <alignment horizontal="right" vertical="center" wrapText="1"/>
    </xf>
    <xf numFmtId="173" fontId="33" fillId="2" borderId="6" xfId="7" applyNumberFormat="1" applyFont="1" applyFill="1" applyBorder="1" applyAlignment="1">
      <alignment horizontal="right" vertical="center" wrapText="1"/>
    </xf>
    <xf numFmtId="0" fontId="33" fillId="2" borderId="7" xfId="15" applyFont="1" applyFill="1" applyBorder="1" applyAlignment="1">
      <alignment horizontal="left" vertical="center" wrapText="1"/>
    </xf>
    <xf numFmtId="0" fontId="33" fillId="2" borderId="7" xfId="15" applyFont="1" applyFill="1" applyBorder="1" applyAlignment="1">
      <alignment horizontal="center" vertical="center" wrapText="1"/>
    </xf>
    <xf numFmtId="0" fontId="33" fillId="2" borderId="8" xfId="15" applyFont="1" applyFill="1" applyBorder="1" applyAlignment="1">
      <alignment horizontal="left" vertical="center" wrapText="1"/>
    </xf>
    <xf numFmtId="0" fontId="33" fillId="2" borderId="8" xfId="15" applyFont="1" applyFill="1" applyBorder="1" applyAlignment="1">
      <alignment horizontal="center" vertical="center" wrapText="1"/>
    </xf>
    <xf numFmtId="3" fontId="33" fillId="2" borderId="3" xfId="0" applyNumberFormat="1" applyFont="1" applyFill="1" applyBorder="1" applyAlignment="1">
      <alignment horizontal="left" vertical="center"/>
    </xf>
    <xf numFmtId="3" fontId="33" fillId="2" borderId="3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173" fontId="21" fillId="0" borderId="2" xfId="7" applyNumberFormat="1" applyFont="1" applyFill="1" applyBorder="1" applyAlignment="1">
      <alignment vertical="center"/>
    </xf>
    <xf numFmtId="173" fontId="10" fillId="2" borderId="2" xfId="0" applyNumberFormat="1" applyFont="1" applyFill="1" applyBorder="1" applyAlignment="1">
      <alignment horizontal="center" vertical="center"/>
    </xf>
    <xf numFmtId="173" fontId="15" fillId="2" borderId="2" xfId="7" applyNumberFormat="1" applyFont="1" applyFill="1" applyBorder="1" applyAlignment="1">
      <alignment horizontal="center" wrapText="1"/>
    </xf>
    <xf numFmtId="173" fontId="15" fillId="2" borderId="2" xfId="7" applyNumberFormat="1" applyFont="1" applyFill="1" applyBorder="1" applyAlignment="1">
      <alignment wrapText="1"/>
    </xf>
    <xf numFmtId="173" fontId="15" fillId="2" borderId="0" xfId="7" applyNumberFormat="1" applyFont="1" applyFill="1" applyAlignment="1">
      <alignment wrapText="1"/>
    </xf>
    <xf numFmtId="3" fontId="28" fillId="2" borderId="2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/>
    </xf>
    <xf numFmtId="3" fontId="28" fillId="2" borderId="2" xfId="0" applyNumberFormat="1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/>
    </xf>
    <xf numFmtId="0" fontId="29" fillId="2" borderId="2" xfId="0" applyFont="1" applyFill="1" applyBorder="1" applyAlignment="1">
      <alignment wrapText="1"/>
    </xf>
    <xf numFmtId="0" fontId="2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0" xfId="0" quotePrefix="1" applyFont="1" applyFill="1" applyAlignment="1">
      <alignment horizontal="left"/>
    </xf>
    <xf numFmtId="0" fontId="25" fillId="2" borderId="0" xfId="0" quotePrefix="1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31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wrapText="1"/>
    </xf>
    <xf numFmtId="0" fontId="28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2" xfId="0" applyFont="1" applyFill="1" applyBorder="1"/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3" fontId="20" fillId="2" borderId="3" xfId="0" applyNumberFormat="1" applyFont="1" applyFill="1" applyBorder="1" applyAlignment="1">
      <alignment horizontal="center" vertical="center" wrapText="1"/>
    </xf>
    <xf numFmtId="3" fontId="20" fillId="2" borderId="4" xfId="0" applyNumberFormat="1" applyFont="1" applyFill="1" applyBorder="1" applyAlignment="1">
      <alignment horizontal="center" vertical="center"/>
    </xf>
    <xf numFmtId="3" fontId="20" fillId="2" borderId="6" xfId="0" applyNumberFormat="1" applyFont="1" applyFill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/>
    </xf>
    <xf numFmtId="3" fontId="20" fillId="2" borderId="2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wrapText="1"/>
    </xf>
    <xf numFmtId="0" fontId="18" fillId="2" borderId="0" xfId="0" applyFont="1" applyFill="1" applyAlignment="1">
      <alignment horizontal="center"/>
    </xf>
    <xf numFmtId="3" fontId="20" fillId="2" borderId="6" xfId="0" applyNumberFormat="1" applyFont="1" applyFill="1" applyBorder="1" applyAlignment="1">
      <alignment horizontal="center" vertical="center" wrapText="1"/>
    </xf>
  </cellXfs>
  <cellStyles count="40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2" xfId="38" xr:uid="{B056C5E4-60AB-4D1F-A377-4B461D54370C}"/>
    <cellStyle name="Comma0" xfId="9" xr:uid="{00000000-0005-0000-0000-000008000000}"/>
    <cellStyle name="Currency0" xfId="10" xr:uid="{00000000-0005-0000-0000-000009000000}"/>
    <cellStyle name="Date" xfId="11" xr:uid="{00000000-0005-0000-0000-00000A000000}"/>
    <cellStyle name="Fixed" xfId="12" xr:uid="{00000000-0005-0000-0000-00000B000000}"/>
    <cellStyle name="Normal" xfId="0" builtinId="0"/>
    <cellStyle name="Normal - Style1" xfId="13" xr:uid="{00000000-0005-0000-0000-00000D000000}"/>
    <cellStyle name="Normal 10" xfId="14" xr:uid="{00000000-0005-0000-0000-00000E000000}"/>
    <cellStyle name="Normal 2" xfId="15" xr:uid="{00000000-0005-0000-0000-00000F000000}"/>
    <cellStyle name="Normal 2 2" xfId="16" xr:uid="{00000000-0005-0000-0000-000010000000}"/>
    <cellStyle name="Normal 3" xfId="17" xr:uid="{00000000-0005-0000-0000-000011000000}"/>
    <cellStyle name="Normal 3 2" xfId="39" xr:uid="{5A069F10-C549-4785-8C3E-314BCDC6C73B}"/>
    <cellStyle name="Normal 4" xfId="18" xr:uid="{00000000-0005-0000-0000-000012000000}"/>
    <cellStyle name="Normal 5" xfId="19" xr:uid="{00000000-0005-0000-0000-000013000000}"/>
    <cellStyle name="Normal 5 2" xfId="36" xr:uid="{00000000-0005-0000-0000-000014000000}"/>
    <cellStyle name="Normal 6" xfId="20" xr:uid="{00000000-0005-0000-0000-000015000000}"/>
    <cellStyle name="Normal 7" xfId="21" xr:uid="{00000000-0005-0000-0000-000016000000}"/>
    <cellStyle name="Normal 8" xfId="22" xr:uid="{00000000-0005-0000-0000-000017000000}"/>
    <cellStyle name="Normal 8 3" xfId="37" xr:uid="{B8FEF52E-E9F5-4E3C-88A1-81F9D390CADD}"/>
    <cellStyle name="Normal 9" xfId="23" xr:uid="{00000000-0005-0000-0000-000018000000}"/>
    <cellStyle name="Percent 2" xfId="24" xr:uid="{00000000-0005-0000-0000-000019000000}"/>
    <cellStyle name="똿뗦먛귟 [0.00]_PRODUCT DETAIL Q1" xfId="25" xr:uid="{00000000-0005-0000-0000-00001A000000}"/>
    <cellStyle name="똿뗦먛귟_PRODUCT DETAIL Q1" xfId="26" xr:uid="{00000000-0005-0000-0000-00001B000000}"/>
    <cellStyle name="믅됞 [0.00]_PRODUCT DETAIL Q1" xfId="27" xr:uid="{00000000-0005-0000-0000-00001C000000}"/>
    <cellStyle name="믅됞_PRODUCT DETAIL Q1" xfId="28" xr:uid="{00000000-0005-0000-0000-00001D000000}"/>
    <cellStyle name="백분율_HOBONG" xfId="29" xr:uid="{00000000-0005-0000-0000-00001E000000}"/>
    <cellStyle name="뷭?_BOOKSHIP" xfId="30" xr:uid="{00000000-0005-0000-0000-00001F000000}"/>
    <cellStyle name="콤마 [0]_1202" xfId="31" xr:uid="{00000000-0005-0000-0000-000020000000}"/>
    <cellStyle name="콤마_1202" xfId="32" xr:uid="{00000000-0005-0000-0000-000021000000}"/>
    <cellStyle name="통화 [0]_1202" xfId="33" xr:uid="{00000000-0005-0000-0000-000022000000}"/>
    <cellStyle name="통화_1202" xfId="34" xr:uid="{00000000-0005-0000-0000-000023000000}"/>
    <cellStyle name="표준_(정보부문)월별인원계획" xfId="35" xr:uid="{00000000-0005-0000-0000-00002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-0.249977111117893"/>
  </sheetPr>
  <dimension ref="A1:AP111"/>
  <sheetViews>
    <sheetView topLeftCell="A59" zoomScale="80" zoomScaleNormal="80" zoomScaleSheetLayoutView="102" workbookViewId="0">
      <selection activeCell="E68" sqref="E68"/>
    </sheetView>
  </sheetViews>
  <sheetFormatPr defaultColWidth="8.85546875" defaultRowHeight="15.75"/>
  <cols>
    <col min="1" max="1" width="4.28515625" style="118" customWidth="1"/>
    <col min="2" max="2" width="38.5703125" style="61" customWidth="1"/>
    <col min="3" max="3" width="13.7109375" style="61" bestFit="1" customWidth="1"/>
    <col min="4" max="4" width="8.7109375" style="61" customWidth="1"/>
    <col min="5" max="5" width="8.42578125" style="118" customWidth="1"/>
    <col min="6" max="6" width="11.5703125" style="69" hidden="1" customWidth="1"/>
    <col min="7" max="7" width="12.140625" style="61" hidden="1" customWidth="1"/>
    <col min="8" max="8" width="11.28515625" style="61" hidden="1" customWidth="1"/>
    <col min="9" max="9" width="12.42578125" style="61" hidden="1" customWidth="1"/>
    <col min="10" max="10" width="10.140625" style="61" hidden="1" customWidth="1"/>
    <col min="11" max="11" width="12.5703125" style="118" hidden="1" customWidth="1"/>
    <col min="12" max="12" width="10.85546875" style="61" hidden="1" customWidth="1"/>
    <col min="13" max="14" width="9.28515625" style="61" hidden="1" customWidth="1"/>
    <col min="15" max="15" width="10" style="61" hidden="1" customWidth="1"/>
    <col min="16" max="16" width="9.5703125" style="61" hidden="1" customWidth="1"/>
    <col min="17" max="17" width="9.42578125" style="61" hidden="1" customWidth="1"/>
    <col min="18" max="18" width="9" style="61" hidden="1" customWidth="1"/>
    <col min="19" max="19" width="11.28515625" style="61" hidden="1" customWidth="1"/>
    <col min="20" max="20" width="11.5703125" style="61" hidden="1" customWidth="1"/>
    <col min="21" max="22" width="10.5703125" style="61" hidden="1" customWidth="1"/>
    <col min="23" max="23" width="0.140625" style="61" hidden="1" customWidth="1"/>
    <col min="24" max="24" width="7" style="118" customWidth="1"/>
    <col min="25" max="25" width="12" style="61" hidden="1" customWidth="1"/>
    <col min="26" max="26" width="5.5703125" style="61" hidden="1" customWidth="1"/>
    <col min="27" max="27" width="8.7109375" style="116" customWidth="1"/>
    <col min="28" max="28" width="6.140625" style="61" hidden="1" customWidth="1"/>
    <col min="29" max="29" width="5.5703125" style="61" hidden="1" customWidth="1"/>
    <col min="30" max="30" width="7.140625" style="61" hidden="1" customWidth="1"/>
    <col min="31" max="31" width="5.42578125" style="61" hidden="1" customWidth="1"/>
    <col min="32" max="32" width="12.5703125" style="62" customWidth="1"/>
    <col min="33" max="33" width="11.5703125" style="62" customWidth="1"/>
    <col min="34" max="34" width="10.28515625" style="118" customWidth="1"/>
    <col min="35" max="35" width="13.28515625" style="118" customWidth="1"/>
    <col min="36" max="37" width="11.140625" style="118" customWidth="1"/>
    <col min="38" max="38" width="19.42578125" style="68" customWidth="1"/>
    <col min="39" max="39" width="12.85546875" style="71" customWidth="1"/>
    <col min="40" max="40" width="10.85546875" style="61" bestFit="1" customWidth="1"/>
    <col min="41" max="16384" width="8.85546875" style="61"/>
  </cols>
  <sheetData>
    <row r="1" spans="1:39" ht="15.75" customHeight="1">
      <c r="A1" s="185" t="s">
        <v>45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Z1" s="184" t="s">
        <v>0</v>
      </c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61"/>
    </row>
    <row r="2" spans="1:39" ht="15" customHeight="1">
      <c r="A2" s="185" t="s">
        <v>46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61"/>
    </row>
    <row r="3" spans="1:39" ht="15" customHeight="1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61"/>
    </row>
    <row r="4" spans="1:39" ht="20.25" customHeight="1">
      <c r="A4" s="183" t="s">
        <v>152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61"/>
    </row>
    <row r="5" spans="1:39" ht="20.25" customHeight="1">
      <c r="A5" s="183" t="s">
        <v>138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61"/>
    </row>
    <row r="6" spans="1:39" ht="18" customHeight="1">
      <c r="A6" s="186" t="s">
        <v>197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61"/>
    </row>
    <row r="7" spans="1:39" ht="15" customHeight="1">
      <c r="A7" s="187" t="s">
        <v>149</v>
      </c>
      <c r="B7" s="187"/>
      <c r="C7" s="187"/>
      <c r="D7" s="61" t="s">
        <v>150</v>
      </c>
      <c r="E7" s="122"/>
      <c r="F7" s="61"/>
      <c r="H7" s="123"/>
      <c r="I7" s="122"/>
      <c r="K7" s="123" t="s">
        <v>2</v>
      </c>
      <c r="L7" s="122"/>
      <c r="M7" s="62"/>
      <c r="S7" s="123"/>
      <c r="T7" s="63"/>
      <c r="W7" s="64"/>
      <c r="X7" s="122"/>
      <c r="Z7" s="122"/>
      <c r="AA7" s="65"/>
      <c r="AB7" s="123"/>
      <c r="AI7" s="123" t="s">
        <v>55</v>
      </c>
      <c r="AL7" s="66"/>
      <c r="AM7" s="61"/>
    </row>
    <row r="8" spans="1:39" ht="15" customHeight="1">
      <c r="A8" s="187" t="s">
        <v>198</v>
      </c>
      <c r="B8" s="187"/>
      <c r="D8" s="61" t="s">
        <v>54</v>
      </c>
      <c r="F8" s="61"/>
      <c r="H8" s="123"/>
      <c r="I8" s="122"/>
      <c r="K8" s="123"/>
      <c r="L8" s="122"/>
      <c r="M8" s="62"/>
      <c r="S8" s="123"/>
      <c r="T8" s="63"/>
      <c r="W8" s="64"/>
      <c r="X8" s="122"/>
      <c r="Z8" s="122"/>
      <c r="AA8" s="65"/>
      <c r="AB8" s="123"/>
      <c r="AI8" s="123" t="s">
        <v>59</v>
      </c>
      <c r="AL8" s="66"/>
      <c r="AM8" s="61"/>
    </row>
    <row r="9" spans="1:39" ht="15" customHeight="1">
      <c r="A9" s="187" t="s">
        <v>60</v>
      </c>
      <c r="B9" s="187"/>
      <c r="D9" s="61" t="s">
        <v>61</v>
      </c>
      <c r="E9" s="122"/>
      <c r="F9" s="61"/>
      <c r="H9" s="123"/>
      <c r="I9" s="122"/>
      <c r="K9" s="123" t="s">
        <v>3</v>
      </c>
      <c r="L9" s="122"/>
      <c r="M9" s="62"/>
      <c r="S9" s="123"/>
      <c r="T9" s="63"/>
      <c r="W9" s="64"/>
      <c r="X9" s="122"/>
      <c r="Z9" s="122"/>
      <c r="AA9" s="65"/>
      <c r="AB9" s="123"/>
      <c r="AI9" s="123" t="s">
        <v>62</v>
      </c>
      <c r="AL9" s="66"/>
      <c r="AM9" s="61"/>
    </row>
    <row r="10" spans="1:39" ht="15" customHeight="1">
      <c r="A10" s="187" t="s">
        <v>199</v>
      </c>
      <c r="B10" s="187"/>
      <c r="D10" s="61" t="s">
        <v>102</v>
      </c>
      <c r="E10" s="61"/>
      <c r="F10" s="61"/>
      <c r="K10" s="61"/>
      <c r="X10" s="61"/>
      <c r="AA10" s="67"/>
      <c r="AI10" s="123" t="s">
        <v>63</v>
      </c>
      <c r="AM10" s="61"/>
    </row>
    <row r="11" spans="1:39" ht="15" customHeight="1">
      <c r="A11" s="187" t="s">
        <v>64</v>
      </c>
      <c r="B11" s="187"/>
      <c r="E11" s="61"/>
      <c r="F11" s="61"/>
      <c r="K11" s="61"/>
      <c r="X11" s="61"/>
      <c r="AA11" s="67"/>
      <c r="AM11" s="61"/>
    </row>
    <row r="12" spans="1:39" ht="15.75" customHeight="1">
      <c r="A12" s="187" t="s">
        <v>4</v>
      </c>
      <c r="B12" s="187"/>
      <c r="AA12" s="70"/>
      <c r="AL12" s="66"/>
      <c r="AM12" s="61"/>
    </row>
    <row r="13" spans="1:39" ht="7.5" customHeight="1">
      <c r="AA13" s="70"/>
    </row>
    <row r="14" spans="1:39" ht="33" customHeight="1">
      <c r="A14" s="175" t="s">
        <v>5</v>
      </c>
      <c r="B14" s="176" t="s">
        <v>6</v>
      </c>
      <c r="C14" s="177" t="s">
        <v>7</v>
      </c>
      <c r="D14" s="177" t="s">
        <v>8</v>
      </c>
      <c r="E14" s="175" t="s">
        <v>47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20"/>
      <c r="R14" s="120"/>
      <c r="S14" s="120"/>
      <c r="T14" s="120"/>
      <c r="U14" s="120"/>
      <c r="V14" s="120"/>
      <c r="W14" s="117"/>
      <c r="X14" s="180" t="s">
        <v>48</v>
      </c>
      <c r="Y14" s="172"/>
      <c r="Z14" s="172"/>
      <c r="AA14" s="180" t="s">
        <v>49</v>
      </c>
      <c r="AB14" s="172"/>
      <c r="AC14" s="172"/>
      <c r="AD14" s="175" t="s">
        <v>9</v>
      </c>
      <c r="AE14" s="175" t="s">
        <v>10</v>
      </c>
      <c r="AF14" s="177" t="s">
        <v>226</v>
      </c>
      <c r="AG14" s="177" t="s">
        <v>227</v>
      </c>
      <c r="AH14" s="175" t="s">
        <v>11</v>
      </c>
      <c r="AI14" s="175" t="s">
        <v>12</v>
      </c>
      <c r="AJ14" s="175" t="s">
        <v>13</v>
      </c>
      <c r="AK14" s="177" t="s">
        <v>51</v>
      </c>
      <c r="AL14" s="175" t="s">
        <v>14</v>
      </c>
    </row>
    <row r="15" spans="1:39" ht="36.75" customHeight="1">
      <c r="A15" s="176"/>
      <c r="B15" s="176"/>
      <c r="C15" s="178"/>
      <c r="D15" s="179"/>
      <c r="E15" s="121" t="s">
        <v>50</v>
      </c>
      <c r="F15" s="73" t="s">
        <v>15</v>
      </c>
      <c r="G15" s="172" t="s">
        <v>16</v>
      </c>
      <c r="H15" s="172"/>
      <c r="I15" s="172"/>
      <c r="J15" s="117" t="s">
        <v>17</v>
      </c>
      <c r="K15" s="120" t="s">
        <v>18</v>
      </c>
      <c r="L15" s="117"/>
      <c r="M15" s="117" t="s">
        <v>17</v>
      </c>
      <c r="N15" s="117" t="s">
        <v>17</v>
      </c>
      <c r="O15" s="117" t="s">
        <v>17</v>
      </c>
      <c r="P15" s="117" t="s">
        <v>19</v>
      </c>
      <c r="Q15" s="117" t="s">
        <v>19</v>
      </c>
      <c r="R15" s="117" t="s">
        <v>19</v>
      </c>
      <c r="S15" s="117" t="s">
        <v>19</v>
      </c>
      <c r="T15" s="117" t="s">
        <v>19</v>
      </c>
      <c r="U15" s="117" t="s">
        <v>19</v>
      </c>
      <c r="V15" s="117" t="s">
        <v>20</v>
      </c>
      <c r="W15" s="117"/>
      <c r="X15" s="121" t="s">
        <v>50</v>
      </c>
      <c r="Y15" s="73" t="s">
        <v>21</v>
      </c>
      <c r="Z15" s="73" t="s">
        <v>22</v>
      </c>
      <c r="AA15" s="74" t="s">
        <v>50</v>
      </c>
      <c r="AB15" s="73" t="s">
        <v>21</v>
      </c>
      <c r="AC15" s="73" t="s">
        <v>23</v>
      </c>
      <c r="AD15" s="175"/>
      <c r="AE15" s="175"/>
      <c r="AF15" s="190"/>
      <c r="AG15" s="190"/>
      <c r="AH15" s="181"/>
      <c r="AI15" s="181"/>
      <c r="AJ15" s="176"/>
      <c r="AK15" s="178"/>
      <c r="AL15" s="182"/>
    </row>
    <row r="16" spans="1:39" ht="23.25" customHeight="1">
      <c r="A16" s="120" t="s">
        <v>38</v>
      </c>
      <c r="B16" s="120" t="s">
        <v>39</v>
      </c>
      <c r="C16" s="120" t="s">
        <v>40</v>
      </c>
      <c r="D16" s="120" t="s">
        <v>41</v>
      </c>
      <c r="E16" s="120">
        <v>1</v>
      </c>
      <c r="F16" s="117">
        <v>2</v>
      </c>
      <c r="G16" s="75">
        <v>3</v>
      </c>
      <c r="H16" s="75">
        <v>4</v>
      </c>
      <c r="I16" s="117">
        <v>5</v>
      </c>
      <c r="J16" s="75">
        <v>7</v>
      </c>
      <c r="K16" s="117">
        <v>8</v>
      </c>
      <c r="L16" s="75">
        <v>9</v>
      </c>
      <c r="M16" s="117">
        <v>10</v>
      </c>
      <c r="N16" s="117"/>
      <c r="O16" s="75">
        <v>6</v>
      </c>
      <c r="P16" s="75"/>
      <c r="Q16" s="75"/>
      <c r="R16" s="75"/>
      <c r="S16" s="75"/>
      <c r="T16" s="75"/>
      <c r="U16" s="75"/>
      <c r="V16" s="75"/>
      <c r="W16" s="75">
        <v>5</v>
      </c>
      <c r="X16" s="120">
        <v>2</v>
      </c>
      <c r="Y16" s="117">
        <v>7</v>
      </c>
      <c r="Z16" s="117">
        <v>8</v>
      </c>
      <c r="AA16" s="76" t="s">
        <v>163</v>
      </c>
      <c r="AB16" s="120">
        <v>10</v>
      </c>
      <c r="AC16" s="75">
        <v>11</v>
      </c>
      <c r="AD16" s="120"/>
      <c r="AE16" s="120"/>
      <c r="AF16" s="77"/>
      <c r="AG16" s="77"/>
      <c r="AH16" s="120">
        <v>4</v>
      </c>
      <c r="AI16" s="120">
        <v>5</v>
      </c>
      <c r="AJ16" s="120">
        <v>6</v>
      </c>
      <c r="AK16" s="120">
        <v>7</v>
      </c>
      <c r="AL16" s="119">
        <v>8</v>
      </c>
    </row>
    <row r="17" spans="1:39" ht="23.25" customHeight="1">
      <c r="A17" s="120" t="s">
        <v>38</v>
      </c>
      <c r="B17" s="120" t="s">
        <v>203</v>
      </c>
      <c r="C17" s="120"/>
      <c r="D17" s="120"/>
      <c r="E17" s="120"/>
      <c r="F17" s="117"/>
      <c r="G17" s="75"/>
      <c r="H17" s="75"/>
      <c r="I17" s="117"/>
      <c r="J17" s="75"/>
      <c r="K17" s="117"/>
      <c r="L17" s="75"/>
      <c r="M17" s="117"/>
      <c r="N17" s="117"/>
      <c r="O17" s="75"/>
      <c r="P17" s="75"/>
      <c r="Q17" s="75"/>
      <c r="R17" s="75"/>
      <c r="S17" s="75"/>
      <c r="T17" s="75"/>
      <c r="U17" s="75"/>
      <c r="V17" s="75"/>
      <c r="W17" s="75"/>
      <c r="X17" s="120"/>
      <c r="Y17" s="117"/>
      <c r="Z17" s="117"/>
      <c r="AA17" s="76"/>
      <c r="AB17" s="120"/>
      <c r="AC17" s="75"/>
      <c r="AD17" s="120"/>
      <c r="AE17" s="120"/>
      <c r="AF17" s="77"/>
      <c r="AG17" s="77"/>
      <c r="AH17" s="120"/>
      <c r="AI17" s="120"/>
      <c r="AJ17" s="120"/>
      <c r="AK17" s="120"/>
      <c r="AL17" s="119"/>
    </row>
    <row r="18" spans="1:39" ht="24.75" customHeight="1">
      <c r="A18" s="78" t="s">
        <v>89</v>
      </c>
      <c r="B18" s="79" t="s">
        <v>139</v>
      </c>
      <c r="C18" s="78"/>
      <c r="D18" s="78"/>
      <c r="E18" s="78"/>
      <c r="F18" s="80"/>
      <c r="G18" s="81"/>
      <c r="H18" s="81"/>
      <c r="I18" s="80"/>
      <c r="J18" s="81"/>
      <c r="K18" s="80"/>
      <c r="L18" s="81"/>
      <c r="M18" s="80"/>
      <c r="N18" s="80"/>
      <c r="O18" s="81"/>
      <c r="P18" s="81"/>
      <c r="Q18" s="81"/>
      <c r="R18" s="81"/>
      <c r="S18" s="81"/>
      <c r="T18" s="81"/>
      <c r="U18" s="81"/>
      <c r="V18" s="81"/>
      <c r="W18" s="81"/>
      <c r="X18" s="78"/>
      <c r="Y18" s="80"/>
      <c r="Z18" s="80"/>
      <c r="AA18" s="82"/>
      <c r="AB18" s="78"/>
      <c r="AC18" s="81"/>
      <c r="AD18" s="78"/>
      <c r="AE18" s="78"/>
      <c r="AF18" s="83"/>
      <c r="AG18" s="83"/>
      <c r="AH18" s="78"/>
      <c r="AI18" s="78"/>
      <c r="AJ18" s="78"/>
      <c r="AK18" s="78"/>
      <c r="AL18" s="84"/>
    </row>
    <row r="19" spans="1:39" s="138" customFormat="1" ht="58.9" customHeight="1">
      <c r="A19" s="129">
        <v>1</v>
      </c>
      <c r="B19" s="130" t="s">
        <v>106</v>
      </c>
      <c r="C19" s="131" t="s">
        <v>168</v>
      </c>
      <c r="D19" s="132">
        <v>2022</v>
      </c>
      <c r="E19" s="129">
        <v>2</v>
      </c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>
        <v>1</v>
      </c>
      <c r="Y19" s="133"/>
      <c r="Z19" s="133"/>
      <c r="AA19" s="134" t="s">
        <v>156</v>
      </c>
      <c r="AB19" s="133"/>
      <c r="AC19" s="133"/>
      <c r="AD19" s="133"/>
      <c r="AE19" s="133"/>
      <c r="AF19" s="135">
        <v>33900000</v>
      </c>
      <c r="AG19" s="135">
        <v>33900000</v>
      </c>
      <c r="AH19" s="129" t="s">
        <v>145</v>
      </c>
      <c r="AI19" s="129" t="s">
        <v>71</v>
      </c>
      <c r="AJ19" s="129" t="s">
        <v>43</v>
      </c>
      <c r="AK19" s="129"/>
      <c r="AL19" s="136" t="s">
        <v>166</v>
      </c>
      <c r="AM19" s="137"/>
    </row>
    <row r="20" spans="1:39" s="138" customFormat="1" ht="34.5" customHeight="1">
      <c r="A20" s="129">
        <v>2</v>
      </c>
      <c r="B20" s="139" t="s">
        <v>220</v>
      </c>
      <c r="C20" s="140" t="s">
        <v>221</v>
      </c>
      <c r="D20" s="140">
        <v>2000</v>
      </c>
      <c r="E20" s="129">
        <v>1</v>
      </c>
      <c r="F20" s="129">
        <v>0</v>
      </c>
      <c r="G20" s="129">
        <f t="shared" ref="G20" si="0">H20+I20</f>
        <v>7847619</v>
      </c>
      <c r="H20" s="129"/>
      <c r="I20" s="129">
        <v>7847619</v>
      </c>
      <c r="J20" s="129"/>
      <c r="K20" s="129"/>
      <c r="L20" s="129"/>
      <c r="M20" s="129"/>
      <c r="N20" s="129"/>
      <c r="O20" s="129"/>
      <c r="P20" s="129">
        <f t="shared" ref="P20" si="1">ROUND(G20*20%,0)</f>
        <v>1569524</v>
      </c>
      <c r="Q20" s="129">
        <f t="shared" ref="Q20" si="2">ROUND(G20*AD20,0)</f>
        <v>0</v>
      </c>
      <c r="R20" s="129" t="e">
        <f>ROUND(#REF!*#REF!,0)</f>
        <v>#REF!</v>
      </c>
      <c r="S20" s="129" t="e">
        <f>ROUND(#REF!*#REF!,0)</f>
        <v>#REF!</v>
      </c>
      <c r="T20" s="129" t="e">
        <f>ROUND(#REF!*#REF!,0)</f>
        <v>#REF!</v>
      </c>
      <c r="U20" s="129">
        <v>-1</v>
      </c>
      <c r="V20" s="129" t="e">
        <f t="shared" ref="V20" si="3">M20+N20+O20+P20+SUM(Q20:T20)+U20</f>
        <v>#REF!</v>
      </c>
      <c r="W20" s="129" t="e">
        <f t="shared" ref="W20" si="4">G20-V20</f>
        <v>#REF!</v>
      </c>
      <c r="X20" s="129">
        <v>1</v>
      </c>
      <c r="Y20" s="133">
        <f t="shared" ref="Y20" si="5">G20</f>
        <v>7847619</v>
      </c>
      <c r="Z20" s="133">
        <v>0</v>
      </c>
      <c r="AA20" s="141">
        <v>0</v>
      </c>
      <c r="AB20" s="133"/>
      <c r="AC20" s="133"/>
      <c r="AD20" s="133"/>
      <c r="AE20" s="133"/>
      <c r="AF20" s="142">
        <v>12700000</v>
      </c>
      <c r="AG20" s="142">
        <v>12700000</v>
      </c>
      <c r="AH20" s="129"/>
      <c r="AI20" s="129"/>
      <c r="AJ20" s="129"/>
      <c r="AK20" s="129" t="s">
        <v>181</v>
      </c>
      <c r="AL20" s="136" t="s">
        <v>223</v>
      </c>
    </row>
    <row r="21" spans="1:39">
      <c r="A21" s="85"/>
      <c r="B21" s="96" t="s">
        <v>224</v>
      </c>
      <c r="C21" s="93"/>
      <c r="D21" s="93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9"/>
      <c r="Z21" s="89"/>
      <c r="AA21" s="94"/>
      <c r="AB21" s="89"/>
      <c r="AC21" s="89"/>
      <c r="AD21" s="89"/>
      <c r="AE21" s="89"/>
      <c r="AF21" s="95"/>
      <c r="AG21" s="97">
        <f>SUM(AG19:AG20)</f>
        <v>46600000</v>
      </c>
      <c r="AH21" s="85"/>
      <c r="AI21" s="85"/>
      <c r="AJ21" s="85"/>
      <c r="AK21" s="85"/>
      <c r="AL21" s="92"/>
      <c r="AM21" s="61"/>
    </row>
    <row r="22" spans="1:39">
      <c r="A22" s="85"/>
      <c r="B22" s="96" t="s">
        <v>225</v>
      </c>
      <c r="C22" s="93"/>
      <c r="D22" s="93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9"/>
      <c r="Z22" s="89"/>
      <c r="AA22" s="94"/>
      <c r="AB22" s="89"/>
      <c r="AC22" s="89"/>
      <c r="AD22" s="89"/>
      <c r="AE22" s="89"/>
      <c r="AF22" s="95"/>
      <c r="AG22" s="95"/>
      <c r="AH22" s="85"/>
      <c r="AI22" s="85"/>
      <c r="AJ22" s="85"/>
      <c r="AK22" s="85"/>
      <c r="AL22" s="92"/>
      <c r="AM22" s="61"/>
    </row>
    <row r="23" spans="1:39">
      <c r="A23" s="117" t="s">
        <v>39</v>
      </c>
      <c r="B23" s="98" t="s">
        <v>204</v>
      </c>
      <c r="C23" s="85"/>
      <c r="D23" s="88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9"/>
      <c r="Z23" s="89"/>
      <c r="AA23" s="94"/>
      <c r="AB23" s="89"/>
      <c r="AC23" s="89"/>
      <c r="AD23" s="89"/>
      <c r="AE23" s="89"/>
      <c r="AF23" s="99"/>
      <c r="AG23" s="99"/>
      <c r="AH23" s="85"/>
      <c r="AI23" s="85"/>
      <c r="AJ23" s="85"/>
      <c r="AK23" s="85"/>
      <c r="AL23" s="92"/>
      <c r="AM23" s="61"/>
    </row>
    <row r="24" spans="1:39" ht="23.25" customHeight="1">
      <c r="A24" s="120" t="s">
        <v>38</v>
      </c>
      <c r="B24" s="120" t="s">
        <v>203</v>
      </c>
      <c r="C24" s="120"/>
      <c r="D24" s="120"/>
      <c r="E24" s="120"/>
      <c r="F24" s="117"/>
      <c r="G24" s="75"/>
      <c r="H24" s="75"/>
      <c r="I24" s="117"/>
      <c r="J24" s="75"/>
      <c r="K24" s="117"/>
      <c r="L24" s="75"/>
      <c r="M24" s="117"/>
      <c r="N24" s="117"/>
      <c r="O24" s="75"/>
      <c r="P24" s="75"/>
      <c r="Q24" s="75"/>
      <c r="R24" s="75"/>
      <c r="S24" s="75"/>
      <c r="T24" s="75"/>
      <c r="U24" s="75"/>
      <c r="V24" s="75"/>
      <c r="W24" s="75"/>
      <c r="X24" s="120"/>
      <c r="Y24" s="117"/>
      <c r="Z24" s="117"/>
      <c r="AA24" s="76"/>
      <c r="AB24" s="120"/>
      <c r="AC24" s="75"/>
      <c r="AD24" s="120"/>
      <c r="AE24" s="120"/>
      <c r="AF24" s="77"/>
      <c r="AG24" s="77"/>
      <c r="AH24" s="120"/>
      <c r="AI24" s="120"/>
      <c r="AJ24" s="120"/>
      <c r="AK24" s="120"/>
      <c r="AL24" s="119"/>
    </row>
    <row r="25" spans="1:39" ht="24.75" customHeight="1">
      <c r="A25" s="78" t="s">
        <v>89</v>
      </c>
      <c r="B25" s="79" t="s">
        <v>139</v>
      </c>
      <c r="C25" s="78"/>
      <c r="D25" s="78"/>
      <c r="E25" s="78"/>
      <c r="F25" s="80"/>
      <c r="G25" s="81"/>
      <c r="H25" s="81"/>
      <c r="I25" s="80"/>
      <c r="J25" s="81"/>
      <c r="K25" s="80"/>
      <c r="L25" s="81"/>
      <c r="M25" s="80"/>
      <c r="N25" s="80"/>
      <c r="O25" s="81"/>
      <c r="P25" s="81"/>
      <c r="Q25" s="81"/>
      <c r="R25" s="81"/>
      <c r="S25" s="81"/>
      <c r="T25" s="81"/>
      <c r="U25" s="81"/>
      <c r="V25" s="81"/>
      <c r="W25" s="81"/>
      <c r="X25" s="78"/>
      <c r="Y25" s="80"/>
      <c r="Z25" s="80"/>
      <c r="AA25" s="82"/>
      <c r="AB25" s="78"/>
      <c r="AC25" s="81"/>
      <c r="AD25" s="78"/>
      <c r="AE25" s="78"/>
      <c r="AF25" s="83"/>
      <c r="AG25" s="83"/>
      <c r="AH25" s="78"/>
      <c r="AI25" s="78"/>
      <c r="AJ25" s="78"/>
      <c r="AK25" s="78"/>
      <c r="AL25" s="84"/>
    </row>
    <row r="26" spans="1:39" ht="50.25" customHeight="1">
      <c r="A26" s="85">
        <v>1</v>
      </c>
      <c r="B26" s="92" t="s">
        <v>97</v>
      </c>
      <c r="C26" s="87" t="s">
        <v>105</v>
      </c>
      <c r="D26" s="88">
        <v>2022</v>
      </c>
      <c r="E26" s="85">
        <v>2</v>
      </c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>
        <v>0</v>
      </c>
      <c r="Y26" s="89"/>
      <c r="Z26" s="89"/>
      <c r="AA26" s="90" t="s">
        <v>155</v>
      </c>
      <c r="AB26" s="89"/>
      <c r="AC26" s="89"/>
      <c r="AD26" s="89"/>
      <c r="AE26" s="89"/>
      <c r="AF26" s="99"/>
      <c r="AG26" s="99"/>
      <c r="AH26" s="85" t="s">
        <v>145</v>
      </c>
      <c r="AI26" s="85" t="s">
        <v>71</v>
      </c>
      <c r="AJ26" s="85" t="s">
        <v>43</v>
      </c>
      <c r="AK26" s="85"/>
      <c r="AL26" s="92" t="s">
        <v>164</v>
      </c>
    </row>
    <row r="27" spans="1:39" ht="49.5" customHeight="1">
      <c r="A27" s="85">
        <v>2</v>
      </c>
      <c r="B27" s="92" t="s">
        <v>100</v>
      </c>
      <c r="C27" s="87" t="s">
        <v>104</v>
      </c>
      <c r="D27" s="88">
        <v>2022</v>
      </c>
      <c r="E27" s="85">
        <v>1</v>
      </c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>
        <v>1</v>
      </c>
      <c r="Y27" s="89"/>
      <c r="Z27" s="89"/>
      <c r="AA27" s="90">
        <v>0</v>
      </c>
      <c r="AB27" s="89"/>
      <c r="AC27" s="89"/>
      <c r="AD27" s="89"/>
      <c r="AE27" s="89"/>
      <c r="AF27" s="91">
        <v>7900000</v>
      </c>
      <c r="AG27" s="91">
        <v>7900000</v>
      </c>
      <c r="AH27" s="85" t="s">
        <v>145</v>
      </c>
      <c r="AI27" s="85" t="s">
        <v>71</v>
      </c>
      <c r="AJ27" s="85" t="s">
        <v>43</v>
      </c>
      <c r="AK27" s="85"/>
      <c r="AL27" s="92"/>
    </row>
    <row r="28" spans="1:39" ht="58.9" customHeight="1">
      <c r="A28" s="85">
        <v>3</v>
      </c>
      <c r="B28" s="100" t="s">
        <v>107</v>
      </c>
      <c r="C28" s="87" t="s">
        <v>195</v>
      </c>
      <c r="D28" s="88">
        <v>2022</v>
      </c>
      <c r="E28" s="85">
        <v>2</v>
      </c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>
        <v>1</v>
      </c>
      <c r="Y28" s="89"/>
      <c r="Z28" s="89"/>
      <c r="AA28" s="90" t="s">
        <v>156</v>
      </c>
      <c r="AB28" s="89"/>
      <c r="AC28" s="89"/>
      <c r="AD28" s="89"/>
      <c r="AE28" s="89"/>
      <c r="AF28" s="91">
        <v>1100000</v>
      </c>
      <c r="AG28" s="91">
        <v>1100000</v>
      </c>
      <c r="AH28" s="85" t="s">
        <v>145</v>
      </c>
      <c r="AI28" s="85" t="s">
        <v>71</v>
      </c>
      <c r="AJ28" s="85" t="s">
        <v>43</v>
      </c>
      <c r="AK28" s="85"/>
      <c r="AL28" s="92" t="s">
        <v>169</v>
      </c>
    </row>
    <row r="29" spans="1:39" ht="58.9" customHeight="1">
      <c r="A29" s="85">
        <v>4</v>
      </c>
      <c r="B29" s="92" t="s">
        <v>99</v>
      </c>
      <c r="C29" s="87" t="s">
        <v>172</v>
      </c>
      <c r="D29" s="88">
        <v>2022</v>
      </c>
      <c r="E29" s="85">
        <v>4</v>
      </c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>
        <v>1</v>
      </c>
      <c r="Y29" s="89"/>
      <c r="Z29" s="89"/>
      <c r="AA29" s="90" t="s">
        <v>173</v>
      </c>
      <c r="AB29" s="89"/>
      <c r="AC29" s="89"/>
      <c r="AD29" s="89"/>
      <c r="AE29" s="89"/>
      <c r="AF29" s="99">
        <v>660000</v>
      </c>
      <c r="AG29" s="99">
        <f>+X29*AF29</f>
        <v>660000</v>
      </c>
      <c r="AH29" s="85" t="s">
        <v>145</v>
      </c>
      <c r="AI29" s="85" t="s">
        <v>71</v>
      </c>
      <c r="AJ29" s="85" t="s">
        <v>43</v>
      </c>
      <c r="AK29" s="85"/>
      <c r="AL29" s="92" t="s">
        <v>174</v>
      </c>
    </row>
    <row r="30" spans="1:39" ht="79.5" customHeight="1">
      <c r="A30" s="85">
        <v>5</v>
      </c>
      <c r="B30" s="92" t="s">
        <v>98</v>
      </c>
      <c r="C30" s="87" t="s">
        <v>134</v>
      </c>
      <c r="D30" s="88">
        <v>2022</v>
      </c>
      <c r="E30" s="85">
        <v>1</v>
      </c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>
        <v>0</v>
      </c>
      <c r="Y30" s="89"/>
      <c r="Z30" s="89"/>
      <c r="AA30" s="90" t="s">
        <v>156</v>
      </c>
      <c r="AB30" s="89"/>
      <c r="AC30" s="89"/>
      <c r="AD30" s="89"/>
      <c r="AE30" s="89"/>
      <c r="AF30" s="99"/>
      <c r="AG30" s="99"/>
      <c r="AH30" s="85" t="s">
        <v>145</v>
      </c>
      <c r="AI30" s="85" t="s">
        <v>71</v>
      </c>
      <c r="AJ30" s="85" t="s">
        <v>43</v>
      </c>
      <c r="AK30" s="85"/>
      <c r="AL30" s="92" t="s">
        <v>164</v>
      </c>
    </row>
    <row r="31" spans="1:39" ht="26.25" customHeight="1">
      <c r="A31" s="85">
        <v>6</v>
      </c>
      <c r="B31" s="92" t="s">
        <v>135</v>
      </c>
      <c r="C31" s="87"/>
      <c r="D31" s="88">
        <v>2005</v>
      </c>
      <c r="E31" s="85">
        <v>1</v>
      </c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>
        <v>1</v>
      </c>
      <c r="Y31" s="89"/>
      <c r="Z31" s="89"/>
      <c r="AA31" s="90">
        <v>0</v>
      </c>
      <c r="AB31" s="89"/>
      <c r="AC31" s="89"/>
      <c r="AD31" s="89"/>
      <c r="AE31" s="89"/>
      <c r="AF31" s="99"/>
      <c r="AG31" s="99"/>
      <c r="AH31" s="85" t="s">
        <v>145</v>
      </c>
      <c r="AI31" s="85" t="s">
        <v>71</v>
      </c>
      <c r="AJ31" s="85" t="s">
        <v>43</v>
      </c>
      <c r="AK31" s="85" t="s">
        <v>70</v>
      </c>
      <c r="AL31" s="92"/>
    </row>
    <row r="32" spans="1:39" ht="47.25" customHeight="1">
      <c r="A32" s="85">
        <v>7</v>
      </c>
      <c r="B32" s="92" t="s">
        <v>136</v>
      </c>
      <c r="C32" s="87"/>
      <c r="D32" s="88">
        <v>2013</v>
      </c>
      <c r="E32" s="85">
        <v>1</v>
      </c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>
        <v>0</v>
      </c>
      <c r="Y32" s="89"/>
      <c r="Z32" s="89"/>
      <c r="AA32" s="90" t="s">
        <v>156</v>
      </c>
      <c r="AB32" s="89"/>
      <c r="AC32" s="89"/>
      <c r="AD32" s="89"/>
      <c r="AE32" s="89"/>
      <c r="AF32" s="99"/>
      <c r="AG32" s="99"/>
      <c r="AH32" s="85" t="s">
        <v>145</v>
      </c>
      <c r="AI32" s="85" t="s">
        <v>71</v>
      </c>
      <c r="AJ32" s="85" t="s">
        <v>43</v>
      </c>
      <c r="AK32" s="85" t="s">
        <v>70</v>
      </c>
      <c r="AL32" s="92" t="s">
        <v>164</v>
      </c>
    </row>
    <row r="33" spans="1:39" ht="26.25" customHeight="1">
      <c r="A33" s="85">
        <v>8</v>
      </c>
      <c r="B33" s="92" t="s">
        <v>129</v>
      </c>
      <c r="C33" s="87"/>
      <c r="D33" s="88">
        <v>2008</v>
      </c>
      <c r="E33" s="85">
        <v>1</v>
      </c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>
        <v>1</v>
      </c>
      <c r="Y33" s="89"/>
      <c r="Z33" s="89"/>
      <c r="AA33" s="90">
        <v>0</v>
      </c>
      <c r="AB33" s="89"/>
      <c r="AC33" s="89"/>
      <c r="AD33" s="89"/>
      <c r="AE33" s="89"/>
      <c r="AF33" s="99"/>
      <c r="AG33" s="99"/>
      <c r="AH33" s="85" t="s">
        <v>145</v>
      </c>
      <c r="AI33" s="85" t="s">
        <v>71</v>
      </c>
      <c r="AJ33" s="85" t="s">
        <v>43</v>
      </c>
      <c r="AK33" s="85" t="s">
        <v>70</v>
      </c>
      <c r="AL33" s="92"/>
    </row>
    <row r="34" spans="1:39" ht="26.25" customHeight="1">
      <c r="A34" s="85">
        <v>9</v>
      </c>
      <c r="B34" s="92" t="s">
        <v>130</v>
      </c>
      <c r="C34" s="87"/>
      <c r="D34" s="88">
        <v>2006</v>
      </c>
      <c r="E34" s="85">
        <v>1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>
        <v>1</v>
      </c>
      <c r="Y34" s="89"/>
      <c r="Z34" s="89"/>
      <c r="AA34" s="90">
        <v>0</v>
      </c>
      <c r="AB34" s="89"/>
      <c r="AC34" s="89"/>
      <c r="AD34" s="89"/>
      <c r="AE34" s="89"/>
      <c r="AF34" s="99"/>
      <c r="AG34" s="99"/>
      <c r="AH34" s="85" t="s">
        <v>145</v>
      </c>
      <c r="AI34" s="85" t="s">
        <v>71</v>
      </c>
      <c r="AJ34" s="85" t="s">
        <v>43</v>
      </c>
      <c r="AK34" s="85" t="s">
        <v>70</v>
      </c>
      <c r="AL34" s="92"/>
    </row>
    <row r="35" spans="1:39" ht="26.25" customHeight="1">
      <c r="A35" s="85">
        <v>10</v>
      </c>
      <c r="B35" s="92" t="s">
        <v>130</v>
      </c>
      <c r="C35" s="87"/>
      <c r="D35" s="88">
        <v>2008</v>
      </c>
      <c r="E35" s="85">
        <v>1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>
        <v>1</v>
      </c>
      <c r="Y35" s="89"/>
      <c r="Z35" s="89"/>
      <c r="AA35" s="90">
        <v>0</v>
      </c>
      <c r="AB35" s="89"/>
      <c r="AC35" s="89"/>
      <c r="AD35" s="89"/>
      <c r="AE35" s="89"/>
      <c r="AF35" s="99"/>
      <c r="AG35" s="99"/>
      <c r="AH35" s="85" t="s">
        <v>145</v>
      </c>
      <c r="AI35" s="85" t="s">
        <v>71</v>
      </c>
      <c r="AJ35" s="85" t="s">
        <v>43</v>
      </c>
      <c r="AK35" s="85" t="s">
        <v>70</v>
      </c>
      <c r="AL35" s="92"/>
    </row>
    <row r="36" spans="1:39" ht="28.5" customHeight="1">
      <c r="A36" s="85">
        <v>11</v>
      </c>
      <c r="B36" s="89" t="s">
        <v>113</v>
      </c>
      <c r="C36" s="85"/>
      <c r="D36" s="88"/>
      <c r="E36" s="85">
        <v>3</v>
      </c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>
        <v>3</v>
      </c>
      <c r="Y36" s="89"/>
      <c r="Z36" s="89"/>
      <c r="AA36" s="90">
        <v>0</v>
      </c>
      <c r="AB36" s="89"/>
      <c r="AC36" s="89"/>
      <c r="AD36" s="89"/>
      <c r="AE36" s="89"/>
      <c r="AF36" s="99"/>
      <c r="AG36" s="99"/>
      <c r="AH36" s="85" t="s">
        <v>145</v>
      </c>
      <c r="AI36" s="85" t="s">
        <v>71</v>
      </c>
      <c r="AJ36" s="85" t="s">
        <v>43</v>
      </c>
      <c r="AK36" s="85" t="s">
        <v>70</v>
      </c>
      <c r="AL36" s="92"/>
    </row>
    <row r="37" spans="1:39" ht="26.25" customHeight="1">
      <c r="A37" s="85">
        <v>12</v>
      </c>
      <c r="B37" s="92" t="s">
        <v>131</v>
      </c>
      <c r="C37" s="87"/>
      <c r="D37" s="88"/>
      <c r="E37" s="85">
        <v>1</v>
      </c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>
        <v>1</v>
      </c>
      <c r="Y37" s="89"/>
      <c r="Z37" s="89"/>
      <c r="AA37" s="90">
        <v>0</v>
      </c>
      <c r="AB37" s="89"/>
      <c r="AC37" s="89"/>
      <c r="AD37" s="89"/>
      <c r="AE37" s="89"/>
      <c r="AF37" s="99"/>
      <c r="AG37" s="99"/>
      <c r="AH37" s="85" t="s">
        <v>145</v>
      </c>
      <c r="AI37" s="85" t="s">
        <v>71</v>
      </c>
      <c r="AJ37" s="85" t="s">
        <v>43</v>
      </c>
      <c r="AK37" s="85" t="s">
        <v>70</v>
      </c>
      <c r="AL37" s="92"/>
    </row>
    <row r="38" spans="1:39" ht="26.25" customHeight="1">
      <c r="A38" s="85">
        <v>13</v>
      </c>
      <c r="B38" s="92" t="s">
        <v>132</v>
      </c>
      <c r="C38" s="87"/>
      <c r="D38" s="88">
        <v>2009</v>
      </c>
      <c r="E38" s="85">
        <v>1</v>
      </c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>
        <v>1</v>
      </c>
      <c r="Y38" s="89"/>
      <c r="Z38" s="89"/>
      <c r="AA38" s="90">
        <v>0</v>
      </c>
      <c r="AB38" s="89"/>
      <c r="AC38" s="89"/>
      <c r="AD38" s="89"/>
      <c r="AE38" s="89"/>
      <c r="AF38" s="99"/>
      <c r="AG38" s="99"/>
      <c r="AH38" s="85" t="s">
        <v>145</v>
      </c>
      <c r="AI38" s="85" t="s">
        <v>71</v>
      </c>
      <c r="AJ38" s="85" t="s">
        <v>144</v>
      </c>
      <c r="AK38" s="85" t="s">
        <v>70</v>
      </c>
      <c r="AL38" s="92"/>
    </row>
    <row r="39" spans="1:39" ht="26.25" customHeight="1">
      <c r="A39" s="85">
        <v>14</v>
      </c>
      <c r="B39" s="92" t="s">
        <v>109</v>
      </c>
      <c r="C39" s="87"/>
      <c r="D39" s="88"/>
      <c r="E39" s="85">
        <v>1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>
        <v>1</v>
      </c>
      <c r="Y39" s="89"/>
      <c r="Z39" s="89"/>
      <c r="AA39" s="90">
        <v>0</v>
      </c>
      <c r="AB39" s="89"/>
      <c r="AC39" s="89"/>
      <c r="AD39" s="89"/>
      <c r="AE39" s="89"/>
      <c r="AF39" s="99"/>
      <c r="AG39" s="99"/>
      <c r="AH39" s="85" t="s">
        <v>145</v>
      </c>
      <c r="AI39" s="85" t="s">
        <v>71</v>
      </c>
      <c r="AJ39" s="85" t="s">
        <v>43</v>
      </c>
      <c r="AK39" s="85" t="s">
        <v>70</v>
      </c>
      <c r="AL39" s="92"/>
    </row>
    <row r="40" spans="1:39" ht="43.5" customHeight="1">
      <c r="A40" s="85">
        <v>15</v>
      </c>
      <c r="B40" s="89" t="s">
        <v>133</v>
      </c>
      <c r="C40" s="85"/>
      <c r="D40" s="88">
        <v>2009</v>
      </c>
      <c r="E40" s="85">
        <v>9</v>
      </c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>
        <v>9</v>
      </c>
      <c r="Y40" s="89"/>
      <c r="Z40" s="89"/>
      <c r="AA40" s="90" t="s">
        <v>179</v>
      </c>
      <c r="AB40" s="89"/>
      <c r="AC40" s="89"/>
      <c r="AD40" s="89"/>
      <c r="AE40" s="89"/>
      <c r="AF40" s="99"/>
      <c r="AG40" s="99"/>
      <c r="AH40" s="85" t="s">
        <v>145</v>
      </c>
      <c r="AI40" s="85" t="s">
        <v>71</v>
      </c>
      <c r="AJ40" s="85" t="s">
        <v>43</v>
      </c>
      <c r="AK40" s="85" t="s">
        <v>70</v>
      </c>
      <c r="AL40" s="92"/>
    </row>
    <row r="41" spans="1:39" ht="34.5" customHeight="1">
      <c r="A41" s="85">
        <v>16</v>
      </c>
      <c r="B41" s="89" t="s">
        <v>108</v>
      </c>
      <c r="C41" s="85"/>
      <c r="D41" s="88">
        <v>2003</v>
      </c>
      <c r="E41" s="85">
        <v>1</v>
      </c>
      <c r="F41" s="85">
        <v>0</v>
      </c>
      <c r="G41" s="85">
        <f>H41+I41</f>
        <v>13720000</v>
      </c>
      <c r="H41" s="85"/>
      <c r="I41" s="85">
        <v>13720000</v>
      </c>
      <c r="J41" s="85"/>
      <c r="K41" s="85"/>
      <c r="L41" s="85"/>
      <c r="M41" s="85"/>
      <c r="N41" s="85"/>
      <c r="O41" s="85"/>
      <c r="P41" s="85"/>
      <c r="Q41" s="85"/>
      <c r="R41" s="85" t="e">
        <f>ROUND(#REF!*#REF!,0)</f>
        <v>#REF!</v>
      </c>
      <c r="S41" s="85" t="e">
        <f>ROUND(#REF!*#REF!,0)</f>
        <v>#REF!</v>
      </c>
      <c r="T41" s="85" t="e">
        <f>ROUND(#REF!*#REF!,0)</f>
        <v>#REF!</v>
      </c>
      <c r="U41" s="85" t="e">
        <f>ROUND(#REF!*#REF!,0)</f>
        <v>#REF!</v>
      </c>
      <c r="V41" s="85" t="e">
        <f>M41+N41+O41+P41+SUM(Q41:T41)+U41</f>
        <v>#REF!</v>
      </c>
      <c r="W41" s="85" t="e">
        <f>G41-V41</f>
        <v>#REF!</v>
      </c>
      <c r="X41" s="85">
        <v>0</v>
      </c>
      <c r="Y41" s="89">
        <f>G41</f>
        <v>13720000</v>
      </c>
      <c r="Z41" s="89">
        <v>0</v>
      </c>
      <c r="AA41" s="90" t="s">
        <v>156</v>
      </c>
      <c r="AB41" s="89">
        <f>Y41-G41</f>
        <v>0</v>
      </c>
      <c r="AC41" s="89">
        <f>F41-Z41</f>
        <v>0</v>
      </c>
      <c r="AD41" s="89">
        <v>0.2</v>
      </c>
      <c r="AE41" s="89"/>
      <c r="AF41" s="99"/>
      <c r="AG41" s="99"/>
      <c r="AH41" s="85" t="s">
        <v>145</v>
      </c>
      <c r="AI41" s="85" t="s">
        <v>110</v>
      </c>
      <c r="AJ41" s="85" t="s">
        <v>88</v>
      </c>
      <c r="AK41" s="85" t="s">
        <v>70</v>
      </c>
      <c r="AL41" s="92" t="s">
        <v>178</v>
      </c>
    </row>
    <row r="42" spans="1:39" ht="48.75" customHeight="1">
      <c r="A42" s="85">
        <v>17</v>
      </c>
      <c r="B42" s="89" t="s">
        <v>68</v>
      </c>
      <c r="C42" s="85"/>
      <c r="D42" s="88"/>
      <c r="E42" s="85">
        <v>0</v>
      </c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>
        <v>1</v>
      </c>
      <c r="Y42" s="89"/>
      <c r="Z42" s="89"/>
      <c r="AA42" s="90" t="s">
        <v>157</v>
      </c>
      <c r="AB42" s="89"/>
      <c r="AC42" s="89"/>
      <c r="AD42" s="89"/>
      <c r="AE42" s="89"/>
      <c r="AF42" s="99"/>
      <c r="AG42" s="99"/>
      <c r="AH42" s="85"/>
      <c r="AI42" s="85"/>
      <c r="AJ42" s="85"/>
      <c r="AK42" s="85" t="s">
        <v>181</v>
      </c>
      <c r="AL42" s="92" t="s">
        <v>182</v>
      </c>
    </row>
    <row r="43" spans="1:39" s="138" customFormat="1" ht="48.75" customHeight="1">
      <c r="A43" s="129">
        <v>18</v>
      </c>
      <c r="B43" s="162" t="s">
        <v>191</v>
      </c>
      <c r="C43" s="163"/>
      <c r="D43" s="132"/>
      <c r="E43" s="129">
        <v>0</v>
      </c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>
        <v>1</v>
      </c>
      <c r="Y43" s="133"/>
      <c r="Z43" s="133"/>
      <c r="AA43" s="134" t="s">
        <v>157</v>
      </c>
      <c r="AB43" s="133"/>
      <c r="AC43" s="133"/>
      <c r="AD43" s="133"/>
      <c r="AE43" s="133"/>
      <c r="AF43" s="153">
        <v>500000</v>
      </c>
      <c r="AG43" s="153">
        <v>500000</v>
      </c>
      <c r="AH43" s="129"/>
      <c r="AI43" s="129"/>
      <c r="AJ43" s="129"/>
      <c r="AK43" s="129" t="s">
        <v>181</v>
      </c>
      <c r="AL43" s="136" t="s">
        <v>185</v>
      </c>
      <c r="AM43" s="137"/>
    </row>
    <row r="44" spans="1:39" s="138" customFormat="1" ht="48.75" customHeight="1">
      <c r="A44" s="129">
        <v>19</v>
      </c>
      <c r="B44" s="158" t="s">
        <v>183</v>
      </c>
      <c r="C44" s="159" t="s">
        <v>184</v>
      </c>
      <c r="D44" s="132"/>
      <c r="E44" s="129">
        <v>0</v>
      </c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>
        <v>1</v>
      </c>
      <c r="Y44" s="133"/>
      <c r="Z44" s="133"/>
      <c r="AA44" s="134" t="s">
        <v>157</v>
      </c>
      <c r="AB44" s="133"/>
      <c r="AC44" s="133"/>
      <c r="AD44" s="133"/>
      <c r="AE44" s="133"/>
      <c r="AF44" s="153">
        <v>3300000</v>
      </c>
      <c r="AG44" s="153">
        <v>3300000</v>
      </c>
      <c r="AH44" s="129"/>
      <c r="AI44" s="129"/>
      <c r="AJ44" s="129"/>
      <c r="AK44" s="129" t="s">
        <v>181</v>
      </c>
      <c r="AL44" s="136" t="s">
        <v>185</v>
      </c>
      <c r="AM44" s="137"/>
    </row>
    <row r="45" spans="1:39" s="138" customFormat="1" ht="48.75" customHeight="1">
      <c r="A45" s="129">
        <v>20</v>
      </c>
      <c r="B45" s="160" t="s">
        <v>186</v>
      </c>
      <c r="C45" s="161" t="s">
        <v>187</v>
      </c>
      <c r="D45" s="132"/>
      <c r="E45" s="129">
        <v>0</v>
      </c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>
        <v>1</v>
      </c>
      <c r="Y45" s="133"/>
      <c r="Z45" s="133"/>
      <c r="AA45" s="134" t="s">
        <v>157</v>
      </c>
      <c r="AB45" s="133"/>
      <c r="AC45" s="133"/>
      <c r="AD45" s="133"/>
      <c r="AE45" s="133"/>
      <c r="AF45" s="153">
        <v>2150000</v>
      </c>
      <c r="AG45" s="153">
        <v>2150000</v>
      </c>
      <c r="AH45" s="129"/>
      <c r="AI45" s="129"/>
      <c r="AJ45" s="129"/>
      <c r="AK45" s="129" t="s">
        <v>181</v>
      </c>
      <c r="AL45" s="136" t="s">
        <v>185</v>
      </c>
      <c r="AM45" s="137"/>
    </row>
    <row r="46" spans="1:39" s="138" customFormat="1" ht="48.75" customHeight="1">
      <c r="A46" s="129">
        <v>21</v>
      </c>
      <c r="B46" s="160" t="s">
        <v>188</v>
      </c>
      <c r="C46" s="161" t="s">
        <v>189</v>
      </c>
      <c r="D46" s="132"/>
      <c r="E46" s="129">
        <v>0</v>
      </c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>
        <v>1</v>
      </c>
      <c r="Y46" s="133"/>
      <c r="Z46" s="133"/>
      <c r="AA46" s="134" t="s">
        <v>157</v>
      </c>
      <c r="AB46" s="133"/>
      <c r="AC46" s="133"/>
      <c r="AD46" s="133"/>
      <c r="AE46" s="133"/>
      <c r="AF46" s="153">
        <v>1230000</v>
      </c>
      <c r="AG46" s="153">
        <v>1230000</v>
      </c>
      <c r="AH46" s="129"/>
      <c r="AI46" s="129"/>
      <c r="AJ46" s="129"/>
      <c r="AK46" s="129" t="s">
        <v>181</v>
      </c>
      <c r="AL46" s="136" t="s">
        <v>185</v>
      </c>
      <c r="AM46" s="137"/>
    </row>
    <row r="47" spans="1:39" s="138" customFormat="1" ht="48.75" customHeight="1">
      <c r="A47" s="129">
        <v>22</v>
      </c>
      <c r="B47" s="160" t="s">
        <v>188</v>
      </c>
      <c r="C47" s="161" t="s">
        <v>190</v>
      </c>
      <c r="D47" s="132"/>
      <c r="E47" s="129">
        <v>0</v>
      </c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>
        <v>1</v>
      </c>
      <c r="Y47" s="133"/>
      <c r="Z47" s="133"/>
      <c r="AA47" s="134" t="s">
        <v>157</v>
      </c>
      <c r="AB47" s="133"/>
      <c r="AC47" s="133"/>
      <c r="AD47" s="133"/>
      <c r="AE47" s="133"/>
      <c r="AF47" s="153">
        <v>1230000</v>
      </c>
      <c r="AG47" s="153">
        <v>1230000</v>
      </c>
      <c r="AH47" s="129"/>
      <c r="AI47" s="129"/>
      <c r="AJ47" s="129"/>
      <c r="AK47" s="129" t="s">
        <v>181</v>
      </c>
      <c r="AL47" s="136" t="s">
        <v>185</v>
      </c>
      <c r="AM47" s="137"/>
    </row>
    <row r="48" spans="1:39" s="104" customFormat="1" ht="25.5" customHeight="1">
      <c r="A48" s="117" t="s">
        <v>90</v>
      </c>
      <c r="B48" s="98" t="s">
        <v>140</v>
      </c>
      <c r="C48" s="117"/>
      <c r="D48" s="78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98"/>
      <c r="Z48" s="98"/>
      <c r="AA48" s="76"/>
      <c r="AB48" s="98"/>
      <c r="AC48" s="98"/>
      <c r="AD48" s="98"/>
      <c r="AE48" s="98"/>
      <c r="AF48" s="101"/>
      <c r="AG48" s="101"/>
      <c r="AH48" s="85"/>
      <c r="AI48" s="117"/>
      <c r="AJ48" s="117"/>
      <c r="AK48" s="117"/>
      <c r="AL48" s="102"/>
      <c r="AM48" s="103"/>
    </row>
    <row r="49" spans="1:39" ht="54.75" customHeight="1">
      <c r="A49" s="85">
        <v>1</v>
      </c>
      <c r="B49" s="92" t="s">
        <v>97</v>
      </c>
      <c r="C49" s="87" t="s">
        <v>105</v>
      </c>
      <c r="D49" s="88">
        <v>2022</v>
      </c>
      <c r="E49" s="85">
        <v>0</v>
      </c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>
        <v>2</v>
      </c>
      <c r="Y49" s="89"/>
      <c r="Z49" s="89"/>
      <c r="AA49" s="94" t="s">
        <v>154</v>
      </c>
      <c r="AB49" s="89"/>
      <c r="AC49" s="89"/>
      <c r="AD49" s="89"/>
      <c r="AE49" s="89"/>
      <c r="AF49" s="91">
        <v>2500000</v>
      </c>
      <c r="AG49" s="99">
        <f>+AF49*X49</f>
        <v>5000000</v>
      </c>
      <c r="AH49" s="85"/>
      <c r="AI49" s="85"/>
      <c r="AJ49" s="85"/>
      <c r="AK49" s="85"/>
      <c r="AL49" s="92" t="s">
        <v>165</v>
      </c>
    </row>
    <row r="50" spans="1:39" ht="67.5" customHeight="1">
      <c r="A50" s="85">
        <v>2</v>
      </c>
      <c r="B50" s="86" t="s">
        <v>106</v>
      </c>
      <c r="C50" s="87" t="s">
        <v>167</v>
      </c>
      <c r="D50" s="88">
        <v>2022</v>
      </c>
      <c r="E50" s="85">
        <v>0</v>
      </c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>
        <v>1</v>
      </c>
      <c r="Y50" s="89"/>
      <c r="Z50" s="89"/>
      <c r="AA50" s="94" t="s">
        <v>157</v>
      </c>
      <c r="AB50" s="89"/>
      <c r="AC50" s="89"/>
      <c r="AD50" s="89"/>
      <c r="AE50" s="89"/>
      <c r="AF50" s="91"/>
      <c r="AG50" s="91"/>
      <c r="AH50" s="85"/>
      <c r="AI50" s="85"/>
      <c r="AJ50" s="85"/>
      <c r="AK50" s="85"/>
      <c r="AL50" s="92" t="s">
        <v>170</v>
      </c>
    </row>
    <row r="51" spans="1:39" ht="67.5" customHeight="1">
      <c r="A51" s="85">
        <v>3</v>
      </c>
      <c r="B51" s="100" t="s">
        <v>107</v>
      </c>
      <c r="C51" s="87" t="s">
        <v>196</v>
      </c>
      <c r="D51" s="88">
        <v>2022</v>
      </c>
      <c r="E51" s="85">
        <v>0</v>
      </c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>
        <v>1</v>
      </c>
      <c r="Y51" s="89"/>
      <c r="Z51" s="89"/>
      <c r="AA51" s="94" t="s">
        <v>157</v>
      </c>
      <c r="AB51" s="89"/>
      <c r="AC51" s="89"/>
      <c r="AD51" s="89"/>
      <c r="AE51" s="89"/>
      <c r="AF51" s="91">
        <v>1100000</v>
      </c>
      <c r="AG51" s="91">
        <v>1100000</v>
      </c>
      <c r="AH51" s="85"/>
      <c r="AI51" s="85"/>
      <c r="AJ51" s="85"/>
      <c r="AK51" s="85"/>
      <c r="AL51" s="92" t="s">
        <v>171</v>
      </c>
    </row>
    <row r="52" spans="1:39" ht="54.75" customHeight="1">
      <c r="A52" s="85">
        <v>4</v>
      </c>
      <c r="B52" s="92" t="s">
        <v>99</v>
      </c>
      <c r="C52" s="87" t="s">
        <v>175</v>
      </c>
      <c r="D52" s="88">
        <v>2022</v>
      </c>
      <c r="E52" s="85">
        <v>0</v>
      </c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>
        <v>3</v>
      </c>
      <c r="Y52" s="89"/>
      <c r="Z52" s="89"/>
      <c r="AA52" s="90" t="s">
        <v>176</v>
      </c>
      <c r="AB52" s="89"/>
      <c r="AC52" s="89"/>
      <c r="AD52" s="89"/>
      <c r="AE52" s="89"/>
      <c r="AF52" s="99">
        <v>660000</v>
      </c>
      <c r="AG52" s="99">
        <f>+X52*AF52</f>
        <v>1980000</v>
      </c>
      <c r="AH52" s="85" t="s">
        <v>145</v>
      </c>
      <c r="AI52" s="85" t="s">
        <v>110</v>
      </c>
      <c r="AJ52" s="85" t="s">
        <v>43</v>
      </c>
      <c r="AK52" s="85"/>
      <c r="AL52" s="92" t="s">
        <v>177</v>
      </c>
    </row>
    <row r="53" spans="1:39" ht="34.5" customHeight="1">
      <c r="A53" s="85">
        <v>5</v>
      </c>
      <c r="B53" s="89" t="s">
        <v>108</v>
      </c>
      <c r="C53" s="85"/>
      <c r="D53" s="88">
        <v>2003</v>
      </c>
      <c r="E53" s="85">
        <v>0</v>
      </c>
      <c r="F53" s="85">
        <v>0</v>
      </c>
      <c r="G53" s="85">
        <f>H53+I53</f>
        <v>13720000</v>
      </c>
      <c r="H53" s="85"/>
      <c r="I53" s="85">
        <v>13720000</v>
      </c>
      <c r="J53" s="85"/>
      <c r="K53" s="85"/>
      <c r="L53" s="85"/>
      <c r="M53" s="85"/>
      <c r="N53" s="85"/>
      <c r="O53" s="85"/>
      <c r="P53" s="85"/>
      <c r="Q53" s="85"/>
      <c r="R53" s="85" t="e">
        <f>ROUND(#REF!*#REF!,0)</f>
        <v>#REF!</v>
      </c>
      <c r="S53" s="85" t="e">
        <f>ROUND(#REF!*#REF!,0)</f>
        <v>#REF!</v>
      </c>
      <c r="T53" s="85" t="e">
        <f>ROUND(#REF!*#REF!,0)</f>
        <v>#REF!</v>
      </c>
      <c r="U53" s="85" t="e">
        <f>ROUND(#REF!*#REF!,0)</f>
        <v>#REF!</v>
      </c>
      <c r="V53" s="85" t="e">
        <f>M53+N53+O53+P53+SUM(Q53:T53)+U53</f>
        <v>#REF!</v>
      </c>
      <c r="W53" s="85" t="e">
        <f>G53-V53</f>
        <v>#REF!</v>
      </c>
      <c r="X53" s="85">
        <v>1</v>
      </c>
      <c r="Y53" s="89">
        <f>G53</f>
        <v>13720000</v>
      </c>
      <c r="Z53" s="89">
        <v>0</v>
      </c>
      <c r="AA53" s="90" t="s">
        <v>157</v>
      </c>
      <c r="AB53" s="89">
        <f>Y53-G53</f>
        <v>0</v>
      </c>
      <c r="AC53" s="89">
        <f>F53-Z53</f>
        <v>0</v>
      </c>
      <c r="AD53" s="89">
        <v>0.2</v>
      </c>
      <c r="AE53" s="89"/>
      <c r="AF53" s="99"/>
      <c r="AG53" s="99"/>
      <c r="AH53" s="85" t="s">
        <v>145</v>
      </c>
      <c r="AI53" s="85" t="s">
        <v>110</v>
      </c>
      <c r="AJ53" s="85" t="s">
        <v>88</v>
      </c>
      <c r="AK53" s="85" t="s">
        <v>70</v>
      </c>
      <c r="AL53" s="92" t="s">
        <v>180</v>
      </c>
    </row>
    <row r="54" spans="1:39" ht="70.5" customHeight="1">
      <c r="A54" s="85">
        <v>6</v>
      </c>
      <c r="B54" s="92" t="s">
        <v>98</v>
      </c>
      <c r="C54" s="87" t="s">
        <v>134</v>
      </c>
      <c r="D54" s="88">
        <v>2022</v>
      </c>
      <c r="E54" s="85">
        <v>0</v>
      </c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>
        <v>1</v>
      </c>
      <c r="Y54" s="89"/>
      <c r="Z54" s="89"/>
      <c r="AA54" s="90" t="s">
        <v>157</v>
      </c>
      <c r="AB54" s="89"/>
      <c r="AC54" s="89"/>
      <c r="AD54" s="89"/>
      <c r="AE54" s="89"/>
      <c r="AF54" s="91">
        <v>3280000</v>
      </c>
      <c r="AG54" s="91">
        <v>3280000</v>
      </c>
      <c r="AH54" s="85"/>
      <c r="AI54" s="85"/>
      <c r="AJ54" s="85"/>
      <c r="AK54" s="85"/>
      <c r="AL54" s="92" t="s">
        <v>180</v>
      </c>
    </row>
    <row r="55" spans="1:39" ht="34.5" customHeight="1">
      <c r="A55" s="85">
        <v>7</v>
      </c>
      <c r="B55" s="92" t="s">
        <v>136</v>
      </c>
      <c r="C55" s="87"/>
      <c r="D55" s="88">
        <v>2013</v>
      </c>
      <c r="E55" s="85">
        <v>0</v>
      </c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>
        <v>1</v>
      </c>
      <c r="Y55" s="89"/>
      <c r="Z55" s="89"/>
      <c r="AA55" s="90" t="s">
        <v>157</v>
      </c>
      <c r="AB55" s="89"/>
      <c r="AC55" s="89"/>
      <c r="AD55" s="89"/>
      <c r="AE55" s="89"/>
      <c r="AF55" s="99"/>
      <c r="AG55" s="99"/>
      <c r="AH55" s="85"/>
      <c r="AI55" s="85"/>
      <c r="AJ55" s="85"/>
      <c r="AK55" s="85"/>
      <c r="AL55" s="92" t="s">
        <v>180</v>
      </c>
    </row>
    <row r="56" spans="1:39" s="138" customFormat="1" ht="34.5" customHeight="1">
      <c r="A56" s="129">
        <v>8</v>
      </c>
      <c r="B56" s="136" t="s">
        <v>192</v>
      </c>
      <c r="C56" s="131"/>
      <c r="D56" s="132"/>
      <c r="E56" s="129">
        <v>0</v>
      </c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>
        <v>1</v>
      </c>
      <c r="Y56" s="133"/>
      <c r="Z56" s="133"/>
      <c r="AA56" s="134" t="s">
        <v>157</v>
      </c>
      <c r="AB56" s="133"/>
      <c r="AC56" s="133"/>
      <c r="AD56" s="133"/>
      <c r="AE56" s="133"/>
      <c r="AF56" s="153">
        <v>460000</v>
      </c>
      <c r="AG56" s="153">
        <v>460000</v>
      </c>
      <c r="AH56" s="129"/>
      <c r="AI56" s="129"/>
      <c r="AJ56" s="129"/>
      <c r="AK56" s="129" t="s">
        <v>194</v>
      </c>
      <c r="AL56" s="136" t="s">
        <v>193</v>
      </c>
      <c r="AM56" s="137"/>
    </row>
    <row r="57" spans="1:39" ht="34.5" customHeight="1">
      <c r="A57" s="85">
        <v>9</v>
      </c>
      <c r="B57" s="89" t="s">
        <v>112</v>
      </c>
      <c r="C57" s="85"/>
      <c r="D57" s="88">
        <v>2006</v>
      </c>
      <c r="E57" s="85">
        <v>1</v>
      </c>
      <c r="F57" s="85">
        <v>0</v>
      </c>
      <c r="G57" s="85">
        <f>H57+I57</f>
        <v>13720000</v>
      </c>
      <c r="H57" s="85"/>
      <c r="I57" s="85">
        <v>13720000</v>
      </c>
      <c r="J57" s="85"/>
      <c r="K57" s="85"/>
      <c r="L57" s="85"/>
      <c r="M57" s="85"/>
      <c r="N57" s="85"/>
      <c r="O57" s="85"/>
      <c r="P57" s="85"/>
      <c r="Q57" s="85"/>
      <c r="R57" s="85" t="e">
        <f>ROUND(#REF!*#REF!,0)</f>
        <v>#REF!</v>
      </c>
      <c r="S57" s="85" t="e">
        <f>ROUND(#REF!*#REF!,0)</f>
        <v>#REF!</v>
      </c>
      <c r="T57" s="85" t="e">
        <f>ROUND(#REF!*#REF!,0)</f>
        <v>#REF!</v>
      </c>
      <c r="U57" s="85" t="e">
        <f>ROUND(#REF!*#REF!,0)</f>
        <v>#REF!</v>
      </c>
      <c r="V57" s="85" t="e">
        <f>M57+N57+O57+P57+SUM(Q57:T57)+U57</f>
        <v>#REF!</v>
      </c>
      <c r="W57" s="85" t="e">
        <f>G57-V57</f>
        <v>#REF!</v>
      </c>
      <c r="X57" s="85">
        <v>1</v>
      </c>
      <c r="Y57" s="89">
        <f>G57</f>
        <v>13720000</v>
      </c>
      <c r="Z57" s="89">
        <v>0</v>
      </c>
      <c r="AA57" s="90">
        <v>0</v>
      </c>
      <c r="AB57" s="89">
        <f>Y57-G57</f>
        <v>0</v>
      </c>
      <c r="AC57" s="89">
        <f>F57-Z57</f>
        <v>0</v>
      </c>
      <c r="AD57" s="89">
        <v>0.2</v>
      </c>
      <c r="AE57" s="89"/>
      <c r="AF57" s="99"/>
      <c r="AG57" s="99"/>
      <c r="AH57" s="85" t="s">
        <v>145</v>
      </c>
      <c r="AI57" s="85" t="s">
        <v>110</v>
      </c>
      <c r="AJ57" s="85" t="s">
        <v>88</v>
      </c>
      <c r="AK57" s="85" t="s">
        <v>70</v>
      </c>
      <c r="AL57" s="92"/>
    </row>
    <row r="58" spans="1:39" ht="34.5" customHeight="1">
      <c r="A58" s="85">
        <v>10</v>
      </c>
      <c r="B58" s="89" t="s">
        <v>130</v>
      </c>
      <c r="C58" s="85"/>
      <c r="D58" s="88">
        <v>2008</v>
      </c>
      <c r="E58" s="85">
        <v>1</v>
      </c>
      <c r="F58" s="85">
        <v>0</v>
      </c>
      <c r="G58" s="85">
        <f>H58+I58</f>
        <v>8000000</v>
      </c>
      <c r="H58" s="85">
        <v>8000000</v>
      </c>
      <c r="I58" s="85"/>
      <c r="J58" s="85"/>
      <c r="K58" s="85"/>
      <c r="L58" s="85"/>
      <c r="M58" s="85"/>
      <c r="N58" s="85"/>
      <c r="O58" s="85"/>
      <c r="P58" s="85"/>
      <c r="Q58" s="85"/>
      <c r="R58" s="85" t="e">
        <f>ROUND(#REF!*#REF!,0)</f>
        <v>#REF!</v>
      </c>
      <c r="S58" s="85" t="e">
        <f>ROUND(#REF!*#REF!,0)</f>
        <v>#REF!</v>
      </c>
      <c r="T58" s="85" t="e">
        <f>ROUND(#REF!*#REF!,0)</f>
        <v>#REF!</v>
      </c>
      <c r="U58" s="85" t="e">
        <f>ROUND(#REF!*#REF!,0)</f>
        <v>#REF!</v>
      </c>
      <c r="V58" s="85" t="e">
        <f>M58+N58+O58+P58+SUM(Q58:T58)+U58</f>
        <v>#REF!</v>
      </c>
      <c r="W58" s="85" t="e">
        <f>G58-V58</f>
        <v>#REF!</v>
      </c>
      <c r="X58" s="85">
        <v>1</v>
      </c>
      <c r="Y58" s="89">
        <f>G58</f>
        <v>8000000</v>
      </c>
      <c r="Z58" s="89">
        <v>0</v>
      </c>
      <c r="AA58" s="94">
        <v>0</v>
      </c>
      <c r="AB58" s="89">
        <f>Y58-G58</f>
        <v>0</v>
      </c>
      <c r="AC58" s="89">
        <f>F58-Z58</f>
        <v>0</v>
      </c>
      <c r="AD58" s="89">
        <v>0.2</v>
      </c>
      <c r="AE58" s="89" t="s">
        <v>44</v>
      </c>
      <c r="AF58" s="99"/>
      <c r="AG58" s="99"/>
      <c r="AH58" s="85" t="s">
        <v>145</v>
      </c>
      <c r="AI58" s="85" t="s">
        <v>110</v>
      </c>
      <c r="AJ58" s="85" t="s">
        <v>43</v>
      </c>
      <c r="AK58" s="85" t="s">
        <v>70</v>
      </c>
      <c r="AL58" s="92"/>
    </row>
    <row r="59" spans="1:39" ht="34.5" customHeight="1">
      <c r="A59" s="85">
        <v>11</v>
      </c>
      <c r="B59" s="89" t="s">
        <v>111</v>
      </c>
      <c r="C59" s="85"/>
      <c r="D59" s="88"/>
      <c r="E59" s="85">
        <v>1</v>
      </c>
      <c r="F59" s="85">
        <v>0</v>
      </c>
      <c r="G59" s="85">
        <f>H59+I59</f>
        <v>7847619</v>
      </c>
      <c r="H59" s="85"/>
      <c r="I59" s="85">
        <v>7847619</v>
      </c>
      <c r="J59" s="85"/>
      <c r="K59" s="85"/>
      <c r="L59" s="85"/>
      <c r="M59" s="85"/>
      <c r="N59" s="85"/>
      <c r="O59" s="85"/>
      <c r="P59" s="85">
        <f>ROUND(G59*20%,0)</f>
        <v>1569524</v>
      </c>
      <c r="Q59" s="85">
        <f>ROUND(G59*AD59,0)</f>
        <v>1569524</v>
      </c>
      <c r="R59" s="85" t="e">
        <f>ROUND(#REF!*#REF!,0)</f>
        <v>#REF!</v>
      </c>
      <c r="S59" s="85" t="e">
        <f>ROUND(#REF!*#REF!,0)</f>
        <v>#REF!</v>
      </c>
      <c r="T59" s="85" t="e">
        <f>ROUND(#REF!*#REF!,0)</f>
        <v>#REF!</v>
      </c>
      <c r="U59" s="85">
        <v>-1</v>
      </c>
      <c r="V59" s="85" t="e">
        <f>M59+N59+O59+P59+SUM(Q59:T59)+U59</f>
        <v>#REF!</v>
      </c>
      <c r="W59" s="85" t="e">
        <f>G59-V59</f>
        <v>#REF!</v>
      </c>
      <c r="X59" s="85">
        <v>1</v>
      </c>
      <c r="Y59" s="89">
        <f>G59</f>
        <v>7847619</v>
      </c>
      <c r="Z59" s="89">
        <v>0</v>
      </c>
      <c r="AA59" s="94">
        <v>0</v>
      </c>
      <c r="AB59" s="89">
        <f>Y59-G59</f>
        <v>0</v>
      </c>
      <c r="AC59" s="89">
        <f>F59-Z59</f>
        <v>0</v>
      </c>
      <c r="AD59" s="89">
        <v>0.2</v>
      </c>
      <c r="AE59" s="89" t="s">
        <v>44</v>
      </c>
      <c r="AF59" s="99"/>
      <c r="AG59" s="99"/>
      <c r="AH59" s="85" t="s">
        <v>145</v>
      </c>
      <c r="AI59" s="85" t="s">
        <v>110</v>
      </c>
      <c r="AJ59" s="85" t="s">
        <v>88</v>
      </c>
      <c r="AK59" s="85" t="s">
        <v>70</v>
      </c>
      <c r="AL59" s="92"/>
    </row>
    <row r="60" spans="1:39" ht="34.5" customHeight="1">
      <c r="A60" s="117" t="s">
        <v>39</v>
      </c>
      <c r="B60" s="98" t="s">
        <v>204</v>
      </c>
      <c r="C60" s="85"/>
      <c r="D60" s="88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9"/>
      <c r="Z60" s="89"/>
      <c r="AA60" s="94"/>
      <c r="AB60" s="89"/>
      <c r="AC60" s="89"/>
      <c r="AD60" s="89"/>
      <c r="AE60" s="89"/>
      <c r="AF60" s="99"/>
      <c r="AG60" s="99"/>
      <c r="AH60" s="85"/>
      <c r="AI60" s="85"/>
      <c r="AJ60" s="85"/>
      <c r="AK60" s="85"/>
      <c r="AL60" s="92"/>
      <c r="AM60" s="61"/>
    </row>
    <row r="61" spans="1:39" s="138" customFormat="1" ht="34.5" customHeight="1">
      <c r="A61" s="129">
        <v>1</v>
      </c>
      <c r="B61" s="154" t="s">
        <v>205</v>
      </c>
      <c r="C61" s="155" t="s">
        <v>206</v>
      </c>
      <c r="D61" s="132"/>
      <c r="E61" s="129">
        <v>1</v>
      </c>
      <c r="F61" s="129">
        <v>0</v>
      </c>
      <c r="G61" s="129">
        <f t="shared" ref="G61:G65" si="6">H61+I61</f>
        <v>7847619</v>
      </c>
      <c r="H61" s="129"/>
      <c r="I61" s="129">
        <v>7847619</v>
      </c>
      <c r="J61" s="129"/>
      <c r="K61" s="129"/>
      <c r="L61" s="129"/>
      <c r="M61" s="129"/>
      <c r="N61" s="129"/>
      <c r="O61" s="129"/>
      <c r="P61" s="129">
        <f t="shared" ref="P61:P65" si="7">ROUND(G61*20%,0)</f>
        <v>1569524</v>
      </c>
      <c r="Q61" s="129">
        <f t="shared" ref="Q61:Q65" si="8">ROUND(G61*AD61,0)</f>
        <v>0</v>
      </c>
      <c r="R61" s="129" t="e">
        <f>ROUND(#REF!*#REF!,0)</f>
        <v>#REF!</v>
      </c>
      <c r="S61" s="129" t="e">
        <f>ROUND(#REF!*#REF!,0)</f>
        <v>#REF!</v>
      </c>
      <c r="T61" s="129" t="e">
        <f>ROUND(#REF!*#REF!,0)</f>
        <v>#REF!</v>
      </c>
      <c r="U61" s="129">
        <v>-1</v>
      </c>
      <c r="V61" s="129" t="e">
        <f t="shared" ref="V61:V65" si="9">M61+N61+O61+P61+SUM(Q61:T61)+U61</f>
        <v>#REF!</v>
      </c>
      <c r="W61" s="129" t="e">
        <f t="shared" ref="W61:W65" si="10">G61-V61</f>
        <v>#REF!</v>
      </c>
      <c r="X61" s="129">
        <v>1</v>
      </c>
      <c r="Y61" s="133">
        <f t="shared" ref="Y61:Y65" si="11">G61</f>
        <v>7847619</v>
      </c>
      <c r="Z61" s="133">
        <v>0</v>
      </c>
      <c r="AA61" s="141">
        <v>0</v>
      </c>
      <c r="AB61" s="133"/>
      <c r="AC61" s="133"/>
      <c r="AD61" s="133"/>
      <c r="AE61" s="133"/>
      <c r="AF61" s="156">
        <v>4050000</v>
      </c>
      <c r="AG61" s="156">
        <v>4050000</v>
      </c>
      <c r="AH61" s="129"/>
      <c r="AI61" s="129"/>
      <c r="AJ61" s="129"/>
      <c r="AK61" s="129" t="s">
        <v>181</v>
      </c>
      <c r="AL61" s="136" t="s">
        <v>218</v>
      </c>
    </row>
    <row r="62" spans="1:39" ht="34.5" customHeight="1">
      <c r="A62" s="85">
        <v>2</v>
      </c>
      <c r="B62" s="105" t="s">
        <v>207</v>
      </c>
      <c r="C62" s="106" t="s">
        <v>208</v>
      </c>
      <c r="D62" s="88"/>
      <c r="E62" s="85">
        <v>1</v>
      </c>
      <c r="F62" s="85">
        <v>0</v>
      </c>
      <c r="G62" s="85">
        <f t="shared" si="6"/>
        <v>7847619</v>
      </c>
      <c r="H62" s="85"/>
      <c r="I62" s="85">
        <v>7847619</v>
      </c>
      <c r="J62" s="85"/>
      <c r="K62" s="85"/>
      <c r="L62" s="85"/>
      <c r="M62" s="85"/>
      <c r="N62" s="85"/>
      <c r="O62" s="85"/>
      <c r="P62" s="85">
        <f t="shared" si="7"/>
        <v>1569524</v>
      </c>
      <c r="Q62" s="85">
        <f t="shared" si="8"/>
        <v>0</v>
      </c>
      <c r="R62" s="85" t="e">
        <f>ROUND(#REF!*#REF!,0)</f>
        <v>#REF!</v>
      </c>
      <c r="S62" s="85" t="e">
        <f>ROUND(#REF!*#REF!,0)</f>
        <v>#REF!</v>
      </c>
      <c r="T62" s="85" t="e">
        <f>ROUND(#REF!*#REF!,0)</f>
        <v>#REF!</v>
      </c>
      <c r="U62" s="85">
        <v>-1</v>
      </c>
      <c r="V62" s="85" t="e">
        <f t="shared" si="9"/>
        <v>#REF!</v>
      </c>
      <c r="W62" s="85" t="e">
        <f t="shared" si="10"/>
        <v>#REF!</v>
      </c>
      <c r="X62" s="85">
        <v>1</v>
      </c>
      <c r="Y62" s="89">
        <f t="shared" si="11"/>
        <v>7847619</v>
      </c>
      <c r="Z62" s="89">
        <v>0</v>
      </c>
      <c r="AA62" s="94">
        <v>0</v>
      </c>
      <c r="AB62" s="89"/>
      <c r="AC62" s="89"/>
      <c r="AD62" s="89"/>
      <c r="AE62" s="89"/>
      <c r="AF62" s="107">
        <v>0</v>
      </c>
      <c r="AG62" s="107">
        <v>0</v>
      </c>
      <c r="AH62" s="85"/>
      <c r="AI62" s="85"/>
      <c r="AJ62" s="85"/>
      <c r="AK62" s="85" t="s">
        <v>181</v>
      </c>
      <c r="AL62" s="92" t="s">
        <v>218</v>
      </c>
      <c r="AM62" s="61"/>
    </row>
    <row r="63" spans="1:39" ht="34.5" customHeight="1">
      <c r="A63" s="85">
        <v>3</v>
      </c>
      <c r="B63" s="105" t="s">
        <v>191</v>
      </c>
      <c r="C63" s="106" t="s">
        <v>209</v>
      </c>
      <c r="D63" s="88"/>
      <c r="E63" s="85">
        <v>1</v>
      </c>
      <c r="F63" s="85">
        <v>0</v>
      </c>
      <c r="G63" s="85">
        <f t="shared" si="6"/>
        <v>7847619</v>
      </c>
      <c r="H63" s="85"/>
      <c r="I63" s="85">
        <v>7847619</v>
      </c>
      <c r="J63" s="85"/>
      <c r="K63" s="85"/>
      <c r="L63" s="85"/>
      <c r="M63" s="85"/>
      <c r="N63" s="85"/>
      <c r="O63" s="85"/>
      <c r="P63" s="85">
        <f t="shared" si="7"/>
        <v>1569524</v>
      </c>
      <c r="Q63" s="85">
        <f t="shared" si="8"/>
        <v>0</v>
      </c>
      <c r="R63" s="85" t="e">
        <f>ROUND(#REF!*#REF!,0)</f>
        <v>#REF!</v>
      </c>
      <c r="S63" s="85" t="e">
        <f>ROUND(#REF!*#REF!,0)</f>
        <v>#REF!</v>
      </c>
      <c r="T63" s="85" t="e">
        <f>ROUND(#REF!*#REF!,0)</f>
        <v>#REF!</v>
      </c>
      <c r="U63" s="85">
        <v>-1</v>
      </c>
      <c r="V63" s="85" t="e">
        <f t="shared" si="9"/>
        <v>#REF!</v>
      </c>
      <c r="W63" s="85" t="e">
        <f t="shared" si="10"/>
        <v>#REF!</v>
      </c>
      <c r="X63" s="85">
        <v>1</v>
      </c>
      <c r="Y63" s="89">
        <f t="shared" si="11"/>
        <v>7847619</v>
      </c>
      <c r="Z63" s="89">
        <v>0</v>
      </c>
      <c r="AA63" s="94">
        <v>0</v>
      </c>
      <c r="AB63" s="89"/>
      <c r="AC63" s="89"/>
      <c r="AD63" s="89"/>
      <c r="AE63" s="89"/>
      <c r="AF63" s="107">
        <v>0</v>
      </c>
      <c r="AG63" s="107">
        <v>0</v>
      </c>
      <c r="AH63" s="85"/>
      <c r="AI63" s="85"/>
      <c r="AJ63" s="85"/>
      <c r="AK63" s="85" t="s">
        <v>181</v>
      </c>
      <c r="AL63" s="92" t="s">
        <v>218</v>
      </c>
      <c r="AM63" s="61"/>
    </row>
    <row r="64" spans="1:39" ht="34.5" customHeight="1">
      <c r="A64" s="85">
        <v>4</v>
      </c>
      <c r="B64" s="105" t="s">
        <v>210</v>
      </c>
      <c r="C64" s="106" t="s">
        <v>211</v>
      </c>
      <c r="D64" s="88"/>
      <c r="E64" s="85">
        <v>1</v>
      </c>
      <c r="F64" s="85">
        <v>0</v>
      </c>
      <c r="G64" s="85">
        <f t="shared" si="6"/>
        <v>7847619</v>
      </c>
      <c r="H64" s="85"/>
      <c r="I64" s="85">
        <v>7847619</v>
      </c>
      <c r="J64" s="85"/>
      <c r="K64" s="85"/>
      <c r="L64" s="85"/>
      <c r="M64" s="85"/>
      <c r="N64" s="85"/>
      <c r="O64" s="85"/>
      <c r="P64" s="85">
        <f t="shared" si="7"/>
        <v>1569524</v>
      </c>
      <c r="Q64" s="85">
        <f t="shared" si="8"/>
        <v>0</v>
      </c>
      <c r="R64" s="85" t="e">
        <f>ROUND(#REF!*#REF!,0)</f>
        <v>#REF!</v>
      </c>
      <c r="S64" s="85" t="e">
        <f>ROUND(#REF!*#REF!,0)</f>
        <v>#REF!</v>
      </c>
      <c r="T64" s="85" t="e">
        <f>ROUND(#REF!*#REF!,0)</f>
        <v>#REF!</v>
      </c>
      <c r="U64" s="85">
        <v>-1</v>
      </c>
      <c r="V64" s="85" t="e">
        <f t="shared" si="9"/>
        <v>#REF!</v>
      </c>
      <c r="W64" s="85" t="e">
        <f t="shared" si="10"/>
        <v>#REF!</v>
      </c>
      <c r="X64" s="85">
        <v>1</v>
      </c>
      <c r="Y64" s="89">
        <f t="shared" si="11"/>
        <v>7847619</v>
      </c>
      <c r="Z64" s="89">
        <v>0</v>
      </c>
      <c r="AA64" s="94">
        <v>0</v>
      </c>
      <c r="AB64" s="89"/>
      <c r="AC64" s="89"/>
      <c r="AD64" s="89"/>
      <c r="AE64" s="89"/>
      <c r="AF64" s="107">
        <v>0</v>
      </c>
      <c r="AG64" s="107">
        <v>0</v>
      </c>
      <c r="AH64" s="85"/>
      <c r="AI64" s="85"/>
      <c r="AJ64" s="85"/>
      <c r="AK64" s="85" t="s">
        <v>181</v>
      </c>
      <c r="AL64" s="92" t="s">
        <v>218</v>
      </c>
      <c r="AM64" s="61"/>
    </row>
    <row r="65" spans="1:42" ht="34.5" customHeight="1">
      <c r="A65" s="85">
        <v>5</v>
      </c>
      <c r="B65" s="105" t="s">
        <v>212</v>
      </c>
      <c r="C65" s="106" t="s">
        <v>213</v>
      </c>
      <c r="D65" s="88"/>
      <c r="E65" s="85">
        <v>1</v>
      </c>
      <c r="F65" s="85">
        <v>0</v>
      </c>
      <c r="G65" s="85">
        <f t="shared" si="6"/>
        <v>7847619</v>
      </c>
      <c r="H65" s="85"/>
      <c r="I65" s="85">
        <v>7847619</v>
      </c>
      <c r="J65" s="85"/>
      <c r="K65" s="85"/>
      <c r="L65" s="85"/>
      <c r="M65" s="85"/>
      <c r="N65" s="85"/>
      <c r="O65" s="85"/>
      <c r="P65" s="85">
        <f t="shared" si="7"/>
        <v>1569524</v>
      </c>
      <c r="Q65" s="85">
        <f t="shared" si="8"/>
        <v>0</v>
      </c>
      <c r="R65" s="85" t="e">
        <f>ROUND(#REF!*#REF!,0)</f>
        <v>#REF!</v>
      </c>
      <c r="S65" s="85" t="e">
        <f>ROUND(#REF!*#REF!,0)</f>
        <v>#REF!</v>
      </c>
      <c r="T65" s="85" t="e">
        <f>ROUND(#REF!*#REF!,0)</f>
        <v>#REF!</v>
      </c>
      <c r="U65" s="85">
        <v>-1</v>
      </c>
      <c r="V65" s="85" t="e">
        <f t="shared" si="9"/>
        <v>#REF!</v>
      </c>
      <c r="W65" s="85" t="e">
        <f t="shared" si="10"/>
        <v>#REF!</v>
      </c>
      <c r="X65" s="85">
        <v>0</v>
      </c>
      <c r="Y65" s="89">
        <f t="shared" si="11"/>
        <v>7847619</v>
      </c>
      <c r="Z65" s="89">
        <v>0</v>
      </c>
      <c r="AA65" s="94" t="s">
        <v>156</v>
      </c>
      <c r="AB65" s="89"/>
      <c r="AC65" s="89"/>
      <c r="AD65" s="89"/>
      <c r="AE65" s="89"/>
      <c r="AF65" s="107">
        <v>0</v>
      </c>
      <c r="AG65" s="107">
        <v>0</v>
      </c>
      <c r="AH65" s="85"/>
      <c r="AI65" s="85"/>
      <c r="AJ65" s="85"/>
      <c r="AK65" s="85" t="s">
        <v>181</v>
      </c>
      <c r="AL65" s="92" t="s">
        <v>222</v>
      </c>
      <c r="AM65" s="61"/>
    </row>
    <row r="66" spans="1:42" s="138" customFormat="1" ht="34.5" customHeight="1">
      <c r="A66" s="129">
        <v>6</v>
      </c>
      <c r="B66" s="154" t="s">
        <v>188</v>
      </c>
      <c r="C66" s="155" t="s">
        <v>214</v>
      </c>
      <c r="D66" s="132"/>
      <c r="E66" s="129">
        <v>1</v>
      </c>
      <c r="F66" s="129">
        <v>0</v>
      </c>
      <c r="G66" s="129">
        <f t="shared" ref="G66:G67" si="12">H66+I66</f>
        <v>7847619</v>
      </c>
      <c r="H66" s="129"/>
      <c r="I66" s="129">
        <v>7847619</v>
      </c>
      <c r="J66" s="129"/>
      <c r="K66" s="129"/>
      <c r="L66" s="129"/>
      <c r="M66" s="129"/>
      <c r="N66" s="129"/>
      <c r="O66" s="129"/>
      <c r="P66" s="129">
        <f t="shared" ref="P66:P67" si="13">ROUND(G66*20%,0)</f>
        <v>1569524</v>
      </c>
      <c r="Q66" s="129">
        <f t="shared" ref="Q66:Q67" si="14">ROUND(G66*AD66,0)</f>
        <v>0</v>
      </c>
      <c r="R66" s="129" t="e">
        <f>ROUND(#REF!*#REF!,0)</f>
        <v>#REF!</v>
      </c>
      <c r="S66" s="129" t="e">
        <f>ROUND(#REF!*#REF!,0)</f>
        <v>#REF!</v>
      </c>
      <c r="T66" s="129" t="e">
        <f>ROUND(#REF!*#REF!,0)</f>
        <v>#REF!</v>
      </c>
      <c r="U66" s="129">
        <v>-1</v>
      </c>
      <c r="V66" s="129" t="e">
        <f t="shared" ref="V66:V67" si="15">M66+N66+O66+P66+SUM(Q66:T66)+U66</f>
        <v>#REF!</v>
      </c>
      <c r="W66" s="129" t="e">
        <f t="shared" ref="W66:W67" si="16">G66-V66</f>
        <v>#REF!</v>
      </c>
      <c r="X66" s="129">
        <v>1</v>
      </c>
      <c r="Y66" s="133">
        <f t="shared" ref="Y66:Y67" si="17">G66</f>
        <v>7847619</v>
      </c>
      <c r="Z66" s="133">
        <v>0</v>
      </c>
      <c r="AA66" s="141">
        <v>0</v>
      </c>
      <c r="AB66" s="133"/>
      <c r="AC66" s="133"/>
      <c r="AD66" s="133"/>
      <c r="AE66" s="133"/>
      <c r="AF66" s="156">
        <v>1230000</v>
      </c>
      <c r="AG66" s="156">
        <v>1230000</v>
      </c>
      <c r="AH66" s="129"/>
      <c r="AI66" s="129"/>
      <c r="AJ66" s="129"/>
      <c r="AK66" s="129" t="s">
        <v>181</v>
      </c>
      <c r="AL66" s="136" t="s">
        <v>218</v>
      </c>
    </row>
    <row r="67" spans="1:42" s="138" customFormat="1" ht="34.5" customHeight="1">
      <c r="A67" s="129">
        <v>7</v>
      </c>
      <c r="B67" s="154" t="s">
        <v>188</v>
      </c>
      <c r="C67" s="155" t="s">
        <v>215</v>
      </c>
      <c r="D67" s="132"/>
      <c r="E67" s="129">
        <v>1</v>
      </c>
      <c r="F67" s="129">
        <v>0</v>
      </c>
      <c r="G67" s="129">
        <f t="shared" si="12"/>
        <v>7847619</v>
      </c>
      <c r="H67" s="129"/>
      <c r="I67" s="129">
        <v>7847619</v>
      </c>
      <c r="J67" s="129"/>
      <c r="K67" s="129"/>
      <c r="L67" s="129"/>
      <c r="M67" s="129"/>
      <c r="N67" s="129"/>
      <c r="O67" s="129"/>
      <c r="P67" s="129">
        <f t="shared" si="13"/>
        <v>1569524</v>
      </c>
      <c r="Q67" s="129">
        <f t="shared" si="14"/>
        <v>0</v>
      </c>
      <c r="R67" s="129" t="e">
        <f>ROUND(#REF!*#REF!,0)</f>
        <v>#REF!</v>
      </c>
      <c r="S67" s="129" t="e">
        <f>ROUND(#REF!*#REF!,0)</f>
        <v>#REF!</v>
      </c>
      <c r="T67" s="129" t="e">
        <f>ROUND(#REF!*#REF!,0)</f>
        <v>#REF!</v>
      </c>
      <c r="U67" s="129">
        <v>-1</v>
      </c>
      <c r="V67" s="129" t="e">
        <f t="shared" si="15"/>
        <v>#REF!</v>
      </c>
      <c r="W67" s="129" t="e">
        <f t="shared" si="16"/>
        <v>#REF!</v>
      </c>
      <c r="X67" s="129">
        <v>1</v>
      </c>
      <c r="Y67" s="133">
        <f t="shared" si="17"/>
        <v>7847619</v>
      </c>
      <c r="Z67" s="133">
        <v>0</v>
      </c>
      <c r="AA67" s="141">
        <v>0</v>
      </c>
      <c r="AB67" s="133"/>
      <c r="AC67" s="133"/>
      <c r="AD67" s="133"/>
      <c r="AE67" s="133"/>
      <c r="AF67" s="156">
        <v>1230000</v>
      </c>
      <c r="AG67" s="156">
        <v>1230000</v>
      </c>
      <c r="AH67" s="129"/>
      <c r="AI67" s="129"/>
      <c r="AJ67" s="129"/>
      <c r="AK67" s="129" t="s">
        <v>181</v>
      </c>
      <c r="AL67" s="136" t="s">
        <v>218</v>
      </c>
    </row>
    <row r="68" spans="1:42" s="138" customFormat="1" ht="34.5" customHeight="1">
      <c r="A68" s="129">
        <v>8</v>
      </c>
      <c r="B68" s="154" t="s">
        <v>216</v>
      </c>
      <c r="C68" s="155" t="s">
        <v>217</v>
      </c>
      <c r="D68" s="132"/>
      <c r="E68" s="129">
        <v>1</v>
      </c>
      <c r="F68" s="129">
        <v>0</v>
      </c>
      <c r="G68" s="129">
        <f t="shared" ref="G68" si="18">H68+I68</f>
        <v>7847619</v>
      </c>
      <c r="H68" s="129"/>
      <c r="I68" s="129">
        <v>7847619</v>
      </c>
      <c r="J68" s="129"/>
      <c r="K68" s="129"/>
      <c r="L68" s="129"/>
      <c r="M68" s="129"/>
      <c r="N68" s="129"/>
      <c r="O68" s="129"/>
      <c r="P68" s="129">
        <f t="shared" ref="P68" si="19">ROUND(G68*20%,0)</f>
        <v>1569524</v>
      </c>
      <c r="Q68" s="129">
        <f t="shared" ref="Q68" si="20">ROUND(G68*AD68,0)</f>
        <v>0</v>
      </c>
      <c r="R68" s="129" t="e">
        <f>ROUND(#REF!*#REF!,0)</f>
        <v>#REF!</v>
      </c>
      <c r="S68" s="129" t="e">
        <f>ROUND(#REF!*#REF!,0)</f>
        <v>#REF!</v>
      </c>
      <c r="T68" s="129" t="e">
        <f>ROUND(#REF!*#REF!,0)</f>
        <v>#REF!</v>
      </c>
      <c r="U68" s="129">
        <v>-1</v>
      </c>
      <c r="V68" s="129" t="e">
        <f t="shared" ref="V68" si="21">M68+N68+O68+P68+SUM(Q68:T68)+U68</f>
        <v>#REF!</v>
      </c>
      <c r="W68" s="129" t="e">
        <f t="shared" ref="W68" si="22">G68-V68</f>
        <v>#REF!</v>
      </c>
      <c r="X68" s="129">
        <v>1</v>
      </c>
      <c r="Y68" s="133">
        <f t="shared" ref="Y68" si="23">G68</f>
        <v>7847619</v>
      </c>
      <c r="Z68" s="133">
        <v>0</v>
      </c>
      <c r="AA68" s="141">
        <v>0</v>
      </c>
      <c r="AB68" s="133"/>
      <c r="AC68" s="133"/>
      <c r="AD68" s="133"/>
      <c r="AE68" s="133"/>
      <c r="AF68" s="156">
        <v>7000000</v>
      </c>
      <c r="AG68" s="156">
        <v>7000000</v>
      </c>
      <c r="AH68" s="129"/>
      <c r="AI68" s="129"/>
      <c r="AJ68" s="129"/>
      <c r="AK68" s="129" t="s">
        <v>181</v>
      </c>
      <c r="AL68" s="136" t="s">
        <v>218</v>
      </c>
    </row>
    <row r="69" spans="1:42" s="138" customFormat="1" ht="34.5" customHeight="1">
      <c r="A69" s="129">
        <v>9</v>
      </c>
      <c r="B69" s="154" t="s">
        <v>186</v>
      </c>
      <c r="C69" s="155" t="s">
        <v>219</v>
      </c>
      <c r="D69" s="132"/>
      <c r="E69" s="129">
        <v>1</v>
      </c>
      <c r="F69" s="129">
        <v>0</v>
      </c>
      <c r="G69" s="129">
        <f t="shared" ref="G69" si="24">H69+I69</f>
        <v>7847619</v>
      </c>
      <c r="H69" s="129"/>
      <c r="I69" s="129">
        <v>7847619</v>
      </c>
      <c r="J69" s="129"/>
      <c r="K69" s="129"/>
      <c r="L69" s="129"/>
      <c r="M69" s="129"/>
      <c r="N69" s="129"/>
      <c r="O69" s="129"/>
      <c r="P69" s="129">
        <f t="shared" ref="P69" si="25">ROUND(G69*20%,0)</f>
        <v>1569524</v>
      </c>
      <c r="Q69" s="129">
        <f t="shared" ref="Q69" si="26">ROUND(G69*AD69,0)</f>
        <v>0</v>
      </c>
      <c r="R69" s="129" t="e">
        <f>ROUND(#REF!*#REF!,0)</f>
        <v>#REF!</v>
      </c>
      <c r="S69" s="129" t="e">
        <f>ROUND(#REF!*#REF!,0)</f>
        <v>#REF!</v>
      </c>
      <c r="T69" s="129" t="e">
        <f>ROUND(#REF!*#REF!,0)</f>
        <v>#REF!</v>
      </c>
      <c r="U69" s="129">
        <v>-1</v>
      </c>
      <c r="V69" s="129" t="e">
        <f t="shared" ref="V69" si="27">M69+N69+O69+P69+SUM(Q69:T69)+U69</f>
        <v>#REF!</v>
      </c>
      <c r="W69" s="129" t="e">
        <f t="shared" ref="W69" si="28">G69-V69</f>
        <v>#REF!</v>
      </c>
      <c r="X69" s="129">
        <v>1</v>
      </c>
      <c r="Y69" s="133">
        <f t="shared" ref="Y69" si="29">G69</f>
        <v>7847619</v>
      </c>
      <c r="Z69" s="133">
        <v>0</v>
      </c>
      <c r="AA69" s="141">
        <v>0</v>
      </c>
      <c r="AB69" s="133"/>
      <c r="AC69" s="133"/>
      <c r="AD69" s="133"/>
      <c r="AE69" s="133"/>
      <c r="AF69" s="157">
        <v>2150000</v>
      </c>
      <c r="AG69" s="157">
        <v>2150000</v>
      </c>
      <c r="AH69" s="129"/>
      <c r="AI69" s="129"/>
      <c r="AJ69" s="129"/>
      <c r="AK69" s="129" t="s">
        <v>181</v>
      </c>
      <c r="AL69" s="136" t="s">
        <v>218</v>
      </c>
    </row>
    <row r="70" spans="1:42" s="42" customFormat="1" ht="14.25">
      <c r="A70" s="126"/>
      <c r="B70" s="143" t="s">
        <v>224</v>
      </c>
      <c r="C70" s="144"/>
      <c r="D70" s="143"/>
      <c r="E70" s="126"/>
      <c r="F70" s="126"/>
      <c r="G70" s="145"/>
      <c r="H70" s="145"/>
      <c r="I70" s="145"/>
      <c r="J70" s="146"/>
      <c r="K70" s="146"/>
      <c r="L70" s="127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26"/>
      <c r="Z70" s="146"/>
      <c r="AA70" s="145"/>
      <c r="AB70" s="147"/>
      <c r="AC70" s="146"/>
      <c r="AD70" s="146"/>
      <c r="AE70" s="148"/>
      <c r="AF70" s="30"/>
      <c r="AG70" s="44">
        <f>SUM(AG26:AG69)</f>
        <v>45550000</v>
      </c>
      <c r="AH70" s="149"/>
      <c r="AI70" s="126"/>
      <c r="AJ70" s="126"/>
      <c r="AK70" s="125"/>
      <c r="AL70" s="128"/>
      <c r="AM70" s="150"/>
      <c r="AN70" s="151"/>
      <c r="AO70" s="152"/>
      <c r="AP70" s="151"/>
    </row>
    <row r="71" spans="1:42" s="104" customFormat="1" ht="24" customHeight="1">
      <c r="A71" s="122"/>
      <c r="E71" s="122"/>
      <c r="F71" s="108"/>
      <c r="K71" s="122"/>
      <c r="X71" s="122"/>
      <c r="AA71" s="65"/>
      <c r="AB71" s="109"/>
      <c r="AF71" s="63"/>
      <c r="AG71" s="63"/>
      <c r="AH71" s="122"/>
      <c r="AI71" s="188" t="s">
        <v>202</v>
      </c>
      <c r="AJ71" s="188"/>
      <c r="AK71" s="188"/>
      <c r="AL71" s="188"/>
    </row>
    <row r="72" spans="1:42" s="104" customFormat="1" ht="15.75" customHeight="1">
      <c r="A72" s="122"/>
      <c r="B72" s="104" t="s">
        <v>53</v>
      </c>
      <c r="C72" s="184" t="s">
        <v>119</v>
      </c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AA72" s="184" t="s">
        <v>54</v>
      </c>
      <c r="AB72" s="184"/>
      <c r="AC72" s="184"/>
      <c r="AD72" s="184"/>
      <c r="AE72" s="184"/>
      <c r="AF72" s="184"/>
      <c r="AG72" s="184"/>
      <c r="AH72" s="184"/>
      <c r="AI72" s="184"/>
      <c r="AJ72" s="184" t="s">
        <v>55</v>
      </c>
      <c r="AK72" s="184"/>
      <c r="AL72" s="184"/>
    </row>
    <row r="73" spans="1:42" s="104" customFormat="1" ht="15.75" customHeight="1">
      <c r="A73" s="122" t="s">
        <v>56</v>
      </c>
      <c r="B73" s="104" t="s">
        <v>96</v>
      </c>
      <c r="C73" s="61"/>
      <c r="E73" s="122"/>
      <c r="F73" s="108"/>
      <c r="K73" s="122"/>
      <c r="X73" s="122"/>
      <c r="AA73" s="65"/>
      <c r="AB73" s="109"/>
      <c r="AF73" s="63"/>
      <c r="AG73" s="63"/>
      <c r="AH73" s="122"/>
      <c r="AI73" s="122"/>
      <c r="AJ73" s="122"/>
      <c r="AK73" s="122"/>
      <c r="AL73" s="110"/>
    </row>
    <row r="74" spans="1:42" s="104" customFormat="1" ht="15.75" customHeight="1">
      <c r="A74" s="122" t="s">
        <v>56</v>
      </c>
      <c r="B74" s="104" t="s">
        <v>92</v>
      </c>
      <c r="C74" s="61"/>
      <c r="E74" s="122"/>
      <c r="F74" s="108"/>
      <c r="K74" s="122"/>
      <c r="X74" s="122"/>
      <c r="AA74" s="65"/>
      <c r="AB74" s="109"/>
      <c r="AF74" s="63"/>
      <c r="AG74" s="63"/>
      <c r="AH74" s="122"/>
      <c r="AI74" s="122"/>
      <c r="AJ74" s="122"/>
      <c r="AK74" s="122"/>
      <c r="AL74" s="110"/>
    </row>
    <row r="75" spans="1:42" s="112" customFormat="1" ht="15.75" customHeight="1">
      <c r="A75" s="111" t="s">
        <v>56</v>
      </c>
      <c r="B75" s="104" t="s">
        <v>153</v>
      </c>
      <c r="D75" s="61"/>
      <c r="E75" s="122"/>
      <c r="F75" s="108"/>
      <c r="G75" s="104"/>
      <c r="H75" s="104"/>
      <c r="I75" s="104"/>
      <c r="J75" s="104"/>
      <c r="K75" s="122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22"/>
      <c r="Y75" s="104"/>
      <c r="Z75" s="104"/>
      <c r="AA75" s="65"/>
      <c r="AB75" s="113"/>
      <c r="AC75" s="104"/>
      <c r="AD75" s="104"/>
      <c r="AE75" s="104"/>
      <c r="AF75" s="63"/>
      <c r="AG75" s="63"/>
      <c r="AH75" s="104"/>
      <c r="AI75" s="104"/>
      <c r="AJ75" s="122"/>
      <c r="AK75" s="122"/>
      <c r="AL75" s="110"/>
      <c r="AM75" s="104"/>
      <c r="AN75" s="104"/>
    </row>
    <row r="76" spans="1:42" s="104" customFormat="1" ht="15.75" customHeight="1">
      <c r="A76" s="122" t="s">
        <v>56</v>
      </c>
      <c r="B76" s="104" t="s">
        <v>200</v>
      </c>
      <c r="C76" s="61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</row>
    <row r="77" spans="1:42" s="104" customFormat="1" ht="15.75" customHeight="1">
      <c r="A77" s="122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AA77" s="184" t="s">
        <v>201</v>
      </c>
      <c r="AB77" s="184"/>
      <c r="AC77" s="184"/>
      <c r="AD77" s="184"/>
      <c r="AE77" s="184"/>
      <c r="AF77" s="184"/>
      <c r="AG77" s="184"/>
      <c r="AH77" s="184"/>
      <c r="AI77" s="184"/>
      <c r="AJ77" s="184" t="s">
        <v>151</v>
      </c>
      <c r="AK77" s="184"/>
      <c r="AL77" s="184"/>
    </row>
    <row r="78" spans="1:42" s="104" customFormat="1">
      <c r="A78" s="122"/>
      <c r="E78" s="122"/>
      <c r="F78" s="108"/>
      <c r="K78" s="122"/>
      <c r="X78" s="122"/>
      <c r="AA78" s="65"/>
      <c r="AB78" s="109"/>
      <c r="AF78" s="63"/>
      <c r="AG78" s="63"/>
      <c r="AH78" s="122"/>
      <c r="AI78" s="122"/>
      <c r="AJ78" s="122"/>
      <c r="AK78" s="122"/>
      <c r="AL78" s="110"/>
    </row>
    <row r="79" spans="1:42" s="104" customFormat="1">
      <c r="A79" s="122"/>
      <c r="E79" s="122"/>
      <c r="F79" s="108"/>
      <c r="K79" s="122"/>
      <c r="X79" s="122"/>
      <c r="AA79" s="65"/>
      <c r="AB79" s="109"/>
      <c r="AF79" s="63"/>
      <c r="AG79" s="63"/>
      <c r="AH79" s="122"/>
      <c r="AI79" s="122"/>
      <c r="AJ79" s="122"/>
      <c r="AK79" s="122"/>
      <c r="AL79" s="110"/>
    </row>
    <row r="80" spans="1:42" s="104" customFormat="1">
      <c r="A80" s="122"/>
      <c r="E80" s="122"/>
      <c r="F80" s="108"/>
      <c r="K80" s="122"/>
      <c r="X80" s="122"/>
      <c r="AA80" s="65"/>
      <c r="AB80" s="109"/>
      <c r="AF80" s="63"/>
      <c r="AG80" s="63"/>
      <c r="AH80" s="122"/>
      <c r="AI80" s="122"/>
      <c r="AJ80" s="122"/>
      <c r="AK80" s="122"/>
      <c r="AL80" s="110"/>
    </row>
    <row r="81" spans="1:38" s="104" customFormat="1">
      <c r="A81" s="122"/>
      <c r="C81" s="61"/>
      <c r="D81" s="61"/>
      <c r="E81" s="118"/>
      <c r="F81" s="69"/>
      <c r="G81" s="61"/>
      <c r="H81" s="61"/>
      <c r="I81" s="61"/>
      <c r="J81" s="61"/>
      <c r="K81" s="118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118"/>
      <c r="Y81" s="61"/>
      <c r="Z81" s="61"/>
      <c r="AA81" s="65"/>
      <c r="AB81" s="109"/>
      <c r="AF81" s="63"/>
      <c r="AG81" s="63"/>
      <c r="AH81" s="122"/>
      <c r="AI81" s="122"/>
      <c r="AJ81" s="122"/>
      <c r="AK81" s="122"/>
      <c r="AL81" s="110"/>
    </row>
    <row r="82" spans="1:38" s="104" customFormat="1" ht="205.5" customHeight="1">
      <c r="A82" s="189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</row>
    <row r="83" spans="1:38" s="104" customFormat="1" ht="205.5" customHeight="1">
      <c r="A83" s="124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65"/>
      <c r="AB83" s="122"/>
      <c r="AC83" s="122"/>
      <c r="AD83" s="122"/>
      <c r="AE83" s="122"/>
      <c r="AF83" s="63"/>
      <c r="AG83" s="63"/>
      <c r="AH83" s="122"/>
      <c r="AI83" s="122"/>
      <c r="AJ83" s="122"/>
      <c r="AK83" s="122"/>
      <c r="AL83" s="124"/>
    </row>
    <row r="84" spans="1:38" s="104" customFormat="1" ht="205.5" customHeight="1">
      <c r="A84" s="124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65"/>
      <c r="AB84" s="122"/>
      <c r="AC84" s="122"/>
      <c r="AD84" s="122"/>
      <c r="AE84" s="122"/>
      <c r="AF84" s="63"/>
      <c r="AG84" s="63"/>
      <c r="AH84" s="122"/>
      <c r="AI84" s="122"/>
      <c r="AJ84" s="122"/>
      <c r="AK84" s="122"/>
      <c r="AL84" s="124"/>
    </row>
    <row r="85" spans="1:38" s="104" customFormat="1" ht="205.5" customHeight="1">
      <c r="A85" s="124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65"/>
      <c r="AB85" s="122"/>
      <c r="AC85" s="122"/>
      <c r="AD85" s="122"/>
      <c r="AE85" s="122"/>
      <c r="AF85" s="63"/>
      <c r="AG85" s="63"/>
      <c r="AH85" s="122"/>
      <c r="AI85" s="122"/>
      <c r="AJ85" s="122"/>
      <c r="AK85" s="122"/>
      <c r="AL85" s="124"/>
    </row>
    <row r="86" spans="1:38" s="104" customFormat="1">
      <c r="A86" s="173" t="s">
        <v>146</v>
      </c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</row>
    <row r="87" spans="1:38" s="104" customFormat="1">
      <c r="A87" s="122"/>
      <c r="E87" s="122"/>
      <c r="F87" s="108"/>
      <c r="K87" s="122"/>
      <c r="X87" s="122"/>
      <c r="AA87" s="65"/>
      <c r="AB87" s="109"/>
      <c r="AF87" s="63"/>
      <c r="AG87" s="63"/>
      <c r="AH87" s="122"/>
      <c r="AI87" s="122"/>
      <c r="AJ87" s="122"/>
      <c r="AK87" s="122"/>
      <c r="AL87" s="110"/>
    </row>
    <row r="88" spans="1:38" ht="33" customHeight="1">
      <c r="A88" s="175" t="s">
        <v>5</v>
      </c>
      <c r="B88" s="176" t="s">
        <v>6</v>
      </c>
      <c r="C88" s="177" t="s">
        <v>7</v>
      </c>
      <c r="D88" s="177" t="s">
        <v>8</v>
      </c>
      <c r="E88" s="175" t="s">
        <v>47</v>
      </c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20"/>
      <c r="R88" s="120"/>
      <c r="S88" s="120"/>
      <c r="T88" s="120"/>
      <c r="U88" s="120"/>
      <c r="V88" s="120"/>
      <c r="W88" s="117"/>
      <c r="X88" s="180" t="s">
        <v>48</v>
      </c>
      <c r="Y88" s="172"/>
      <c r="Z88" s="172"/>
      <c r="AA88" s="180" t="s">
        <v>49</v>
      </c>
      <c r="AB88" s="172"/>
      <c r="AC88" s="172"/>
      <c r="AD88" s="175" t="s">
        <v>9</v>
      </c>
      <c r="AE88" s="175" t="s">
        <v>10</v>
      </c>
      <c r="AF88" s="72"/>
      <c r="AG88" s="72"/>
      <c r="AH88" s="175" t="s">
        <v>11</v>
      </c>
      <c r="AI88" s="175" t="s">
        <v>12</v>
      </c>
      <c r="AJ88" s="175" t="s">
        <v>13</v>
      </c>
      <c r="AK88" s="177" t="s">
        <v>51</v>
      </c>
      <c r="AL88" s="175" t="s">
        <v>14</v>
      </c>
    </row>
    <row r="89" spans="1:38" ht="36.75" customHeight="1">
      <c r="A89" s="176"/>
      <c r="B89" s="176"/>
      <c r="C89" s="178"/>
      <c r="D89" s="179"/>
      <c r="E89" s="121" t="s">
        <v>50</v>
      </c>
      <c r="F89" s="73" t="s">
        <v>15</v>
      </c>
      <c r="G89" s="172" t="s">
        <v>16</v>
      </c>
      <c r="H89" s="172"/>
      <c r="I89" s="172"/>
      <c r="J89" s="117" t="s">
        <v>17</v>
      </c>
      <c r="K89" s="120" t="s">
        <v>18</v>
      </c>
      <c r="L89" s="117"/>
      <c r="M89" s="117" t="s">
        <v>17</v>
      </c>
      <c r="N89" s="117" t="s">
        <v>17</v>
      </c>
      <c r="O89" s="117" t="s">
        <v>17</v>
      </c>
      <c r="P89" s="117" t="s">
        <v>19</v>
      </c>
      <c r="Q89" s="117" t="s">
        <v>19</v>
      </c>
      <c r="R89" s="117" t="s">
        <v>19</v>
      </c>
      <c r="S89" s="117" t="s">
        <v>19</v>
      </c>
      <c r="T89" s="117" t="s">
        <v>19</v>
      </c>
      <c r="U89" s="117" t="s">
        <v>19</v>
      </c>
      <c r="V89" s="117" t="s">
        <v>20</v>
      </c>
      <c r="W89" s="117"/>
      <c r="X89" s="121" t="s">
        <v>50</v>
      </c>
      <c r="Y89" s="73" t="s">
        <v>21</v>
      </c>
      <c r="Z89" s="73" t="s">
        <v>22</v>
      </c>
      <c r="AA89" s="74" t="s">
        <v>50</v>
      </c>
      <c r="AB89" s="73" t="s">
        <v>21</v>
      </c>
      <c r="AC89" s="73" t="s">
        <v>23</v>
      </c>
      <c r="AD89" s="175"/>
      <c r="AE89" s="175"/>
      <c r="AF89" s="72"/>
      <c r="AG89" s="72"/>
      <c r="AH89" s="181"/>
      <c r="AI89" s="181"/>
      <c r="AJ89" s="176"/>
      <c r="AK89" s="178"/>
      <c r="AL89" s="182"/>
    </row>
    <row r="90" spans="1:38" ht="34.5" customHeight="1">
      <c r="A90" s="85">
        <v>2</v>
      </c>
      <c r="B90" s="89" t="s">
        <v>108</v>
      </c>
      <c r="C90" s="85"/>
      <c r="D90" s="88">
        <v>2003</v>
      </c>
      <c r="E90" s="85">
        <v>1</v>
      </c>
      <c r="F90" s="85">
        <v>0</v>
      </c>
      <c r="G90" s="85">
        <f>H90+I90</f>
        <v>13720000</v>
      </c>
      <c r="H90" s="85"/>
      <c r="I90" s="85">
        <v>13720000</v>
      </c>
      <c r="J90" s="85"/>
      <c r="K90" s="85"/>
      <c r="L90" s="85"/>
      <c r="M90" s="85"/>
      <c r="N90" s="85"/>
      <c r="O90" s="85"/>
      <c r="P90" s="85"/>
      <c r="Q90" s="85"/>
      <c r="R90" s="85" t="e">
        <f>ROUND(#REF!*#REF!,0)</f>
        <v>#REF!</v>
      </c>
      <c r="S90" s="85" t="e">
        <f>ROUND(#REF!*#REF!,0)</f>
        <v>#REF!</v>
      </c>
      <c r="T90" s="85" t="e">
        <f>ROUND(#REF!*#REF!,0)</f>
        <v>#REF!</v>
      </c>
      <c r="U90" s="85" t="e">
        <f>ROUND(#REF!*#REF!,0)</f>
        <v>#REF!</v>
      </c>
      <c r="V90" s="85" t="e">
        <f>M90+N90+O90+P90+SUM(Q90:T90)+U90</f>
        <v>#REF!</v>
      </c>
      <c r="W90" s="85" t="e">
        <f>G90-V90</f>
        <v>#REF!</v>
      </c>
      <c r="X90" s="85">
        <v>1</v>
      </c>
      <c r="Y90" s="89">
        <f>G90</f>
        <v>13720000</v>
      </c>
      <c r="Z90" s="89">
        <v>0</v>
      </c>
      <c r="AA90" s="94">
        <v>0</v>
      </c>
      <c r="AB90" s="89">
        <f>Y90-G90</f>
        <v>0</v>
      </c>
      <c r="AC90" s="89">
        <f>F90-Z90</f>
        <v>0</v>
      </c>
      <c r="AD90" s="89">
        <v>0.2</v>
      </c>
      <c r="AE90" s="89"/>
      <c r="AF90" s="99"/>
      <c r="AG90" s="99"/>
      <c r="AH90" s="85" t="s">
        <v>145</v>
      </c>
      <c r="AI90" s="87" t="s">
        <v>147</v>
      </c>
      <c r="AJ90" s="87" t="s">
        <v>142</v>
      </c>
      <c r="AK90" s="85" t="s">
        <v>70</v>
      </c>
      <c r="AL90" s="92"/>
    </row>
    <row r="91" spans="1:38" ht="34.5" customHeight="1">
      <c r="A91" s="85">
        <v>4</v>
      </c>
      <c r="B91" s="89" t="s">
        <v>115</v>
      </c>
      <c r="C91" s="85"/>
      <c r="D91" s="88">
        <v>2010</v>
      </c>
      <c r="E91" s="85">
        <v>1</v>
      </c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>
        <v>1</v>
      </c>
      <c r="Y91" s="89"/>
      <c r="Z91" s="89"/>
      <c r="AA91" s="94">
        <v>0</v>
      </c>
      <c r="AB91" s="89"/>
      <c r="AC91" s="89"/>
      <c r="AD91" s="89"/>
      <c r="AE91" s="89"/>
      <c r="AF91" s="99"/>
      <c r="AG91" s="99"/>
      <c r="AH91" s="85" t="s">
        <v>145</v>
      </c>
      <c r="AI91" s="85" t="s">
        <v>110</v>
      </c>
      <c r="AJ91" s="85" t="s">
        <v>114</v>
      </c>
      <c r="AK91" s="85" t="s">
        <v>70</v>
      </c>
      <c r="AL91" s="92"/>
    </row>
    <row r="92" spans="1:38" ht="34.5" customHeight="1">
      <c r="A92" s="85">
        <v>5</v>
      </c>
      <c r="B92" s="89" t="s">
        <v>116</v>
      </c>
      <c r="C92" s="85"/>
      <c r="D92" s="88">
        <v>2008</v>
      </c>
      <c r="E92" s="85">
        <v>1</v>
      </c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>
        <v>1</v>
      </c>
      <c r="Y92" s="89"/>
      <c r="Z92" s="89"/>
      <c r="AA92" s="94">
        <v>0</v>
      </c>
      <c r="AB92" s="89"/>
      <c r="AC92" s="89"/>
      <c r="AD92" s="89"/>
      <c r="AE92" s="89"/>
      <c r="AF92" s="99"/>
      <c r="AG92" s="99"/>
      <c r="AH92" s="85" t="s">
        <v>145</v>
      </c>
      <c r="AI92" s="85" t="s">
        <v>110</v>
      </c>
      <c r="AJ92" s="85" t="s">
        <v>114</v>
      </c>
      <c r="AK92" s="85" t="s">
        <v>70</v>
      </c>
      <c r="AL92" s="92"/>
    </row>
    <row r="93" spans="1:38" ht="34.5" customHeight="1">
      <c r="A93" s="85">
        <v>7</v>
      </c>
      <c r="B93" s="89" t="s">
        <v>113</v>
      </c>
      <c r="C93" s="85"/>
      <c r="D93" s="88"/>
      <c r="E93" s="85">
        <v>4</v>
      </c>
      <c r="F93" s="85">
        <v>2250000</v>
      </c>
      <c r="G93" s="85">
        <f>H93+I93</f>
        <v>6000000</v>
      </c>
      <c r="H93" s="85">
        <v>6000000</v>
      </c>
      <c r="I93" s="85"/>
      <c r="J93" s="85"/>
      <c r="K93" s="85"/>
      <c r="L93" s="85"/>
      <c r="M93" s="85"/>
      <c r="N93" s="85"/>
      <c r="O93" s="85"/>
      <c r="P93" s="85"/>
      <c r="Q93" s="85"/>
      <c r="R93" s="85" t="e">
        <f>ROUND(#REF!*#REF!,0)</f>
        <v>#REF!</v>
      </c>
      <c r="S93" s="85" t="e">
        <f>ROUND(#REF!*#REF!,0)</f>
        <v>#REF!</v>
      </c>
      <c r="T93" s="85" t="e">
        <f>ROUND(#REF!*#REF!,0)</f>
        <v>#REF!</v>
      </c>
      <c r="U93" s="85" t="e">
        <f>ROUND(#REF!*#REF!,0)</f>
        <v>#REF!</v>
      </c>
      <c r="V93" s="85" t="e">
        <f>M93+N93+O93+P93+SUM(Q93:T93)+U93</f>
        <v>#REF!</v>
      </c>
      <c r="W93" s="85" t="e">
        <f>G93-V93</f>
        <v>#REF!</v>
      </c>
      <c r="X93" s="85">
        <v>4</v>
      </c>
      <c r="Y93" s="89">
        <f>G93</f>
        <v>6000000</v>
      </c>
      <c r="Z93" s="89">
        <v>2250000</v>
      </c>
      <c r="AA93" s="94">
        <v>0</v>
      </c>
      <c r="AB93" s="89">
        <f>Y93-G93</f>
        <v>0</v>
      </c>
      <c r="AC93" s="89">
        <f>F93-Z93</f>
        <v>0</v>
      </c>
      <c r="AD93" s="89">
        <v>0.125</v>
      </c>
      <c r="AE93" s="89"/>
      <c r="AF93" s="99"/>
      <c r="AG93" s="99"/>
      <c r="AH93" s="85" t="s">
        <v>145</v>
      </c>
      <c r="AI93" s="85" t="s">
        <v>110</v>
      </c>
      <c r="AJ93" s="85" t="s">
        <v>114</v>
      </c>
      <c r="AK93" s="85" t="s">
        <v>70</v>
      </c>
      <c r="AL93" s="92"/>
    </row>
    <row r="94" spans="1:38" ht="34.5" customHeight="1">
      <c r="A94" s="85">
        <v>9</v>
      </c>
      <c r="B94" s="89" t="s">
        <v>130</v>
      </c>
      <c r="C94" s="85"/>
      <c r="D94" s="88"/>
      <c r="E94" s="85">
        <v>1</v>
      </c>
      <c r="F94" s="85">
        <v>0</v>
      </c>
      <c r="G94" s="85">
        <f>H94+I94</f>
        <v>8000000</v>
      </c>
      <c r="H94" s="85">
        <v>8000000</v>
      </c>
      <c r="I94" s="85"/>
      <c r="J94" s="85"/>
      <c r="K94" s="85"/>
      <c r="L94" s="85"/>
      <c r="M94" s="85"/>
      <c r="N94" s="85"/>
      <c r="O94" s="85"/>
      <c r="P94" s="85"/>
      <c r="Q94" s="85"/>
      <c r="R94" s="85" t="e">
        <f>ROUND(#REF!*#REF!,0)</f>
        <v>#REF!</v>
      </c>
      <c r="S94" s="85" t="e">
        <f>ROUND(#REF!*#REF!,0)</f>
        <v>#REF!</v>
      </c>
      <c r="T94" s="85" t="e">
        <f>ROUND(#REF!*#REF!,0)</f>
        <v>#REF!</v>
      </c>
      <c r="U94" s="85" t="e">
        <f>ROUND(#REF!*#REF!,0)</f>
        <v>#REF!</v>
      </c>
      <c r="V94" s="85" t="e">
        <f>M94+N94+O94+P94+SUM(Q94:T94)+U94</f>
        <v>#REF!</v>
      </c>
      <c r="W94" s="85" t="e">
        <f>G94-V94</f>
        <v>#REF!</v>
      </c>
      <c r="X94" s="85">
        <v>1</v>
      </c>
      <c r="Y94" s="89">
        <f>G94</f>
        <v>8000000</v>
      </c>
      <c r="Z94" s="89">
        <v>0</v>
      </c>
      <c r="AA94" s="94">
        <v>0</v>
      </c>
      <c r="AB94" s="89">
        <f>Y94-G94</f>
        <v>0</v>
      </c>
      <c r="AC94" s="89">
        <f>F94-Z94</f>
        <v>0</v>
      </c>
      <c r="AD94" s="89">
        <v>0.2</v>
      </c>
      <c r="AE94" s="89" t="s">
        <v>44</v>
      </c>
      <c r="AF94" s="99"/>
      <c r="AG94" s="99"/>
      <c r="AH94" s="85" t="s">
        <v>145</v>
      </c>
      <c r="AI94" s="85" t="s">
        <v>143</v>
      </c>
      <c r="AJ94" s="85" t="s">
        <v>142</v>
      </c>
      <c r="AK94" s="85" t="s">
        <v>70</v>
      </c>
      <c r="AL94" s="92"/>
    </row>
    <row r="95" spans="1:38" ht="34.5" customHeight="1">
      <c r="A95" s="85">
        <v>10</v>
      </c>
      <c r="B95" s="89" t="s">
        <v>69</v>
      </c>
      <c r="C95" s="85"/>
      <c r="D95" s="88">
        <v>2020</v>
      </c>
      <c r="E95" s="85">
        <v>1</v>
      </c>
      <c r="F95" s="85">
        <v>1</v>
      </c>
      <c r="G95" s="85"/>
      <c r="H95" s="85" t="s">
        <v>65</v>
      </c>
      <c r="I95" s="85" t="s">
        <v>66</v>
      </c>
      <c r="J95" s="85" t="s">
        <v>43</v>
      </c>
      <c r="K95" s="85" t="s">
        <v>67</v>
      </c>
      <c r="L95" s="85" t="s">
        <v>68</v>
      </c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>
        <v>1</v>
      </c>
      <c r="Y95" s="89"/>
      <c r="Z95" s="89"/>
      <c r="AA95" s="90">
        <v>0</v>
      </c>
      <c r="AB95" s="89"/>
      <c r="AC95" s="89"/>
      <c r="AD95" s="89"/>
      <c r="AE95" s="89"/>
      <c r="AF95" s="99"/>
      <c r="AG95" s="99"/>
      <c r="AH95" s="85" t="s">
        <v>145</v>
      </c>
      <c r="AI95" s="85" t="s">
        <v>137</v>
      </c>
      <c r="AJ95" s="85" t="s">
        <v>142</v>
      </c>
      <c r="AK95" s="85" t="s">
        <v>70</v>
      </c>
      <c r="AL95" s="92"/>
    </row>
    <row r="96" spans="1:38" s="104" customFormat="1">
      <c r="A96" s="122"/>
      <c r="E96" s="122"/>
      <c r="F96" s="108"/>
      <c r="K96" s="122"/>
      <c r="X96" s="122"/>
      <c r="AA96" s="65"/>
      <c r="AB96" s="109"/>
      <c r="AF96" s="63"/>
      <c r="AG96" s="63"/>
      <c r="AH96" s="122"/>
      <c r="AI96" s="122"/>
      <c r="AJ96" s="122"/>
      <c r="AK96" s="122"/>
      <c r="AL96" s="110"/>
    </row>
    <row r="97" spans="1:39">
      <c r="AA97" s="114"/>
      <c r="AB97" s="115"/>
      <c r="AM97" s="61"/>
    </row>
    <row r="98" spans="1:39" s="104" customFormat="1">
      <c r="A98" s="173" t="s">
        <v>148</v>
      </c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4"/>
    </row>
    <row r="99" spans="1:39">
      <c r="AA99" s="70"/>
      <c r="AM99" s="61"/>
    </row>
    <row r="100" spans="1:39" ht="33" customHeight="1">
      <c r="A100" s="175" t="s">
        <v>5</v>
      </c>
      <c r="B100" s="176" t="s">
        <v>6</v>
      </c>
      <c r="C100" s="177" t="s">
        <v>7</v>
      </c>
      <c r="D100" s="177" t="s">
        <v>8</v>
      </c>
      <c r="E100" s="175" t="s">
        <v>47</v>
      </c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20"/>
      <c r="R100" s="120"/>
      <c r="S100" s="120"/>
      <c r="T100" s="120"/>
      <c r="U100" s="120"/>
      <c r="V100" s="120"/>
      <c r="W100" s="117"/>
      <c r="X100" s="180" t="s">
        <v>48</v>
      </c>
      <c r="Y100" s="172"/>
      <c r="Z100" s="172"/>
      <c r="AA100" s="180" t="s">
        <v>49</v>
      </c>
      <c r="AB100" s="172"/>
      <c r="AC100" s="172"/>
      <c r="AD100" s="175" t="s">
        <v>9</v>
      </c>
      <c r="AE100" s="175" t="s">
        <v>10</v>
      </c>
      <c r="AF100" s="72"/>
      <c r="AG100" s="72"/>
      <c r="AH100" s="175" t="s">
        <v>11</v>
      </c>
      <c r="AI100" s="175" t="s">
        <v>12</v>
      </c>
      <c r="AJ100" s="175" t="s">
        <v>13</v>
      </c>
      <c r="AK100" s="177" t="s">
        <v>51</v>
      </c>
      <c r="AL100" s="175" t="s">
        <v>14</v>
      </c>
    </row>
    <row r="101" spans="1:39" ht="36.75" customHeight="1">
      <c r="A101" s="176"/>
      <c r="B101" s="176"/>
      <c r="C101" s="178"/>
      <c r="D101" s="179"/>
      <c r="E101" s="121" t="s">
        <v>50</v>
      </c>
      <c r="F101" s="73" t="s">
        <v>15</v>
      </c>
      <c r="G101" s="172" t="s">
        <v>16</v>
      </c>
      <c r="H101" s="172"/>
      <c r="I101" s="172"/>
      <c r="J101" s="117" t="s">
        <v>17</v>
      </c>
      <c r="K101" s="120" t="s">
        <v>18</v>
      </c>
      <c r="L101" s="117"/>
      <c r="M101" s="117" t="s">
        <v>17</v>
      </c>
      <c r="N101" s="117" t="s">
        <v>17</v>
      </c>
      <c r="O101" s="117" t="s">
        <v>17</v>
      </c>
      <c r="P101" s="117" t="s">
        <v>19</v>
      </c>
      <c r="Q101" s="117" t="s">
        <v>19</v>
      </c>
      <c r="R101" s="117" t="s">
        <v>19</v>
      </c>
      <c r="S101" s="117" t="s">
        <v>19</v>
      </c>
      <c r="T101" s="117" t="s">
        <v>19</v>
      </c>
      <c r="U101" s="117" t="s">
        <v>19</v>
      </c>
      <c r="V101" s="117" t="s">
        <v>20</v>
      </c>
      <c r="W101" s="117"/>
      <c r="X101" s="121" t="s">
        <v>50</v>
      </c>
      <c r="Y101" s="73" t="s">
        <v>21</v>
      </c>
      <c r="Z101" s="73" t="s">
        <v>22</v>
      </c>
      <c r="AA101" s="74" t="s">
        <v>50</v>
      </c>
      <c r="AB101" s="73" t="s">
        <v>21</v>
      </c>
      <c r="AC101" s="73" t="s">
        <v>23</v>
      </c>
      <c r="AD101" s="175"/>
      <c r="AE101" s="175"/>
      <c r="AF101" s="72"/>
      <c r="AG101" s="72"/>
      <c r="AH101" s="181"/>
      <c r="AI101" s="181"/>
      <c r="AJ101" s="176"/>
      <c r="AK101" s="178"/>
      <c r="AL101" s="182"/>
    </row>
    <row r="102" spans="1:39" ht="25.5" customHeight="1">
      <c r="A102" s="85">
        <v>1</v>
      </c>
      <c r="B102" s="89" t="s">
        <v>52</v>
      </c>
      <c r="C102" s="85"/>
      <c r="D102" s="88"/>
      <c r="E102" s="85">
        <v>2</v>
      </c>
      <c r="F102" s="85">
        <v>0</v>
      </c>
      <c r="G102" s="85">
        <f>H102+I102</f>
        <v>50000000</v>
      </c>
      <c r="H102" s="85">
        <v>50000000</v>
      </c>
      <c r="I102" s="85"/>
      <c r="J102" s="85">
        <f>G102-F102</f>
        <v>50000000</v>
      </c>
      <c r="K102" s="85">
        <f>ROUND(G102*10%,0)</f>
        <v>5000000</v>
      </c>
      <c r="L102" s="85">
        <f>G102-J102-K102</f>
        <v>-5000000</v>
      </c>
      <c r="M102" s="85">
        <v>50000000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  <c r="V102" s="85">
        <f>M102+N102+O102+P102+SUM(Q102:T102)+U102</f>
        <v>50000000</v>
      </c>
      <c r="W102" s="85">
        <f>G102-V102</f>
        <v>0</v>
      </c>
      <c r="X102" s="85">
        <v>2</v>
      </c>
      <c r="Y102" s="89">
        <f>G102</f>
        <v>50000000</v>
      </c>
      <c r="Z102" s="89">
        <v>0</v>
      </c>
      <c r="AA102" s="94">
        <v>0</v>
      </c>
      <c r="AB102" s="89">
        <f>Y102-G102</f>
        <v>0</v>
      </c>
      <c r="AC102" s="89">
        <f>F102-Z102</f>
        <v>0</v>
      </c>
      <c r="AD102" s="89">
        <v>0.125</v>
      </c>
      <c r="AE102" s="89" t="s">
        <v>42</v>
      </c>
      <c r="AF102" s="99"/>
      <c r="AG102" s="99"/>
      <c r="AH102" s="85" t="s">
        <v>103</v>
      </c>
      <c r="AI102" s="85" t="s">
        <v>118</v>
      </c>
      <c r="AJ102" s="85" t="s">
        <v>88</v>
      </c>
      <c r="AK102" s="85" t="s">
        <v>70</v>
      </c>
      <c r="AL102" s="92" t="s">
        <v>95</v>
      </c>
    </row>
    <row r="103" spans="1:39" ht="25.5" customHeight="1">
      <c r="A103" s="85">
        <v>2</v>
      </c>
      <c r="B103" s="89" t="s">
        <v>117</v>
      </c>
      <c r="C103" s="85"/>
      <c r="D103" s="88"/>
      <c r="E103" s="85">
        <v>3</v>
      </c>
      <c r="F103" s="85">
        <v>0</v>
      </c>
      <c r="G103" s="85">
        <f>H103+I103</f>
        <v>0</v>
      </c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 t="e">
        <f>ROUND(#REF!*#REF!,0)</f>
        <v>#REF!</v>
      </c>
      <c r="S103" s="85" t="e">
        <f>ROUND(#REF!*#REF!,0)</f>
        <v>#REF!</v>
      </c>
      <c r="T103" s="85"/>
      <c r="U103" s="85"/>
      <c r="V103" s="85" t="e">
        <f>M103+N103+O103+P103+SUM(Q103:T103)+U103</f>
        <v>#REF!</v>
      </c>
      <c r="W103" s="85"/>
      <c r="X103" s="85">
        <v>3</v>
      </c>
      <c r="Y103" s="89"/>
      <c r="Z103" s="89">
        <v>0</v>
      </c>
      <c r="AA103" s="94">
        <v>0</v>
      </c>
      <c r="AB103" s="89">
        <f>Y103-G103</f>
        <v>0</v>
      </c>
      <c r="AC103" s="89">
        <f>F103-Z103</f>
        <v>0</v>
      </c>
      <c r="AD103" s="89"/>
      <c r="AE103" s="89" t="s">
        <v>42</v>
      </c>
      <c r="AF103" s="99"/>
      <c r="AG103" s="99"/>
      <c r="AH103" s="85" t="s">
        <v>103</v>
      </c>
      <c r="AI103" s="85" t="s">
        <v>118</v>
      </c>
      <c r="AJ103" s="85" t="s">
        <v>88</v>
      </c>
      <c r="AK103" s="85" t="s">
        <v>70</v>
      </c>
      <c r="AL103" s="92" t="s">
        <v>95</v>
      </c>
    </row>
    <row r="104" spans="1:39">
      <c r="AA104" s="70"/>
      <c r="AM104" s="61"/>
    </row>
    <row r="105" spans="1:39">
      <c r="AA105" s="70"/>
      <c r="AM105" s="61"/>
    </row>
    <row r="106" spans="1:39">
      <c r="AA106" s="70"/>
      <c r="AM106" s="61"/>
    </row>
    <row r="111" spans="1:39">
      <c r="B111" s="123"/>
    </row>
  </sheetData>
  <mergeCells count="74">
    <mergeCell ref="A82:AL82"/>
    <mergeCell ref="AE14:AE15"/>
    <mergeCell ref="E14:P14"/>
    <mergeCell ref="AK14:AK15"/>
    <mergeCell ref="AL14:AL15"/>
    <mergeCell ref="C77:X77"/>
    <mergeCell ref="AA72:AI72"/>
    <mergeCell ref="AA77:AI77"/>
    <mergeCell ref="AH14:AH15"/>
    <mergeCell ref="D14:D15"/>
    <mergeCell ref="E76:AH76"/>
    <mergeCell ref="G15:I15"/>
    <mergeCell ref="AA14:AC14"/>
    <mergeCell ref="AF14:AF15"/>
    <mergeCell ref="AG14:AG15"/>
    <mergeCell ref="A9:B9"/>
    <mergeCell ref="AK76:AL76"/>
    <mergeCell ref="A12:B12"/>
    <mergeCell ref="AJ14:AJ15"/>
    <mergeCell ref="B14:B15"/>
    <mergeCell ref="C72:X72"/>
    <mergeCell ref="AI71:AL71"/>
    <mergeCell ref="A10:B10"/>
    <mergeCell ref="AD14:AD15"/>
    <mergeCell ref="A11:B11"/>
    <mergeCell ref="C14:C15"/>
    <mergeCell ref="AL88:AL89"/>
    <mergeCell ref="A5:AL5"/>
    <mergeCell ref="Z1:AL1"/>
    <mergeCell ref="Z2:AL2"/>
    <mergeCell ref="Z3:AL3"/>
    <mergeCell ref="A4:AL4"/>
    <mergeCell ref="A1:X1"/>
    <mergeCell ref="A2:X2"/>
    <mergeCell ref="A6:AL6"/>
    <mergeCell ref="A7:C7"/>
    <mergeCell ref="A8:B8"/>
    <mergeCell ref="AJ77:AL77"/>
    <mergeCell ref="AJ72:AL72"/>
    <mergeCell ref="AI76:AJ76"/>
    <mergeCell ref="AI14:AI15"/>
    <mergeCell ref="X14:Z14"/>
    <mergeCell ref="AL100:AL101"/>
    <mergeCell ref="A14:A15"/>
    <mergeCell ref="A86:AL86"/>
    <mergeCell ref="A88:A89"/>
    <mergeCell ref="B88:B89"/>
    <mergeCell ref="C88:C89"/>
    <mergeCell ref="D88:D89"/>
    <mergeCell ref="E88:P88"/>
    <mergeCell ref="X88:Z88"/>
    <mergeCell ref="AA88:AC88"/>
    <mergeCell ref="AD88:AD89"/>
    <mergeCell ref="AE88:AE89"/>
    <mergeCell ref="AH88:AH89"/>
    <mergeCell ref="AI88:AI89"/>
    <mergeCell ref="AJ88:AJ89"/>
    <mergeCell ref="AK88:AK89"/>
    <mergeCell ref="G101:I101"/>
    <mergeCell ref="G89:I89"/>
    <mergeCell ref="A98:AL98"/>
    <mergeCell ref="A100:A101"/>
    <mergeCell ref="B100:B101"/>
    <mergeCell ref="C100:C101"/>
    <mergeCell ref="D100:D101"/>
    <mergeCell ref="E100:P100"/>
    <mergeCell ref="X100:Z100"/>
    <mergeCell ref="AA100:AC100"/>
    <mergeCell ref="AD100:AD101"/>
    <mergeCell ref="AE100:AE101"/>
    <mergeCell ref="AH100:AH101"/>
    <mergeCell ref="AI100:AI101"/>
    <mergeCell ref="AJ100:AJ101"/>
    <mergeCell ref="AK100:AK101"/>
  </mergeCells>
  <phoneticPr fontId="22" type="noConversion"/>
  <printOptions horizontalCentered="1"/>
  <pageMargins left="0.19685039370078741" right="0.19685039370078741" top="0.31496062992125984" bottom="0.27559055118110237" header="0.19685039370078741" footer="0.19685039370078741"/>
  <pageSetup paperSize="9" scale="8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249977111117893"/>
  </sheetPr>
  <dimension ref="A1:AN50"/>
  <sheetViews>
    <sheetView tabSelected="1" topLeftCell="A35" zoomScaleSheetLayoutView="102" workbookViewId="0">
      <selection activeCell="AB54" sqref="AB54"/>
    </sheetView>
  </sheetViews>
  <sheetFormatPr defaultColWidth="8.85546875" defaultRowHeight="15.75"/>
  <cols>
    <col min="1" max="1" width="0.140625" style="2" customWidth="1"/>
    <col min="2" max="2" width="5.5703125" style="9" customWidth="1"/>
    <col min="3" max="3" width="38.42578125" style="2" customWidth="1"/>
    <col min="4" max="4" width="9" style="2" customWidth="1"/>
    <col min="5" max="5" width="8.5703125" style="2" customWidth="1"/>
    <col min="6" max="6" width="7.42578125" style="9" customWidth="1"/>
    <col min="7" max="7" width="11.5703125" style="10" hidden="1" customWidth="1"/>
    <col min="8" max="8" width="12.140625" style="2" hidden="1" customWidth="1"/>
    <col min="9" max="9" width="11.28515625" style="2" hidden="1" customWidth="1"/>
    <col min="10" max="10" width="12.42578125" style="2" hidden="1" customWidth="1"/>
    <col min="11" max="11" width="10.140625" style="2" hidden="1" customWidth="1"/>
    <col min="12" max="12" width="12.5703125" style="9" hidden="1" customWidth="1"/>
    <col min="13" max="13" width="10.85546875" style="2" hidden="1" customWidth="1"/>
    <col min="14" max="15" width="9.28515625" style="2" hidden="1" customWidth="1"/>
    <col min="16" max="16" width="10" style="2" hidden="1" customWidth="1"/>
    <col min="17" max="17" width="9.5703125" style="2" hidden="1" customWidth="1"/>
    <col min="18" max="18" width="9.42578125" style="2" hidden="1" customWidth="1"/>
    <col min="19" max="19" width="9" style="2" hidden="1" customWidth="1"/>
    <col min="20" max="20" width="11.28515625" style="2" hidden="1" customWidth="1"/>
    <col min="21" max="21" width="11.5703125" style="2" hidden="1" customWidth="1"/>
    <col min="22" max="23" width="10.5703125" style="2" hidden="1" customWidth="1"/>
    <col min="24" max="24" width="0.140625" style="2" hidden="1" customWidth="1"/>
    <col min="25" max="25" width="6.85546875" style="9" customWidth="1"/>
    <col min="26" max="26" width="12" style="2" hidden="1" customWidth="1"/>
    <col min="27" max="27" width="5.5703125" style="2" hidden="1" customWidth="1"/>
    <col min="28" max="28" width="7.140625" style="43" customWidth="1"/>
    <col min="29" max="29" width="6.140625" style="2" hidden="1" customWidth="1"/>
    <col min="30" max="30" width="5.5703125" style="2" hidden="1" customWidth="1"/>
    <col min="31" max="31" width="7.140625" style="2" hidden="1" customWidth="1"/>
    <col min="32" max="32" width="5.42578125" style="2" hidden="1" customWidth="1"/>
    <col min="33" max="33" width="12.140625" style="2" customWidth="1"/>
    <col min="34" max="34" width="13.7109375" style="2" customWidth="1"/>
    <col min="35" max="35" width="12.7109375" style="2" customWidth="1"/>
    <col min="36" max="36" width="12.140625" style="9" customWidth="1"/>
    <col min="37" max="37" width="9.140625" style="9" customWidth="1"/>
    <col min="38" max="38" width="14.140625" style="2" customWidth="1"/>
    <col min="39" max="39" width="12.85546875" style="2" customWidth="1"/>
    <col min="40" max="16384" width="8.85546875" style="2"/>
  </cols>
  <sheetData>
    <row r="1" spans="1:40" ht="15.75" customHeight="1">
      <c r="B1" s="7" t="s">
        <v>45</v>
      </c>
      <c r="C1" s="8"/>
      <c r="D1" s="8"/>
      <c r="I1" s="3"/>
      <c r="J1" s="3"/>
      <c r="K1" s="11" t="s">
        <v>0</v>
      </c>
      <c r="L1" s="3"/>
      <c r="M1" s="3"/>
      <c r="N1" s="3"/>
      <c r="O1" s="3"/>
      <c r="Q1" s="11"/>
      <c r="R1" s="11"/>
      <c r="S1" s="11"/>
      <c r="T1" s="11"/>
      <c r="U1" s="11"/>
      <c r="V1" s="11"/>
      <c r="W1" s="11"/>
      <c r="X1" s="11"/>
      <c r="AA1" s="194" t="s">
        <v>0</v>
      </c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</row>
    <row r="2" spans="1:40" ht="15" customHeight="1">
      <c r="B2" s="12" t="s">
        <v>46</v>
      </c>
      <c r="L2" s="2"/>
      <c r="P2" s="13"/>
      <c r="Q2" s="13"/>
      <c r="R2" s="13"/>
      <c r="S2" s="13"/>
      <c r="T2" s="13"/>
      <c r="U2" s="13"/>
      <c r="V2" s="13"/>
      <c r="W2" s="13"/>
      <c r="X2" s="13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</row>
    <row r="3" spans="1:40" ht="22.5" hidden="1" customHeight="1">
      <c r="B3" s="194" t="s">
        <v>1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</row>
    <row r="4" spans="1:40" ht="15" customHeight="1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</row>
    <row r="5" spans="1:40" ht="45.75" customHeight="1">
      <c r="B5" s="212" t="s">
        <v>158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</row>
    <row r="6" spans="1:40" ht="18" customHeight="1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66"/>
      <c r="AH6" s="166"/>
      <c r="AI6" s="14"/>
      <c r="AJ6" s="14"/>
      <c r="AK6" s="14"/>
      <c r="AL6" s="14"/>
      <c r="AM6" s="14"/>
    </row>
    <row r="7" spans="1:40" ht="18" customHeight="1">
      <c r="A7" s="8" t="s">
        <v>159</v>
      </c>
      <c r="C7" s="9"/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5"/>
      <c r="AB7" s="11"/>
      <c r="AC7" s="11"/>
      <c r="AD7" s="11"/>
      <c r="AE7" s="11"/>
      <c r="AF7" s="11"/>
      <c r="AG7" s="164"/>
      <c r="AH7" s="164"/>
      <c r="AK7" s="2"/>
      <c r="AL7" s="16"/>
    </row>
    <row r="8" spans="1:40" ht="18" customHeight="1">
      <c r="A8" s="17" t="s">
        <v>149</v>
      </c>
      <c r="D8" s="2" t="s">
        <v>150</v>
      </c>
      <c r="E8" s="11"/>
      <c r="F8" s="2"/>
      <c r="G8" s="2"/>
      <c r="H8" s="17"/>
      <c r="I8" s="11"/>
      <c r="K8" s="17" t="s">
        <v>2</v>
      </c>
      <c r="L8" s="11"/>
      <c r="M8" s="18"/>
      <c r="S8" s="17"/>
      <c r="T8" s="19"/>
      <c r="W8" s="15"/>
      <c r="X8" s="11"/>
      <c r="Y8" s="2"/>
      <c r="Z8" s="11"/>
      <c r="AA8" s="11"/>
      <c r="AB8" s="17"/>
      <c r="AI8" s="17" t="s">
        <v>55</v>
      </c>
      <c r="AK8" s="2"/>
      <c r="AL8" s="16"/>
    </row>
    <row r="9" spans="1:40" ht="18" customHeight="1">
      <c r="A9" s="17" t="s">
        <v>58</v>
      </c>
      <c r="D9" s="2" t="s">
        <v>54</v>
      </c>
      <c r="E9" s="9"/>
      <c r="F9" s="2"/>
      <c r="G9" s="2"/>
      <c r="H9" s="17"/>
      <c r="I9" s="11"/>
      <c r="K9" s="17"/>
      <c r="L9" s="11"/>
      <c r="M9" s="18"/>
      <c r="S9" s="17"/>
      <c r="T9" s="19"/>
      <c r="W9" s="15"/>
      <c r="X9" s="11"/>
      <c r="Y9" s="2"/>
      <c r="Z9" s="11"/>
      <c r="AA9" s="11"/>
      <c r="AB9" s="17"/>
      <c r="AI9" s="2" t="s">
        <v>59</v>
      </c>
      <c r="AK9" s="2"/>
      <c r="AL9" s="16"/>
    </row>
    <row r="10" spans="1:40" ht="18" customHeight="1">
      <c r="A10" s="17" t="s">
        <v>60</v>
      </c>
      <c r="D10" s="2" t="s">
        <v>61</v>
      </c>
      <c r="E10" s="11"/>
      <c r="F10" s="2"/>
      <c r="G10" s="2"/>
      <c r="H10" s="17"/>
      <c r="I10" s="11"/>
      <c r="K10" s="17" t="s">
        <v>3</v>
      </c>
      <c r="L10" s="11"/>
      <c r="M10" s="18"/>
      <c r="S10" s="17"/>
      <c r="T10" s="19"/>
      <c r="W10" s="15"/>
      <c r="X10" s="11"/>
      <c r="Y10" s="2"/>
      <c r="Z10" s="11"/>
      <c r="AA10" s="11"/>
      <c r="AB10" s="17"/>
      <c r="AI10" s="2" t="s">
        <v>62</v>
      </c>
      <c r="AK10" s="2"/>
      <c r="AL10" s="16"/>
    </row>
    <row r="11" spans="1:40" ht="18" customHeight="1">
      <c r="A11" s="17" t="s">
        <v>101</v>
      </c>
      <c r="D11" s="2" t="s">
        <v>160</v>
      </c>
      <c r="F11" s="2"/>
      <c r="G11" s="2"/>
      <c r="L11" s="2"/>
      <c r="Y11" s="2"/>
      <c r="AB11" s="2"/>
      <c r="AI11" s="2" t="s">
        <v>63</v>
      </c>
      <c r="AK11" s="2"/>
    </row>
    <row r="12" spans="1:40" ht="18" customHeight="1">
      <c r="A12" s="17" t="s">
        <v>64</v>
      </c>
      <c r="B12" s="2"/>
      <c r="F12" s="2"/>
      <c r="G12" s="2"/>
      <c r="L12" s="2"/>
      <c r="Y12" s="2"/>
      <c r="AB12" s="2"/>
      <c r="AK12" s="2"/>
    </row>
    <row r="13" spans="1:40" ht="18" customHeight="1">
      <c r="A13" s="17" t="s">
        <v>4</v>
      </c>
      <c r="B13" s="2"/>
      <c r="E13" s="9"/>
      <c r="F13" s="10"/>
      <c r="G13" s="2"/>
      <c r="K13" s="9"/>
      <c r="L13" s="2"/>
      <c r="X13" s="9"/>
      <c r="Y13" s="2"/>
      <c r="AA13" s="20"/>
      <c r="AB13" s="2"/>
      <c r="AK13" s="2"/>
      <c r="AL13" s="16"/>
    </row>
    <row r="14" spans="1:40" ht="11.25" customHeight="1">
      <c r="A14" s="17"/>
      <c r="B14" s="2"/>
      <c r="E14" s="9"/>
      <c r="F14" s="10"/>
      <c r="G14" s="2"/>
      <c r="K14" s="9"/>
      <c r="L14" s="2"/>
      <c r="X14" s="9"/>
      <c r="Y14" s="2"/>
      <c r="AA14" s="20"/>
      <c r="AB14" s="2"/>
      <c r="AK14" s="2"/>
      <c r="AL14" s="16"/>
    </row>
    <row r="15" spans="1:40" ht="3" hidden="1" customHeight="1">
      <c r="AB15" s="21"/>
    </row>
    <row r="16" spans="1:40" s="25" customFormat="1" ht="30.75" customHeight="1">
      <c r="A16" s="201" t="s">
        <v>5</v>
      </c>
      <c r="B16" s="195" t="s">
        <v>5</v>
      </c>
      <c r="C16" s="196" t="s">
        <v>6</v>
      </c>
      <c r="D16" s="197" t="s">
        <v>72</v>
      </c>
      <c r="E16" s="197" t="s">
        <v>8</v>
      </c>
      <c r="F16" s="195" t="s">
        <v>47</v>
      </c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22"/>
      <c r="S16" s="22"/>
      <c r="T16" s="22"/>
      <c r="U16" s="22"/>
      <c r="V16" s="22"/>
      <c r="W16" s="22"/>
      <c r="X16" s="23"/>
      <c r="Y16" s="210" t="s">
        <v>48</v>
      </c>
      <c r="Z16" s="208"/>
      <c r="AA16" s="208"/>
      <c r="AB16" s="210" t="s">
        <v>49</v>
      </c>
      <c r="AC16" s="208"/>
      <c r="AD16" s="208"/>
      <c r="AE16" s="195" t="s">
        <v>9</v>
      </c>
      <c r="AF16" s="195" t="s">
        <v>10</v>
      </c>
      <c r="AG16" s="191" t="s">
        <v>228</v>
      </c>
      <c r="AH16" s="191" t="s">
        <v>227</v>
      </c>
      <c r="AI16" s="195" t="s">
        <v>11</v>
      </c>
      <c r="AJ16" s="195" t="s">
        <v>12</v>
      </c>
      <c r="AK16" s="195" t="s">
        <v>13</v>
      </c>
      <c r="AL16" s="197" t="s">
        <v>73</v>
      </c>
      <c r="AM16" s="195" t="s">
        <v>74</v>
      </c>
      <c r="AN16" s="2"/>
    </row>
    <row r="17" spans="1:40" s="25" customFormat="1" ht="30.75" customHeight="1">
      <c r="A17" s="202"/>
      <c r="B17" s="196"/>
      <c r="C17" s="196"/>
      <c r="D17" s="198"/>
      <c r="E17" s="203"/>
      <c r="F17" s="197" t="s">
        <v>50</v>
      </c>
      <c r="G17" s="205" t="s">
        <v>15</v>
      </c>
      <c r="H17" s="208" t="s">
        <v>16</v>
      </c>
      <c r="I17" s="208"/>
      <c r="J17" s="208"/>
      <c r="K17" s="23" t="s">
        <v>17</v>
      </c>
      <c r="L17" s="22" t="s">
        <v>18</v>
      </c>
      <c r="M17" s="23"/>
      <c r="N17" s="23" t="s">
        <v>17</v>
      </c>
      <c r="O17" s="23" t="s">
        <v>17</v>
      </c>
      <c r="P17" s="23" t="s">
        <v>17</v>
      </c>
      <c r="Q17" s="23" t="s">
        <v>19</v>
      </c>
      <c r="R17" s="23" t="s">
        <v>19</v>
      </c>
      <c r="S17" s="23" t="s">
        <v>19</v>
      </c>
      <c r="T17" s="23" t="s">
        <v>19</v>
      </c>
      <c r="U17" s="23" t="s">
        <v>19</v>
      </c>
      <c r="V17" s="23" t="s">
        <v>19</v>
      </c>
      <c r="W17" s="23" t="s">
        <v>20</v>
      </c>
      <c r="X17" s="23"/>
      <c r="Y17" s="197" t="s">
        <v>50</v>
      </c>
      <c r="Z17" s="205" t="s">
        <v>21</v>
      </c>
      <c r="AA17" s="205" t="s">
        <v>22</v>
      </c>
      <c r="AB17" s="197" t="s">
        <v>50</v>
      </c>
      <c r="AC17" s="205" t="s">
        <v>21</v>
      </c>
      <c r="AD17" s="205" t="s">
        <v>23</v>
      </c>
      <c r="AE17" s="195"/>
      <c r="AF17" s="195"/>
      <c r="AG17" s="192"/>
      <c r="AH17" s="192"/>
      <c r="AI17" s="200"/>
      <c r="AJ17" s="209"/>
      <c r="AK17" s="196"/>
      <c r="AL17" s="198"/>
      <c r="AM17" s="200"/>
      <c r="AN17" s="2"/>
    </row>
    <row r="18" spans="1:40" s="25" customFormat="1" ht="5.25" customHeight="1">
      <c r="A18" s="202"/>
      <c r="B18" s="196"/>
      <c r="C18" s="196"/>
      <c r="D18" s="198"/>
      <c r="E18" s="203"/>
      <c r="F18" s="203"/>
      <c r="G18" s="206"/>
      <c r="H18" s="205" t="s">
        <v>24</v>
      </c>
      <c r="I18" s="208" t="s">
        <v>25</v>
      </c>
      <c r="J18" s="208"/>
      <c r="K18" s="23" t="s">
        <v>26</v>
      </c>
      <c r="L18" s="22" t="s">
        <v>27</v>
      </c>
      <c r="M18" s="23" t="s">
        <v>28</v>
      </c>
      <c r="N18" s="23" t="s">
        <v>26</v>
      </c>
      <c r="O18" s="23" t="s">
        <v>26</v>
      </c>
      <c r="P18" s="23" t="s">
        <v>26</v>
      </c>
      <c r="Q18" s="23" t="s">
        <v>29</v>
      </c>
      <c r="R18" s="23" t="s">
        <v>29</v>
      </c>
      <c r="S18" s="23" t="s">
        <v>29</v>
      </c>
      <c r="T18" s="23" t="s">
        <v>29</v>
      </c>
      <c r="U18" s="23" t="s">
        <v>29</v>
      </c>
      <c r="V18" s="23" t="s">
        <v>29</v>
      </c>
      <c r="W18" s="23" t="s">
        <v>26</v>
      </c>
      <c r="X18" s="23" t="s">
        <v>30</v>
      </c>
      <c r="Y18" s="203"/>
      <c r="Z18" s="206"/>
      <c r="AA18" s="206"/>
      <c r="AB18" s="203"/>
      <c r="AC18" s="206"/>
      <c r="AD18" s="206"/>
      <c r="AE18" s="195"/>
      <c r="AF18" s="195"/>
      <c r="AG18" s="192"/>
      <c r="AH18" s="192"/>
      <c r="AI18" s="200"/>
      <c r="AJ18" s="209"/>
      <c r="AK18" s="196"/>
      <c r="AL18" s="198"/>
      <c r="AM18" s="200"/>
      <c r="AN18" s="2"/>
    </row>
    <row r="19" spans="1:40" s="25" customFormat="1" ht="2.25" customHeight="1">
      <c r="A19" s="202"/>
      <c r="B19" s="196"/>
      <c r="C19" s="196"/>
      <c r="D19" s="199"/>
      <c r="E19" s="204"/>
      <c r="F19" s="204"/>
      <c r="G19" s="207"/>
      <c r="H19" s="214"/>
      <c r="I19" s="26" t="s">
        <v>31</v>
      </c>
      <c r="J19" s="24" t="s">
        <v>32</v>
      </c>
      <c r="K19" s="23" t="s">
        <v>33</v>
      </c>
      <c r="L19" s="22" t="s">
        <v>34</v>
      </c>
      <c r="M19" s="23" t="s">
        <v>35</v>
      </c>
      <c r="N19" s="23" t="s">
        <v>33</v>
      </c>
      <c r="O19" s="23" t="s">
        <v>36</v>
      </c>
      <c r="P19" s="23" t="s">
        <v>36</v>
      </c>
      <c r="Q19" s="23" t="s">
        <v>36</v>
      </c>
      <c r="R19" s="23" t="s">
        <v>36</v>
      </c>
      <c r="S19" s="23" t="s">
        <v>36</v>
      </c>
      <c r="T19" s="23" t="s">
        <v>36</v>
      </c>
      <c r="U19" s="23" t="s">
        <v>36</v>
      </c>
      <c r="V19" s="23" t="s">
        <v>36</v>
      </c>
      <c r="W19" s="23" t="s">
        <v>36</v>
      </c>
      <c r="X19" s="23" t="s">
        <v>37</v>
      </c>
      <c r="Y19" s="204"/>
      <c r="Z19" s="207"/>
      <c r="AA19" s="207"/>
      <c r="AB19" s="204"/>
      <c r="AC19" s="207"/>
      <c r="AD19" s="207"/>
      <c r="AE19" s="195"/>
      <c r="AF19" s="195"/>
      <c r="AG19" s="193"/>
      <c r="AH19" s="193"/>
      <c r="AI19" s="200"/>
      <c r="AJ19" s="209"/>
      <c r="AK19" s="196"/>
      <c r="AL19" s="199"/>
      <c r="AM19" s="200"/>
      <c r="AN19" s="2"/>
    </row>
    <row r="20" spans="1:40" s="29" customFormat="1" ht="18.75" customHeight="1">
      <c r="A20" s="27"/>
      <c r="B20" s="22" t="s">
        <v>38</v>
      </c>
      <c r="C20" s="22" t="s">
        <v>39</v>
      </c>
      <c r="D20" s="22" t="s">
        <v>40</v>
      </c>
      <c r="E20" s="22" t="s">
        <v>41</v>
      </c>
      <c r="F20" s="22">
        <v>1</v>
      </c>
      <c r="G20" s="23">
        <v>2</v>
      </c>
      <c r="H20" s="28">
        <v>3</v>
      </c>
      <c r="I20" s="28">
        <v>4</v>
      </c>
      <c r="J20" s="23">
        <v>5</v>
      </c>
      <c r="K20" s="28">
        <v>7</v>
      </c>
      <c r="L20" s="23">
        <v>8</v>
      </c>
      <c r="M20" s="28">
        <v>9</v>
      </c>
      <c r="N20" s="23">
        <v>10</v>
      </c>
      <c r="O20" s="23"/>
      <c r="P20" s="28">
        <v>6</v>
      </c>
      <c r="Q20" s="28"/>
      <c r="R20" s="28"/>
      <c r="S20" s="28"/>
      <c r="T20" s="28"/>
      <c r="U20" s="28"/>
      <c r="V20" s="28"/>
      <c r="W20" s="28"/>
      <c r="X20" s="28">
        <v>5</v>
      </c>
      <c r="Y20" s="22">
        <v>2</v>
      </c>
      <c r="Z20" s="23">
        <v>7</v>
      </c>
      <c r="AA20" s="23">
        <v>8</v>
      </c>
      <c r="AB20" s="23">
        <v>3</v>
      </c>
      <c r="AC20" s="22">
        <v>10</v>
      </c>
      <c r="AD20" s="28">
        <v>11</v>
      </c>
      <c r="AE20" s="22"/>
      <c r="AF20" s="22"/>
      <c r="AG20" s="165"/>
      <c r="AH20" s="165"/>
      <c r="AI20" s="22">
        <v>4</v>
      </c>
      <c r="AJ20" s="22">
        <v>5</v>
      </c>
      <c r="AK20" s="22">
        <v>6</v>
      </c>
      <c r="AL20" s="22">
        <v>7</v>
      </c>
      <c r="AM20" s="22">
        <v>8</v>
      </c>
      <c r="AN20" s="6"/>
    </row>
    <row r="21" spans="1:40" s="32" customFormat="1" ht="24" customHeight="1">
      <c r="A21" s="30"/>
      <c r="B21" s="44" t="s">
        <v>89</v>
      </c>
      <c r="C21" s="45" t="s">
        <v>128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6"/>
      <c r="AK21" s="46"/>
      <c r="AL21" s="33" t="s">
        <v>141</v>
      </c>
      <c r="AM21" s="46"/>
      <c r="AN21" s="31"/>
    </row>
    <row r="22" spans="1:40" s="29" customFormat="1" ht="29.25" customHeight="1">
      <c r="A22" s="27"/>
      <c r="B22" s="1">
        <v>1</v>
      </c>
      <c r="C22" s="47" t="s">
        <v>121</v>
      </c>
      <c r="D22" s="1" t="s">
        <v>77</v>
      </c>
      <c r="E22" s="4">
        <v>2022</v>
      </c>
      <c r="F22" s="48">
        <v>14</v>
      </c>
      <c r="G22" s="1">
        <v>15</v>
      </c>
      <c r="H22" s="1">
        <v>15</v>
      </c>
      <c r="I22" s="1">
        <v>15</v>
      </c>
      <c r="J22" s="1">
        <v>15</v>
      </c>
      <c r="K22" s="1">
        <v>15</v>
      </c>
      <c r="L22" s="1">
        <v>15</v>
      </c>
      <c r="M22" s="1">
        <v>15</v>
      </c>
      <c r="N22" s="1">
        <v>15</v>
      </c>
      <c r="O22" s="1">
        <v>15</v>
      </c>
      <c r="P22" s="1">
        <v>15</v>
      </c>
      <c r="Q22" s="1">
        <v>15</v>
      </c>
      <c r="R22" s="1">
        <v>15</v>
      </c>
      <c r="S22" s="1">
        <v>15</v>
      </c>
      <c r="T22" s="1">
        <v>15</v>
      </c>
      <c r="U22" s="1">
        <v>15</v>
      </c>
      <c r="V22" s="1">
        <v>15</v>
      </c>
      <c r="W22" s="1">
        <v>15</v>
      </c>
      <c r="X22" s="1">
        <v>15</v>
      </c>
      <c r="Y22" s="49">
        <v>14</v>
      </c>
      <c r="Z22" s="1"/>
      <c r="AA22" s="1"/>
      <c r="AB22" s="1">
        <v>0</v>
      </c>
      <c r="AC22" s="1"/>
      <c r="AD22" s="1"/>
      <c r="AE22" s="1"/>
      <c r="AF22" s="1"/>
      <c r="AG22" s="1"/>
      <c r="AH22" s="1"/>
      <c r="AI22" s="1" t="s">
        <v>123</v>
      </c>
      <c r="AJ22" s="1" t="s">
        <v>75</v>
      </c>
      <c r="AK22" s="1" t="s">
        <v>76</v>
      </c>
      <c r="AL22" s="33"/>
      <c r="AM22" s="5"/>
      <c r="AN22" s="6"/>
    </row>
    <row r="23" spans="1:40" s="29" customFormat="1" ht="29.25" customHeight="1">
      <c r="A23" s="27"/>
      <c r="B23" s="1">
        <v>2</v>
      </c>
      <c r="C23" s="47" t="s">
        <v>122</v>
      </c>
      <c r="D23" s="1" t="s">
        <v>77</v>
      </c>
      <c r="E23" s="4">
        <v>2022</v>
      </c>
      <c r="F23" s="48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49">
        <v>1</v>
      </c>
      <c r="Z23" s="1"/>
      <c r="AA23" s="1"/>
      <c r="AB23" s="1">
        <v>0</v>
      </c>
      <c r="AC23" s="1"/>
      <c r="AD23" s="1"/>
      <c r="AE23" s="1"/>
      <c r="AF23" s="1"/>
      <c r="AG23" s="1"/>
      <c r="AH23" s="1"/>
      <c r="AI23" s="1" t="s">
        <v>123</v>
      </c>
      <c r="AJ23" s="1" t="s">
        <v>75</v>
      </c>
      <c r="AK23" s="1" t="s">
        <v>76</v>
      </c>
      <c r="AL23" s="5"/>
      <c r="AM23" s="5"/>
      <c r="AN23" s="6"/>
    </row>
    <row r="24" spans="1:40" s="29" customFormat="1" ht="29.25" customHeight="1">
      <c r="A24" s="27"/>
      <c r="B24" s="1">
        <v>3</v>
      </c>
      <c r="C24" s="47" t="s">
        <v>78</v>
      </c>
      <c r="D24" s="1" t="s">
        <v>77</v>
      </c>
      <c r="E24" s="4">
        <v>2022</v>
      </c>
      <c r="F24" s="48">
        <v>8</v>
      </c>
      <c r="G24" s="1">
        <v>5</v>
      </c>
      <c r="H24" s="1">
        <v>5</v>
      </c>
      <c r="I24" s="1">
        <v>5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5</v>
      </c>
      <c r="V24" s="1">
        <v>5</v>
      </c>
      <c r="W24" s="1">
        <v>5</v>
      </c>
      <c r="X24" s="1">
        <v>5</v>
      </c>
      <c r="Y24" s="49">
        <v>8</v>
      </c>
      <c r="Z24" s="1"/>
      <c r="AA24" s="1"/>
      <c r="AB24" s="1">
        <v>0</v>
      </c>
      <c r="AC24" s="1"/>
      <c r="AD24" s="1"/>
      <c r="AE24" s="1"/>
      <c r="AF24" s="1"/>
      <c r="AG24" s="1"/>
      <c r="AH24" s="1"/>
      <c r="AI24" s="1" t="s">
        <v>123</v>
      </c>
      <c r="AJ24" s="1" t="s">
        <v>75</v>
      </c>
      <c r="AK24" s="1" t="s">
        <v>76</v>
      </c>
      <c r="AL24" s="5"/>
      <c r="AM24" s="5"/>
      <c r="AN24" s="6"/>
    </row>
    <row r="25" spans="1:40" s="29" customFormat="1" ht="29.25" customHeight="1">
      <c r="A25" s="27"/>
      <c r="B25" s="1">
        <v>4</v>
      </c>
      <c r="C25" s="47" t="s">
        <v>79</v>
      </c>
      <c r="D25" s="1" t="s">
        <v>77</v>
      </c>
      <c r="E25" s="4">
        <v>2022</v>
      </c>
      <c r="F25" s="48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49">
        <v>1</v>
      </c>
      <c r="Z25" s="1"/>
      <c r="AA25" s="1"/>
      <c r="AB25" s="1">
        <v>0</v>
      </c>
      <c r="AC25" s="1"/>
      <c r="AD25" s="1"/>
      <c r="AE25" s="1"/>
      <c r="AF25" s="1"/>
      <c r="AG25" s="1"/>
      <c r="AH25" s="1"/>
      <c r="AI25" s="1" t="s">
        <v>123</v>
      </c>
      <c r="AJ25" s="1" t="s">
        <v>75</v>
      </c>
      <c r="AK25" s="1" t="s">
        <v>76</v>
      </c>
      <c r="AL25" s="5"/>
      <c r="AM25" s="5"/>
      <c r="AN25" s="6"/>
    </row>
    <row r="26" spans="1:40" s="29" customFormat="1" ht="29.25" customHeight="1">
      <c r="A26" s="27"/>
      <c r="B26" s="1">
        <v>5</v>
      </c>
      <c r="C26" s="47" t="s">
        <v>80</v>
      </c>
      <c r="D26" s="1" t="s">
        <v>81</v>
      </c>
      <c r="E26" s="4">
        <v>2022</v>
      </c>
      <c r="F26" s="48">
        <v>1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49">
        <v>1</v>
      </c>
      <c r="Z26" s="1"/>
      <c r="AA26" s="1"/>
      <c r="AB26" s="1">
        <v>0</v>
      </c>
      <c r="AC26" s="1"/>
      <c r="AD26" s="1"/>
      <c r="AE26" s="1"/>
      <c r="AF26" s="1"/>
      <c r="AG26" s="1"/>
      <c r="AH26" s="1"/>
      <c r="AI26" s="1" t="s">
        <v>123</v>
      </c>
      <c r="AJ26" s="1" t="s">
        <v>75</v>
      </c>
      <c r="AK26" s="1" t="s">
        <v>76</v>
      </c>
      <c r="AL26" s="34"/>
      <c r="AM26" s="5"/>
      <c r="AN26" s="6"/>
    </row>
    <row r="27" spans="1:40" s="29" customFormat="1" ht="29.25" customHeight="1">
      <c r="A27" s="27"/>
      <c r="B27" s="1">
        <v>6</v>
      </c>
      <c r="C27" s="50" t="s">
        <v>82</v>
      </c>
      <c r="D27" s="1" t="s">
        <v>81</v>
      </c>
      <c r="E27" s="4">
        <v>2022</v>
      </c>
      <c r="F27" s="48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49">
        <v>6</v>
      </c>
      <c r="Z27" s="1"/>
      <c r="AA27" s="1"/>
      <c r="AB27" s="1">
        <v>0</v>
      </c>
      <c r="AC27" s="1"/>
      <c r="AD27" s="1"/>
      <c r="AE27" s="1"/>
      <c r="AF27" s="1"/>
      <c r="AG27" s="1"/>
      <c r="AH27" s="1"/>
      <c r="AI27" s="1" t="s">
        <v>123</v>
      </c>
      <c r="AJ27" s="1" t="s">
        <v>75</v>
      </c>
      <c r="AK27" s="1" t="s">
        <v>76</v>
      </c>
      <c r="AL27" s="34"/>
      <c r="AM27" s="5"/>
      <c r="AN27" s="6"/>
    </row>
    <row r="28" spans="1:40" s="29" customFormat="1" ht="29.25" customHeight="1">
      <c r="A28" s="27"/>
      <c r="B28" s="1">
        <v>7</v>
      </c>
      <c r="C28" s="47" t="s">
        <v>86</v>
      </c>
      <c r="D28" s="1" t="s">
        <v>77</v>
      </c>
      <c r="E28" s="4">
        <v>2022</v>
      </c>
      <c r="F28" s="48">
        <v>3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49">
        <v>3</v>
      </c>
      <c r="Z28" s="1"/>
      <c r="AA28" s="1"/>
      <c r="AB28" s="1">
        <v>0</v>
      </c>
      <c r="AC28" s="1"/>
      <c r="AD28" s="1"/>
      <c r="AE28" s="1"/>
      <c r="AF28" s="1"/>
      <c r="AG28" s="167">
        <v>15675000</v>
      </c>
      <c r="AH28" s="168">
        <f>+Y28*AG28</f>
        <v>47025000</v>
      </c>
      <c r="AI28" s="1" t="s">
        <v>123</v>
      </c>
      <c r="AJ28" s="1" t="s">
        <v>75</v>
      </c>
      <c r="AK28" s="1" t="s">
        <v>76</v>
      </c>
      <c r="AL28" s="34"/>
      <c r="AM28" s="5"/>
      <c r="AN28" s="6"/>
    </row>
    <row r="29" spans="1:40" s="29" customFormat="1" ht="29.25" customHeight="1">
      <c r="A29" s="27"/>
      <c r="B29" s="1">
        <v>8</v>
      </c>
      <c r="C29" s="47" t="s">
        <v>83</v>
      </c>
      <c r="D29" s="1" t="s">
        <v>77</v>
      </c>
      <c r="E29" s="4">
        <v>2022</v>
      </c>
      <c r="F29" s="48">
        <v>6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4</v>
      </c>
      <c r="Y29" s="49">
        <v>6</v>
      </c>
      <c r="Z29" s="1"/>
      <c r="AA29" s="1"/>
      <c r="AB29" s="1">
        <v>0</v>
      </c>
      <c r="AC29" s="1"/>
      <c r="AD29" s="1"/>
      <c r="AE29" s="1"/>
      <c r="AF29" s="1"/>
      <c r="AG29" s="1"/>
      <c r="AH29" s="1"/>
      <c r="AI29" s="1" t="s">
        <v>123</v>
      </c>
      <c r="AJ29" s="1" t="s">
        <v>75</v>
      </c>
      <c r="AK29" s="1" t="s">
        <v>76</v>
      </c>
      <c r="AL29" s="34"/>
      <c r="AM29" s="5"/>
      <c r="AN29" s="6"/>
    </row>
    <row r="30" spans="1:40" s="29" customFormat="1" ht="29.25" customHeight="1">
      <c r="B30" s="1">
        <v>9</v>
      </c>
      <c r="C30" s="47" t="s">
        <v>84</v>
      </c>
      <c r="D30" s="1" t="s">
        <v>77</v>
      </c>
      <c r="E30" s="4">
        <v>2022</v>
      </c>
      <c r="F30" s="48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49">
        <v>1</v>
      </c>
      <c r="Z30" s="1"/>
      <c r="AA30" s="1"/>
      <c r="AB30" s="1">
        <v>0</v>
      </c>
      <c r="AC30" s="1"/>
      <c r="AD30" s="1"/>
      <c r="AE30" s="1"/>
      <c r="AF30" s="1"/>
      <c r="AG30" s="1"/>
      <c r="AH30" s="1"/>
      <c r="AI30" s="1" t="s">
        <v>123</v>
      </c>
      <c r="AJ30" s="1" t="s">
        <v>75</v>
      </c>
      <c r="AK30" s="1" t="s">
        <v>76</v>
      </c>
      <c r="AL30" s="34"/>
      <c r="AM30" s="5"/>
      <c r="AN30" s="6"/>
    </row>
    <row r="31" spans="1:40" s="3" customFormat="1" ht="26.25" customHeight="1">
      <c r="B31" s="44" t="s">
        <v>90</v>
      </c>
      <c r="C31" s="51" t="s">
        <v>127</v>
      </c>
      <c r="D31" s="52"/>
      <c r="E31" s="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1"/>
      <c r="AJ31" s="46"/>
      <c r="AK31" s="46"/>
      <c r="AL31" s="33" t="s">
        <v>141</v>
      </c>
      <c r="AM31" s="53"/>
    </row>
    <row r="32" spans="1:40" s="6" customFormat="1" ht="27" customHeight="1">
      <c r="B32" s="1">
        <v>1</v>
      </c>
      <c r="C32" s="52" t="s">
        <v>124</v>
      </c>
      <c r="D32" s="54" t="s">
        <v>77</v>
      </c>
      <c r="E32" s="4">
        <v>2022</v>
      </c>
      <c r="F32" s="55">
        <v>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56">
        <v>6</v>
      </c>
      <c r="Z32" s="1"/>
      <c r="AA32" s="1"/>
      <c r="AB32" s="1">
        <v>0</v>
      </c>
      <c r="AC32" s="1"/>
      <c r="AD32" s="1"/>
      <c r="AE32" s="1"/>
      <c r="AF32" s="1"/>
      <c r="AG32" s="1"/>
      <c r="AH32" s="1"/>
      <c r="AI32" s="1" t="s">
        <v>123</v>
      </c>
      <c r="AJ32" s="4" t="s">
        <v>126</v>
      </c>
      <c r="AK32" s="1" t="s">
        <v>76</v>
      </c>
      <c r="AL32" s="5"/>
      <c r="AM32" s="5"/>
    </row>
    <row r="33" spans="1:40" s="6" customFormat="1" ht="27" customHeight="1">
      <c r="B33" s="1">
        <v>2</v>
      </c>
      <c r="C33" s="52" t="s">
        <v>85</v>
      </c>
      <c r="D33" s="54" t="s">
        <v>77</v>
      </c>
      <c r="E33" s="4">
        <v>2022</v>
      </c>
      <c r="F33" s="55">
        <v>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56">
        <v>1</v>
      </c>
      <c r="Z33" s="1"/>
      <c r="AA33" s="1"/>
      <c r="AB33" s="1">
        <v>0</v>
      </c>
      <c r="AC33" s="1"/>
      <c r="AD33" s="1"/>
      <c r="AE33" s="1"/>
      <c r="AF33" s="1"/>
      <c r="AG33" s="1"/>
      <c r="AH33" s="1"/>
      <c r="AI33" s="1" t="s">
        <v>123</v>
      </c>
      <c r="AJ33" s="4" t="s">
        <v>126</v>
      </c>
      <c r="AK33" s="1" t="s">
        <v>76</v>
      </c>
      <c r="AL33" s="5"/>
      <c r="AM33" s="5"/>
    </row>
    <row r="34" spans="1:40" s="6" customFormat="1" ht="27" customHeight="1">
      <c r="B34" s="1">
        <v>3</v>
      </c>
      <c r="C34" s="52" t="s">
        <v>78</v>
      </c>
      <c r="D34" s="54" t="s">
        <v>77</v>
      </c>
      <c r="E34" s="4">
        <v>2022</v>
      </c>
      <c r="F34" s="55">
        <v>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56">
        <v>6</v>
      </c>
      <c r="Z34" s="1"/>
      <c r="AA34" s="1"/>
      <c r="AB34" s="1">
        <v>0</v>
      </c>
      <c r="AC34" s="1"/>
      <c r="AD34" s="1"/>
      <c r="AE34" s="1"/>
      <c r="AF34" s="1"/>
      <c r="AG34" s="1"/>
      <c r="AH34" s="1"/>
      <c r="AI34" s="1" t="s">
        <v>123</v>
      </c>
      <c r="AJ34" s="4" t="s">
        <v>126</v>
      </c>
      <c r="AK34" s="1" t="s">
        <v>76</v>
      </c>
      <c r="AL34" s="5"/>
      <c r="AM34" s="5"/>
    </row>
    <row r="35" spans="1:40" s="6" customFormat="1" ht="27" customHeight="1">
      <c r="B35" s="1">
        <v>4</v>
      </c>
      <c r="C35" s="52" t="s">
        <v>79</v>
      </c>
      <c r="D35" s="54" t="s">
        <v>77</v>
      </c>
      <c r="E35" s="4">
        <v>2022</v>
      </c>
      <c r="F35" s="55">
        <v>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56">
        <v>1</v>
      </c>
      <c r="Z35" s="1"/>
      <c r="AA35" s="1"/>
      <c r="AB35" s="1">
        <v>0</v>
      </c>
      <c r="AC35" s="1"/>
      <c r="AD35" s="1"/>
      <c r="AE35" s="1"/>
      <c r="AF35" s="1"/>
      <c r="AG35" s="1"/>
      <c r="AH35" s="1"/>
      <c r="AI35" s="1" t="s">
        <v>123</v>
      </c>
      <c r="AJ35" s="4" t="s">
        <v>126</v>
      </c>
      <c r="AK35" s="1" t="s">
        <v>76</v>
      </c>
      <c r="AL35" s="5"/>
      <c r="AM35" s="5"/>
    </row>
    <row r="36" spans="1:40" s="6" customFormat="1" ht="27" customHeight="1">
      <c r="B36" s="1">
        <v>5</v>
      </c>
      <c r="C36" s="52" t="s">
        <v>80</v>
      </c>
      <c r="D36" s="54" t="s">
        <v>81</v>
      </c>
      <c r="E36" s="4">
        <v>2022</v>
      </c>
      <c r="F36" s="55">
        <v>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56">
        <v>1</v>
      </c>
      <c r="Z36" s="1"/>
      <c r="AA36" s="1"/>
      <c r="AB36" s="1">
        <v>0</v>
      </c>
      <c r="AC36" s="1"/>
      <c r="AD36" s="1"/>
      <c r="AE36" s="1"/>
      <c r="AF36" s="1"/>
      <c r="AG36" s="1"/>
      <c r="AH36" s="1"/>
      <c r="AI36" s="1" t="s">
        <v>123</v>
      </c>
      <c r="AJ36" s="4" t="s">
        <v>126</v>
      </c>
      <c r="AK36" s="1" t="s">
        <v>76</v>
      </c>
      <c r="AL36" s="5"/>
      <c r="AM36" s="5"/>
    </row>
    <row r="37" spans="1:40" s="6" customFormat="1" ht="27" customHeight="1">
      <c r="B37" s="1">
        <v>6</v>
      </c>
      <c r="C37" s="50" t="s">
        <v>82</v>
      </c>
      <c r="D37" s="54" t="s">
        <v>81</v>
      </c>
      <c r="E37" s="4">
        <v>2022</v>
      </c>
      <c r="F37" s="55">
        <v>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56">
        <v>4</v>
      </c>
      <c r="Z37" s="1"/>
      <c r="AA37" s="1"/>
      <c r="AB37" s="1">
        <v>0</v>
      </c>
      <c r="AC37" s="1"/>
      <c r="AD37" s="1"/>
      <c r="AE37" s="1"/>
      <c r="AF37" s="1"/>
      <c r="AG37" s="1"/>
      <c r="AH37" s="1"/>
      <c r="AI37" s="1" t="s">
        <v>123</v>
      </c>
      <c r="AJ37" s="4" t="s">
        <v>126</v>
      </c>
      <c r="AK37" s="1" t="s">
        <v>76</v>
      </c>
      <c r="AL37" s="5"/>
      <c r="AM37" s="5"/>
    </row>
    <row r="38" spans="1:40" s="6" customFormat="1" ht="27" customHeight="1">
      <c r="B38" s="1">
        <v>7</v>
      </c>
      <c r="C38" s="52" t="s">
        <v>125</v>
      </c>
      <c r="D38" s="54" t="s">
        <v>77</v>
      </c>
      <c r="E38" s="4">
        <v>2022</v>
      </c>
      <c r="F38" s="55">
        <v>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56">
        <v>2</v>
      </c>
      <c r="Z38" s="1"/>
      <c r="AA38" s="1"/>
      <c r="AB38" s="1">
        <v>0</v>
      </c>
      <c r="AC38" s="1"/>
      <c r="AD38" s="1"/>
      <c r="AE38" s="1"/>
      <c r="AF38" s="1"/>
      <c r="AG38" s="167">
        <v>12669000</v>
      </c>
      <c r="AH38" s="1">
        <f>+Y38*AG38</f>
        <v>25338000</v>
      </c>
      <c r="AI38" s="1" t="s">
        <v>123</v>
      </c>
      <c r="AJ38" s="4" t="s">
        <v>126</v>
      </c>
      <c r="AK38" s="1" t="s">
        <v>76</v>
      </c>
      <c r="AL38" s="5"/>
      <c r="AM38" s="5"/>
    </row>
    <row r="39" spans="1:40" s="6" customFormat="1" ht="27" customHeight="1">
      <c r="B39" s="1">
        <v>8</v>
      </c>
      <c r="C39" s="52" t="s">
        <v>83</v>
      </c>
      <c r="D39" s="54" t="s">
        <v>77</v>
      </c>
      <c r="E39" s="4">
        <v>2022</v>
      </c>
      <c r="F39" s="55">
        <v>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56">
        <v>2</v>
      </c>
      <c r="Z39" s="1"/>
      <c r="AA39" s="1"/>
      <c r="AB39" s="1">
        <v>0</v>
      </c>
      <c r="AC39" s="1"/>
      <c r="AD39" s="1"/>
      <c r="AE39" s="1"/>
      <c r="AF39" s="1"/>
      <c r="AG39" s="1"/>
      <c r="AH39" s="1"/>
      <c r="AI39" s="1" t="s">
        <v>123</v>
      </c>
      <c r="AJ39" s="4" t="s">
        <v>126</v>
      </c>
      <c r="AK39" s="1" t="s">
        <v>76</v>
      </c>
      <c r="AL39" s="5"/>
      <c r="AM39" s="5"/>
    </row>
    <row r="40" spans="1:40" s="6" customFormat="1" ht="27" customHeight="1">
      <c r="B40" s="1">
        <v>9</v>
      </c>
      <c r="C40" s="52" t="s">
        <v>87</v>
      </c>
      <c r="D40" s="54" t="s">
        <v>77</v>
      </c>
      <c r="E40" s="4">
        <v>2022</v>
      </c>
      <c r="F40" s="55">
        <v>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56">
        <v>1</v>
      </c>
      <c r="Z40" s="1"/>
      <c r="AA40" s="1"/>
      <c r="AB40" s="1">
        <v>0</v>
      </c>
      <c r="AC40" s="1"/>
      <c r="AD40" s="1"/>
      <c r="AE40" s="1"/>
      <c r="AF40" s="1"/>
      <c r="AG40" s="1"/>
      <c r="AH40" s="1"/>
      <c r="AI40" s="1" t="s">
        <v>123</v>
      </c>
      <c r="AJ40" s="4" t="s">
        <v>126</v>
      </c>
      <c r="AK40" s="1" t="s">
        <v>76</v>
      </c>
      <c r="AL40" s="5"/>
      <c r="AM40" s="5"/>
    </row>
    <row r="41" spans="1:40" s="171" customFormat="1" ht="15" customHeight="1">
      <c r="A41" s="169"/>
      <c r="B41" s="169" t="s">
        <v>224</v>
      </c>
      <c r="C41" s="169" t="s">
        <v>224</v>
      </c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>
        <f>SUM(AH21:AH40)</f>
        <v>72363000</v>
      </c>
      <c r="AI41" s="170"/>
      <c r="AJ41" s="170"/>
      <c r="AK41" s="170"/>
      <c r="AL41" s="170"/>
    </row>
    <row r="42" spans="1:40" ht="13.5" customHeight="1">
      <c r="B42" s="35"/>
      <c r="C42" s="57"/>
      <c r="D42" s="58"/>
      <c r="E42" s="36"/>
      <c r="F42" s="59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60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7"/>
      <c r="AK42" s="35"/>
      <c r="AL42" s="38"/>
      <c r="AM42" s="38"/>
    </row>
    <row r="43" spans="1:40" s="42" customFormat="1">
      <c r="A43" s="39"/>
      <c r="B43" s="3"/>
      <c r="C43" s="3"/>
      <c r="D43" s="3"/>
      <c r="E43" s="11"/>
      <c r="F43" s="40"/>
      <c r="G43" s="3"/>
      <c r="H43" s="3"/>
      <c r="I43" s="3"/>
      <c r="J43" s="3"/>
      <c r="K43" s="1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11"/>
      <c r="Y43" s="3"/>
      <c r="Z43" s="3"/>
      <c r="AA43" s="11"/>
      <c r="AB43" s="41"/>
      <c r="AC43" s="3"/>
      <c r="AD43" s="3"/>
      <c r="AE43" s="3"/>
      <c r="AF43" s="3"/>
      <c r="AG43" s="3"/>
      <c r="AH43" s="3"/>
      <c r="AI43" s="3"/>
      <c r="AJ43" s="194" t="s">
        <v>162</v>
      </c>
      <c r="AK43" s="194"/>
      <c r="AL43" s="194"/>
      <c r="AM43" s="194"/>
      <c r="AN43" s="3"/>
    </row>
    <row r="44" spans="1:40" s="42" customFormat="1" ht="16.5" customHeight="1">
      <c r="A44" s="39"/>
      <c r="B44" s="3" t="s">
        <v>53</v>
      </c>
      <c r="C44" s="3"/>
      <c r="D44" s="194" t="s">
        <v>119</v>
      </c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3"/>
      <c r="AA44" s="3"/>
      <c r="AB44" s="194" t="s">
        <v>54</v>
      </c>
      <c r="AC44" s="194"/>
      <c r="AD44" s="194"/>
      <c r="AE44" s="194"/>
      <c r="AF44" s="194"/>
      <c r="AG44" s="194"/>
      <c r="AH44" s="194"/>
      <c r="AI44" s="194"/>
      <c r="AJ44" s="194"/>
      <c r="AK44" s="194" t="s">
        <v>55</v>
      </c>
      <c r="AL44" s="194"/>
      <c r="AM44" s="194"/>
      <c r="AN44" s="3"/>
    </row>
    <row r="45" spans="1:40" s="42" customFormat="1">
      <c r="A45" s="39" t="s">
        <v>56</v>
      </c>
      <c r="B45" s="11" t="s">
        <v>56</v>
      </c>
      <c r="C45" s="3" t="s">
        <v>94</v>
      </c>
      <c r="D45" s="2"/>
      <c r="E45" s="11"/>
      <c r="F45" s="40"/>
      <c r="G45" s="3"/>
      <c r="H45" s="3"/>
      <c r="I45" s="3"/>
      <c r="J45" s="3"/>
      <c r="K45" s="1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11"/>
      <c r="Y45" s="3"/>
      <c r="Z45" s="3"/>
      <c r="AA45" s="11"/>
      <c r="AB45" s="41"/>
      <c r="AC45" s="3"/>
      <c r="AD45" s="3"/>
      <c r="AE45" s="3"/>
      <c r="AF45" s="3"/>
      <c r="AG45" s="3"/>
      <c r="AH45" s="3"/>
      <c r="AI45" s="3"/>
      <c r="AJ45" s="11"/>
      <c r="AK45" s="11"/>
      <c r="AL45" s="3"/>
      <c r="AM45" s="3"/>
      <c r="AN45" s="3"/>
    </row>
    <row r="46" spans="1:40" s="42" customFormat="1">
      <c r="A46" s="39" t="s">
        <v>56</v>
      </c>
      <c r="B46" s="11" t="s">
        <v>56</v>
      </c>
      <c r="C46" s="3" t="s">
        <v>93</v>
      </c>
      <c r="D46" s="2"/>
      <c r="E46" s="11"/>
      <c r="F46" s="40"/>
      <c r="G46" s="3"/>
      <c r="H46" s="3"/>
      <c r="I46" s="3"/>
      <c r="J46" s="3"/>
      <c r="K46" s="1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11"/>
      <c r="Y46" s="3"/>
      <c r="Z46" s="3"/>
      <c r="AA46" s="11"/>
      <c r="AB46" s="41"/>
      <c r="AC46" s="3"/>
      <c r="AD46" s="3"/>
      <c r="AE46" s="3"/>
      <c r="AF46" s="3"/>
      <c r="AG46" s="3"/>
      <c r="AH46" s="3"/>
      <c r="AI46" s="3"/>
      <c r="AJ46" s="11"/>
      <c r="AK46" s="11"/>
      <c r="AL46" s="3"/>
      <c r="AM46" s="3"/>
      <c r="AN46" s="3"/>
    </row>
    <row r="47" spans="1:40" s="42" customFormat="1">
      <c r="A47" s="39" t="s">
        <v>56</v>
      </c>
      <c r="B47" s="11" t="s">
        <v>56</v>
      </c>
      <c r="C47" s="3" t="s">
        <v>92</v>
      </c>
      <c r="D47" s="2"/>
      <c r="E47" s="11"/>
      <c r="F47" s="40"/>
      <c r="G47" s="3"/>
      <c r="H47" s="3"/>
      <c r="I47" s="3"/>
      <c r="J47" s="3"/>
      <c r="K47" s="1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11"/>
      <c r="Y47" s="3"/>
      <c r="Z47" s="3"/>
      <c r="AA47" s="11"/>
      <c r="AB47" s="41"/>
      <c r="AC47" s="3"/>
      <c r="AD47" s="3"/>
      <c r="AE47" s="3"/>
      <c r="AF47" s="3"/>
      <c r="AG47" s="3"/>
      <c r="AH47" s="3"/>
      <c r="AI47" s="3"/>
      <c r="AJ47" s="11"/>
      <c r="AK47" s="11"/>
      <c r="AL47" s="3"/>
      <c r="AM47" s="3"/>
      <c r="AN47" s="3"/>
    </row>
    <row r="48" spans="1:40" s="42" customFormat="1" ht="18.75" customHeight="1">
      <c r="A48" s="39" t="s">
        <v>56</v>
      </c>
      <c r="B48" s="11" t="s">
        <v>56</v>
      </c>
      <c r="C48" s="3" t="s">
        <v>91</v>
      </c>
      <c r="D48" s="2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64"/>
      <c r="AH48" s="164"/>
      <c r="AI48" s="194"/>
      <c r="AJ48" s="194"/>
      <c r="AK48" s="194"/>
      <c r="AL48" s="194"/>
      <c r="AM48" s="3"/>
      <c r="AN48" s="3"/>
    </row>
    <row r="49" spans="1:39" s="3" customFormat="1" ht="18.75" customHeight="1">
      <c r="A49" s="11"/>
      <c r="B49" s="11" t="s">
        <v>56</v>
      </c>
      <c r="C49" s="3" t="s">
        <v>161</v>
      </c>
      <c r="D49" s="194" t="s">
        <v>120</v>
      </c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AB49" s="194" t="s">
        <v>57</v>
      </c>
      <c r="AC49" s="194"/>
      <c r="AD49" s="194"/>
      <c r="AE49" s="194"/>
      <c r="AF49" s="194"/>
      <c r="AG49" s="194"/>
      <c r="AH49" s="194"/>
      <c r="AI49" s="194"/>
      <c r="AJ49" s="194"/>
      <c r="AK49" s="194" t="s">
        <v>151</v>
      </c>
      <c r="AL49" s="194"/>
      <c r="AM49" s="194"/>
    </row>
    <row r="50" spans="1:39" s="3" customFormat="1" ht="11.25" customHeight="1">
      <c r="B50" s="11"/>
      <c r="D50" s="2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64"/>
      <c r="AH50" s="164"/>
      <c r="AI50" s="194"/>
      <c r="AJ50" s="194"/>
      <c r="AK50" s="194"/>
      <c r="AL50" s="194"/>
      <c r="AM50" s="194"/>
    </row>
  </sheetData>
  <autoFilter ref="A16:AN41" xr:uid="{F3F8376B-3B3C-40D7-9F4A-E067FC9B1E92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24" showButton="0"/>
    <filterColumn colId="25" showButton="0"/>
    <filterColumn colId="27" showButton="0"/>
    <filterColumn colId="28" showButton="0"/>
  </autoFilter>
  <mergeCells count="46">
    <mergeCell ref="AF16:AF19"/>
    <mergeCell ref="H18:H19"/>
    <mergeCell ref="I18:J18"/>
    <mergeCell ref="Y17:Y19"/>
    <mergeCell ref="Z17:Z19"/>
    <mergeCell ref="AA17:AA19"/>
    <mergeCell ref="AB17:AB19"/>
    <mergeCell ref="AC17:AC19"/>
    <mergeCell ref="AD17:AD19"/>
    <mergeCell ref="AA1:AM1"/>
    <mergeCell ref="AA2:AM2"/>
    <mergeCell ref="B3:AM3"/>
    <mergeCell ref="AA4:AM4"/>
    <mergeCell ref="B5:AM5"/>
    <mergeCell ref="AL16:AL19"/>
    <mergeCell ref="AM16:AM19"/>
    <mergeCell ref="A16:A19"/>
    <mergeCell ref="B16:B19"/>
    <mergeCell ref="C16:C19"/>
    <mergeCell ref="D16:D19"/>
    <mergeCell ref="E16:E19"/>
    <mergeCell ref="F16:Q16"/>
    <mergeCell ref="F17:F19"/>
    <mergeCell ref="G17:G19"/>
    <mergeCell ref="H17:J17"/>
    <mergeCell ref="AI16:AI19"/>
    <mergeCell ref="AJ16:AJ19"/>
    <mergeCell ref="Y16:AA16"/>
    <mergeCell ref="AB16:AD16"/>
    <mergeCell ref="AE16:AE19"/>
    <mergeCell ref="AG16:AG19"/>
    <mergeCell ref="AH16:AH19"/>
    <mergeCell ref="E50:AF50"/>
    <mergeCell ref="AI50:AJ50"/>
    <mergeCell ref="AK50:AM50"/>
    <mergeCell ref="AK49:AM49"/>
    <mergeCell ref="D49:Y49"/>
    <mergeCell ref="AB49:AJ49"/>
    <mergeCell ref="AJ43:AM43"/>
    <mergeCell ref="AK44:AM44"/>
    <mergeCell ref="E48:AF48"/>
    <mergeCell ref="AI48:AJ48"/>
    <mergeCell ref="AK48:AL48"/>
    <mergeCell ref="D44:Y44"/>
    <mergeCell ref="AB44:AJ44"/>
    <mergeCell ref="AK16:AK19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foxz</vt:lpstr>
      <vt:lpstr>Khoa PCBKLN-TB VP-2025</vt:lpstr>
      <vt:lpstr>KHoa PCBKLN-2025-TB Điện</vt:lpstr>
      <vt:lpstr>'Khoa PCBKLN-TB VP-2025'!Print_Area</vt:lpstr>
      <vt:lpstr>'KHoa PCBKLN-2025-TB Điện'!Print_Titles</vt:lpstr>
      <vt:lpstr>'Khoa PCBKLN-TB VP-2025'!Print_Titles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2026-05-06T02:31:26Z</cp:lastPrinted>
  <dcterms:created xsi:type="dcterms:W3CDTF">2019-01-08T07:18:38Z</dcterms:created>
  <dcterms:modified xsi:type="dcterms:W3CDTF">2026-06-17T02:02:03Z</dcterms:modified>
</cp:coreProperties>
</file>