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F5149BD3-4F26-44F1-8B35-CEE86549C479}" xr6:coauthVersionLast="36" xr6:coauthVersionMax="47" xr10:uidLastSave="{00000000-0000-0000-0000-000000000000}"/>
  <bookViews>
    <workbookView xWindow="-120" yWindow="-120" windowWidth="19800" windowHeight="11760" firstSheet="3" activeTab="4" xr2:uid="{00000000-000D-0000-FFFF-FFFF00000000}"/>
  </bookViews>
  <sheets>
    <sheet name="Kangatang" sheetId="4" state="hidden" r:id="rId1"/>
    <sheet name="foxz" sheetId="6" state="hidden" r:id="rId2"/>
    <sheet name="foxz_2" sheetId="7" state="veryHidden" r:id="rId3"/>
    <sheet name="1.Khoa TTGDSK-TB VP-2022" sheetId="3" r:id="rId4"/>
    <sheet name="2.KHoa TTGDSK-2022-TB Điện" sheetId="5" r:id="rId5"/>
  </sheets>
  <definedNames>
    <definedName name="_Fill" localSheetId="3" hidden="1">#REF!</definedName>
    <definedName name="_Fill" localSheetId="4" hidden="1">#REF!</definedName>
    <definedName name="_Fill" hidden="1">#REF!</definedName>
    <definedName name="_xlnm._FilterDatabase" localSheetId="3" hidden="1">'1.Khoa TTGDSK-TB VP-2022'!$A$16:$AN$80</definedName>
    <definedName name="_xlnm._FilterDatabase" localSheetId="4" hidden="1">'2.KHoa TTGDSK-2022-TB Điện'!$A$17:$AM$102</definedName>
    <definedName name="_xlnm.Print_Area" localSheetId="3">'1.Khoa TTGDSK-TB VP-2022'!$A$1:$AL$98</definedName>
    <definedName name="_xlnm.Print_Titles" localSheetId="3">'1.Khoa TTGDSK-TB VP-2022'!$16:$18</definedName>
    <definedName name="_xlnm.Print_Titles" localSheetId="4">'2.KHoa TTGDSK-2022-TB Điện'!$17:$21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H73" i="5" l="1"/>
  <c r="AH92" i="5" l="1"/>
  <c r="AH83" i="5"/>
  <c r="AH72" i="5"/>
  <c r="AH62" i="5"/>
  <c r="AH53" i="5"/>
  <c r="AH44" i="5"/>
  <c r="AH34" i="5"/>
  <c r="AH95" i="5" l="1"/>
  <c r="AG79" i="3"/>
  <c r="AG23" i="3" l="1"/>
  <c r="AG37" i="3" l="1"/>
  <c r="AG43" i="3" l="1"/>
  <c r="AG28" i="3"/>
  <c r="AG53" i="3"/>
  <c r="AG26" i="3" l="1"/>
  <c r="AG42" i="3"/>
  <c r="AG52" i="3"/>
  <c r="AG30" i="3" l="1"/>
  <c r="AG78" i="3" l="1"/>
  <c r="AC45" i="3" l="1"/>
  <c r="U45" i="3"/>
  <c r="T45" i="3"/>
  <c r="S45" i="3"/>
  <c r="R45" i="3"/>
  <c r="G45" i="3"/>
  <c r="Y45" i="3" s="1"/>
  <c r="AB45" i="3" s="1"/>
  <c r="AD34" i="5"/>
  <c r="AC34" i="5"/>
  <c r="AC117" i="3"/>
  <c r="Y117" i="3"/>
  <c r="AB117" i="3" s="1"/>
  <c r="AC116" i="3"/>
  <c r="AC115" i="3"/>
  <c r="Y115" i="3"/>
  <c r="AB115" i="3" s="1"/>
  <c r="AC56" i="3"/>
  <c r="G56" i="3"/>
  <c r="Y56" i="3" s="1"/>
  <c r="AB56" i="3" s="1"/>
  <c r="AC58" i="3"/>
  <c r="G58" i="3"/>
  <c r="Y58" i="3" s="1"/>
  <c r="AB58" i="3" s="1"/>
  <c r="AC54" i="3"/>
  <c r="G54" i="3"/>
  <c r="Y54" i="3" s="1"/>
  <c r="AB54" i="3" s="1"/>
  <c r="AC53" i="3"/>
  <c r="AB53" i="3"/>
  <c r="AC52" i="3"/>
  <c r="V52" i="3"/>
  <c r="W52" i="3" s="1"/>
  <c r="AC33" i="3"/>
  <c r="G33" i="3"/>
  <c r="Y33" i="3" s="1"/>
  <c r="AB33" i="3" s="1"/>
  <c r="AC30" i="3"/>
  <c r="G30" i="3"/>
  <c r="Y30" i="3" s="1"/>
  <c r="AB30" i="3" s="1"/>
  <c r="AC32" i="3"/>
  <c r="G32" i="3"/>
  <c r="U32" i="3" s="1"/>
  <c r="R53" i="3"/>
  <c r="V53" i="3" s="1"/>
  <c r="S53" i="3"/>
  <c r="T54" i="3"/>
  <c r="R54" i="3"/>
  <c r="U54" i="3"/>
  <c r="S54" i="3"/>
  <c r="T58" i="3"/>
  <c r="R58" i="3"/>
  <c r="U58" i="3"/>
  <c r="S58" i="3"/>
  <c r="T56" i="3"/>
  <c r="R56" i="3"/>
  <c r="U56" i="3"/>
  <c r="S56" i="3"/>
  <c r="T115" i="3"/>
  <c r="R115" i="3"/>
  <c r="U115" i="3"/>
  <c r="S115" i="3"/>
  <c r="T116" i="3"/>
  <c r="R116" i="3"/>
  <c r="U116" i="3"/>
  <c r="S116" i="3"/>
  <c r="T117" i="3"/>
  <c r="R117" i="3"/>
  <c r="U117" i="3"/>
  <c r="S117" i="3"/>
  <c r="T33" i="3"/>
  <c r="R33" i="3"/>
  <c r="U33" i="3"/>
  <c r="S33" i="3"/>
  <c r="U30" i="3"/>
  <c r="S30" i="3"/>
  <c r="T30" i="3"/>
  <c r="R30" i="3"/>
  <c r="Y52" i="3"/>
  <c r="AB52" i="3" s="1"/>
  <c r="Y116" i="3"/>
  <c r="AB116" i="3" s="1"/>
  <c r="T32" i="3" l="1"/>
  <c r="V33" i="3"/>
  <c r="W33" i="3" s="1"/>
  <c r="V116" i="3"/>
  <c r="W116" i="3" s="1"/>
  <c r="V58" i="3"/>
  <c r="W58" i="3" s="1"/>
  <c r="V30" i="3"/>
  <c r="W30" i="3" s="1"/>
  <c r="R32" i="3"/>
  <c r="V45" i="3"/>
  <c r="W45" i="3" s="1"/>
  <c r="S32" i="3"/>
  <c r="Y32" i="3"/>
  <c r="AB32" i="3" s="1"/>
  <c r="V117" i="3"/>
  <c r="W117" i="3" s="1"/>
  <c r="V115" i="3"/>
  <c r="W115" i="3" s="1"/>
  <c r="V56" i="3"/>
  <c r="W56" i="3" s="1"/>
  <c r="V54" i="3"/>
  <c r="W54" i="3" s="1"/>
  <c r="V32" i="3" l="1"/>
  <c r="W32" i="3" s="1"/>
</calcChain>
</file>

<file path=xl/sharedStrings.xml><?xml version="1.0" encoding="utf-8"?>
<sst xmlns="http://schemas.openxmlformats.org/spreadsheetml/2006/main" count="1056" uniqueCount="283">
  <si>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</si>
  <si>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</si>
  <si>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</si>
  <si>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</si>
  <si>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</si>
  <si>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</si>
  <si>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</si>
  <si>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</si>
  <si>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</si>
  <si>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</si>
  <si>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</si>
  <si>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</si>
  <si>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</si>
  <si>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</si>
  <si>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Ghi 
chú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</si>
  <si>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</si>
  <si>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</si>
  <si>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</si>
  <si>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</si>
  <si>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</si>
  <si>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</si>
  <si>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</si>
  <si>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</si>
  <si>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</si>
  <si>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</si>
  <si>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</si>
  <si>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</si>
  <si>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</si>
  <si>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</si>
  <si>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</si>
  <si>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</si>
  <si>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</si>
  <si>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</si>
  <si>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</si>
  <si>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</si>
  <si>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</si>
  <si>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</si>
  <si>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</si>
  <si>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</si>
  <si>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</si>
  <si>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</si>
  <si>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</si>
  <si>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Nhật</t>
  </si>
  <si>
    <t>đang sd</t>
  </si>
  <si>
    <t>ĐNA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</si>
  <si>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</si>
  <si>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</si>
  <si>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</si>
  <si>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</si>
  <si>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</si>
  <si>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</si>
  <si>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chuyển đến</t>
  </si>
  <si>
    <t>Ghế nệm xoay</t>
  </si>
  <si>
    <t>Thành viên tổ kiểm kê</t>
  </si>
  <si>
    <t>Trưởng phòng TC - KT</t>
  </si>
  <si>
    <t>Chủ tịch hội đồng</t>
  </si>
  <si>
    <t>-</t>
  </si>
  <si>
    <t>Nguyễn Thanh Huỳnh</t>
  </si>
  <si>
    <t>2. Ông. Nguyễn Thanh Huỳnh</t>
  </si>
  <si>
    <t>Ủy viên</t>
  </si>
  <si>
    <t>3. Ông. Trần Liên</t>
  </si>
  <si>
    <t>Trưởng phòng TC - HC</t>
  </si>
  <si>
    <t>Tổ trưởng</t>
  </si>
  <si>
    <t>Đại diện khoa</t>
  </si>
  <si>
    <t>5. Thành viên tổ kiểm kê</t>
  </si>
  <si>
    <t>4. Ông. Dương Ấm Mậu</t>
  </si>
  <si>
    <t>Bàn làm việc - BLV15-1
-Kích thước: (1.500x750x760)mm.
- Gỗ công nghiệp phủ melamine có hộc liền.</t>
  </si>
  <si>
    <t>Phòng làm việc</t>
  </si>
  <si>
    <t>Bàn làm việc - BLV1809-1
-Kích thước: (1.800x900x760)mm.
-Gỗ công nghiệp phun PU</t>
  </si>
  <si>
    <t>Tủ đựng dụng cụ
-Kích thước: (1.000x450x1.830)mm.
- Khung sắt sơn tĩnh điện khoang trên có 03 khoang, có 02 đợt di động. Khung cánh kính mở</t>
  </si>
  <si>
    <t>Ghế làm việc
-Kích thước: (550x530x865/990)mm.
- Khung nhựa, đệm tựa bọc vải tay nhựa.</t>
  </si>
  <si>
    <t>Đơn vị tính</t>
  </si>
  <si>
    <t>Nơi tài sản mới chuyển đến</t>
  </si>
  <si>
    <t xml:space="preserve">Ghi chú
</t>
  </si>
  <si>
    <t>đang SD</t>
  </si>
  <si>
    <t>TÀI SẢN ĐÃ THANH LÝ THEO QUYẾT ĐỊNH 325/QĐ-TTKSBT NGÀY 14/6/2021</t>
  </si>
  <si>
    <t>Tủ tài liệu gỗ ép nhiều ngăn</t>
  </si>
  <si>
    <t>K. Dinh dưỡng</t>
  </si>
  <si>
    <t>P. Tư vấn</t>
  </si>
  <si>
    <t>Không tốt</t>
  </si>
  <si>
    <t>Phòng 2 - KHTC TT CSSKSS</t>
  </si>
  <si>
    <t>Đề nghị thanh lý</t>
  </si>
  <si>
    <t>Bàn làm việc Meca 1,4m</t>
  </si>
  <si>
    <t>Ghế nhựa có tựa</t>
  </si>
  <si>
    <t>Hỏng 1 cái</t>
  </si>
  <si>
    <t>Ghế gỗ có tựa lưng</t>
  </si>
  <si>
    <t>Máy điều hòa 1 mảnh General</t>
  </si>
  <si>
    <t>HỎNG</t>
  </si>
  <si>
    <t>Tủ tường nhiều ngăn</t>
  </si>
  <si>
    <t>P. BS Quang</t>
  </si>
  <si>
    <t>P. PGĐ (BS Quang)</t>
  </si>
  <si>
    <t>Máy điều hòa 01 mảnh Nationnal</t>
  </si>
  <si>
    <t>Đèn led panel 45w vuông 0,6x0,6 m</t>
  </si>
  <si>
    <t>Công tắc 4</t>
  </si>
  <si>
    <t>Ổ cắm đôi 3 chấu</t>
  </si>
  <si>
    <t>Tủ điện âm tường bao gồm thiết bị</t>
  </si>
  <si>
    <t>Đầu báo khói địa chỉ (kể cả đế)</t>
  </si>
  <si>
    <t xml:space="preserve">Đầu phun sprinkler 68 độ C (loại quay xuống) + đế </t>
  </si>
  <si>
    <t>Điều hòa cassette 4 hướng 36.000 Btu/h + remote</t>
  </si>
  <si>
    <t>Quạt trần + hộp số</t>
  </si>
  <si>
    <t>Miệng gió 250x250 + OBD</t>
  </si>
  <si>
    <t>Công tắc đôi</t>
  </si>
  <si>
    <t>Điều hòa treo tường 24.000 Btu/h + remote</t>
  </si>
  <si>
    <t>Miệng gió 200x200 + OBD</t>
  </si>
  <si>
    <t>Không sd</t>
  </si>
  <si>
    <t>I</t>
  </si>
  <si>
    <t>II</t>
  </si>
  <si>
    <t>III</t>
  </si>
  <si>
    <t>Đặng Thị Tuyến……………………….</t>
  </si>
  <si>
    <t>Trần Quốc Việt………………………...</t>
  </si>
  <si>
    <t>Lưu Thị Mận………………………..…</t>
  </si>
  <si>
    <t>Trần Liên…………………………...….</t>
  </si>
  <si>
    <t>Trần Liên………………...…………….</t>
  </si>
  <si>
    <t>4. Ông. Nguyễn Hữu Quý</t>
  </si>
  <si>
    <t>Trưởng khoa TTGDSK</t>
  </si>
  <si>
    <t>P. Làm việc K. Truyền thông (T6.8)</t>
  </si>
  <si>
    <t>Khoa Truyền thông</t>
  </si>
  <si>
    <t>BLV: 157-161</t>
  </si>
  <si>
    <t>An, Nguyệt, Yên (1), Tâm (2)</t>
  </si>
  <si>
    <t>BLV 1809/24</t>
  </si>
  <si>
    <t>Quý</t>
  </si>
  <si>
    <t>GLV: 253-257</t>
  </si>
  <si>
    <t>An, Nguyệt, Yên, Tâm, Quý</t>
  </si>
  <si>
    <t>TDC: 81</t>
  </si>
  <si>
    <t>Bàn làm việc chân sắt 2mx0,8m</t>
  </si>
  <si>
    <t>35 pasteur</t>
  </si>
  <si>
    <t>Ghế hội trường</t>
  </si>
  <si>
    <t>Tủ hồ sơ</t>
  </si>
  <si>
    <t>Quạt đứng Senko</t>
  </si>
  <si>
    <t>P. Giao ban (T6.9)</t>
  </si>
  <si>
    <t>Bàn làm việc -BH2010
-Kích thước: (2.000x1.000x750)mm.
- Gỗ công nghiệp melamine.</t>
  </si>
  <si>
    <t>BH 2010/1</t>
  </si>
  <si>
    <t>Phòng giao ban</t>
  </si>
  <si>
    <t>Ghế họp giao ban - GQ712
-Kích thước: (580x620x950)mm.
- Khung thép sơn tĩnh điện, đệm tựa bọc vải, lưng trung</t>
  </si>
  <si>
    <t>Phòng Giao ban</t>
  </si>
  <si>
    <t>P. Tư vấn sức khỏe cá nhân (T6.10)</t>
  </si>
  <si>
    <t>35 pateur</t>
  </si>
  <si>
    <t>P. Thiết kế đồ hoạ</t>
  </si>
  <si>
    <t>Thơ, Hiền, Hoa</t>
  </si>
  <si>
    <t>Phòng TKĐH</t>
  </si>
  <si>
    <t>P. Dựng phim</t>
  </si>
  <si>
    <t>Chinh, Dũng</t>
  </si>
  <si>
    <t>Phòng Dựng phim</t>
  </si>
  <si>
    <t>Kệ sách</t>
  </si>
  <si>
    <t>Tầng hầm</t>
  </si>
  <si>
    <t>P. Studio</t>
  </si>
  <si>
    <t>Bàn gỗ làm việc</t>
  </si>
  <si>
    <t>Tủ nhôm (đựng dàn âm thanh)</t>
  </si>
  <si>
    <t>Bộ bàn ghế dựa sắt (bàn+4 ghế)</t>
  </si>
  <si>
    <t>Kho</t>
  </si>
  <si>
    <t>Kệ sắt</t>
  </si>
  <si>
    <t>IV</t>
  </si>
  <si>
    <t>V</t>
  </si>
  <si>
    <t>VI</t>
  </si>
  <si>
    <t>VII</t>
  </si>
  <si>
    <t>Máy điều hòa nhiệt độ LG JC 09D</t>
  </si>
  <si>
    <t>Phó Giám đốc</t>
  </si>
  <si>
    <t>BS Chín</t>
  </si>
  <si>
    <t>Máy điều hòa nhiệt độ LG</t>
  </si>
  <si>
    <t>Tầng 3 - Thư viện</t>
  </si>
  <si>
    <t>Điều hòa Panasonic</t>
  </si>
  <si>
    <t>Kho + Quý</t>
  </si>
  <si>
    <t>Quạt trần</t>
  </si>
  <si>
    <t>Tầng 2</t>
  </si>
  <si>
    <t>TS còn ở CS 35 Pasteur</t>
  </si>
  <si>
    <t>Nguyễn Hữu Quý</t>
  </si>
  <si>
    <t>GLV 259, 260</t>
  </si>
  <si>
    <t>P. Thiết kế đồ họa (T6.4)</t>
  </si>
  <si>
    <t>Đèn led panel 45w 0,3x1,2 m</t>
  </si>
  <si>
    <t>Đầu phun sprinkler 68 độ C (loại quay xuống)</t>
  </si>
  <si>
    <t>Module INPUT/OUTPUT loại địa chỉ (DIMM)</t>
  </si>
  <si>
    <t>Công tắc dòng chảy</t>
  </si>
  <si>
    <t>Đồng hồ đo áp lực + van chặn đồng hồ áp lực</t>
  </si>
  <si>
    <t>Van chặn ty nổi bắt bích dn=100mm</t>
  </si>
  <si>
    <t>Van chặn DN25</t>
  </si>
  <si>
    <t>P. Dựng phim (T6.5)</t>
  </si>
  <si>
    <t>Đầu phun sprinkler 68 độ C (loại quay xuống) + đế</t>
  </si>
  <si>
    <t>Điều hòa treo tường 18.000 Btu/h + remote</t>
  </si>
  <si>
    <t>P. Studio (T6.6)</t>
  </si>
  <si>
    <t>Phòng Studio</t>
  </si>
  <si>
    <t>P. Bảo quản thiết bị (T6.7)</t>
  </si>
  <si>
    <t>Phòng BQTB</t>
  </si>
  <si>
    <t>Công tắc đơn</t>
  </si>
  <si>
    <t>Miệng gió 150x150 + OBD</t>
  </si>
  <si>
    <t>Điều hòa cassette 1 hướng 24.000 Btu/h + remote</t>
  </si>
  <si>
    <t>Đèn led downlight 16w</t>
  </si>
  <si>
    <t>Phòng Tư vấn</t>
  </si>
  <si>
    <t>bộ</t>
  </si>
  <si>
    <t>cái</t>
  </si>
  <si>
    <t>Trưởng khoa Truyền thông GDSK</t>
  </si>
  <si>
    <t xml:space="preserve">      </t>
  </si>
  <si>
    <t xml:space="preserve">TBVP KHOA TRUYỀN THÔNG GIÁO DỤC SỨC KHOẺ </t>
  </si>
  <si>
    <t>GLV 253-257</t>
  </si>
  <si>
    <t>GQ 712/158-167</t>
  </si>
  <si>
    <t>BLV 164-166</t>
  </si>
  <si>
    <t>GLV 261-263</t>
  </si>
  <si>
    <t>TDC 82</t>
  </si>
  <si>
    <t>TTGDSK</t>
  </si>
  <si>
    <t>Trên trần</t>
  </si>
  <si>
    <t>THIẾT BỊ ĐIỆN KHOA TRUYỀN THÔNG GIÁO DỤC SỨC KHOẺ</t>
  </si>
  <si>
    <t>Tiếp nhận năm 2022</t>
  </si>
  <si>
    <t>Lấy từ Tầng hầm 118</t>
  </si>
  <si>
    <t>đang sd 3 ghế</t>
  </si>
  <si>
    <t>Hỏng 1 bàn + 1 ghế - để lại 35 pasteur</t>
  </si>
  <si>
    <t>TÀI SẢN THANH LÝ THEO QUYẾT ĐỊNH 443/QĐ-TTKSBT NGÀY 13/12/2023</t>
  </si>
  <si>
    <t>Hỏng</t>
  </si>
  <si>
    <t>TÀI SẢN GẮN LIỀN BÀN GIAO NHÀ ĐÂT 35 PT CHO CÔNG AN</t>
  </si>
  <si>
    <t>315 PCT</t>
  </si>
  <si>
    <t>1. Ông. Nguyễn Đại Vĩnh</t>
  </si>
  <si>
    <t>Giám đốc</t>
  </si>
  <si>
    <t>Nguyễn Đại Vĩnh</t>
  </si>
  <si>
    <t>BIÊN BẢN KIỂM KÊ TÀI SẢN CỐ ĐỊNH NĂM 2025</t>
  </si>
  <si>
    <t>- Hôm nay, ngày  06    tháng   6  năm 2025, tại Trung tâm Kiểm soát bệnh tât TP Đà Nẵng chúng tôi gồm:</t>
  </si>
  <si>
    <t>Lê Thị Bích Trâm……………………….</t>
  </si>
  <si>
    <t>Đà Nẵng, ngày 06  tháng   6   năm 2025</t>
  </si>
  <si>
    <t>Lê Thị Bích Trâm………………………..</t>
  </si>
  <si>
    <t>BLV 158-161</t>
  </si>
  <si>
    <t>BLV 157 chuyển P.Dựng phim</t>
  </si>
  <si>
    <t>BLV 157, 162, 163</t>
  </si>
  <si>
    <t>BLV 157 Phòng làm việc chuyển sang</t>
  </si>
  <si>
    <t>+1</t>
  </si>
  <si>
    <t>P.Studio chuyển sang</t>
  </si>
  <si>
    <t>Bàn làm việc gỗ</t>
  </si>
  <si>
    <t>-2</t>
  </si>
  <si>
    <t>01 cái chuyển P.làm việc; 01 cái chuyển P.Dựng phim</t>
  </si>
  <si>
    <t>-6</t>
  </si>
  <si>
    <t xml:space="preserve">Chuyển Kho </t>
  </si>
  <si>
    <t>P. Tư vấn sức khoẻ cá nhân</t>
  </si>
  <si>
    <t>Tủ trưng bày</t>
  </si>
  <si>
    <t>Đơn giá</t>
  </si>
  <si>
    <t>Thành tiền</t>
  </si>
  <si>
    <t>CS2</t>
  </si>
  <si>
    <t>Cơ sở 2 chuyển ra</t>
  </si>
  <si>
    <t>Máy làm mát bằng hơi nước Daikiosan DKA 06000C</t>
  </si>
  <si>
    <t>Bàn làm việc màu ghi (07x1.4)</t>
  </si>
  <si>
    <t xml:space="preserve">Quạt đứng </t>
  </si>
  <si>
    <t>Ghế tựa gỗ màu vàng</t>
  </si>
  <si>
    <t>+3</t>
  </si>
  <si>
    <t>Cơ sở 2 chuyển ra (chuyển ra 02 cái, 1 cái chuyển PCBKLN-C.Long)</t>
  </si>
  <si>
    <t>CƠ SỞ 2</t>
  </si>
  <si>
    <t xml:space="preserve">Tủ trưng bày </t>
  </si>
  <si>
    <t>193-HIV/17</t>
  </si>
  <si>
    <t>Giá để tài liệu truyền thông GVT-02-00CT</t>
  </si>
  <si>
    <t>54-HIV/15</t>
  </si>
  <si>
    <t>Máy lạnh Panasonic 900 (2 cái)</t>
  </si>
  <si>
    <t>TT-02/05</t>
  </si>
  <si>
    <t>Tủ hồ sơ gương lùa 12 ô trên, 4 cánh dưới, màu ghi</t>
  </si>
  <si>
    <t>TT-03/05</t>
  </si>
  <si>
    <t>Bàn họp sơn PU màu vàng 1.2x2.4</t>
  </si>
  <si>
    <t>TT-01/01</t>
  </si>
  <si>
    <t>Ghế gỗ lưng tựa, màu đỏ huyết, sơn PU</t>
  </si>
  <si>
    <t>TT/03</t>
  </si>
  <si>
    <t>Quạt điện đứng</t>
  </si>
  <si>
    <t>14/CDC/20</t>
  </si>
  <si>
    <t>0</t>
  </si>
  <si>
    <t>Tủ sắt đựng hồ sơ màu ghi, 4 cánh, 4 khóa của công ty quân đội 190 (1.83x1.000x465)m</t>
  </si>
  <si>
    <t>TT-02/13</t>
  </si>
  <si>
    <t xml:space="preserve">Máy lạnh Panasonic </t>
  </si>
  <si>
    <t>02/BSKK</t>
  </si>
  <si>
    <t>TT-02/09</t>
  </si>
  <si>
    <t>194-HIV/17</t>
  </si>
  <si>
    <t>33/TT-SK/2023</t>
  </si>
  <si>
    <t>TT-04/01</t>
  </si>
  <si>
    <t>03/BSKK</t>
  </si>
  <si>
    <t>Kho 133 TNV</t>
  </si>
  <si>
    <t>Phòng họp T2 - 133 TNV</t>
  </si>
  <si>
    <t>Phòng dựng phim 133 TNV</t>
  </si>
  <si>
    <t>Xe máy Yamaha EXCITER (92B1-1407)</t>
  </si>
  <si>
    <t>SR 02/09</t>
  </si>
  <si>
    <t>2009</t>
  </si>
  <si>
    <t>129 TNV</t>
  </si>
  <si>
    <t>Hồ Phú Quảng</t>
  </si>
  <si>
    <t xml:space="preserve">       Đà Nẵng, ngày   tháng   01  năm 2026</t>
  </si>
  <si>
    <t>Nguyễn Thị Hà Vy………………………..</t>
  </si>
  <si>
    <t>- Hôm nay, ngày    tháng  01   năm 2026, tại Trung tâm Kiểm soát bệnh tât TP Đà Nẵng chúng tôi gồm:</t>
  </si>
  <si>
    <t>2. Ông. Hồ Phú Quảng</t>
  </si>
  <si>
    <t>hỏng</t>
  </si>
  <si>
    <t>+5</t>
  </si>
  <si>
    <t>1</t>
  </si>
  <si>
    <t>THEO DÕI TÀI SẢN</t>
  </si>
  <si>
    <t>TỔNG CỘNG</t>
  </si>
  <si>
    <t>THEO DÕI CCDC</t>
  </si>
  <si>
    <t xml:space="preserve">Đơn giá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</si>
</sst>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0.0%"/>
    <numFmt numFmtId="168" formatCode="\$#,##0\ ;\(\$#,##0\)"/>
    <numFmt numFmtId="169" formatCode="&quot;VND&quot;#,##0_);[Red]\(&quot;VND&quot;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  <numFmt numFmtId="174" formatCode="_(* #,##0_);_(* \(#,##0\);_(* &quot;-&quot;??_);_(@_)"/>
    <numFmt numFmtId="175" formatCode="_-* #,##0&quot; &quot;_ _-;\-* #,##0&quot; &quot;_ _-;_-* &quot;-&quot;??&quot; &quot;_ _-;_-@_-"/>
  </numFmts>
  <fonts count="27">
    <font>
      <sz val="10"/>
      <name val="VNtimes new roman"/>
    </font>
    <font>
      <sz val="11"/>
      <color theme="1"/>
      <name val="Calibri"/>
      <family val="2"/>
      <charset val="163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name val="VNtimes new roman"/>
      <family val="2"/>
      <charset val="163"/>
    </font>
    <font>
      <sz val="11"/>
      <name val="Times New Roman"/>
      <family val="1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b/>
      <u/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8"/>
      <color indexed="8"/>
      <name val="Arial"/>
      <family val="2"/>
    </font>
    <font>
      <sz val="11"/>
      <name val="VNtimes new roman"/>
      <family val="2"/>
      <charset val="163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9" fontId="2" fillId="0" borderId="0"/>
    <xf numFmtId="0" fontId="13" fillId="0" borderId="0"/>
    <xf numFmtId="9" fontId="4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9" fillId="0" borderId="0"/>
    <xf numFmtId="0" fontId="24" fillId="0" borderId="0" applyNumberFormat="0" applyFill="0" applyBorder="0" applyAlignment="0" applyProtection="0">
      <alignment vertical="top"/>
    </xf>
    <xf numFmtId="0" fontId="23" fillId="0" borderId="0" applyAlignment="0">
      <alignment vertical="top" wrapText="1"/>
      <protection locked="0"/>
    </xf>
    <xf numFmtId="0" fontId="24" fillId="0" borderId="0" applyNumberFormat="0" applyFill="0" applyBorder="0" applyAlignment="0" applyProtection="0">
      <alignment vertical="top"/>
    </xf>
    <xf numFmtId="164" fontId="2" fillId="0" borderId="0" applyFont="0" applyFill="0" applyBorder="0" applyAlignment="0" applyProtection="0"/>
    <xf numFmtId="0" fontId="1" fillId="0" borderId="0"/>
  </cellStyleXfs>
  <cellXfs count="235">
    <xf numFmtId="0" fontId="0" fillId="0" borderId="0" xfId="0"/>
    <xf numFmtId="0" fontId="10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11" fillId="2" borderId="0" xfId="0" applyFont="1" applyFill="1" applyAlignment="1">
      <alignment vertical="center"/>
    </xf>
    <xf numFmtId="0" fontId="15" fillId="2" borderId="0" xfId="0" applyFont="1" applyFill="1"/>
    <xf numFmtId="0" fontId="15" fillId="2" borderId="0" xfId="0" applyFont="1" applyFill="1" applyAlignment="1">
      <alignment horizontal="right"/>
    </xf>
    <xf numFmtId="0" fontId="14" fillId="2" borderId="0" xfId="0" applyFont="1" applyFill="1" applyAlignment="1">
      <alignment horizontal="right"/>
    </xf>
    <xf numFmtId="165" fontId="14" fillId="2" borderId="0" xfId="7" applyNumberFormat="1" applyFont="1" applyFill="1" applyAlignment="1">
      <alignment horizontal="center"/>
    </xf>
    <xf numFmtId="3" fontId="15" fillId="2" borderId="0" xfId="0" applyNumberFormat="1" applyFont="1" applyFill="1" applyAlignment="1">
      <alignment horizontal="right"/>
    </xf>
    <xf numFmtId="0" fontId="15" fillId="2" borderId="3" xfId="0" applyFont="1" applyFill="1" applyBorder="1"/>
    <xf numFmtId="3" fontId="16" fillId="2" borderId="2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166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vertical="center" wrapText="1"/>
    </xf>
    <xf numFmtId="3" fontId="16" fillId="2" borderId="1" xfId="7" applyNumberFormat="1" applyFont="1" applyFill="1" applyBorder="1" applyAlignment="1">
      <alignment horizontal="center" vertical="center"/>
    </xf>
    <xf numFmtId="0" fontId="14" fillId="2" borderId="3" xfId="0" applyFont="1" applyFill="1" applyBorder="1"/>
    <xf numFmtId="0" fontId="14" fillId="2" borderId="0" xfId="0" applyFont="1" applyFill="1"/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3" fontId="18" fillId="2" borderId="1" xfId="7" applyNumberFormat="1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/>
    </xf>
    <xf numFmtId="3" fontId="18" fillId="2" borderId="1" xfId="0" applyNumberFormat="1" applyFont="1" applyFill="1" applyBorder="1" applyAlignment="1">
      <alignment horizontal="left" vertical="center"/>
    </xf>
    <xf numFmtId="3" fontId="18" fillId="2" borderId="1" xfId="7" quotePrefix="1" applyNumberFormat="1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 wrapText="1"/>
    </xf>
    <xf numFmtId="0" fontId="15" fillId="2" borderId="0" xfId="0" applyFont="1" applyFill="1" applyAlignment="1">
      <alignment wrapText="1"/>
    </xf>
    <xf numFmtId="3" fontId="15" fillId="2" borderId="0" xfId="0" applyNumberFormat="1" applyFont="1" applyFill="1" applyAlignment="1">
      <alignment wrapText="1"/>
    </xf>
    <xf numFmtId="3" fontId="14" fillId="2" borderId="0" xfId="0" applyNumberFormat="1" applyFont="1" applyFill="1" applyAlignment="1">
      <alignment horizontal="right"/>
    </xf>
    <xf numFmtId="165" fontId="14" fillId="2" borderId="0" xfId="7" applyNumberFormat="1" applyFont="1" applyFill="1" applyBorder="1"/>
    <xf numFmtId="165" fontId="14" fillId="2" borderId="0" xfId="8" applyNumberFormat="1" applyFont="1" applyFill="1" applyBorder="1"/>
    <xf numFmtId="0" fontId="19" fillId="2" borderId="0" xfId="0" applyFont="1" applyFill="1" applyAlignment="1">
      <alignment horizontal="center"/>
    </xf>
    <xf numFmtId="0" fontId="19" fillId="2" borderId="0" xfId="0" applyFont="1" applyFill="1"/>
    <xf numFmtId="3" fontId="19" fillId="2" borderId="0" xfId="0" applyNumberFormat="1" applyFont="1" applyFill="1" applyAlignment="1">
      <alignment horizontal="right"/>
    </xf>
    <xf numFmtId="165" fontId="19" fillId="2" borderId="0" xfId="7" applyNumberFormat="1" applyFont="1" applyFill="1" applyBorder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3" fontId="20" fillId="2" borderId="0" xfId="0" applyNumberFormat="1" applyFont="1" applyFill="1" applyAlignment="1">
      <alignment horizontal="right"/>
    </xf>
    <xf numFmtId="165" fontId="20" fillId="2" borderId="0" xfId="7" applyNumberFormat="1" applyFont="1" applyFill="1" applyBorder="1"/>
    <xf numFmtId="3" fontId="18" fillId="2" borderId="1" xfId="0" applyNumberFormat="1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left"/>
    </xf>
    <xf numFmtId="0" fontId="20" fillId="2" borderId="3" xfId="0" applyFont="1" applyFill="1" applyBorder="1"/>
    <xf numFmtId="0" fontId="18" fillId="2" borderId="1" xfId="0" applyFont="1" applyFill="1" applyBorder="1" applyAlignment="1">
      <alignment horizontal="center"/>
    </xf>
    <xf numFmtId="0" fontId="14" fillId="2" borderId="0" xfId="0" applyFont="1" applyFill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4" fillId="2" borderId="0" xfId="0" applyFont="1" applyFill="1" applyAlignment="1">
      <alignment wrapText="1"/>
    </xf>
    <xf numFmtId="0" fontId="19" fillId="2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14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1" xfId="7" quotePrefix="1" applyNumberFormat="1" applyFont="1" applyFill="1" applyBorder="1" applyAlignment="1">
      <alignment horizontal="center" vertical="center"/>
    </xf>
    <xf numFmtId="167" fontId="11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vertical="center"/>
    </xf>
    <xf numFmtId="0" fontId="11" fillId="2" borderId="1" xfId="14" applyFont="1" applyFill="1" applyBorder="1" applyAlignment="1">
      <alignment horizontal="left" vertical="center" wrapText="1"/>
    </xf>
    <xf numFmtId="0" fontId="12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11" fillId="2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right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0" xfId="0" quotePrefix="1" applyFont="1" applyFill="1"/>
    <xf numFmtId="0" fontId="21" fillId="2" borderId="0" xfId="0" applyFont="1" applyFill="1" applyAlignment="1">
      <alignment horizontal="center"/>
    </xf>
    <xf numFmtId="165" fontId="12" fillId="2" borderId="0" xfId="7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0" fontId="12" fillId="2" borderId="0" xfId="0" applyFont="1" applyFill="1" applyAlignment="1">
      <alignment horizontal="right"/>
    </xf>
    <xf numFmtId="165" fontId="11" fillId="2" borderId="0" xfId="7" applyNumberFormat="1" applyFont="1" applyFill="1" applyBorder="1" applyAlignment="1">
      <alignment horizontal="center"/>
    </xf>
    <xf numFmtId="165" fontId="11" fillId="2" borderId="0" xfId="8" applyNumberFormat="1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 wrapText="1"/>
    </xf>
    <xf numFmtId="166" fontId="12" fillId="2" borderId="1" xfId="0" applyNumberFormat="1" applyFont="1" applyFill="1" applyBorder="1" applyAlignment="1">
      <alignment horizontal="center" vertical="center" wrapText="1"/>
    </xf>
    <xf numFmtId="166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3" fontId="10" fillId="2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3" fontId="12" fillId="2" borderId="0" xfId="0" applyNumberFormat="1" applyFont="1" applyFill="1" applyAlignment="1">
      <alignment horizontal="right"/>
    </xf>
    <xf numFmtId="165" fontId="12" fillId="2" borderId="0" xfId="8" applyNumberFormat="1" applyFont="1" applyFill="1" applyBorder="1"/>
    <xf numFmtId="0" fontId="22" fillId="2" borderId="0" xfId="0" applyFont="1" applyFill="1"/>
    <xf numFmtId="0" fontId="22" fillId="2" borderId="0" xfId="0" applyFont="1" applyFill="1" applyAlignment="1">
      <alignment horizontal="center"/>
    </xf>
    <xf numFmtId="0" fontId="10" fillId="2" borderId="0" xfId="0" applyFont="1" applyFill="1"/>
    <xf numFmtId="0" fontId="10" fillId="2" borderId="1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3" fontId="10" fillId="2" borderId="1" xfId="8" applyNumberFormat="1" applyFont="1" applyFill="1" applyBorder="1" applyAlignment="1">
      <alignment horizontal="center" vertical="center"/>
    </xf>
    <xf numFmtId="167" fontId="10" fillId="2" borderId="1" xfId="15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vertical="center" wrapText="1"/>
    </xf>
    <xf numFmtId="0" fontId="10" fillId="2" borderId="0" xfId="0" applyFont="1" applyFill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3" fontId="10" fillId="2" borderId="1" xfId="8" quotePrefix="1" applyNumberFormat="1" applyFont="1" applyFill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right" vertical="center"/>
    </xf>
    <xf numFmtId="167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3" fontId="10" fillId="2" borderId="0" xfId="0" applyNumberFormat="1" applyFont="1" applyFill="1" applyAlignment="1">
      <alignment horizontal="right"/>
    </xf>
    <xf numFmtId="165" fontId="10" fillId="2" borderId="0" xfId="8" applyNumberFormat="1" applyFont="1" applyFill="1" applyAlignment="1">
      <alignment horizontal="center"/>
    </xf>
    <xf numFmtId="49" fontId="14" fillId="2" borderId="0" xfId="0" applyNumberFormat="1" applyFont="1" applyFill="1" applyAlignment="1">
      <alignment horizontal="center"/>
    </xf>
    <xf numFmtId="49" fontId="15" fillId="2" borderId="0" xfId="0" applyNumberFormat="1" applyFont="1" applyFill="1"/>
    <xf numFmtId="49" fontId="15" fillId="2" borderId="0" xfId="7" applyNumberFormat="1" applyFont="1" applyFill="1" applyBorder="1" applyAlignment="1">
      <alignment horizontal="center"/>
    </xf>
    <xf numFmtId="49" fontId="16" fillId="2" borderId="2" xfId="0" applyNumberFormat="1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/>
    </xf>
    <xf numFmtId="49" fontId="18" fillId="2" borderId="1" xfId="0" quotePrefix="1" applyNumberFormat="1" applyFont="1" applyFill="1" applyBorder="1" applyAlignment="1">
      <alignment horizontal="center" vertical="center"/>
    </xf>
    <xf numFmtId="49" fontId="19" fillId="2" borderId="0" xfId="0" applyNumberFormat="1" applyFont="1" applyFill="1" applyAlignment="1">
      <alignment horizontal="center"/>
    </xf>
    <xf numFmtId="49" fontId="20" fillId="2" borderId="0" xfId="0" applyNumberFormat="1" applyFont="1" applyFill="1" applyAlignment="1">
      <alignment horizontal="center"/>
    </xf>
    <xf numFmtId="49" fontId="20" fillId="2" borderId="0" xfId="7" applyNumberFormat="1" applyFont="1" applyFill="1" applyBorder="1" applyAlignment="1">
      <alignment horizontal="center"/>
    </xf>
    <xf numFmtId="49" fontId="20" fillId="2" borderId="0" xfId="7" applyNumberFormat="1" applyFont="1" applyFill="1" applyAlignment="1">
      <alignment horizontal="center"/>
    </xf>
    <xf numFmtId="49" fontId="16" fillId="2" borderId="1" xfId="0" applyNumberFormat="1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/>
    </xf>
    <xf numFmtId="3" fontId="16" fillId="2" borderId="1" xfId="7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 wrapText="1"/>
    </xf>
    <xf numFmtId="0" fontId="16" fillId="2" borderId="1" xfId="14" applyFont="1" applyFill="1" applyBorder="1" applyAlignment="1">
      <alignment horizontal="center" vertical="center" wrapText="1"/>
    </xf>
    <xf numFmtId="0" fontId="18" fillId="2" borderId="1" xfId="14" applyFont="1" applyFill="1" applyBorder="1" applyAlignment="1">
      <alignment horizontal="center" vertical="center" wrapText="1"/>
    </xf>
    <xf numFmtId="174" fontId="18" fillId="2" borderId="1" xfId="7" applyNumberFormat="1" applyFont="1" applyFill="1" applyBorder="1" applyAlignment="1">
      <alignment horizontal="right" vertical="center" wrapText="1"/>
    </xf>
    <xf numFmtId="3" fontId="16" fillId="2" borderId="1" xfId="0" applyNumberFormat="1" applyFont="1" applyFill="1" applyBorder="1" applyAlignment="1">
      <alignment horizontal="left" vertical="center"/>
    </xf>
    <xf numFmtId="3" fontId="16" fillId="2" borderId="1" xfId="0" applyNumberFormat="1" applyFont="1" applyFill="1" applyBorder="1" applyAlignment="1">
      <alignment horizontal="right" vertical="center"/>
    </xf>
    <xf numFmtId="3" fontId="16" fillId="2" borderId="1" xfId="0" applyNumberFormat="1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wrapText="1"/>
    </xf>
    <xf numFmtId="0" fontId="15" fillId="2" borderId="3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3" fontId="18" fillId="2" borderId="1" xfId="0" quotePrefix="1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 wrapText="1"/>
    </xf>
    <xf numFmtId="3" fontId="16" fillId="2" borderId="1" xfId="7" quotePrefix="1" applyNumberFormat="1" applyFont="1" applyFill="1" applyBorder="1" applyAlignment="1">
      <alignment horizontal="center" vertical="center"/>
    </xf>
    <xf numFmtId="0" fontId="18" fillId="2" borderId="7" xfId="14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right" vertical="center"/>
    </xf>
    <xf numFmtId="49" fontId="16" fillId="2" borderId="1" xfId="0" applyNumberFormat="1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/>
    </xf>
    <xf numFmtId="0" fontId="16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/>
    </xf>
    <xf numFmtId="174" fontId="18" fillId="2" borderId="1" xfId="28" applyNumberFormat="1" applyFont="1" applyFill="1" applyBorder="1" applyAlignment="1" applyProtection="1">
      <alignment horizontal="right" vertical="center" wrapText="1"/>
    </xf>
    <xf numFmtId="0" fontId="14" fillId="2" borderId="1" xfId="0" applyFont="1" applyFill="1" applyBorder="1" applyAlignment="1">
      <alignment horizontal="center"/>
    </xf>
    <xf numFmtId="0" fontId="16" fillId="3" borderId="1" xfId="27" applyFont="1" applyFill="1" applyBorder="1" applyAlignment="1" applyProtection="1">
      <alignment horizontal="center" vertical="center" wrapText="1" shrinkToFit="1"/>
      <protection locked="0"/>
    </xf>
    <xf numFmtId="174" fontId="16" fillId="2" borderId="1" xfId="7" applyNumberFormat="1" applyFont="1" applyFill="1" applyBorder="1" applyAlignment="1" applyProtection="1">
      <alignment horizontal="right" vertical="center"/>
      <protection locked="0"/>
    </xf>
    <xf numFmtId="0" fontId="25" fillId="2" borderId="1" xfId="0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/>
    </xf>
    <xf numFmtId="0" fontId="18" fillId="2" borderId="1" xfId="0" applyFont="1" applyFill="1" applyBorder="1"/>
    <xf numFmtId="0" fontId="19" fillId="2" borderId="1" xfId="0" applyFont="1" applyFill="1" applyBorder="1" applyAlignment="1">
      <alignment horizontal="center" vertical="center"/>
    </xf>
    <xf numFmtId="0" fontId="19" fillId="3" borderId="1" xfId="29" applyFont="1" applyFill="1" applyBorder="1" applyAlignment="1" applyProtection="1">
      <alignment horizontal="center" vertical="center" wrapText="1" shrinkToFit="1"/>
      <protection locked="0"/>
    </xf>
    <xf numFmtId="0" fontId="19" fillId="2" borderId="1" xfId="0" applyFont="1" applyFill="1" applyBorder="1" applyAlignment="1">
      <alignment horizontal="left" vertical="center"/>
    </xf>
    <xf numFmtId="3" fontId="19" fillId="2" borderId="1" xfId="0" applyNumberFormat="1" applyFont="1" applyFill="1" applyBorder="1" applyAlignment="1">
      <alignment horizontal="right" vertical="center"/>
    </xf>
    <xf numFmtId="3" fontId="19" fillId="2" borderId="1" xfId="0" applyNumberFormat="1" applyFont="1" applyFill="1" applyBorder="1" applyAlignment="1">
      <alignment vertical="center"/>
    </xf>
    <xf numFmtId="3" fontId="19" fillId="2" borderId="1" xfId="0" applyNumberFormat="1" applyFont="1" applyFill="1" applyBorder="1" applyAlignment="1">
      <alignment horizontal="center" vertical="center"/>
    </xf>
    <xf numFmtId="49" fontId="19" fillId="2" borderId="1" xfId="30" applyNumberFormat="1" applyFont="1" applyFill="1" applyBorder="1" applyAlignment="1">
      <alignment vertical="center"/>
    </xf>
    <xf numFmtId="9" fontId="19" fillId="2" borderId="1" xfId="0" applyNumberFormat="1" applyFont="1" applyFill="1" applyBorder="1" applyAlignment="1">
      <alignment horizontal="right" vertical="center"/>
    </xf>
    <xf numFmtId="0" fontId="19" fillId="2" borderId="1" xfId="0" applyFont="1" applyFill="1" applyBorder="1" applyAlignment="1">
      <alignment vertical="center"/>
    </xf>
    <xf numFmtId="175" fontId="19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/>
    </xf>
    <xf numFmtId="0" fontId="19" fillId="2" borderId="1" xfId="31" applyFont="1" applyFill="1" applyBorder="1" applyAlignment="1">
      <alignment vertical="center" wrapText="1"/>
    </xf>
    <xf numFmtId="0" fontId="19" fillId="2" borderId="0" xfId="31" applyFont="1" applyFill="1" applyAlignment="1">
      <alignment horizontal="center" vertical="center" wrapText="1"/>
    </xf>
    <xf numFmtId="0" fontId="19" fillId="2" borderId="0" xfId="31" applyFont="1" applyFill="1" applyAlignment="1">
      <alignment vertical="center" wrapText="1"/>
    </xf>
    <xf numFmtId="0" fontId="15" fillId="2" borderId="0" xfId="0" applyFont="1" applyFill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18" fillId="3" borderId="1" xfId="27" applyFont="1" applyFill="1" applyBorder="1" applyAlignment="1" applyProtection="1">
      <alignment vertical="center" wrapText="1" shrinkToFit="1"/>
      <protection locked="0"/>
    </xf>
    <xf numFmtId="0" fontId="18" fillId="3" borderId="1" xfId="27" applyFont="1" applyFill="1" applyBorder="1" applyAlignment="1" applyProtection="1">
      <alignment horizontal="center" vertical="center" wrapText="1" shrinkToFit="1"/>
      <protection locked="0"/>
    </xf>
    <xf numFmtId="174" fontId="18" fillId="2" borderId="1" xfId="7" applyNumberFormat="1" applyFont="1" applyFill="1" applyBorder="1" applyAlignment="1" applyProtection="1">
      <alignment horizontal="right" vertical="center"/>
      <protection locked="0"/>
    </xf>
    <xf numFmtId="0" fontId="18" fillId="2" borderId="1" xfId="14" applyFont="1" applyFill="1" applyBorder="1" applyAlignment="1">
      <alignment horizontal="left" vertical="center" wrapText="1"/>
    </xf>
    <xf numFmtId="3" fontId="18" fillId="3" borderId="1" xfId="27" applyNumberFormat="1" applyFont="1" applyFill="1" applyBorder="1" applyAlignment="1" applyProtection="1">
      <alignment horizontal="right" vertical="center" wrapText="1" shrinkToFit="1"/>
      <protection locked="0"/>
    </xf>
    <xf numFmtId="0" fontId="18" fillId="2" borderId="7" xfId="14" applyFont="1" applyFill="1" applyBorder="1" applyAlignment="1">
      <alignment horizontal="left" vertical="center" wrapText="1"/>
    </xf>
    <xf numFmtId="0" fontId="18" fillId="2" borderId="8" xfId="14" applyFont="1" applyFill="1" applyBorder="1" applyAlignment="1">
      <alignment horizontal="center" vertical="center" wrapText="1"/>
    </xf>
    <xf numFmtId="174" fontId="26" fillId="0" borderId="1" xfId="7" applyNumberFormat="1" applyFont="1" applyFill="1" applyBorder="1" applyAlignment="1">
      <alignment vertical="center"/>
    </xf>
    <xf numFmtId="174" fontId="23" fillId="0" borderId="1" xfId="7" applyNumberFormat="1" applyFont="1" applyFill="1" applyBorder="1" applyAlignment="1">
      <alignment vertical="center"/>
    </xf>
    <xf numFmtId="174" fontId="11" fillId="2" borderId="1" xfId="0" applyNumberFormat="1" applyFont="1" applyFill="1" applyBorder="1" applyAlignment="1">
      <alignment vertical="center"/>
    </xf>
    <xf numFmtId="174" fontId="12" fillId="2" borderId="1" xfId="7" applyNumberFormat="1" applyFont="1" applyFill="1" applyBorder="1" applyAlignment="1">
      <alignment horizontal="center" wrapText="1"/>
    </xf>
    <xf numFmtId="174" fontId="12" fillId="2" borderId="1" xfId="7" applyNumberFormat="1" applyFont="1" applyFill="1" applyBorder="1" applyAlignment="1">
      <alignment wrapText="1"/>
    </xf>
    <xf numFmtId="174" fontId="12" fillId="2" borderId="0" xfId="7" applyNumberFormat="1" applyFont="1" applyFill="1" applyAlignment="1">
      <alignment wrapText="1"/>
    </xf>
    <xf numFmtId="0" fontId="14" fillId="2" borderId="0" xfId="0" applyFont="1" applyFill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/>
    </xf>
    <xf numFmtId="0" fontId="15" fillId="2" borderId="0" xfId="0" applyFont="1" applyFill="1" applyAlignment="1">
      <alignment horizontal="left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 wrapText="1"/>
    </xf>
    <xf numFmtId="0" fontId="16" fillId="2" borderId="6" xfId="0" applyFont="1" applyFill="1" applyBorder="1" applyAlignment="1">
      <alignment horizontal="center" vertical="center" wrapText="1"/>
    </xf>
    <xf numFmtId="0" fontId="14" fillId="2" borderId="0" xfId="0" quotePrefix="1" applyFont="1" applyFill="1" applyAlignment="1">
      <alignment horizontal="left"/>
    </xf>
    <xf numFmtId="3" fontId="16" fillId="2" borderId="1" xfId="0" applyNumberFormat="1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 wrapText="1"/>
    </xf>
    <xf numFmtId="0" fontId="15" fillId="2" borderId="0" xfId="0" quotePrefix="1" applyFont="1" applyFill="1" applyAlignment="1">
      <alignment horizontal="left"/>
    </xf>
    <xf numFmtId="0" fontId="15" fillId="2" borderId="5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12" fillId="2" borderId="1" xfId="14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 wrapText="1"/>
    </xf>
    <xf numFmtId="3" fontId="12" fillId="2" borderId="4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3" fontId="12" fillId="2" borderId="1" xfId="0" applyNumberFormat="1" applyFont="1" applyFill="1" applyBorder="1" applyAlignment="1">
      <alignment horizontal="center" vertical="center" wrapText="1"/>
    </xf>
  </cellXfs>
  <cellStyles count="32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2" xfId="8" xr:uid="{00000000-0005-0000-0000-000007000000}"/>
    <cellStyle name="Comma 2 2" xfId="30" xr:uid="{C1CB1D54-9A73-48FE-BC2B-9D84CB131A60}"/>
    <cellStyle name="Comma0" xfId="9" xr:uid="{00000000-0005-0000-0000-000008000000}"/>
    <cellStyle name="Currency0" xfId="10" xr:uid="{00000000-0005-0000-0000-000009000000}"/>
    <cellStyle name="Date" xfId="11" xr:uid="{00000000-0005-0000-0000-00000A000000}"/>
    <cellStyle name="Fixed" xfId="12" xr:uid="{00000000-0005-0000-0000-00000B000000}"/>
    <cellStyle name="Normal" xfId="0" builtinId="0"/>
    <cellStyle name="Normal - Style1" xfId="13" xr:uid="{00000000-0005-0000-0000-00000D000000}"/>
    <cellStyle name="Normal 2" xfId="14" xr:uid="{00000000-0005-0000-0000-00000E000000}"/>
    <cellStyle name="Normal 3 2" xfId="31" xr:uid="{29432E1D-71C6-495A-974C-15BBAACC2757}"/>
    <cellStyle name="Normal 5 2" xfId="29" xr:uid="{8A547842-FB70-456D-BCBE-EC72D40FEE22}"/>
    <cellStyle name="Normal 5 3 2" xfId="27" xr:uid="{00000000-0005-0000-0000-00000F000000}"/>
    <cellStyle name="Normal 8 3" xfId="28" xr:uid="{2D1FEFAD-9AE3-4136-9D34-1ED9F85A221F}"/>
    <cellStyle name="Percent 2" xfId="15" xr:uid="{00000000-0005-0000-0000-000010000000}"/>
    <cellStyle name="똿뗦먛귟 [0.00]_PRODUCT DETAIL Q1" xfId="16" xr:uid="{00000000-0005-0000-0000-000011000000}"/>
    <cellStyle name="똿뗦먛귟_PRODUCT DETAIL Q1" xfId="17" xr:uid="{00000000-0005-0000-0000-000012000000}"/>
    <cellStyle name="믅됞 [0.00]_PRODUCT DETAIL Q1" xfId="18" xr:uid="{00000000-0005-0000-0000-000013000000}"/>
    <cellStyle name="믅됞_PRODUCT DETAIL Q1" xfId="19" xr:uid="{00000000-0005-0000-0000-000014000000}"/>
    <cellStyle name="백분율_HOBONG" xfId="20" xr:uid="{00000000-0005-0000-0000-000015000000}"/>
    <cellStyle name="뷭?_BOOKSHIP" xfId="21" xr:uid="{00000000-0005-0000-0000-000016000000}"/>
    <cellStyle name="콤마 [0]_1202" xfId="22" xr:uid="{00000000-0005-0000-0000-000017000000}"/>
    <cellStyle name="콤마_1202" xfId="23" xr:uid="{00000000-0005-0000-0000-000018000000}"/>
    <cellStyle name="통화 [0]_1202" xfId="24" xr:uid="{00000000-0005-0000-0000-000019000000}"/>
    <cellStyle name="통화_1202" xfId="25" xr:uid="{00000000-0005-0000-0000-00001A000000}"/>
    <cellStyle name="표준_(정보부문)월별인원계획" xfId="26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view="pageBreakPreview" workbookViewId="0">
      <pane activePane="bottomRight" state="frozenSplit"/>
    </sheetView>
  </sheetViews>
  <sheetFormatPr defaultRowHeight="12.75"/>
  <sheetData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AP118"/>
  <sheetViews>
    <sheetView topLeftCell="A9" zoomScale="85" zoomScaleNormal="85" zoomScaleSheetLayoutView="102" workbookViewId="0">
      <selection activeCell="A9" sqref="A1:XFD1048576"/>
    </sheetView>
  </sheetViews>
  <sheetFormatPr defaultRowHeight="15"/>
  <cols>
    <col min="1" max="1" width="6.140625" style="41" customWidth="1"/>
    <col min="2" max="2" width="40.140625" style="40" customWidth="1"/>
    <col min="3" max="3" width="13.7109375" style="40" bestFit="1" customWidth="1"/>
    <col min="4" max="4" width="8.7109375" style="40" customWidth="1"/>
    <col min="5" max="5" width="8.7109375" style="41" customWidth="1"/>
    <col min="6" max="6" width="11.5703125" style="42" hidden="1" customWidth="1"/>
    <col min="7" max="7" width="12.140625" style="40" hidden="1" customWidth="1"/>
    <col min="8" max="8" width="11.28515625" style="40" hidden="1" customWidth="1"/>
    <col min="9" max="9" width="12.42578125" style="40" hidden="1" customWidth="1"/>
    <col min="10" max="10" width="10.140625" style="40" hidden="1" customWidth="1"/>
    <col min="11" max="11" width="12.5703125" style="41" hidden="1" customWidth="1"/>
    <col min="12" max="12" width="10.85546875" style="40" hidden="1" customWidth="1"/>
    <col min="13" max="14" width="9.28515625" style="40" hidden="1" customWidth="1"/>
    <col min="15" max="15" width="10" style="40" hidden="1" customWidth="1"/>
    <col min="16" max="16" width="9.5703125" style="40" hidden="1" customWidth="1"/>
    <col min="17" max="17" width="9.42578125" style="40" hidden="1" customWidth="1"/>
    <col min="18" max="18" width="9" style="40" hidden="1" customWidth="1"/>
    <col min="19" max="19" width="11.28515625" style="40" hidden="1" customWidth="1"/>
    <col min="20" max="20" width="11.5703125" style="40" hidden="1" customWidth="1"/>
    <col min="21" max="22" width="10.5703125" style="40" hidden="1" customWidth="1"/>
    <col min="23" max="23" width="0.140625" style="40" hidden="1" customWidth="1"/>
    <col min="24" max="24" width="8.7109375" style="41" customWidth="1"/>
    <col min="25" max="25" width="12" style="40" hidden="1" customWidth="1"/>
    <col min="26" max="26" width="5.5703125" style="40" hidden="1" customWidth="1"/>
    <col min="27" max="27" width="8.7109375" style="118" customWidth="1"/>
    <col min="28" max="28" width="6.140625" style="40" hidden="1" customWidth="1"/>
    <col min="29" max="29" width="5.5703125" style="40" hidden="1" customWidth="1"/>
    <col min="30" max="30" width="7.140625" style="40" hidden="1" customWidth="1"/>
    <col min="31" max="31" width="5.42578125" style="40" hidden="1" customWidth="1"/>
    <col min="32" max="32" width="14.42578125" style="143" customWidth="1"/>
    <col min="33" max="33" width="14.28515625" style="143" customWidth="1"/>
    <col min="34" max="34" width="11.42578125" style="41" customWidth="1"/>
    <col min="35" max="35" width="13.5703125" style="41" customWidth="1"/>
    <col min="36" max="36" width="10.28515625" style="41" customWidth="1"/>
    <col min="37" max="37" width="11.140625" style="41" customWidth="1"/>
    <col min="38" max="38" width="11.85546875" style="52" customWidth="1"/>
    <col min="39" max="39" width="30.28515625" style="46" customWidth="1"/>
    <col min="40" max="40" width="10.85546875" style="40" bestFit="1" customWidth="1"/>
    <col min="41" max="16384" width="9.140625" style="40"/>
  </cols>
  <sheetData>
    <row r="1" spans="1:39" s="8" customFormat="1" ht="15.75" customHeight="1">
      <c r="A1" s="202" t="s">
        <v>45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Z1" s="190" t="s">
        <v>0</v>
      </c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</row>
    <row r="2" spans="1:39" s="8" customFormat="1" ht="15" customHeight="1">
      <c r="A2" s="202" t="s">
        <v>46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</row>
    <row r="3" spans="1:39" s="8" customFormat="1" ht="12.75" hidden="1" customHeight="1">
      <c r="A3" s="190" t="s">
        <v>1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</row>
    <row r="4" spans="1:39" s="8" customFormat="1" ht="15" customHeight="1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</row>
    <row r="5" spans="1:39" s="8" customFormat="1" ht="20.25" customHeight="1">
      <c r="A5" s="190" t="s">
        <v>211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</row>
    <row r="6" spans="1:39" s="8" customFormat="1" ht="20.25" customHeight="1">
      <c r="A6" s="190" t="s">
        <v>191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</row>
    <row r="7" spans="1:39" s="8" customFormat="1" ht="20.25" customHeight="1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07"/>
      <c r="AB7" s="172"/>
      <c r="AC7" s="172"/>
      <c r="AD7" s="172"/>
      <c r="AE7" s="172"/>
      <c r="AF7" s="142"/>
      <c r="AG7" s="142"/>
      <c r="AH7" s="172"/>
      <c r="AI7" s="172"/>
      <c r="AJ7" s="172"/>
      <c r="AK7" s="172"/>
      <c r="AL7" s="48"/>
    </row>
    <row r="8" spans="1:39" s="8" customFormat="1" ht="18" customHeight="1">
      <c r="A8" s="205" t="s">
        <v>274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</row>
    <row r="9" spans="1:39" s="8" customFormat="1" ht="15" customHeight="1">
      <c r="A9" s="194" t="s">
        <v>208</v>
      </c>
      <c r="B9" s="194"/>
      <c r="C9" s="194"/>
      <c r="D9" s="8" t="s">
        <v>209</v>
      </c>
      <c r="E9" s="172"/>
      <c r="H9" s="173"/>
      <c r="I9" s="172"/>
      <c r="K9" s="173" t="s">
        <v>2</v>
      </c>
      <c r="L9" s="172"/>
      <c r="M9" s="9"/>
      <c r="S9" s="173"/>
      <c r="T9" s="10"/>
      <c r="W9" s="11"/>
      <c r="X9" s="172"/>
      <c r="Z9" s="172"/>
      <c r="AA9" s="107"/>
      <c r="AB9" s="173"/>
      <c r="AF9" s="143"/>
      <c r="AG9" s="143"/>
      <c r="AH9" s="166"/>
      <c r="AI9" s="173" t="s">
        <v>55</v>
      </c>
      <c r="AJ9" s="166"/>
      <c r="AK9" s="166"/>
      <c r="AL9" s="31"/>
    </row>
    <row r="10" spans="1:39" s="8" customFormat="1" ht="15" customHeight="1">
      <c r="A10" s="194" t="s">
        <v>275</v>
      </c>
      <c r="B10" s="194"/>
      <c r="D10" s="8" t="s">
        <v>54</v>
      </c>
      <c r="E10" s="166"/>
      <c r="H10" s="173"/>
      <c r="I10" s="172"/>
      <c r="K10" s="173"/>
      <c r="L10" s="172"/>
      <c r="M10" s="9"/>
      <c r="S10" s="173"/>
      <c r="T10" s="10"/>
      <c r="W10" s="11"/>
      <c r="X10" s="172"/>
      <c r="Z10" s="172"/>
      <c r="AA10" s="107"/>
      <c r="AB10" s="173"/>
      <c r="AF10" s="143"/>
      <c r="AG10" s="143"/>
      <c r="AH10" s="166"/>
      <c r="AI10" s="173" t="s">
        <v>59</v>
      </c>
      <c r="AJ10" s="166"/>
      <c r="AK10" s="166"/>
      <c r="AL10" s="31"/>
    </row>
    <row r="11" spans="1:39" s="8" customFormat="1" ht="15" customHeight="1">
      <c r="A11" s="194" t="s">
        <v>60</v>
      </c>
      <c r="B11" s="194"/>
      <c r="D11" s="8" t="s">
        <v>61</v>
      </c>
      <c r="E11" s="172"/>
      <c r="H11" s="173"/>
      <c r="I11" s="172"/>
      <c r="K11" s="173" t="s">
        <v>3</v>
      </c>
      <c r="L11" s="172"/>
      <c r="M11" s="9"/>
      <c r="S11" s="173"/>
      <c r="T11" s="10"/>
      <c r="W11" s="11"/>
      <c r="X11" s="172"/>
      <c r="Z11" s="172"/>
      <c r="AA11" s="107"/>
      <c r="AB11" s="173"/>
      <c r="AF11" s="143"/>
      <c r="AG11" s="143"/>
      <c r="AH11" s="166"/>
      <c r="AI11" s="173" t="s">
        <v>62</v>
      </c>
      <c r="AJ11" s="166"/>
      <c r="AK11" s="166"/>
      <c r="AL11" s="31"/>
    </row>
    <row r="12" spans="1:39" s="8" customFormat="1" ht="15" customHeight="1">
      <c r="A12" s="194" t="s">
        <v>113</v>
      </c>
      <c r="B12" s="194"/>
      <c r="D12" s="8" t="s">
        <v>114</v>
      </c>
      <c r="AA12" s="108"/>
      <c r="AF12" s="143"/>
      <c r="AG12" s="143"/>
      <c r="AH12" s="166"/>
      <c r="AI12" s="173" t="s">
        <v>63</v>
      </c>
      <c r="AJ12" s="166"/>
      <c r="AK12" s="166"/>
      <c r="AL12" s="31"/>
    </row>
    <row r="13" spans="1:39" s="8" customFormat="1" ht="15" customHeight="1">
      <c r="A13" s="194" t="s">
        <v>64</v>
      </c>
      <c r="B13" s="194"/>
      <c r="AA13" s="108"/>
      <c r="AF13" s="143"/>
      <c r="AG13" s="143"/>
      <c r="AH13" s="166"/>
      <c r="AI13" s="166"/>
      <c r="AJ13" s="166"/>
      <c r="AK13" s="166"/>
      <c r="AL13" s="31"/>
    </row>
    <row r="14" spans="1:39" s="8" customFormat="1" ht="15.75" customHeight="1">
      <c r="A14" s="194" t="s">
        <v>4</v>
      </c>
      <c r="B14" s="194"/>
      <c r="E14" s="166"/>
      <c r="F14" s="12"/>
      <c r="K14" s="166"/>
      <c r="X14" s="166"/>
      <c r="AA14" s="109"/>
      <c r="AF14" s="143"/>
      <c r="AG14" s="143"/>
      <c r="AH14" s="166"/>
      <c r="AI14" s="166"/>
      <c r="AJ14" s="166"/>
      <c r="AK14" s="166"/>
      <c r="AL14" s="31"/>
    </row>
    <row r="15" spans="1:39" s="8" customFormat="1" ht="7.5" customHeight="1">
      <c r="A15" s="166"/>
      <c r="E15" s="166"/>
      <c r="F15" s="12"/>
      <c r="K15" s="166"/>
      <c r="X15" s="166"/>
      <c r="AA15" s="109"/>
      <c r="AF15" s="143"/>
      <c r="AG15" s="143"/>
      <c r="AH15" s="166"/>
      <c r="AI15" s="166"/>
      <c r="AJ15" s="166"/>
      <c r="AK15" s="166"/>
      <c r="AL15" s="31"/>
      <c r="AM15" s="13"/>
    </row>
    <row r="16" spans="1:39" s="8" customFormat="1" ht="33" customHeight="1">
      <c r="A16" s="191" t="s">
        <v>5</v>
      </c>
      <c r="B16" s="195" t="s">
        <v>6</v>
      </c>
      <c r="C16" s="196" t="s">
        <v>7</v>
      </c>
      <c r="D16" s="196" t="s">
        <v>8</v>
      </c>
      <c r="E16" s="191" t="s">
        <v>47</v>
      </c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68"/>
      <c r="R16" s="168"/>
      <c r="S16" s="168"/>
      <c r="T16" s="168"/>
      <c r="U16" s="168"/>
      <c r="V16" s="168"/>
      <c r="W16" s="170"/>
      <c r="X16" s="204" t="s">
        <v>48</v>
      </c>
      <c r="Y16" s="203"/>
      <c r="Z16" s="203"/>
      <c r="AA16" s="204" t="s">
        <v>49</v>
      </c>
      <c r="AB16" s="203"/>
      <c r="AC16" s="203"/>
      <c r="AD16" s="191" t="s">
        <v>9</v>
      </c>
      <c r="AE16" s="191" t="s">
        <v>10</v>
      </c>
      <c r="AF16" s="196" t="s">
        <v>229</v>
      </c>
      <c r="AG16" s="196" t="s">
        <v>230</v>
      </c>
      <c r="AH16" s="191" t="s">
        <v>11</v>
      </c>
      <c r="AI16" s="191" t="s">
        <v>12</v>
      </c>
      <c r="AJ16" s="191" t="s">
        <v>13</v>
      </c>
      <c r="AK16" s="196" t="s">
        <v>51</v>
      </c>
      <c r="AL16" s="191" t="s">
        <v>14</v>
      </c>
      <c r="AM16" s="13"/>
    </row>
    <row r="17" spans="1:39" s="8" customFormat="1" ht="35.25" customHeight="1">
      <c r="A17" s="195"/>
      <c r="B17" s="195"/>
      <c r="C17" s="197"/>
      <c r="D17" s="198"/>
      <c r="E17" s="171" t="s">
        <v>50</v>
      </c>
      <c r="F17" s="14" t="s">
        <v>15</v>
      </c>
      <c r="G17" s="203" t="s">
        <v>16</v>
      </c>
      <c r="H17" s="203"/>
      <c r="I17" s="203"/>
      <c r="J17" s="170" t="s">
        <v>17</v>
      </c>
      <c r="K17" s="168" t="s">
        <v>18</v>
      </c>
      <c r="L17" s="170"/>
      <c r="M17" s="170" t="s">
        <v>17</v>
      </c>
      <c r="N17" s="170" t="s">
        <v>17</v>
      </c>
      <c r="O17" s="170" t="s">
        <v>17</v>
      </c>
      <c r="P17" s="170" t="s">
        <v>19</v>
      </c>
      <c r="Q17" s="170" t="s">
        <v>19</v>
      </c>
      <c r="R17" s="170" t="s">
        <v>19</v>
      </c>
      <c r="S17" s="170" t="s">
        <v>19</v>
      </c>
      <c r="T17" s="170" t="s">
        <v>19</v>
      </c>
      <c r="U17" s="170" t="s">
        <v>19</v>
      </c>
      <c r="V17" s="170" t="s">
        <v>20</v>
      </c>
      <c r="W17" s="170"/>
      <c r="X17" s="171" t="s">
        <v>50</v>
      </c>
      <c r="Y17" s="14" t="s">
        <v>21</v>
      </c>
      <c r="Z17" s="14" t="s">
        <v>22</v>
      </c>
      <c r="AA17" s="110" t="s">
        <v>50</v>
      </c>
      <c r="AB17" s="14" t="s">
        <v>21</v>
      </c>
      <c r="AC17" s="14" t="s">
        <v>23</v>
      </c>
      <c r="AD17" s="191"/>
      <c r="AE17" s="191"/>
      <c r="AF17" s="201"/>
      <c r="AG17" s="201"/>
      <c r="AH17" s="193"/>
      <c r="AI17" s="193"/>
      <c r="AJ17" s="195"/>
      <c r="AK17" s="197"/>
      <c r="AL17" s="192"/>
      <c r="AM17" s="13"/>
    </row>
    <row r="18" spans="1:39" s="8" customFormat="1" ht="15.75" customHeight="1">
      <c r="A18" s="15" t="s">
        <v>38</v>
      </c>
      <c r="B18" s="15" t="s">
        <v>39</v>
      </c>
      <c r="C18" s="15" t="s">
        <v>40</v>
      </c>
      <c r="D18" s="15" t="s">
        <v>41</v>
      </c>
      <c r="E18" s="15">
        <v>1</v>
      </c>
      <c r="F18" s="16">
        <v>2</v>
      </c>
      <c r="G18" s="17">
        <v>3</v>
      </c>
      <c r="H18" s="17">
        <v>4</v>
      </c>
      <c r="I18" s="16">
        <v>5</v>
      </c>
      <c r="J18" s="17">
        <v>7</v>
      </c>
      <c r="K18" s="16">
        <v>8</v>
      </c>
      <c r="L18" s="17">
        <v>9</v>
      </c>
      <c r="M18" s="16">
        <v>10</v>
      </c>
      <c r="N18" s="16"/>
      <c r="O18" s="17">
        <v>6</v>
      </c>
      <c r="P18" s="17"/>
      <c r="Q18" s="17"/>
      <c r="R18" s="17"/>
      <c r="S18" s="17"/>
      <c r="T18" s="17"/>
      <c r="U18" s="17"/>
      <c r="V18" s="17"/>
      <c r="W18" s="17">
        <v>5</v>
      </c>
      <c r="X18" s="15">
        <v>2</v>
      </c>
      <c r="Y18" s="16">
        <v>7</v>
      </c>
      <c r="Z18" s="16">
        <v>8</v>
      </c>
      <c r="AA18" s="111">
        <v>3</v>
      </c>
      <c r="AB18" s="15">
        <v>10</v>
      </c>
      <c r="AC18" s="17">
        <v>11</v>
      </c>
      <c r="AD18" s="15"/>
      <c r="AE18" s="15"/>
      <c r="AF18" s="121">
        <v>4</v>
      </c>
      <c r="AG18" s="121">
        <v>5</v>
      </c>
      <c r="AH18" s="15">
        <v>6</v>
      </c>
      <c r="AI18" s="15">
        <v>7</v>
      </c>
      <c r="AJ18" s="15">
        <v>8</v>
      </c>
      <c r="AK18" s="15">
        <v>9</v>
      </c>
      <c r="AL18" s="49">
        <v>10</v>
      </c>
      <c r="AM18" s="13"/>
    </row>
    <row r="19" spans="1:39" s="8" customFormat="1" ht="17.25" customHeight="1">
      <c r="A19" s="25"/>
      <c r="B19" s="124" t="s">
        <v>279</v>
      </c>
      <c r="C19" s="125"/>
      <c r="D19" s="1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7"/>
      <c r="Z19" s="27"/>
      <c r="AA19" s="113"/>
      <c r="AB19" s="27"/>
      <c r="AC19" s="27"/>
      <c r="AD19" s="27"/>
      <c r="AE19" s="27"/>
      <c r="AF19" s="126"/>
      <c r="AG19" s="126"/>
      <c r="AH19" s="23"/>
      <c r="AI19" s="25"/>
      <c r="AJ19" s="25"/>
      <c r="AK19" s="25"/>
      <c r="AL19" s="29"/>
    </row>
    <row r="20" spans="1:39" s="8" customFormat="1" ht="15.75">
      <c r="A20" s="25">
        <v>1</v>
      </c>
      <c r="B20" s="177" t="s">
        <v>267</v>
      </c>
      <c r="C20" s="178" t="s">
        <v>268</v>
      </c>
      <c r="D20" s="178" t="s">
        <v>269</v>
      </c>
      <c r="E20" s="25">
        <v>1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>
        <v>1</v>
      </c>
      <c r="Y20" s="27"/>
      <c r="Z20" s="27"/>
      <c r="AA20" s="113" t="s">
        <v>254</v>
      </c>
      <c r="AB20" s="27"/>
      <c r="AC20" s="27"/>
      <c r="AD20" s="27"/>
      <c r="AE20" s="27"/>
      <c r="AF20" s="179">
        <v>33000000</v>
      </c>
      <c r="AG20" s="179">
        <v>33000000</v>
      </c>
      <c r="AH20" s="23" t="s">
        <v>197</v>
      </c>
      <c r="AI20" s="25"/>
      <c r="AJ20" s="25" t="s">
        <v>276</v>
      </c>
      <c r="AK20" s="25" t="s">
        <v>231</v>
      </c>
      <c r="AL20" s="29" t="s">
        <v>270</v>
      </c>
    </row>
    <row r="21" spans="1:39" s="21" customFormat="1" ht="15.75">
      <c r="A21" s="145" t="s">
        <v>39</v>
      </c>
      <c r="B21" s="127" t="s">
        <v>239</v>
      </c>
      <c r="C21" s="146"/>
      <c r="D21" s="146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27"/>
      <c r="Z21" s="127"/>
      <c r="AA21" s="112"/>
      <c r="AB21" s="127"/>
      <c r="AC21" s="127"/>
      <c r="AD21" s="127"/>
      <c r="AE21" s="127"/>
      <c r="AF21" s="147"/>
      <c r="AG21" s="147"/>
      <c r="AH21" s="167"/>
      <c r="AI21" s="170"/>
      <c r="AJ21" s="170"/>
      <c r="AK21" s="170"/>
      <c r="AL21" s="129"/>
    </row>
    <row r="22" spans="1:39" s="8" customFormat="1" ht="45">
      <c r="A22" s="25">
        <v>1</v>
      </c>
      <c r="B22" s="180" t="s">
        <v>257</v>
      </c>
      <c r="C22" s="125" t="s">
        <v>258</v>
      </c>
      <c r="D22" s="22"/>
      <c r="E22" s="25">
        <v>1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>
        <v>1</v>
      </c>
      <c r="Y22" s="27"/>
      <c r="Z22" s="27"/>
      <c r="AA22" s="113">
        <v>0</v>
      </c>
      <c r="AB22" s="27"/>
      <c r="AC22" s="27"/>
      <c r="AD22" s="27"/>
      <c r="AE22" s="27"/>
      <c r="AF22" s="181">
        <v>17755000</v>
      </c>
      <c r="AG22" s="181">
        <v>17755000</v>
      </c>
      <c r="AH22" s="23" t="s">
        <v>197</v>
      </c>
      <c r="AI22" s="25"/>
      <c r="AJ22" s="25" t="s">
        <v>104</v>
      </c>
      <c r="AK22" s="25" t="s">
        <v>231</v>
      </c>
      <c r="AL22" s="29" t="s">
        <v>266</v>
      </c>
    </row>
    <row r="23" spans="1:39" s="21" customFormat="1" ht="16.5" customHeight="1">
      <c r="A23" s="170"/>
      <c r="B23" s="170" t="s">
        <v>280</v>
      </c>
      <c r="C23" s="170"/>
      <c r="D23" s="168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27"/>
      <c r="Z23" s="127"/>
      <c r="AA23" s="112"/>
      <c r="AB23" s="127"/>
      <c r="AC23" s="127"/>
      <c r="AD23" s="127"/>
      <c r="AE23" s="127"/>
      <c r="AF23" s="128"/>
      <c r="AG23" s="128">
        <f>SUM(AG20:AG22)</f>
        <v>50755000</v>
      </c>
      <c r="AH23" s="167"/>
      <c r="AI23" s="170"/>
      <c r="AJ23" s="170"/>
      <c r="AK23" s="170"/>
      <c r="AL23" s="129"/>
    </row>
    <row r="24" spans="1:39" s="21" customFormat="1" ht="16.5" customHeight="1">
      <c r="A24" s="170"/>
      <c r="B24" s="170" t="s">
        <v>281</v>
      </c>
      <c r="C24" s="170"/>
      <c r="D24" s="168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27"/>
      <c r="Z24" s="127"/>
      <c r="AA24" s="112"/>
      <c r="AB24" s="127"/>
      <c r="AC24" s="127"/>
      <c r="AD24" s="127"/>
      <c r="AE24" s="127"/>
      <c r="AF24" s="128"/>
      <c r="AG24" s="128"/>
      <c r="AH24" s="167"/>
      <c r="AI24" s="170"/>
      <c r="AJ24" s="170"/>
      <c r="AK24" s="170"/>
      <c r="AL24" s="129"/>
    </row>
    <row r="25" spans="1:39" s="21" customFormat="1" ht="23.25" customHeight="1">
      <c r="A25" s="168" t="s">
        <v>105</v>
      </c>
      <c r="B25" s="18" t="s">
        <v>115</v>
      </c>
      <c r="C25" s="168"/>
      <c r="D25" s="168"/>
      <c r="E25" s="167"/>
      <c r="F25" s="170"/>
      <c r="G25" s="19"/>
      <c r="H25" s="167" t="s">
        <v>116</v>
      </c>
      <c r="I25" s="167"/>
      <c r="J25" s="168"/>
      <c r="K25" s="168"/>
      <c r="L25" s="18"/>
      <c r="M25" s="168"/>
      <c r="N25" s="18" t="s">
        <v>115</v>
      </c>
      <c r="O25" s="168"/>
      <c r="P25" s="168"/>
      <c r="Q25" s="167"/>
      <c r="R25" s="170"/>
      <c r="S25" s="19"/>
      <c r="T25" s="167" t="s">
        <v>116</v>
      </c>
      <c r="U25" s="167"/>
      <c r="V25" s="168"/>
      <c r="W25" s="168"/>
      <c r="X25" s="18"/>
      <c r="Y25" s="168"/>
      <c r="Z25" s="18" t="s">
        <v>115</v>
      </c>
      <c r="AA25" s="112"/>
      <c r="AB25" s="168"/>
      <c r="AC25" s="167"/>
      <c r="AD25" s="170"/>
      <c r="AE25" s="19"/>
      <c r="AF25" s="122"/>
      <c r="AG25" s="122"/>
      <c r="AH25" s="167"/>
      <c r="AI25" s="167"/>
      <c r="AJ25" s="168"/>
      <c r="AK25" s="168"/>
      <c r="AL25" s="18"/>
      <c r="AM25" s="20"/>
    </row>
    <row r="26" spans="1:39" s="8" customFormat="1" ht="59.25" customHeight="1">
      <c r="A26" s="22">
        <v>1</v>
      </c>
      <c r="B26" s="130" t="s">
        <v>66</v>
      </c>
      <c r="C26" s="23" t="s">
        <v>216</v>
      </c>
      <c r="D26" s="22">
        <v>2022</v>
      </c>
      <c r="E26" s="23">
        <v>5</v>
      </c>
      <c r="F26" s="23">
        <v>5</v>
      </c>
      <c r="G26" s="24"/>
      <c r="H26" s="23" t="s">
        <v>116</v>
      </c>
      <c r="I26" s="23" t="s">
        <v>118</v>
      </c>
      <c r="J26" s="22"/>
      <c r="K26" s="22"/>
      <c r="L26" s="130"/>
      <c r="M26" s="22">
        <v>1</v>
      </c>
      <c r="N26" s="131" t="s">
        <v>66</v>
      </c>
      <c r="O26" s="22" t="s">
        <v>117</v>
      </c>
      <c r="P26" s="22">
        <v>2022</v>
      </c>
      <c r="Q26" s="23">
        <v>4</v>
      </c>
      <c r="R26" s="23">
        <v>5</v>
      </c>
      <c r="S26" s="24"/>
      <c r="T26" s="23" t="s">
        <v>116</v>
      </c>
      <c r="U26" s="23" t="s">
        <v>118</v>
      </c>
      <c r="V26" s="22"/>
      <c r="W26" s="22"/>
      <c r="X26" s="23">
        <v>4</v>
      </c>
      <c r="Y26" s="22">
        <v>1</v>
      </c>
      <c r="Z26" s="131" t="s">
        <v>66</v>
      </c>
      <c r="AA26" s="114">
        <v>-1</v>
      </c>
      <c r="AB26" s="22">
        <v>2022</v>
      </c>
      <c r="AC26" s="23">
        <v>4</v>
      </c>
      <c r="AD26" s="23">
        <v>5</v>
      </c>
      <c r="AE26" s="24"/>
      <c r="AF26" s="144">
        <v>2500000</v>
      </c>
      <c r="AG26" s="120">
        <f>+X26*AF26</f>
        <v>10000000</v>
      </c>
      <c r="AH26" s="23" t="s">
        <v>197</v>
      </c>
      <c r="AI26" s="23" t="s">
        <v>67</v>
      </c>
      <c r="AJ26" s="25" t="s">
        <v>43</v>
      </c>
      <c r="AK26" s="22"/>
      <c r="AL26" s="130" t="s">
        <v>217</v>
      </c>
      <c r="AM26" s="13"/>
    </row>
    <row r="27" spans="1:39" s="8" customFormat="1" ht="59.25" customHeight="1">
      <c r="A27" s="22">
        <v>2</v>
      </c>
      <c r="B27" s="130" t="s">
        <v>68</v>
      </c>
      <c r="C27" s="22" t="s">
        <v>119</v>
      </c>
      <c r="D27" s="22">
        <v>2022</v>
      </c>
      <c r="E27" s="23">
        <v>1</v>
      </c>
      <c r="F27" s="23">
        <v>1</v>
      </c>
      <c r="G27" s="24"/>
      <c r="H27" s="23" t="s">
        <v>116</v>
      </c>
      <c r="I27" s="23" t="s">
        <v>120</v>
      </c>
      <c r="J27" s="22"/>
      <c r="K27" s="22"/>
      <c r="L27" s="130"/>
      <c r="M27" s="22">
        <v>2</v>
      </c>
      <c r="N27" s="130" t="s">
        <v>68</v>
      </c>
      <c r="O27" s="22" t="s">
        <v>119</v>
      </c>
      <c r="P27" s="22">
        <v>2022</v>
      </c>
      <c r="Q27" s="23">
        <v>1</v>
      </c>
      <c r="R27" s="23">
        <v>1</v>
      </c>
      <c r="S27" s="24"/>
      <c r="T27" s="23" t="s">
        <v>116</v>
      </c>
      <c r="U27" s="23" t="s">
        <v>120</v>
      </c>
      <c r="V27" s="22"/>
      <c r="W27" s="22"/>
      <c r="X27" s="23">
        <v>1</v>
      </c>
      <c r="Y27" s="22">
        <v>2</v>
      </c>
      <c r="Z27" s="130" t="s">
        <v>68</v>
      </c>
      <c r="AA27" s="113">
        <v>0</v>
      </c>
      <c r="AB27" s="22">
        <v>2022</v>
      </c>
      <c r="AC27" s="23">
        <v>1</v>
      </c>
      <c r="AD27" s="23">
        <v>1</v>
      </c>
      <c r="AE27" s="24"/>
      <c r="AF27" s="144">
        <v>7900000</v>
      </c>
      <c r="AG27" s="144">
        <v>7900000</v>
      </c>
      <c r="AH27" s="23" t="s">
        <v>197</v>
      </c>
      <c r="AI27" s="23" t="s">
        <v>67</v>
      </c>
      <c r="AJ27" s="25" t="s">
        <v>43</v>
      </c>
      <c r="AK27" s="22"/>
      <c r="AL27" s="130"/>
      <c r="AM27" s="13"/>
    </row>
    <row r="28" spans="1:39" s="133" customFormat="1" ht="59.25" customHeight="1">
      <c r="A28" s="22">
        <v>3</v>
      </c>
      <c r="B28" s="130" t="s">
        <v>70</v>
      </c>
      <c r="C28" s="23" t="s">
        <v>192</v>
      </c>
      <c r="D28" s="22">
        <v>2022</v>
      </c>
      <c r="E28" s="23">
        <v>5</v>
      </c>
      <c r="F28" s="23">
        <v>5</v>
      </c>
      <c r="G28" s="25"/>
      <c r="H28" s="23" t="s">
        <v>116</v>
      </c>
      <c r="I28" s="23" t="s">
        <v>122</v>
      </c>
      <c r="J28" s="22"/>
      <c r="K28" s="22"/>
      <c r="L28" s="26"/>
      <c r="M28" s="22">
        <v>3</v>
      </c>
      <c r="N28" s="130" t="s">
        <v>70</v>
      </c>
      <c r="O28" s="22" t="s">
        <v>121</v>
      </c>
      <c r="P28" s="22">
        <v>2022</v>
      </c>
      <c r="Q28" s="23">
        <v>5</v>
      </c>
      <c r="R28" s="23">
        <v>5</v>
      </c>
      <c r="S28" s="25"/>
      <c r="T28" s="23" t="s">
        <v>116</v>
      </c>
      <c r="U28" s="23" t="s">
        <v>122</v>
      </c>
      <c r="V28" s="22"/>
      <c r="W28" s="22"/>
      <c r="X28" s="23">
        <v>5</v>
      </c>
      <c r="Y28" s="22">
        <v>3</v>
      </c>
      <c r="Z28" s="130" t="s">
        <v>70</v>
      </c>
      <c r="AA28" s="113">
        <v>0</v>
      </c>
      <c r="AB28" s="22">
        <v>2022</v>
      </c>
      <c r="AC28" s="23">
        <v>5</v>
      </c>
      <c r="AD28" s="23">
        <v>5</v>
      </c>
      <c r="AE28" s="25"/>
      <c r="AF28" s="120">
        <v>660000</v>
      </c>
      <c r="AG28" s="120">
        <f>+X28*AF28</f>
        <v>3300000</v>
      </c>
      <c r="AH28" s="23" t="s">
        <v>197</v>
      </c>
      <c r="AI28" s="23" t="s">
        <v>67</v>
      </c>
      <c r="AJ28" s="25" t="s">
        <v>43</v>
      </c>
      <c r="AK28" s="22"/>
      <c r="AL28" s="130"/>
      <c r="AM28" s="132"/>
    </row>
    <row r="29" spans="1:39" s="8" customFormat="1" ht="72.75" customHeight="1">
      <c r="A29" s="22">
        <v>4</v>
      </c>
      <c r="B29" s="130" t="s">
        <v>69</v>
      </c>
      <c r="C29" s="22" t="s">
        <v>123</v>
      </c>
      <c r="D29" s="22">
        <v>2022</v>
      </c>
      <c r="E29" s="23">
        <v>1</v>
      </c>
      <c r="F29" s="23">
        <v>1</v>
      </c>
      <c r="G29" s="25"/>
      <c r="H29" s="23" t="s">
        <v>116</v>
      </c>
      <c r="I29" s="23" t="s">
        <v>67</v>
      </c>
      <c r="J29" s="22"/>
      <c r="K29" s="22"/>
      <c r="L29" s="130"/>
      <c r="M29" s="22">
        <v>4</v>
      </c>
      <c r="N29" s="130" t="s">
        <v>69</v>
      </c>
      <c r="O29" s="22" t="s">
        <v>123</v>
      </c>
      <c r="P29" s="22">
        <v>2022</v>
      </c>
      <c r="Q29" s="23">
        <v>1</v>
      </c>
      <c r="R29" s="23">
        <v>1</v>
      </c>
      <c r="S29" s="25"/>
      <c r="T29" s="23" t="s">
        <v>116</v>
      </c>
      <c r="U29" s="23" t="s">
        <v>67</v>
      </c>
      <c r="V29" s="22"/>
      <c r="W29" s="22"/>
      <c r="X29" s="23">
        <v>1</v>
      </c>
      <c r="Y29" s="22">
        <v>4</v>
      </c>
      <c r="Z29" s="130" t="s">
        <v>69</v>
      </c>
      <c r="AA29" s="113">
        <v>0</v>
      </c>
      <c r="AB29" s="22">
        <v>2022</v>
      </c>
      <c r="AC29" s="23">
        <v>1</v>
      </c>
      <c r="AD29" s="23">
        <v>1</v>
      </c>
      <c r="AE29" s="25"/>
      <c r="AF29" s="144">
        <v>3280000</v>
      </c>
      <c r="AG29" s="144">
        <v>3280000</v>
      </c>
      <c r="AH29" s="23" t="s">
        <v>197</v>
      </c>
      <c r="AI29" s="23" t="s">
        <v>67</v>
      </c>
      <c r="AJ29" s="25" t="s">
        <v>43</v>
      </c>
      <c r="AK29" s="22"/>
      <c r="AL29" s="130"/>
      <c r="AM29" s="13"/>
    </row>
    <row r="30" spans="1:39" s="8" customFormat="1" ht="26.25" customHeight="1">
      <c r="A30" s="25">
        <v>5</v>
      </c>
      <c r="B30" s="27" t="s">
        <v>127</v>
      </c>
      <c r="C30" s="25"/>
      <c r="D30" s="22">
        <v>2016</v>
      </c>
      <c r="E30" s="25">
        <v>2</v>
      </c>
      <c r="F30" s="25">
        <v>0</v>
      </c>
      <c r="G30" s="25">
        <f>H30+I30</f>
        <v>8000000</v>
      </c>
      <c r="H30" s="25">
        <v>8000000</v>
      </c>
      <c r="I30" s="25"/>
      <c r="J30" s="25"/>
      <c r="K30" s="25"/>
      <c r="L30" s="25"/>
      <c r="M30" s="25"/>
      <c r="N30" s="25"/>
      <c r="O30" s="25"/>
      <c r="P30" s="25"/>
      <c r="Q30" s="25"/>
      <c r="R30" s="25" t="e">
        <f>ROUND(#REF!*#REF!,0)</f>
        <v>#REF!</v>
      </c>
      <c r="S30" s="25" t="e">
        <f>ROUND(#REF!*#REF!,0)</f>
        <v>#REF!</v>
      </c>
      <c r="T30" s="25" t="e">
        <f>ROUND(#REF!*#REF!,0)</f>
        <v>#REF!</v>
      </c>
      <c r="U30" s="25" t="e">
        <f>ROUND(#REF!*#REF!,0)</f>
        <v>#REF!</v>
      </c>
      <c r="V30" s="25" t="e">
        <f>M30+N30+O30+P30+SUM(Q30:T30)+U30</f>
        <v>#REF!</v>
      </c>
      <c r="W30" s="25" t="e">
        <f>G30-V30</f>
        <v>#REF!</v>
      </c>
      <c r="X30" s="25">
        <v>2</v>
      </c>
      <c r="Y30" s="27">
        <f>G30</f>
        <v>8000000</v>
      </c>
      <c r="Z30" s="27">
        <v>0</v>
      </c>
      <c r="AA30" s="114">
        <v>0</v>
      </c>
      <c r="AB30" s="27">
        <f>Y30-G30</f>
        <v>0</v>
      </c>
      <c r="AC30" s="27">
        <f>F30-Z30</f>
        <v>0</v>
      </c>
      <c r="AD30" s="27">
        <v>0.2</v>
      </c>
      <c r="AE30" s="27" t="s">
        <v>44</v>
      </c>
      <c r="AF30" s="120">
        <v>7050000</v>
      </c>
      <c r="AG30" s="120">
        <f>+AF30*X30</f>
        <v>14100000</v>
      </c>
      <c r="AH30" s="23" t="s">
        <v>197</v>
      </c>
      <c r="AI30" s="25" t="s">
        <v>67</v>
      </c>
      <c r="AJ30" s="25" t="s">
        <v>43</v>
      </c>
      <c r="AK30" s="25" t="s">
        <v>125</v>
      </c>
      <c r="AL30" s="29"/>
      <c r="AM30" s="13"/>
    </row>
    <row r="31" spans="1:39" s="8" customFormat="1" ht="26.25" customHeight="1">
      <c r="A31" s="25">
        <v>6</v>
      </c>
      <c r="B31" s="27" t="s">
        <v>124</v>
      </c>
      <c r="C31" s="25"/>
      <c r="D31" s="22"/>
      <c r="E31" s="25">
        <v>2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>
        <v>2</v>
      </c>
      <c r="Y31" s="27"/>
      <c r="Z31" s="27"/>
      <c r="AA31" s="114">
        <v>0</v>
      </c>
      <c r="AB31" s="27"/>
      <c r="AC31" s="27"/>
      <c r="AD31" s="27"/>
      <c r="AE31" s="27"/>
      <c r="AF31" s="120"/>
      <c r="AG31" s="120"/>
      <c r="AH31" s="23" t="s">
        <v>197</v>
      </c>
      <c r="AI31" s="25" t="s">
        <v>67</v>
      </c>
      <c r="AJ31" s="25" t="s">
        <v>43</v>
      </c>
      <c r="AK31" s="25" t="s">
        <v>125</v>
      </c>
      <c r="AL31" s="29"/>
      <c r="AM31" s="13"/>
    </row>
    <row r="32" spans="1:39" s="8" customFormat="1" ht="26.25" customHeight="1">
      <c r="A32" s="25">
        <v>7</v>
      </c>
      <c r="B32" s="27" t="s">
        <v>126</v>
      </c>
      <c r="C32" s="25"/>
      <c r="D32" s="22">
        <v>2005</v>
      </c>
      <c r="E32" s="25">
        <v>10</v>
      </c>
      <c r="F32" s="25">
        <v>0</v>
      </c>
      <c r="G32" s="25">
        <f>H32+I32</f>
        <v>8000000</v>
      </c>
      <c r="H32" s="25">
        <v>8000000</v>
      </c>
      <c r="I32" s="25"/>
      <c r="J32" s="25"/>
      <c r="K32" s="25"/>
      <c r="L32" s="25"/>
      <c r="M32" s="25"/>
      <c r="N32" s="25"/>
      <c r="O32" s="25"/>
      <c r="P32" s="25"/>
      <c r="Q32" s="25"/>
      <c r="R32" s="25">
        <f>ROUND($G$32*$AD$32,0)</f>
        <v>1600000</v>
      </c>
      <c r="S32" s="25">
        <f>ROUND($G$32*$AD$32,0)</f>
        <v>1600000</v>
      </c>
      <c r="T32" s="25">
        <f>ROUND($G$32*$AD$32,0)</f>
        <v>1600000</v>
      </c>
      <c r="U32" s="25">
        <f>ROUND($G$32*$AD$32,0)</f>
        <v>1600000</v>
      </c>
      <c r="V32" s="25">
        <f>M32+N32+O32+P32+SUM(Q32:T32)+U32</f>
        <v>6400000</v>
      </c>
      <c r="W32" s="25">
        <f>G32-V32</f>
        <v>1600000</v>
      </c>
      <c r="X32" s="25">
        <v>10</v>
      </c>
      <c r="Y32" s="27">
        <f>G32</f>
        <v>8000000</v>
      </c>
      <c r="Z32" s="27">
        <v>0</v>
      </c>
      <c r="AA32" s="114">
        <v>0</v>
      </c>
      <c r="AB32" s="27">
        <f>Y32-G32</f>
        <v>0</v>
      </c>
      <c r="AC32" s="27">
        <f>F32-Z32</f>
        <v>0</v>
      </c>
      <c r="AD32" s="27">
        <v>0.2</v>
      </c>
      <c r="AE32" s="27" t="s">
        <v>44</v>
      </c>
      <c r="AF32" s="120"/>
      <c r="AG32" s="120"/>
      <c r="AH32" s="23" t="s">
        <v>197</v>
      </c>
      <c r="AI32" s="25" t="s">
        <v>67</v>
      </c>
      <c r="AJ32" s="25" t="s">
        <v>43</v>
      </c>
      <c r="AK32" s="25" t="s">
        <v>125</v>
      </c>
      <c r="AL32" s="29"/>
      <c r="AM32" s="13"/>
    </row>
    <row r="33" spans="1:39" s="8" customFormat="1" ht="26.25" customHeight="1">
      <c r="A33" s="25">
        <v>8</v>
      </c>
      <c r="B33" s="27" t="s">
        <v>128</v>
      </c>
      <c r="C33" s="25"/>
      <c r="D33" s="22"/>
      <c r="E33" s="25">
        <v>1</v>
      </c>
      <c r="F33" s="25">
        <v>0</v>
      </c>
      <c r="G33" s="25">
        <f>H33+I33</f>
        <v>13720000</v>
      </c>
      <c r="H33" s="25"/>
      <c r="I33" s="25">
        <v>13720000</v>
      </c>
      <c r="J33" s="25"/>
      <c r="K33" s="25"/>
      <c r="L33" s="25"/>
      <c r="M33" s="25"/>
      <c r="N33" s="25"/>
      <c r="O33" s="25"/>
      <c r="P33" s="25"/>
      <c r="Q33" s="25"/>
      <c r="R33" s="25" t="e">
        <f>ROUND(#REF!*#REF!,0)</f>
        <v>#REF!</v>
      </c>
      <c r="S33" s="25" t="e">
        <f>ROUND(#REF!*#REF!,0)</f>
        <v>#REF!</v>
      </c>
      <c r="T33" s="25" t="e">
        <f>ROUND(#REF!*#REF!,0)</f>
        <v>#REF!</v>
      </c>
      <c r="U33" s="25" t="e">
        <f>ROUND(#REF!*#REF!,0)</f>
        <v>#REF!</v>
      </c>
      <c r="V33" s="25" t="e">
        <f>M33+N33+O33+P33+SUM(Q33:T33)+U33</f>
        <v>#REF!</v>
      </c>
      <c r="W33" s="25" t="e">
        <f>G33-V33</f>
        <v>#REF!</v>
      </c>
      <c r="X33" s="25">
        <v>1</v>
      </c>
      <c r="Y33" s="27">
        <f>G33</f>
        <v>13720000</v>
      </c>
      <c r="Z33" s="27">
        <v>0</v>
      </c>
      <c r="AA33" s="114">
        <v>0</v>
      </c>
      <c r="AB33" s="27">
        <f>Y33-G33</f>
        <v>0</v>
      </c>
      <c r="AC33" s="27">
        <f>F33-Z33</f>
        <v>0</v>
      </c>
      <c r="AD33" s="27">
        <v>0.2</v>
      </c>
      <c r="AE33" s="27"/>
      <c r="AF33" s="120"/>
      <c r="AG33" s="120"/>
      <c r="AH33" s="23" t="s">
        <v>197</v>
      </c>
      <c r="AI33" s="25" t="s">
        <v>67</v>
      </c>
      <c r="AJ33" s="25" t="s">
        <v>43</v>
      </c>
      <c r="AK33" s="25" t="s">
        <v>125</v>
      </c>
      <c r="AL33" s="29"/>
      <c r="AM33" s="13"/>
    </row>
    <row r="34" spans="1:39" s="8" customFormat="1" ht="26.25" customHeight="1">
      <c r="A34" s="25">
        <v>9</v>
      </c>
      <c r="B34" s="27" t="s">
        <v>146</v>
      </c>
      <c r="C34" s="25"/>
      <c r="D34" s="22"/>
      <c r="E34" s="25">
        <v>0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>
        <v>1</v>
      </c>
      <c r="Y34" s="27"/>
      <c r="Z34" s="27"/>
      <c r="AA34" s="114" t="s">
        <v>220</v>
      </c>
      <c r="AB34" s="27"/>
      <c r="AC34" s="27"/>
      <c r="AD34" s="27"/>
      <c r="AE34" s="27"/>
      <c r="AF34" s="120"/>
      <c r="AG34" s="120"/>
      <c r="AH34" s="23"/>
      <c r="AI34" s="25"/>
      <c r="AJ34" s="25"/>
      <c r="AK34" s="25"/>
      <c r="AL34" s="29" t="s">
        <v>221</v>
      </c>
      <c r="AM34" s="13"/>
    </row>
    <row r="35" spans="1:39" s="21" customFormat="1" ht="25.5" customHeight="1">
      <c r="A35" s="168" t="s">
        <v>106</v>
      </c>
      <c r="B35" s="18" t="s">
        <v>129</v>
      </c>
      <c r="C35" s="22"/>
      <c r="D35" s="22"/>
      <c r="E35" s="22"/>
      <c r="F35" s="22"/>
      <c r="G35" s="134"/>
      <c r="H35" s="23" t="s">
        <v>116</v>
      </c>
      <c r="I35" s="23"/>
      <c r="J35" s="22"/>
      <c r="K35" s="22"/>
      <c r="L35" s="26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27"/>
      <c r="Z35" s="127"/>
      <c r="AA35" s="112"/>
      <c r="AB35" s="127"/>
      <c r="AC35" s="127"/>
      <c r="AD35" s="127"/>
      <c r="AE35" s="127"/>
      <c r="AF35" s="128"/>
      <c r="AG35" s="128"/>
      <c r="AH35" s="170"/>
      <c r="AI35" s="170"/>
      <c r="AJ35" s="170"/>
      <c r="AK35" s="170"/>
      <c r="AL35" s="129"/>
      <c r="AM35" s="20"/>
    </row>
    <row r="36" spans="1:39" s="8" customFormat="1" ht="50.25" customHeight="1">
      <c r="A36" s="22">
        <v>1</v>
      </c>
      <c r="B36" s="130" t="s">
        <v>130</v>
      </c>
      <c r="C36" s="148" t="s">
        <v>131</v>
      </c>
      <c r="D36" s="22">
        <v>2022</v>
      </c>
      <c r="E36" s="23">
        <v>1</v>
      </c>
      <c r="F36" s="23">
        <v>1</v>
      </c>
      <c r="G36" s="24"/>
      <c r="H36" s="23" t="s">
        <v>116</v>
      </c>
      <c r="I36" s="23" t="s">
        <v>132</v>
      </c>
      <c r="J36" s="22"/>
      <c r="K36" s="149"/>
      <c r="L36" s="150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134">
        <v>1</v>
      </c>
      <c r="Y36" s="27"/>
      <c r="Z36" s="27"/>
      <c r="AA36" s="114">
        <v>0</v>
      </c>
      <c r="AB36" s="27"/>
      <c r="AC36" s="27"/>
      <c r="AD36" s="27"/>
      <c r="AE36" s="27"/>
      <c r="AF36" s="144">
        <v>3700000</v>
      </c>
      <c r="AG36" s="144">
        <v>3700000</v>
      </c>
      <c r="AH36" s="23" t="s">
        <v>197</v>
      </c>
      <c r="AI36" s="25" t="s">
        <v>134</v>
      </c>
      <c r="AJ36" s="25" t="s">
        <v>43</v>
      </c>
      <c r="AK36" s="25"/>
      <c r="AL36" s="29"/>
      <c r="AM36" s="13"/>
    </row>
    <row r="37" spans="1:39" s="8" customFormat="1" ht="60">
      <c r="A37" s="22">
        <v>2</v>
      </c>
      <c r="B37" s="131" t="s">
        <v>133</v>
      </c>
      <c r="C37" s="23" t="s">
        <v>193</v>
      </c>
      <c r="D37" s="22">
        <v>2022</v>
      </c>
      <c r="E37" s="23">
        <v>10</v>
      </c>
      <c r="F37" s="23">
        <v>10</v>
      </c>
      <c r="G37" s="134"/>
      <c r="H37" s="23" t="s">
        <v>116</v>
      </c>
      <c r="I37" s="23" t="s">
        <v>132</v>
      </c>
      <c r="J37" s="22"/>
      <c r="K37" s="22"/>
      <c r="L37" s="13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>
        <v>10</v>
      </c>
      <c r="Y37" s="27"/>
      <c r="Z37" s="27"/>
      <c r="AA37" s="113">
        <v>0</v>
      </c>
      <c r="AB37" s="27"/>
      <c r="AC37" s="27"/>
      <c r="AD37" s="27"/>
      <c r="AE37" s="27"/>
      <c r="AF37" s="144">
        <v>960000</v>
      </c>
      <c r="AG37" s="120">
        <f>X37*AF37</f>
        <v>9600000</v>
      </c>
      <c r="AH37" s="23" t="s">
        <v>197</v>
      </c>
      <c r="AI37" s="25" t="s">
        <v>134</v>
      </c>
      <c r="AJ37" s="25" t="s">
        <v>43</v>
      </c>
      <c r="AK37" s="25"/>
      <c r="AL37" s="29"/>
      <c r="AM37" s="13"/>
    </row>
    <row r="38" spans="1:39" s="21" customFormat="1" ht="15.75">
      <c r="A38" s="168" t="s">
        <v>107</v>
      </c>
      <c r="B38" s="18" t="s">
        <v>227</v>
      </c>
      <c r="C38" s="168"/>
      <c r="D38" s="168"/>
      <c r="E38" s="167"/>
      <c r="F38" s="167"/>
      <c r="G38" s="136"/>
      <c r="H38" s="167"/>
      <c r="I38" s="167"/>
      <c r="J38" s="168"/>
      <c r="K38" s="168"/>
      <c r="L38" s="18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27"/>
      <c r="Z38" s="127"/>
      <c r="AA38" s="112"/>
      <c r="AB38" s="127"/>
      <c r="AC38" s="127"/>
      <c r="AD38" s="127"/>
      <c r="AE38" s="127"/>
      <c r="AF38" s="128"/>
      <c r="AG38" s="128"/>
      <c r="AH38" s="167"/>
      <c r="AI38" s="170"/>
      <c r="AJ38" s="170"/>
      <c r="AK38" s="170"/>
      <c r="AL38" s="129"/>
      <c r="AM38" s="20"/>
    </row>
    <row r="39" spans="1:39" s="8" customFormat="1" ht="36.75" customHeight="1">
      <c r="A39" s="22">
        <v>1</v>
      </c>
      <c r="B39" s="130" t="s">
        <v>228</v>
      </c>
      <c r="C39" s="137" t="s">
        <v>260</v>
      </c>
      <c r="D39" s="137">
        <v>2017</v>
      </c>
      <c r="E39" s="23">
        <v>0</v>
      </c>
      <c r="F39" s="23"/>
      <c r="G39" s="28"/>
      <c r="H39" s="23"/>
      <c r="I39" s="23"/>
      <c r="J39" s="22"/>
      <c r="K39" s="22"/>
      <c r="L39" s="130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>
        <v>1</v>
      </c>
      <c r="Y39" s="27"/>
      <c r="Z39" s="27"/>
      <c r="AA39" s="113" t="s">
        <v>220</v>
      </c>
      <c r="AB39" s="27"/>
      <c r="AC39" s="27"/>
      <c r="AD39" s="27"/>
      <c r="AE39" s="27"/>
      <c r="AF39" s="120">
        <v>2910000</v>
      </c>
      <c r="AG39" s="120">
        <v>2910000</v>
      </c>
      <c r="AH39" s="23"/>
      <c r="AI39" s="25"/>
      <c r="AJ39" s="25"/>
      <c r="AK39" s="25" t="s">
        <v>231</v>
      </c>
      <c r="AL39" s="29" t="s">
        <v>232</v>
      </c>
      <c r="AM39" s="13"/>
    </row>
    <row r="40" spans="1:39" s="8" customFormat="1" ht="30">
      <c r="A40" s="22">
        <v>2</v>
      </c>
      <c r="B40" s="182" t="s">
        <v>233</v>
      </c>
      <c r="C40" s="137" t="s">
        <v>261</v>
      </c>
      <c r="D40" s="22"/>
      <c r="E40" s="23">
        <v>0</v>
      </c>
      <c r="F40" s="23"/>
      <c r="G40" s="28"/>
      <c r="H40" s="23"/>
      <c r="I40" s="23"/>
      <c r="J40" s="22"/>
      <c r="K40" s="22"/>
      <c r="L40" s="130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>
        <v>0</v>
      </c>
      <c r="Y40" s="27"/>
      <c r="Z40" s="27"/>
      <c r="AA40" s="113" t="s">
        <v>220</v>
      </c>
      <c r="AB40" s="27"/>
      <c r="AC40" s="27"/>
      <c r="AD40" s="27"/>
      <c r="AE40" s="27"/>
      <c r="AF40" s="120">
        <v>6000000</v>
      </c>
      <c r="AG40" s="120">
        <v>6000000</v>
      </c>
      <c r="AH40" s="23"/>
      <c r="AI40" s="25"/>
      <c r="AJ40" s="25"/>
      <c r="AK40" s="25" t="s">
        <v>231</v>
      </c>
      <c r="AL40" s="29" t="s">
        <v>232</v>
      </c>
      <c r="AM40" s="13"/>
    </row>
    <row r="41" spans="1:39" s="8" customFormat="1" ht="33" customHeight="1">
      <c r="A41" s="168" t="s">
        <v>151</v>
      </c>
      <c r="B41" s="18" t="s">
        <v>137</v>
      </c>
      <c r="C41" s="22"/>
      <c r="D41" s="22"/>
      <c r="E41" s="22"/>
      <c r="F41" s="22"/>
      <c r="G41" s="24"/>
      <c r="H41" s="23" t="s">
        <v>116</v>
      </c>
      <c r="I41" s="23"/>
      <c r="J41" s="22"/>
      <c r="K41" s="22"/>
      <c r="L41" s="130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7"/>
      <c r="Z41" s="27"/>
      <c r="AA41" s="138"/>
      <c r="AB41" s="27"/>
      <c r="AC41" s="27"/>
      <c r="AD41" s="27"/>
      <c r="AE41" s="27"/>
      <c r="AF41" s="120"/>
      <c r="AG41" s="120"/>
      <c r="AH41" s="25"/>
      <c r="AI41" s="25"/>
      <c r="AJ41" s="25"/>
      <c r="AK41" s="25"/>
      <c r="AL41" s="29"/>
      <c r="AM41" s="13"/>
    </row>
    <row r="42" spans="1:39" s="8" customFormat="1" ht="63" customHeight="1">
      <c r="A42" s="22">
        <v>1</v>
      </c>
      <c r="B42" s="130" t="s">
        <v>66</v>
      </c>
      <c r="C42" s="22" t="s">
        <v>194</v>
      </c>
      <c r="D42" s="22">
        <v>2022</v>
      </c>
      <c r="E42" s="23">
        <v>3</v>
      </c>
      <c r="F42" s="23">
        <v>3</v>
      </c>
      <c r="G42" s="24"/>
      <c r="H42" s="23" t="s">
        <v>116</v>
      </c>
      <c r="I42" s="23" t="s">
        <v>138</v>
      </c>
      <c r="J42" s="22"/>
      <c r="K42" s="22"/>
      <c r="L42" s="130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>
        <v>3</v>
      </c>
      <c r="Y42" s="27"/>
      <c r="Z42" s="27"/>
      <c r="AA42" s="114">
        <v>0</v>
      </c>
      <c r="AB42" s="27"/>
      <c r="AC42" s="27"/>
      <c r="AD42" s="27"/>
      <c r="AE42" s="27"/>
      <c r="AF42" s="144">
        <v>2500000</v>
      </c>
      <c r="AG42" s="120">
        <f>+X42*AF42</f>
        <v>7500000</v>
      </c>
      <c r="AH42" s="23" t="s">
        <v>197</v>
      </c>
      <c r="AI42" s="25" t="s">
        <v>139</v>
      </c>
      <c r="AJ42" s="25" t="s">
        <v>43</v>
      </c>
      <c r="AK42" s="25"/>
      <c r="AL42" s="29"/>
      <c r="AM42" s="13"/>
    </row>
    <row r="43" spans="1:39" s="8" customFormat="1" ht="63" customHeight="1">
      <c r="A43" s="22">
        <v>2</v>
      </c>
      <c r="B43" s="130" t="s">
        <v>70</v>
      </c>
      <c r="C43" s="22" t="s">
        <v>195</v>
      </c>
      <c r="D43" s="22">
        <v>2022</v>
      </c>
      <c r="E43" s="23">
        <v>3</v>
      </c>
      <c r="F43" s="23">
        <v>3</v>
      </c>
      <c r="G43" s="24"/>
      <c r="H43" s="23" t="s">
        <v>116</v>
      </c>
      <c r="I43" s="23" t="s">
        <v>138</v>
      </c>
      <c r="J43" s="22"/>
      <c r="K43" s="22"/>
      <c r="L43" s="26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>
        <v>3</v>
      </c>
      <c r="Y43" s="27"/>
      <c r="Z43" s="27"/>
      <c r="AA43" s="114">
        <v>0</v>
      </c>
      <c r="AB43" s="27"/>
      <c r="AC43" s="27"/>
      <c r="AD43" s="27"/>
      <c r="AE43" s="27"/>
      <c r="AF43" s="120">
        <v>660000</v>
      </c>
      <c r="AG43" s="120">
        <f>+X43*AF43</f>
        <v>1980000</v>
      </c>
      <c r="AH43" s="23" t="s">
        <v>197</v>
      </c>
      <c r="AI43" s="25" t="s">
        <v>139</v>
      </c>
      <c r="AJ43" s="25" t="s">
        <v>43</v>
      </c>
      <c r="AK43" s="25"/>
      <c r="AL43" s="29"/>
      <c r="AM43" s="13"/>
    </row>
    <row r="44" spans="1:39" s="8" customFormat="1" ht="63" customHeight="1">
      <c r="A44" s="22">
        <v>3</v>
      </c>
      <c r="B44" s="130" t="s">
        <v>69</v>
      </c>
      <c r="C44" s="22" t="s">
        <v>196</v>
      </c>
      <c r="D44" s="22">
        <v>2022</v>
      </c>
      <c r="E44" s="23">
        <v>1</v>
      </c>
      <c r="F44" s="23">
        <v>1</v>
      </c>
      <c r="G44" s="19"/>
      <c r="H44" s="23" t="s">
        <v>116</v>
      </c>
      <c r="I44" s="23" t="s">
        <v>139</v>
      </c>
      <c r="J44" s="168"/>
      <c r="K44" s="168"/>
      <c r="L44" s="18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>
        <v>1</v>
      </c>
      <c r="Y44" s="27"/>
      <c r="Z44" s="27"/>
      <c r="AA44" s="113">
        <v>0</v>
      </c>
      <c r="AB44" s="27"/>
      <c r="AC44" s="27"/>
      <c r="AD44" s="27"/>
      <c r="AE44" s="27"/>
      <c r="AF44" s="144">
        <v>3280000</v>
      </c>
      <c r="AG44" s="144">
        <v>3280000</v>
      </c>
      <c r="AH44" s="23" t="s">
        <v>197</v>
      </c>
      <c r="AI44" s="25" t="s">
        <v>139</v>
      </c>
      <c r="AJ44" s="25" t="s">
        <v>43</v>
      </c>
      <c r="AK44" s="25"/>
      <c r="AL44" s="29"/>
      <c r="AM44" s="13"/>
    </row>
    <row r="45" spans="1:39" s="8" customFormat="1" ht="27" customHeight="1">
      <c r="A45" s="25">
        <v>4</v>
      </c>
      <c r="B45" s="27" t="s">
        <v>127</v>
      </c>
      <c r="C45" s="25"/>
      <c r="D45" s="22">
        <v>2016</v>
      </c>
      <c r="E45" s="25">
        <v>1</v>
      </c>
      <c r="F45" s="25">
        <v>0</v>
      </c>
      <c r="G45" s="25">
        <f>H45+I45</f>
        <v>8000000</v>
      </c>
      <c r="H45" s="25">
        <v>8000000</v>
      </c>
      <c r="I45" s="25"/>
      <c r="J45" s="25"/>
      <c r="K45" s="25"/>
      <c r="L45" s="25"/>
      <c r="M45" s="25"/>
      <c r="N45" s="25"/>
      <c r="O45" s="25"/>
      <c r="P45" s="25"/>
      <c r="Q45" s="25"/>
      <c r="R45" s="25" t="e">
        <f>ROUND(#REF!*#REF!,0)</f>
        <v>#REF!</v>
      </c>
      <c r="S45" s="25" t="e">
        <f>ROUND(#REF!*#REF!,0)</f>
        <v>#REF!</v>
      </c>
      <c r="T45" s="25" t="e">
        <f>ROUND(#REF!*#REF!,0)</f>
        <v>#REF!</v>
      </c>
      <c r="U45" s="25" t="e">
        <f>ROUND(#REF!*#REF!,0)</f>
        <v>#REF!</v>
      </c>
      <c r="V45" s="25" t="e">
        <f>M45+N45+O45+P45+SUM(Q45:T45)+U45</f>
        <v>#REF!</v>
      </c>
      <c r="W45" s="25" t="e">
        <f>G45-V45</f>
        <v>#REF!</v>
      </c>
      <c r="X45" s="25">
        <v>1</v>
      </c>
      <c r="Y45" s="27">
        <f>G45</f>
        <v>8000000</v>
      </c>
      <c r="Z45" s="27">
        <v>0</v>
      </c>
      <c r="AA45" s="114">
        <v>0</v>
      </c>
      <c r="AB45" s="27">
        <f>Y45-G45</f>
        <v>0</v>
      </c>
      <c r="AC45" s="27">
        <f>F45-Z45</f>
        <v>0</v>
      </c>
      <c r="AD45" s="27">
        <v>0.2</v>
      </c>
      <c r="AE45" s="27" t="s">
        <v>44</v>
      </c>
      <c r="AF45" s="120">
        <v>7050000</v>
      </c>
      <c r="AG45" s="120">
        <v>7050000</v>
      </c>
      <c r="AH45" s="23" t="s">
        <v>197</v>
      </c>
      <c r="AI45" s="25" t="s">
        <v>139</v>
      </c>
      <c r="AJ45" s="25" t="s">
        <v>43</v>
      </c>
      <c r="AK45" s="25" t="s">
        <v>125</v>
      </c>
      <c r="AL45" s="29"/>
      <c r="AM45" s="13"/>
    </row>
    <row r="46" spans="1:39" s="133" customFormat="1" ht="27" customHeight="1">
      <c r="A46" s="22">
        <v>5</v>
      </c>
      <c r="B46" s="130" t="s">
        <v>124</v>
      </c>
      <c r="C46" s="22"/>
      <c r="D46" s="22"/>
      <c r="E46" s="23">
        <v>1</v>
      </c>
      <c r="F46" s="23"/>
      <c r="G46" s="19"/>
      <c r="H46" s="23"/>
      <c r="I46" s="23"/>
      <c r="J46" s="168"/>
      <c r="K46" s="168"/>
      <c r="L46" s="18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>
        <v>1</v>
      </c>
      <c r="Y46" s="27"/>
      <c r="Z46" s="27"/>
      <c r="AA46" s="114">
        <v>0</v>
      </c>
      <c r="AB46" s="27"/>
      <c r="AC46" s="27"/>
      <c r="AD46" s="27"/>
      <c r="AE46" s="27"/>
      <c r="AF46" s="120"/>
      <c r="AG46" s="120"/>
      <c r="AH46" s="23" t="s">
        <v>197</v>
      </c>
      <c r="AI46" s="25" t="s">
        <v>139</v>
      </c>
      <c r="AJ46" s="25" t="s">
        <v>43</v>
      </c>
      <c r="AK46" s="25" t="s">
        <v>136</v>
      </c>
      <c r="AL46" s="29"/>
      <c r="AM46" s="132"/>
    </row>
    <row r="47" spans="1:39" s="133" customFormat="1" ht="27" customHeight="1">
      <c r="A47" s="22">
        <v>5</v>
      </c>
      <c r="B47" s="130" t="s">
        <v>126</v>
      </c>
      <c r="C47" s="22"/>
      <c r="D47" s="22">
        <v>2005</v>
      </c>
      <c r="E47" s="23">
        <v>8</v>
      </c>
      <c r="F47" s="23"/>
      <c r="G47" s="19"/>
      <c r="H47" s="23"/>
      <c r="I47" s="23"/>
      <c r="J47" s="168"/>
      <c r="K47" s="168"/>
      <c r="L47" s="18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>
        <v>8</v>
      </c>
      <c r="Y47" s="27"/>
      <c r="Z47" s="27"/>
      <c r="AA47" s="114">
        <v>0</v>
      </c>
      <c r="AB47" s="27"/>
      <c r="AC47" s="27"/>
      <c r="AD47" s="27"/>
      <c r="AE47" s="27"/>
      <c r="AF47" s="120"/>
      <c r="AG47" s="120"/>
      <c r="AH47" s="23" t="s">
        <v>197</v>
      </c>
      <c r="AI47" s="25" t="s">
        <v>139</v>
      </c>
      <c r="AJ47" s="25" t="s">
        <v>43</v>
      </c>
      <c r="AK47" s="25" t="s">
        <v>136</v>
      </c>
      <c r="AL47" s="29"/>
      <c r="AM47" s="132"/>
    </row>
    <row r="48" spans="1:39" s="133" customFormat="1" ht="27" customHeight="1">
      <c r="A48" s="22">
        <v>6</v>
      </c>
      <c r="B48" s="130" t="s">
        <v>128</v>
      </c>
      <c r="C48" s="22"/>
      <c r="D48" s="22"/>
      <c r="E48" s="23">
        <v>1</v>
      </c>
      <c r="F48" s="23"/>
      <c r="G48" s="19"/>
      <c r="H48" s="23"/>
      <c r="I48" s="23"/>
      <c r="J48" s="168"/>
      <c r="K48" s="168"/>
      <c r="L48" s="18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>
        <v>1</v>
      </c>
      <c r="Y48" s="27"/>
      <c r="Z48" s="27"/>
      <c r="AA48" s="114">
        <v>0</v>
      </c>
      <c r="AB48" s="27"/>
      <c r="AC48" s="27"/>
      <c r="AD48" s="27"/>
      <c r="AE48" s="27"/>
      <c r="AF48" s="120"/>
      <c r="AG48" s="120"/>
      <c r="AH48" s="23" t="s">
        <v>197</v>
      </c>
      <c r="AI48" s="25" t="s">
        <v>139</v>
      </c>
      <c r="AJ48" s="25" t="s">
        <v>43</v>
      </c>
      <c r="AK48" s="25" t="s">
        <v>136</v>
      </c>
      <c r="AL48" s="29"/>
      <c r="AM48" s="132"/>
    </row>
    <row r="49" spans="1:39" s="133" customFormat="1" ht="27" customHeight="1">
      <c r="A49" s="22">
        <v>7</v>
      </c>
      <c r="B49" s="130" t="s">
        <v>234</v>
      </c>
      <c r="C49" s="137" t="s">
        <v>262</v>
      </c>
      <c r="D49" s="137">
        <v>2001</v>
      </c>
      <c r="E49" s="23">
        <v>0</v>
      </c>
      <c r="F49" s="23"/>
      <c r="G49" s="19"/>
      <c r="H49" s="23"/>
      <c r="I49" s="23"/>
      <c r="J49" s="168"/>
      <c r="K49" s="168"/>
      <c r="L49" s="18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>
        <v>1</v>
      </c>
      <c r="Y49" s="27"/>
      <c r="Z49" s="27"/>
      <c r="AA49" s="114" t="s">
        <v>220</v>
      </c>
      <c r="AB49" s="27"/>
      <c r="AC49" s="27"/>
      <c r="AD49" s="27"/>
      <c r="AE49" s="27"/>
      <c r="AF49" s="120">
        <v>1540000</v>
      </c>
      <c r="AG49" s="120">
        <v>1540000</v>
      </c>
      <c r="AH49" s="23"/>
      <c r="AI49" s="25"/>
      <c r="AJ49" s="25"/>
      <c r="AK49" s="25" t="s">
        <v>231</v>
      </c>
      <c r="AL49" s="29" t="s">
        <v>232</v>
      </c>
      <c r="AM49" s="132"/>
    </row>
    <row r="50" spans="1:39" s="133" customFormat="1" ht="66.75" customHeight="1">
      <c r="A50" s="22">
        <v>8</v>
      </c>
      <c r="B50" s="130" t="s">
        <v>235</v>
      </c>
      <c r="C50" s="137" t="s">
        <v>263</v>
      </c>
      <c r="D50" s="22"/>
      <c r="E50" s="23">
        <v>0</v>
      </c>
      <c r="F50" s="23"/>
      <c r="G50" s="19"/>
      <c r="H50" s="23"/>
      <c r="I50" s="23"/>
      <c r="J50" s="168"/>
      <c r="K50" s="168"/>
      <c r="L50" s="18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>
        <v>1</v>
      </c>
      <c r="Y50" s="27"/>
      <c r="Z50" s="27"/>
      <c r="AA50" s="114" t="s">
        <v>220</v>
      </c>
      <c r="AB50" s="27"/>
      <c r="AC50" s="27"/>
      <c r="AD50" s="27"/>
      <c r="AE50" s="27"/>
      <c r="AF50" s="139"/>
      <c r="AG50" s="139"/>
      <c r="AH50" s="23"/>
      <c r="AI50" s="25"/>
      <c r="AJ50" s="25"/>
      <c r="AK50" s="25" t="s">
        <v>231</v>
      </c>
      <c r="AL50" s="29" t="s">
        <v>238</v>
      </c>
      <c r="AM50" s="132"/>
    </row>
    <row r="51" spans="1:39" s="21" customFormat="1" ht="29.25" customHeight="1">
      <c r="A51" s="168" t="s">
        <v>152</v>
      </c>
      <c r="B51" s="18" t="s">
        <v>140</v>
      </c>
      <c r="C51" s="22"/>
      <c r="D51" s="22"/>
      <c r="E51" s="22"/>
      <c r="F51" s="22"/>
      <c r="G51" s="24"/>
      <c r="H51" s="23"/>
      <c r="I51" s="23"/>
      <c r="J51" s="22"/>
      <c r="K51" s="22"/>
      <c r="L51" s="18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27"/>
      <c r="Z51" s="127"/>
      <c r="AA51" s="140"/>
      <c r="AB51" s="127"/>
      <c r="AC51" s="127"/>
      <c r="AD51" s="127"/>
      <c r="AE51" s="127"/>
      <c r="AF51" s="128"/>
      <c r="AG51" s="128"/>
      <c r="AH51" s="170"/>
      <c r="AI51" s="170"/>
      <c r="AJ51" s="170"/>
      <c r="AK51" s="170"/>
      <c r="AL51" s="129"/>
      <c r="AM51" s="20"/>
    </row>
    <row r="52" spans="1:39" s="8" customFormat="1" ht="61.5" customHeight="1">
      <c r="A52" s="22">
        <v>1</v>
      </c>
      <c r="B52" s="130" t="s">
        <v>66</v>
      </c>
      <c r="C52" s="23" t="s">
        <v>218</v>
      </c>
      <c r="D52" s="22">
        <v>2022</v>
      </c>
      <c r="E52" s="23">
        <v>2</v>
      </c>
      <c r="F52" s="23">
        <v>2</v>
      </c>
      <c r="G52" s="24"/>
      <c r="H52" s="23" t="s">
        <v>116</v>
      </c>
      <c r="I52" s="23" t="s">
        <v>141</v>
      </c>
      <c r="J52" s="22"/>
      <c r="K52" s="22"/>
      <c r="L52" s="18"/>
      <c r="M52" s="25">
        <v>50000000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f>M52+N52+O52+P52+SUM(Q52:T52)+U52</f>
        <v>50000000</v>
      </c>
      <c r="W52" s="25">
        <f>G52-V52</f>
        <v>-50000000</v>
      </c>
      <c r="X52" s="25">
        <v>3</v>
      </c>
      <c r="Y52" s="27">
        <f>G52</f>
        <v>0</v>
      </c>
      <c r="Z52" s="27">
        <v>0</v>
      </c>
      <c r="AA52" s="113" t="s">
        <v>220</v>
      </c>
      <c r="AB52" s="27">
        <f>Y52-G52</f>
        <v>0</v>
      </c>
      <c r="AC52" s="27">
        <f>F52-Z52</f>
        <v>2</v>
      </c>
      <c r="AD52" s="27">
        <v>0.125</v>
      </c>
      <c r="AE52" s="27" t="s">
        <v>42</v>
      </c>
      <c r="AF52" s="144">
        <v>2500000</v>
      </c>
      <c r="AG52" s="120">
        <f>+X52*AF52</f>
        <v>7500000</v>
      </c>
      <c r="AH52" s="23" t="s">
        <v>197</v>
      </c>
      <c r="AI52" s="25" t="s">
        <v>140</v>
      </c>
      <c r="AJ52" s="25" t="s">
        <v>43</v>
      </c>
      <c r="AK52" s="25"/>
      <c r="AL52" s="29" t="s">
        <v>219</v>
      </c>
      <c r="AM52" s="13"/>
    </row>
    <row r="53" spans="1:39" s="8" customFormat="1" ht="61.5" customHeight="1">
      <c r="A53" s="22">
        <v>2</v>
      </c>
      <c r="B53" s="130" t="s">
        <v>70</v>
      </c>
      <c r="C53" s="22" t="s">
        <v>166</v>
      </c>
      <c r="D53" s="22">
        <v>2022</v>
      </c>
      <c r="E53" s="23">
        <v>2</v>
      </c>
      <c r="F53" s="23">
        <v>2</v>
      </c>
      <c r="G53" s="28"/>
      <c r="H53" s="23" t="s">
        <v>116</v>
      </c>
      <c r="I53" s="23" t="s">
        <v>141</v>
      </c>
      <c r="J53" s="22"/>
      <c r="K53" s="22"/>
      <c r="L53" s="18"/>
      <c r="M53" s="25"/>
      <c r="N53" s="25"/>
      <c r="O53" s="25"/>
      <c r="P53" s="25"/>
      <c r="Q53" s="25"/>
      <c r="R53" s="25" t="e">
        <f>ROUND(#REF!*#REF!,0)</f>
        <v>#REF!</v>
      </c>
      <c r="S53" s="25" t="e">
        <f>ROUND(#REF!*#REF!,0)</f>
        <v>#REF!</v>
      </c>
      <c r="T53" s="25"/>
      <c r="U53" s="25"/>
      <c r="V53" s="25" t="e">
        <f>M53+N53+O53+P53+SUM(Q53:T53)+U53</f>
        <v>#REF!</v>
      </c>
      <c r="W53" s="25"/>
      <c r="X53" s="25">
        <v>2</v>
      </c>
      <c r="Y53" s="27"/>
      <c r="Z53" s="27">
        <v>0</v>
      </c>
      <c r="AA53" s="113">
        <v>0</v>
      </c>
      <c r="AB53" s="27">
        <f>Y53-G53</f>
        <v>0</v>
      </c>
      <c r="AC53" s="27">
        <f>F53-Z53</f>
        <v>2</v>
      </c>
      <c r="AD53" s="27"/>
      <c r="AE53" s="27" t="s">
        <v>42</v>
      </c>
      <c r="AF53" s="120">
        <v>660000</v>
      </c>
      <c r="AG53" s="120">
        <f>+X53*AF53</f>
        <v>1320000</v>
      </c>
      <c r="AH53" s="23" t="s">
        <v>197</v>
      </c>
      <c r="AI53" s="25" t="s">
        <v>140</v>
      </c>
      <c r="AJ53" s="25" t="s">
        <v>43</v>
      </c>
      <c r="AK53" s="25"/>
      <c r="AL53" s="29"/>
      <c r="AM53" s="13"/>
    </row>
    <row r="54" spans="1:39" s="8" customFormat="1" ht="28.5" customHeight="1">
      <c r="A54" s="25">
        <v>3</v>
      </c>
      <c r="B54" s="27" t="s">
        <v>124</v>
      </c>
      <c r="C54" s="25"/>
      <c r="D54" s="22"/>
      <c r="E54" s="25">
        <v>1</v>
      </c>
      <c r="F54" s="25">
        <v>0</v>
      </c>
      <c r="G54" s="25">
        <f>H54+I54</f>
        <v>8000000</v>
      </c>
      <c r="H54" s="25">
        <v>8000000</v>
      </c>
      <c r="I54" s="25"/>
      <c r="J54" s="25"/>
      <c r="K54" s="25"/>
      <c r="L54" s="25"/>
      <c r="M54" s="25"/>
      <c r="N54" s="25"/>
      <c r="O54" s="25"/>
      <c r="P54" s="25"/>
      <c r="Q54" s="25"/>
      <c r="R54" s="25" t="e">
        <f>ROUND(#REF!*#REF!,0)</f>
        <v>#REF!</v>
      </c>
      <c r="S54" s="25" t="e">
        <f>ROUND(#REF!*#REF!,0)</f>
        <v>#REF!</v>
      </c>
      <c r="T54" s="25" t="e">
        <f>ROUND(#REF!*#REF!,0)</f>
        <v>#REF!</v>
      </c>
      <c r="U54" s="25" t="e">
        <f>ROUND(#REF!*#REF!,0)</f>
        <v>#REF!</v>
      </c>
      <c r="V54" s="25" t="e">
        <f>M54+N54+O54+P54+SUM(Q54:T54)+U54</f>
        <v>#REF!</v>
      </c>
      <c r="W54" s="25" t="e">
        <f>G54-V54</f>
        <v>#REF!</v>
      </c>
      <c r="X54" s="25">
        <v>1</v>
      </c>
      <c r="Y54" s="27">
        <f>G54</f>
        <v>8000000</v>
      </c>
      <c r="Z54" s="27">
        <v>0</v>
      </c>
      <c r="AA54" s="114">
        <v>0</v>
      </c>
      <c r="AB54" s="27">
        <f>Y54-G54</f>
        <v>0</v>
      </c>
      <c r="AC54" s="27">
        <f>F54-Z54</f>
        <v>0</v>
      </c>
      <c r="AD54" s="27">
        <v>0.2</v>
      </c>
      <c r="AE54" s="27" t="s">
        <v>44</v>
      </c>
      <c r="AF54" s="120"/>
      <c r="AG54" s="120"/>
      <c r="AH54" s="23" t="s">
        <v>197</v>
      </c>
      <c r="AI54" s="25" t="s">
        <v>140</v>
      </c>
      <c r="AJ54" s="25" t="s">
        <v>43</v>
      </c>
      <c r="AK54" s="25" t="s">
        <v>136</v>
      </c>
      <c r="AL54" s="29"/>
      <c r="AM54" s="13"/>
    </row>
    <row r="55" spans="1:39" s="8" customFormat="1" ht="28.5" customHeight="1">
      <c r="A55" s="25">
        <v>4</v>
      </c>
      <c r="B55" s="27" t="s">
        <v>126</v>
      </c>
      <c r="C55" s="25"/>
      <c r="D55" s="22">
        <v>2005</v>
      </c>
      <c r="E55" s="25">
        <v>7</v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>
        <v>7</v>
      </c>
      <c r="Y55" s="27"/>
      <c r="Z55" s="27"/>
      <c r="AA55" s="114">
        <v>0</v>
      </c>
      <c r="AB55" s="27"/>
      <c r="AC55" s="27"/>
      <c r="AD55" s="27"/>
      <c r="AE55" s="27"/>
      <c r="AF55" s="120"/>
      <c r="AG55" s="120"/>
      <c r="AH55" s="23" t="s">
        <v>197</v>
      </c>
      <c r="AI55" s="25" t="s">
        <v>140</v>
      </c>
      <c r="AJ55" s="25" t="s">
        <v>43</v>
      </c>
      <c r="AK55" s="25" t="s">
        <v>136</v>
      </c>
      <c r="AL55" s="29"/>
      <c r="AM55" s="13"/>
    </row>
    <row r="56" spans="1:39" s="8" customFormat="1" ht="28.5" customHeight="1">
      <c r="A56" s="25">
        <v>5</v>
      </c>
      <c r="B56" s="27" t="s">
        <v>143</v>
      </c>
      <c r="C56" s="25"/>
      <c r="D56" s="22"/>
      <c r="E56" s="25">
        <v>1</v>
      </c>
      <c r="F56" s="25">
        <v>0</v>
      </c>
      <c r="G56" s="25">
        <f>H56+I56</f>
        <v>11450000</v>
      </c>
      <c r="H56" s="25">
        <v>11450000</v>
      </c>
      <c r="I56" s="25"/>
      <c r="J56" s="25"/>
      <c r="K56" s="25"/>
      <c r="L56" s="25"/>
      <c r="M56" s="25"/>
      <c r="N56" s="25"/>
      <c r="O56" s="25"/>
      <c r="P56" s="25"/>
      <c r="Q56" s="25"/>
      <c r="R56" s="25" t="e">
        <f>ROUND(#REF!*#REF!,0)</f>
        <v>#REF!</v>
      </c>
      <c r="S56" s="25" t="e">
        <f>ROUND(#REF!*#REF!,0)</f>
        <v>#REF!</v>
      </c>
      <c r="T56" s="25" t="e">
        <f>ROUND(#REF!*#REF!,0)</f>
        <v>#REF!</v>
      </c>
      <c r="U56" s="25" t="e">
        <f>ROUND(#REF!*#REF!,0)</f>
        <v>#REF!</v>
      </c>
      <c r="V56" s="25" t="e">
        <f>M56+N56+O56+P56+SUM(Q56:T56)+U56</f>
        <v>#REF!</v>
      </c>
      <c r="W56" s="25" t="e">
        <f>G56-V56</f>
        <v>#REF!</v>
      </c>
      <c r="X56" s="25">
        <v>1</v>
      </c>
      <c r="Y56" s="27">
        <f>G56</f>
        <v>11450000</v>
      </c>
      <c r="Z56" s="27">
        <v>0</v>
      </c>
      <c r="AA56" s="113">
        <v>0</v>
      </c>
      <c r="AB56" s="27">
        <f>Y56-G56</f>
        <v>0</v>
      </c>
      <c r="AC56" s="27">
        <f>F56-Z56</f>
        <v>0</v>
      </c>
      <c r="AD56" s="27">
        <v>0.2</v>
      </c>
      <c r="AE56" s="27"/>
      <c r="AF56" s="120"/>
      <c r="AG56" s="120"/>
      <c r="AH56" s="23" t="s">
        <v>197</v>
      </c>
      <c r="AI56" s="25" t="s">
        <v>140</v>
      </c>
      <c r="AJ56" s="25" t="s">
        <v>43</v>
      </c>
      <c r="AK56" s="25" t="s">
        <v>136</v>
      </c>
      <c r="AL56" s="29"/>
      <c r="AM56" s="13"/>
    </row>
    <row r="57" spans="1:39" s="8" customFormat="1" ht="28.5" customHeight="1">
      <c r="A57" s="25">
        <v>6</v>
      </c>
      <c r="B57" s="27" t="s">
        <v>127</v>
      </c>
      <c r="C57" s="25"/>
      <c r="D57" s="22">
        <v>2016</v>
      </c>
      <c r="E57" s="25">
        <v>1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>
        <v>1</v>
      </c>
      <c r="Y57" s="27"/>
      <c r="Z57" s="27"/>
      <c r="AA57" s="114">
        <v>0</v>
      </c>
      <c r="AB57" s="27"/>
      <c r="AC57" s="27"/>
      <c r="AD57" s="27"/>
      <c r="AE57" s="27"/>
      <c r="AF57" s="120">
        <v>7050000</v>
      </c>
      <c r="AG57" s="120">
        <v>7050000</v>
      </c>
      <c r="AH57" s="23" t="s">
        <v>197</v>
      </c>
      <c r="AI57" s="25" t="s">
        <v>140</v>
      </c>
      <c r="AJ57" s="25" t="s">
        <v>43</v>
      </c>
      <c r="AK57" s="25" t="s">
        <v>136</v>
      </c>
      <c r="AL57" s="29"/>
      <c r="AM57" s="13"/>
    </row>
    <row r="58" spans="1:39" s="8" customFormat="1" ht="39" customHeight="1">
      <c r="A58" s="25">
        <v>7</v>
      </c>
      <c r="B58" s="27" t="s">
        <v>52</v>
      </c>
      <c r="C58" s="25"/>
      <c r="D58" s="22"/>
      <c r="E58" s="25">
        <v>1</v>
      </c>
      <c r="F58" s="25">
        <v>0</v>
      </c>
      <c r="G58" s="25">
        <f>H58+I58</f>
        <v>8000000</v>
      </c>
      <c r="H58" s="25">
        <v>8000000</v>
      </c>
      <c r="I58" s="25"/>
      <c r="J58" s="25"/>
      <c r="K58" s="25"/>
      <c r="L58" s="25"/>
      <c r="M58" s="25"/>
      <c r="N58" s="25"/>
      <c r="O58" s="25"/>
      <c r="P58" s="25"/>
      <c r="Q58" s="25"/>
      <c r="R58" s="25" t="e">
        <f>ROUND(#REF!*#REF!,0)</f>
        <v>#REF!</v>
      </c>
      <c r="S58" s="25" t="e">
        <f>ROUND(#REF!*#REF!,0)</f>
        <v>#REF!</v>
      </c>
      <c r="T58" s="25" t="e">
        <f>ROUND(#REF!*#REF!,0)</f>
        <v>#REF!</v>
      </c>
      <c r="U58" s="25" t="e">
        <f>ROUND(#REF!*#REF!,0)</f>
        <v>#REF!</v>
      </c>
      <c r="V58" s="25" t="e">
        <f>M58+N58+O58+P58+SUM(Q58:T58)+U58</f>
        <v>#REF!</v>
      </c>
      <c r="W58" s="25" t="e">
        <f>G58-V58</f>
        <v>#REF!</v>
      </c>
      <c r="X58" s="25">
        <v>1</v>
      </c>
      <c r="Y58" s="27">
        <f>G58</f>
        <v>8000000</v>
      </c>
      <c r="Z58" s="27">
        <v>0</v>
      </c>
      <c r="AA58" s="114">
        <v>0</v>
      </c>
      <c r="AB58" s="27">
        <f>Y58-G58</f>
        <v>0</v>
      </c>
      <c r="AC58" s="27">
        <f>F58-Z58</f>
        <v>0</v>
      </c>
      <c r="AD58" s="27">
        <v>0.2</v>
      </c>
      <c r="AE58" s="27" t="s">
        <v>44</v>
      </c>
      <c r="AF58" s="120"/>
      <c r="AG58" s="120"/>
      <c r="AH58" s="23" t="s">
        <v>197</v>
      </c>
      <c r="AI58" s="25" t="s">
        <v>140</v>
      </c>
      <c r="AJ58" s="25" t="s">
        <v>43</v>
      </c>
      <c r="AK58" s="25" t="s">
        <v>144</v>
      </c>
      <c r="AL58" s="29" t="s">
        <v>201</v>
      </c>
      <c r="AM58" s="13"/>
    </row>
    <row r="59" spans="1:39" s="8" customFormat="1" ht="39" customHeight="1">
      <c r="A59" s="25">
        <v>8</v>
      </c>
      <c r="B59" s="27" t="s">
        <v>222</v>
      </c>
      <c r="C59" s="25"/>
      <c r="D59" s="22"/>
      <c r="E59" s="25">
        <v>0</v>
      </c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>
        <v>1</v>
      </c>
      <c r="Y59" s="27"/>
      <c r="Z59" s="27"/>
      <c r="AA59" s="114" t="s">
        <v>220</v>
      </c>
      <c r="AB59" s="27"/>
      <c r="AC59" s="27"/>
      <c r="AD59" s="27"/>
      <c r="AE59" s="27"/>
      <c r="AF59" s="120"/>
      <c r="AG59" s="120"/>
      <c r="AH59" s="23" t="s">
        <v>197</v>
      </c>
      <c r="AI59" s="25" t="s">
        <v>140</v>
      </c>
      <c r="AJ59" s="25" t="s">
        <v>43</v>
      </c>
      <c r="AK59" s="25"/>
      <c r="AL59" s="29" t="s">
        <v>221</v>
      </c>
      <c r="AM59" s="13"/>
    </row>
    <row r="60" spans="1:39" s="8" customFormat="1" ht="39" customHeight="1">
      <c r="A60" s="25">
        <v>9</v>
      </c>
      <c r="B60" s="130" t="s">
        <v>235</v>
      </c>
      <c r="C60" s="137" t="s">
        <v>263</v>
      </c>
      <c r="D60" s="22"/>
      <c r="E60" s="23">
        <v>0</v>
      </c>
      <c r="F60" s="23"/>
      <c r="G60" s="19"/>
      <c r="H60" s="23"/>
      <c r="I60" s="23"/>
      <c r="J60" s="168"/>
      <c r="K60" s="168"/>
      <c r="L60" s="18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>
        <v>1</v>
      </c>
      <c r="Y60" s="27"/>
      <c r="Z60" s="27"/>
      <c r="AA60" s="114" t="s">
        <v>220</v>
      </c>
      <c r="AB60" s="27"/>
      <c r="AC60" s="27"/>
      <c r="AD60" s="27"/>
      <c r="AE60" s="27"/>
      <c r="AF60" s="120"/>
      <c r="AG60" s="120"/>
      <c r="AH60" s="23" t="s">
        <v>197</v>
      </c>
      <c r="AI60" s="25" t="s">
        <v>140</v>
      </c>
      <c r="AJ60" s="25" t="s">
        <v>43</v>
      </c>
      <c r="AK60" s="25" t="s">
        <v>231</v>
      </c>
      <c r="AL60" s="29" t="s">
        <v>232</v>
      </c>
      <c r="AM60" s="13"/>
    </row>
    <row r="61" spans="1:39" s="8" customFormat="1" ht="39" customHeight="1">
      <c r="A61" s="25">
        <v>10</v>
      </c>
      <c r="B61" s="130" t="s">
        <v>236</v>
      </c>
      <c r="C61" s="183" t="s">
        <v>259</v>
      </c>
      <c r="D61" s="183">
        <v>2009</v>
      </c>
      <c r="E61" s="23">
        <v>0</v>
      </c>
      <c r="F61" s="23"/>
      <c r="G61" s="19"/>
      <c r="H61" s="23"/>
      <c r="I61" s="23"/>
      <c r="J61" s="168"/>
      <c r="K61" s="168"/>
      <c r="L61" s="18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>
        <v>3</v>
      </c>
      <c r="Y61" s="27"/>
      <c r="Z61" s="27"/>
      <c r="AA61" s="114" t="s">
        <v>237</v>
      </c>
      <c r="AB61" s="27"/>
      <c r="AC61" s="27"/>
      <c r="AD61" s="27"/>
      <c r="AE61" s="27"/>
      <c r="AF61" s="120">
        <v>310000</v>
      </c>
      <c r="AG61" s="120">
        <v>930000</v>
      </c>
      <c r="AH61" s="23" t="s">
        <v>197</v>
      </c>
      <c r="AI61" s="25" t="s">
        <v>140</v>
      </c>
      <c r="AJ61" s="25" t="s">
        <v>43</v>
      </c>
      <c r="AK61" s="25" t="s">
        <v>231</v>
      </c>
      <c r="AL61" s="29" t="s">
        <v>232</v>
      </c>
      <c r="AM61" s="13"/>
    </row>
    <row r="62" spans="1:39" s="8" customFormat="1" ht="27.75" customHeight="1">
      <c r="A62" s="170" t="s">
        <v>153</v>
      </c>
      <c r="B62" s="127" t="s">
        <v>145</v>
      </c>
      <c r="C62" s="25"/>
      <c r="D62" s="22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7"/>
      <c r="Z62" s="27"/>
      <c r="AA62" s="138"/>
      <c r="AB62" s="27"/>
      <c r="AC62" s="27"/>
      <c r="AD62" s="27"/>
      <c r="AE62" s="27"/>
      <c r="AF62" s="120"/>
      <c r="AG62" s="120"/>
      <c r="AH62" s="23"/>
      <c r="AI62" s="25"/>
      <c r="AJ62" s="25"/>
      <c r="AK62" s="25"/>
      <c r="AL62" s="29"/>
      <c r="AM62" s="13"/>
    </row>
    <row r="63" spans="1:39" s="8" customFormat="1" ht="57.75" customHeight="1">
      <c r="A63" s="25">
        <v>1</v>
      </c>
      <c r="B63" s="27" t="s">
        <v>146</v>
      </c>
      <c r="C63" s="25"/>
      <c r="D63" s="22"/>
      <c r="E63" s="25">
        <v>2</v>
      </c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>
        <v>0</v>
      </c>
      <c r="Y63" s="27"/>
      <c r="Z63" s="27"/>
      <c r="AA63" s="114" t="s">
        <v>223</v>
      </c>
      <c r="AB63" s="27"/>
      <c r="AC63" s="27"/>
      <c r="AD63" s="27"/>
      <c r="AE63" s="27"/>
      <c r="AF63" s="120"/>
      <c r="AG63" s="120"/>
      <c r="AH63" s="23" t="s">
        <v>197</v>
      </c>
      <c r="AI63" s="25" t="s">
        <v>145</v>
      </c>
      <c r="AJ63" s="25" t="s">
        <v>43</v>
      </c>
      <c r="AK63" s="25" t="s">
        <v>136</v>
      </c>
      <c r="AL63" s="29" t="s">
        <v>224</v>
      </c>
      <c r="AM63" s="13"/>
    </row>
    <row r="64" spans="1:39" s="8" customFormat="1" ht="33" customHeight="1">
      <c r="A64" s="25">
        <v>2</v>
      </c>
      <c r="B64" s="27" t="s">
        <v>147</v>
      </c>
      <c r="C64" s="25"/>
      <c r="D64" s="22"/>
      <c r="E64" s="25">
        <v>1</v>
      </c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>
        <v>1</v>
      </c>
      <c r="Y64" s="27"/>
      <c r="Z64" s="27"/>
      <c r="AA64" s="113">
        <v>0</v>
      </c>
      <c r="AB64" s="27"/>
      <c r="AC64" s="27"/>
      <c r="AD64" s="27"/>
      <c r="AE64" s="27"/>
      <c r="AF64" s="120"/>
      <c r="AG64" s="120"/>
      <c r="AH64" s="23" t="s">
        <v>197</v>
      </c>
      <c r="AI64" s="25" t="s">
        <v>145</v>
      </c>
      <c r="AJ64" s="25" t="s">
        <v>43</v>
      </c>
      <c r="AK64" s="25" t="s">
        <v>136</v>
      </c>
      <c r="AL64" s="29"/>
      <c r="AM64" s="13"/>
    </row>
    <row r="65" spans="1:42" s="8" customFormat="1" ht="33" customHeight="1">
      <c r="A65" s="25">
        <v>3</v>
      </c>
      <c r="B65" s="27" t="s">
        <v>150</v>
      </c>
      <c r="C65" s="25"/>
      <c r="D65" s="22"/>
      <c r="E65" s="25">
        <v>6</v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>
        <v>0</v>
      </c>
      <c r="Y65" s="27"/>
      <c r="Z65" s="27"/>
      <c r="AA65" s="114" t="s">
        <v>225</v>
      </c>
      <c r="AB65" s="27"/>
      <c r="AC65" s="27"/>
      <c r="AD65" s="27"/>
      <c r="AE65" s="27"/>
      <c r="AF65" s="120"/>
      <c r="AG65" s="120"/>
      <c r="AH65" s="23" t="s">
        <v>197</v>
      </c>
      <c r="AI65" s="25" t="s">
        <v>145</v>
      </c>
      <c r="AJ65" s="25" t="s">
        <v>43</v>
      </c>
      <c r="AK65" s="25" t="s">
        <v>207</v>
      </c>
      <c r="AL65" s="29" t="s">
        <v>226</v>
      </c>
      <c r="AM65" s="13"/>
    </row>
    <row r="66" spans="1:42" s="8" customFormat="1" ht="25.5" customHeight="1">
      <c r="A66" s="170" t="s">
        <v>154</v>
      </c>
      <c r="B66" s="127" t="s">
        <v>149</v>
      </c>
      <c r="C66" s="25"/>
      <c r="D66" s="22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7"/>
      <c r="Z66" s="27"/>
      <c r="AA66" s="138"/>
      <c r="AB66" s="27"/>
      <c r="AC66" s="27"/>
      <c r="AD66" s="27"/>
      <c r="AE66" s="27"/>
      <c r="AF66" s="120"/>
      <c r="AG66" s="120"/>
      <c r="AH66" s="23" t="s">
        <v>197</v>
      </c>
      <c r="AI66" s="25"/>
      <c r="AJ66" s="25"/>
      <c r="AK66" s="25"/>
      <c r="AL66" s="29"/>
      <c r="AM66" s="13"/>
    </row>
    <row r="67" spans="1:42" s="8" customFormat="1" ht="33" customHeight="1">
      <c r="A67" s="25">
        <v>1</v>
      </c>
      <c r="B67" s="27" t="s">
        <v>150</v>
      </c>
      <c r="C67" s="25"/>
      <c r="D67" s="22">
        <v>2015</v>
      </c>
      <c r="E67" s="25">
        <v>1</v>
      </c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>
        <v>6</v>
      </c>
      <c r="Y67" s="27"/>
      <c r="Z67" s="27"/>
      <c r="AA67" s="113" t="s">
        <v>277</v>
      </c>
      <c r="AB67" s="27"/>
      <c r="AC67" s="27"/>
      <c r="AD67" s="27"/>
      <c r="AE67" s="27"/>
      <c r="AF67" s="120"/>
      <c r="AG67" s="120"/>
      <c r="AH67" s="23" t="s">
        <v>197</v>
      </c>
      <c r="AI67" s="25" t="s">
        <v>149</v>
      </c>
      <c r="AJ67" s="25" t="s">
        <v>43</v>
      </c>
      <c r="AK67" s="25" t="s">
        <v>136</v>
      </c>
      <c r="AL67" s="29" t="s">
        <v>221</v>
      </c>
      <c r="AM67" s="13"/>
    </row>
    <row r="68" spans="1:42" s="8" customFormat="1" ht="33" customHeight="1">
      <c r="A68" s="25">
        <v>2</v>
      </c>
      <c r="B68" s="27" t="s">
        <v>150</v>
      </c>
      <c r="C68" s="25"/>
      <c r="D68" s="22">
        <v>2015</v>
      </c>
      <c r="E68" s="25">
        <v>1</v>
      </c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>
        <v>1</v>
      </c>
      <c r="Y68" s="27"/>
      <c r="Z68" s="27"/>
      <c r="AA68" s="113" t="s">
        <v>278</v>
      </c>
      <c r="AB68" s="27"/>
      <c r="AC68" s="27"/>
      <c r="AD68" s="27"/>
      <c r="AE68" s="27"/>
      <c r="AF68" s="120">
        <v>3700000</v>
      </c>
      <c r="AG68" s="120">
        <v>3700000</v>
      </c>
      <c r="AH68" s="23" t="s">
        <v>197</v>
      </c>
      <c r="AI68" s="25" t="s">
        <v>149</v>
      </c>
      <c r="AJ68" s="25" t="s">
        <v>43</v>
      </c>
      <c r="AK68" s="25" t="s">
        <v>136</v>
      </c>
      <c r="AL68" s="29" t="s">
        <v>221</v>
      </c>
      <c r="AM68" s="13"/>
    </row>
    <row r="69" spans="1:42" s="8" customFormat="1" ht="17.25" customHeight="1">
      <c r="A69" s="141" t="s">
        <v>39</v>
      </c>
      <c r="B69" s="27" t="s">
        <v>239</v>
      </c>
      <c r="C69" s="25"/>
      <c r="D69" s="22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7"/>
      <c r="Z69" s="27"/>
      <c r="AA69" s="113"/>
      <c r="AB69" s="27"/>
      <c r="AC69" s="27"/>
      <c r="AD69" s="27"/>
      <c r="AE69" s="27"/>
      <c r="AF69" s="120"/>
      <c r="AG69" s="120"/>
      <c r="AH69" s="23"/>
      <c r="AI69" s="25"/>
      <c r="AJ69" s="25"/>
      <c r="AK69" s="25"/>
      <c r="AL69" s="29"/>
    </row>
    <row r="70" spans="1:42" s="8" customFormat="1" ht="27.75" customHeight="1">
      <c r="A70" s="25">
        <v>1</v>
      </c>
      <c r="B70" s="180" t="s">
        <v>240</v>
      </c>
      <c r="C70" s="125" t="s">
        <v>241</v>
      </c>
      <c r="D70" s="125">
        <v>2017</v>
      </c>
      <c r="E70" s="25">
        <v>1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>
        <v>1</v>
      </c>
      <c r="Y70" s="27"/>
      <c r="Z70" s="27"/>
      <c r="AA70" s="113">
        <v>0</v>
      </c>
      <c r="AB70" s="27"/>
      <c r="AC70" s="27"/>
      <c r="AD70" s="27"/>
      <c r="AE70" s="27"/>
      <c r="AF70" s="126">
        <v>2910000</v>
      </c>
      <c r="AG70" s="126">
        <v>2910000</v>
      </c>
      <c r="AH70" s="23" t="s">
        <v>197</v>
      </c>
      <c r="AI70" s="25"/>
      <c r="AJ70" s="25" t="s">
        <v>104</v>
      </c>
      <c r="AK70" s="25" t="s">
        <v>231</v>
      </c>
      <c r="AL70" s="29" t="s">
        <v>264</v>
      </c>
    </row>
    <row r="71" spans="1:42" s="8" customFormat="1" ht="27.75" customHeight="1">
      <c r="A71" s="25">
        <v>2</v>
      </c>
      <c r="B71" s="180" t="s">
        <v>242</v>
      </c>
      <c r="C71" s="125" t="s">
        <v>243</v>
      </c>
      <c r="D71" s="125">
        <v>2015</v>
      </c>
      <c r="E71" s="25">
        <v>1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>
        <v>1</v>
      </c>
      <c r="Y71" s="27"/>
      <c r="Z71" s="27"/>
      <c r="AA71" s="113">
        <v>0</v>
      </c>
      <c r="AB71" s="27"/>
      <c r="AC71" s="27"/>
      <c r="AD71" s="27"/>
      <c r="AE71" s="27"/>
      <c r="AF71" s="126">
        <v>3080000</v>
      </c>
      <c r="AG71" s="126">
        <v>3080000</v>
      </c>
      <c r="AH71" s="23" t="s">
        <v>197</v>
      </c>
      <c r="AI71" s="25"/>
      <c r="AJ71" s="25" t="s">
        <v>104</v>
      </c>
      <c r="AK71" s="25" t="s">
        <v>231</v>
      </c>
      <c r="AL71" s="29" t="s">
        <v>264</v>
      </c>
    </row>
    <row r="72" spans="1:42" s="8" customFormat="1" ht="40.5" customHeight="1">
      <c r="A72" s="25">
        <v>3</v>
      </c>
      <c r="B72" s="180" t="s">
        <v>244</v>
      </c>
      <c r="C72" s="125" t="s">
        <v>245</v>
      </c>
      <c r="D72" s="125">
        <v>2005</v>
      </c>
      <c r="E72" s="25">
        <v>1</v>
      </c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>
        <v>1</v>
      </c>
      <c r="Y72" s="27"/>
      <c r="Z72" s="27"/>
      <c r="AA72" s="113">
        <v>0</v>
      </c>
      <c r="AB72" s="27"/>
      <c r="AC72" s="27"/>
      <c r="AD72" s="27"/>
      <c r="AE72" s="27"/>
      <c r="AF72" s="126">
        <v>7500000</v>
      </c>
      <c r="AG72" s="126">
        <v>7500000</v>
      </c>
      <c r="AH72" s="23" t="s">
        <v>197</v>
      </c>
      <c r="AI72" s="25"/>
      <c r="AJ72" s="25" t="s">
        <v>104</v>
      </c>
      <c r="AK72" s="25" t="s">
        <v>231</v>
      </c>
      <c r="AL72" s="29" t="s">
        <v>266</v>
      </c>
    </row>
    <row r="73" spans="1:42" s="8" customFormat="1" ht="40.5" customHeight="1">
      <c r="A73" s="25">
        <v>4</v>
      </c>
      <c r="B73" s="180" t="s">
        <v>246</v>
      </c>
      <c r="C73" s="125" t="s">
        <v>247</v>
      </c>
      <c r="D73" s="125">
        <v>2005</v>
      </c>
      <c r="E73" s="25">
        <v>1</v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>
        <v>1</v>
      </c>
      <c r="Y73" s="27"/>
      <c r="Z73" s="27"/>
      <c r="AA73" s="113">
        <v>0</v>
      </c>
      <c r="AB73" s="27"/>
      <c r="AC73" s="27"/>
      <c r="AD73" s="27"/>
      <c r="AE73" s="27"/>
      <c r="AF73" s="126">
        <v>2200100</v>
      </c>
      <c r="AG73" s="126">
        <v>2200100</v>
      </c>
      <c r="AH73" s="23" t="s">
        <v>197</v>
      </c>
      <c r="AI73" s="25"/>
      <c r="AJ73" s="25" t="s">
        <v>104</v>
      </c>
      <c r="AK73" s="25" t="s">
        <v>231</v>
      </c>
      <c r="AL73" s="29" t="s">
        <v>266</v>
      </c>
    </row>
    <row r="74" spans="1:42" s="8" customFormat="1" ht="40.5" customHeight="1">
      <c r="A74" s="25">
        <v>5</v>
      </c>
      <c r="B74" s="180" t="s">
        <v>248</v>
      </c>
      <c r="C74" s="125" t="s">
        <v>249</v>
      </c>
      <c r="D74" s="125">
        <v>2001</v>
      </c>
      <c r="E74" s="25">
        <v>1</v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>
        <v>1</v>
      </c>
      <c r="Y74" s="27"/>
      <c r="Z74" s="27"/>
      <c r="AA74" s="113">
        <v>0</v>
      </c>
      <c r="AB74" s="27"/>
      <c r="AC74" s="27"/>
      <c r="AD74" s="27"/>
      <c r="AE74" s="27"/>
      <c r="AF74" s="126">
        <v>2200000</v>
      </c>
      <c r="AG74" s="126">
        <v>2200000</v>
      </c>
      <c r="AH74" s="23" t="s">
        <v>197</v>
      </c>
      <c r="AI74" s="25"/>
      <c r="AJ74" s="25" t="s">
        <v>104</v>
      </c>
      <c r="AK74" s="25" t="s">
        <v>231</v>
      </c>
      <c r="AL74" s="29" t="s">
        <v>265</v>
      </c>
    </row>
    <row r="75" spans="1:42" s="8" customFormat="1" ht="40.5" customHeight="1">
      <c r="A75" s="25">
        <v>6</v>
      </c>
      <c r="B75" s="180" t="s">
        <v>250</v>
      </c>
      <c r="C75" s="125" t="s">
        <v>251</v>
      </c>
      <c r="D75" s="125">
        <v>2001</v>
      </c>
      <c r="E75" s="25">
        <v>12</v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>
        <v>12</v>
      </c>
      <c r="Y75" s="27"/>
      <c r="Z75" s="27"/>
      <c r="AA75" s="113" t="s">
        <v>254</v>
      </c>
      <c r="AB75" s="27"/>
      <c r="AC75" s="27"/>
      <c r="AD75" s="27"/>
      <c r="AE75" s="27"/>
      <c r="AF75" s="126">
        <v>280000</v>
      </c>
      <c r="AG75" s="126">
        <v>3360000</v>
      </c>
      <c r="AH75" s="23" t="s">
        <v>197</v>
      </c>
      <c r="AI75" s="25"/>
      <c r="AJ75" s="25" t="s">
        <v>104</v>
      </c>
      <c r="AK75" s="25" t="s">
        <v>231</v>
      </c>
      <c r="AL75" s="29" t="s">
        <v>264</v>
      </c>
    </row>
    <row r="76" spans="1:42" s="8" customFormat="1" ht="40.5" customHeight="1">
      <c r="A76" s="25">
        <v>7</v>
      </c>
      <c r="B76" s="180" t="s">
        <v>252</v>
      </c>
      <c r="C76" s="125" t="s">
        <v>253</v>
      </c>
      <c r="D76" s="125">
        <v>2020</v>
      </c>
      <c r="E76" s="25">
        <v>2</v>
      </c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>
        <v>2</v>
      </c>
      <c r="Y76" s="27"/>
      <c r="Z76" s="27"/>
      <c r="AA76" s="113" t="s">
        <v>254</v>
      </c>
      <c r="AB76" s="27"/>
      <c r="AC76" s="27"/>
      <c r="AD76" s="27"/>
      <c r="AE76" s="27"/>
      <c r="AF76" s="126">
        <v>500000</v>
      </c>
      <c r="AG76" s="126">
        <v>1000000</v>
      </c>
      <c r="AH76" s="23" t="s">
        <v>197</v>
      </c>
      <c r="AI76" s="25"/>
      <c r="AJ76" s="25" t="s">
        <v>104</v>
      </c>
      <c r="AK76" s="25" t="s">
        <v>231</v>
      </c>
      <c r="AL76" s="29" t="s">
        <v>264</v>
      </c>
    </row>
    <row r="77" spans="1:42" s="8" customFormat="1" ht="40.5" customHeight="1">
      <c r="A77" s="25">
        <v>8</v>
      </c>
      <c r="B77" s="180" t="s">
        <v>255</v>
      </c>
      <c r="C77" s="125" t="s">
        <v>256</v>
      </c>
      <c r="D77" s="125">
        <v>2013</v>
      </c>
      <c r="E77" s="25">
        <v>1</v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>
        <v>1</v>
      </c>
      <c r="Y77" s="27"/>
      <c r="Z77" s="27"/>
      <c r="AA77" s="113">
        <v>0</v>
      </c>
      <c r="AB77" s="27"/>
      <c r="AC77" s="27"/>
      <c r="AD77" s="27"/>
      <c r="AE77" s="27"/>
      <c r="AF77" s="126">
        <v>3300000</v>
      </c>
      <c r="AG77" s="126">
        <v>3300000</v>
      </c>
      <c r="AH77" s="23" t="s">
        <v>197</v>
      </c>
      <c r="AI77" s="25"/>
      <c r="AJ77" s="25" t="s">
        <v>104</v>
      </c>
      <c r="AK77" s="25" t="s">
        <v>231</v>
      </c>
      <c r="AL77" s="29" t="s">
        <v>265</v>
      </c>
    </row>
    <row r="78" spans="1:42" s="8" customFormat="1" ht="40.5" customHeight="1">
      <c r="A78" s="25">
        <v>10</v>
      </c>
      <c r="B78" s="180" t="s">
        <v>236</v>
      </c>
      <c r="C78" s="125" t="s">
        <v>259</v>
      </c>
      <c r="D78" s="125">
        <v>2009</v>
      </c>
      <c r="E78" s="25">
        <v>12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>
        <v>12</v>
      </c>
      <c r="Y78" s="27"/>
      <c r="Z78" s="27"/>
      <c r="AA78" s="113" t="s">
        <v>254</v>
      </c>
      <c r="AB78" s="27"/>
      <c r="AC78" s="27"/>
      <c r="AD78" s="27"/>
      <c r="AE78" s="27"/>
      <c r="AF78" s="126">
        <v>310000</v>
      </c>
      <c r="AG78" s="126">
        <f>AF78*X78</f>
        <v>3720000</v>
      </c>
      <c r="AH78" s="23" t="s">
        <v>197</v>
      </c>
      <c r="AI78" s="25"/>
      <c r="AJ78" s="25" t="s">
        <v>104</v>
      </c>
      <c r="AK78" s="25" t="s">
        <v>231</v>
      </c>
      <c r="AL78" s="29" t="s">
        <v>264</v>
      </c>
    </row>
    <row r="79" spans="1:42" s="37" customFormat="1" ht="14.25">
      <c r="A79" s="151"/>
      <c r="B79" s="152" t="s">
        <v>280</v>
      </c>
      <c r="C79" s="153"/>
      <c r="D79" s="152"/>
      <c r="E79" s="151"/>
      <c r="F79" s="151"/>
      <c r="G79" s="154"/>
      <c r="H79" s="154"/>
      <c r="I79" s="154"/>
      <c r="J79" s="155"/>
      <c r="K79" s="155"/>
      <c r="L79" s="156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1"/>
      <c r="Z79" s="155"/>
      <c r="AA79" s="154"/>
      <c r="AB79" s="157"/>
      <c r="AC79" s="155"/>
      <c r="AD79" s="155"/>
      <c r="AE79" s="158"/>
      <c r="AF79" s="159"/>
      <c r="AG79" s="170">
        <f>SUM(AG26:AG78)</f>
        <v>131910100</v>
      </c>
      <c r="AH79" s="160"/>
      <c r="AI79" s="151"/>
      <c r="AJ79" s="151"/>
      <c r="AK79" s="161"/>
      <c r="AL79" s="162"/>
      <c r="AM79" s="163"/>
      <c r="AN79" s="164"/>
      <c r="AO79" s="165"/>
      <c r="AP79" s="164"/>
    </row>
    <row r="80" spans="1:42" s="31" customFormat="1" ht="14.25" customHeight="1">
      <c r="A80" s="30"/>
      <c r="G80" s="32"/>
      <c r="H80" s="32"/>
      <c r="I80" s="32"/>
      <c r="AA80" s="200"/>
      <c r="AB80" s="200"/>
      <c r="AC80" s="200"/>
      <c r="AD80" s="200"/>
      <c r="AE80" s="200"/>
      <c r="AF80" s="200"/>
      <c r="AG80" s="200"/>
      <c r="AH80" s="200"/>
      <c r="AI80" s="200"/>
      <c r="AJ80" s="200"/>
      <c r="AK80" s="200"/>
      <c r="AL80" s="200"/>
    </row>
    <row r="81" spans="1:39" s="21" customFormat="1" ht="13.5" customHeight="1">
      <c r="A81" s="172"/>
      <c r="E81" s="172"/>
      <c r="F81" s="33"/>
      <c r="K81" s="172"/>
      <c r="X81" s="172"/>
      <c r="AA81" s="107"/>
      <c r="AB81" s="34"/>
      <c r="AF81" s="142"/>
      <c r="AG81" s="142"/>
      <c r="AH81" s="172"/>
      <c r="AI81" s="190" t="s">
        <v>272</v>
      </c>
      <c r="AJ81" s="190"/>
      <c r="AK81" s="190"/>
      <c r="AL81" s="190"/>
    </row>
    <row r="82" spans="1:39" s="21" customFormat="1" ht="13.5" customHeight="1">
      <c r="A82" s="172"/>
      <c r="B82" s="21" t="s">
        <v>53</v>
      </c>
      <c r="C82" s="190" t="s">
        <v>114</v>
      </c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AA82" s="190" t="s">
        <v>54</v>
      </c>
      <c r="AB82" s="190"/>
      <c r="AC82" s="190"/>
      <c r="AD82" s="190"/>
      <c r="AE82" s="190"/>
      <c r="AF82" s="190"/>
      <c r="AG82" s="190"/>
      <c r="AH82" s="190"/>
      <c r="AI82" s="190"/>
      <c r="AJ82" s="190" t="s">
        <v>55</v>
      </c>
      <c r="AK82" s="190"/>
      <c r="AL82" s="190"/>
    </row>
    <row r="83" spans="1:39" s="21" customFormat="1" ht="18.75" customHeight="1">
      <c r="A83" s="172" t="s">
        <v>56</v>
      </c>
      <c r="B83" s="21" t="s">
        <v>112</v>
      </c>
      <c r="C83" s="8"/>
      <c r="E83" s="172"/>
      <c r="F83" s="33"/>
      <c r="K83" s="172"/>
      <c r="X83" s="172"/>
      <c r="AA83" s="107"/>
      <c r="AB83" s="34"/>
      <c r="AF83" s="142"/>
      <c r="AG83" s="142"/>
      <c r="AH83" s="172"/>
      <c r="AI83" s="172"/>
      <c r="AJ83" s="172"/>
      <c r="AK83" s="172"/>
      <c r="AL83" s="50"/>
    </row>
    <row r="84" spans="1:39" s="21" customFormat="1" ht="18.75" customHeight="1">
      <c r="A84" s="172" t="s">
        <v>56</v>
      </c>
      <c r="B84" s="21" t="s">
        <v>109</v>
      </c>
      <c r="C84" s="8"/>
      <c r="E84" s="172"/>
      <c r="F84" s="33"/>
      <c r="K84" s="172"/>
      <c r="X84" s="172"/>
      <c r="AA84" s="107"/>
      <c r="AB84" s="34"/>
      <c r="AF84" s="142"/>
      <c r="AG84" s="142"/>
      <c r="AH84" s="172"/>
      <c r="AI84" s="172"/>
      <c r="AJ84" s="172"/>
      <c r="AK84" s="172"/>
      <c r="AL84" s="50"/>
    </row>
    <row r="85" spans="1:39" s="21" customFormat="1" ht="18.75" customHeight="1">
      <c r="A85" s="172" t="s">
        <v>56</v>
      </c>
      <c r="B85" s="21" t="s">
        <v>215</v>
      </c>
      <c r="D85" s="8"/>
      <c r="E85" s="172"/>
      <c r="F85" s="33"/>
      <c r="K85" s="172"/>
      <c r="X85" s="172"/>
      <c r="AA85" s="107"/>
      <c r="AB85" s="35"/>
      <c r="AF85" s="142"/>
      <c r="AG85" s="142"/>
      <c r="AJ85" s="172"/>
      <c r="AK85" s="172"/>
      <c r="AL85" s="50"/>
    </row>
    <row r="86" spans="1:39" s="21" customFormat="1" ht="18.75" customHeight="1">
      <c r="A86" s="172" t="s">
        <v>56</v>
      </c>
      <c r="B86" s="21" t="s">
        <v>273</v>
      </c>
      <c r="C86" s="8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AD86" s="190"/>
      <c r="AE86" s="190"/>
      <c r="AF86" s="190"/>
      <c r="AG86" s="190"/>
      <c r="AH86" s="190"/>
      <c r="AI86" s="190"/>
      <c r="AJ86" s="190"/>
      <c r="AK86" s="190"/>
      <c r="AL86" s="190"/>
    </row>
    <row r="87" spans="1:39" s="21" customFormat="1" ht="20.25" customHeight="1">
      <c r="A87" s="172"/>
      <c r="C87" s="190" t="s">
        <v>165</v>
      </c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AA87" s="190" t="s">
        <v>271</v>
      </c>
      <c r="AB87" s="190"/>
      <c r="AC87" s="190"/>
      <c r="AD87" s="190"/>
      <c r="AE87" s="190"/>
      <c r="AF87" s="190"/>
      <c r="AG87" s="190"/>
      <c r="AH87" s="190"/>
      <c r="AI87" s="190"/>
      <c r="AJ87" s="190" t="s">
        <v>210</v>
      </c>
      <c r="AK87" s="190"/>
      <c r="AL87" s="190"/>
    </row>
    <row r="88" spans="1:39" s="21" customFormat="1" ht="15.75">
      <c r="A88" s="172"/>
      <c r="E88" s="172"/>
      <c r="F88" s="33"/>
      <c r="K88" s="172"/>
      <c r="X88" s="172"/>
      <c r="AA88" s="107"/>
      <c r="AB88" s="34"/>
      <c r="AF88" s="142"/>
      <c r="AG88" s="142"/>
      <c r="AH88" s="172"/>
      <c r="AI88" s="172"/>
      <c r="AJ88" s="172"/>
      <c r="AK88" s="172"/>
      <c r="AL88" s="50"/>
    </row>
    <row r="89" spans="1:39" s="21" customFormat="1" ht="15.75">
      <c r="A89" s="172"/>
      <c r="E89" s="172"/>
      <c r="F89" s="33"/>
      <c r="K89" s="172"/>
      <c r="X89" s="172"/>
      <c r="AA89" s="107"/>
      <c r="AB89" s="34"/>
      <c r="AF89" s="142"/>
      <c r="AG89" s="142"/>
      <c r="AH89" s="172"/>
      <c r="AI89" s="172"/>
      <c r="AJ89" s="172"/>
      <c r="AK89" s="172"/>
      <c r="AL89" s="50"/>
    </row>
    <row r="90" spans="1:39" s="37" customFormat="1" ht="14.25">
      <c r="A90" s="36"/>
      <c r="E90" s="36"/>
      <c r="F90" s="38"/>
      <c r="K90" s="36"/>
      <c r="X90" s="36"/>
      <c r="AA90" s="115"/>
      <c r="AB90" s="39"/>
      <c r="AF90" s="142"/>
      <c r="AG90" s="142"/>
      <c r="AH90" s="36"/>
      <c r="AI90" s="36"/>
      <c r="AJ90" s="36"/>
      <c r="AK90" s="36"/>
      <c r="AL90" s="51"/>
    </row>
    <row r="91" spans="1:39" s="37" customFormat="1" ht="14.25">
      <c r="A91" s="36"/>
      <c r="C91" s="40"/>
      <c r="D91" s="40"/>
      <c r="E91" s="41"/>
      <c r="F91" s="42"/>
      <c r="G91" s="40"/>
      <c r="H91" s="40"/>
      <c r="I91" s="40"/>
      <c r="J91" s="40"/>
      <c r="K91" s="41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1"/>
      <c r="Y91" s="40"/>
      <c r="Z91" s="40"/>
      <c r="AA91" s="115"/>
      <c r="AB91" s="39"/>
      <c r="AF91" s="142"/>
      <c r="AG91" s="142"/>
      <c r="AH91" s="36"/>
      <c r="AI91" s="36"/>
      <c r="AJ91" s="36"/>
      <c r="AK91" s="36"/>
      <c r="AL91" s="51"/>
    </row>
    <row r="92" spans="1:39" s="37" customFormat="1" ht="14.25">
      <c r="A92" s="36"/>
      <c r="E92" s="36"/>
      <c r="F92" s="38"/>
      <c r="K92" s="36"/>
      <c r="X92" s="36"/>
      <c r="AA92" s="115"/>
      <c r="AB92" s="39"/>
      <c r="AF92" s="142"/>
      <c r="AG92" s="142"/>
      <c r="AH92" s="36"/>
      <c r="AI92" s="36"/>
      <c r="AJ92" s="36"/>
      <c r="AK92" s="36"/>
      <c r="AL92" s="51"/>
    </row>
    <row r="93" spans="1:39" s="37" customFormat="1" ht="14.25">
      <c r="A93" s="36"/>
      <c r="E93" s="36"/>
      <c r="F93" s="38"/>
      <c r="K93" s="36"/>
      <c r="X93" s="36"/>
      <c r="AA93" s="115"/>
      <c r="AB93" s="39"/>
      <c r="AF93" s="142"/>
      <c r="AG93" s="142"/>
      <c r="AH93" s="36"/>
      <c r="AI93" s="36"/>
      <c r="AJ93" s="36"/>
      <c r="AK93" s="36"/>
      <c r="AL93" s="51"/>
    </row>
    <row r="94" spans="1:39" s="37" customFormat="1" ht="14.25">
      <c r="A94" s="36"/>
      <c r="E94" s="36"/>
      <c r="F94" s="38"/>
      <c r="K94" s="36"/>
      <c r="X94" s="36"/>
      <c r="AA94" s="115"/>
      <c r="AB94" s="39"/>
      <c r="AF94" s="142"/>
      <c r="AG94" s="142"/>
      <c r="AH94" s="36"/>
      <c r="AI94" s="36"/>
      <c r="AJ94" s="36"/>
      <c r="AK94" s="36"/>
      <c r="AL94" s="51"/>
    </row>
    <row r="95" spans="1:39" s="37" customFormat="1" ht="14.25">
      <c r="A95" s="36"/>
      <c r="E95" s="36"/>
      <c r="F95" s="38"/>
      <c r="K95" s="36"/>
      <c r="X95" s="36"/>
      <c r="AA95" s="115"/>
      <c r="AB95" s="39"/>
      <c r="AF95" s="142"/>
      <c r="AG95" s="142"/>
      <c r="AH95" s="36"/>
      <c r="AI95" s="36"/>
      <c r="AJ95" s="36"/>
      <c r="AK95" s="36"/>
      <c r="AL95" s="51"/>
    </row>
    <row r="96" spans="1:39">
      <c r="AA96" s="116"/>
      <c r="AB96" s="43"/>
      <c r="AM96" s="40"/>
    </row>
    <row r="97" spans="1:39" s="37" customFormat="1" ht="14.25">
      <c r="A97" s="36"/>
      <c r="E97" s="36"/>
      <c r="F97" s="38"/>
      <c r="K97" s="36"/>
      <c r="X97" s="36"/>
      <c r="AA97" s="115"/>
      <c r="AB97" s="39"/>
      <c r="AF97" s="142"/>
      <c r="AG97" s="142"/>
      <c r="AH97" s="36"/>
      <c r="AI97" s="36"/>
      <c r="AJ97" s="36"/>
      <c r="AK97" s="36"/>
      <c r="AL97" s="51"/>
    </row>
    <row r="98" spans="1:39">
      <c r="AA98" s="117"/>
      <c r="AM98" s="40"/>
    </row>
    <row r="99" spans="1:39">
      <c r="AA99" s="117"/>
      <c r="AM99" s="40"/>
    </row>
    <row r="100" spans="1:39">
      <c r="AA100" s="117"/>
      <c r="AM100" s="40"/>
    </row>
    <row r="101" spans="1:39" ht="15.75">
      <c r="A101" s="199" t="s">
        <v>204</v>
      </c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  <c r="AD101" s="199"/>
      <c r="AE101" s="199"/>
      <c r="AF101" s="199"/>
      <c r="AG101" s="199"/>
      <c r="AH101" s="199"/>
      <c r="AI101" s="199"/>
      <c r="AJ101" s="199"/>
      <c r="AK101" s="199"/>
      <c r="AL101" s="199"/>
      <c r="AM101" s="40"/>
    </row>
    <row r="103" spans="1:39" s="8" customFormat="1" ht="33" customHeight="1">
      <c r="A103" s="191" t="s">
        <v>5</v>
      </c>
      <c r="B103" s="195" t="s">
        <v>6</v>
      </c>
      <c r="C103" s="196" t="s">
        <v>7</v>
      </c>
      <c r="D103" s="196" t="s">
        <v>8</v>
      </c>
      <c r="E103" s="191" t="s">
        <v>47</v>
      </c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68"/>
      <c r="R103" s="168"/>
      <c r="S103" s="168"/>
      <c r="T103" s="168"/>
      <c r="U103" s="168"/>
      <c r="V103" s="168"/>
      <c r="W103" s="170"/>
      <c r="X103" s="204" t="s">
        <v>48</v>
      </c>
      <c r="Y103" s="203"/>
      <c r="Z103" s="203"/>
      <c r="AA103" s="204" t="s">
        <v>49</v>
      </c>
      <c r="AB103" s="203"/>
      <c r="AC103" s="203"/>
      <c r="AD103" s="191" t="s">
        <v>9</v>
      </c>
      <c r="AE103" s="191" t="s">
        <v>10</v>
      </c>
      <c r="AF103" s="123"/>
      <c r="AG103" s="123"/>
      <c r="AH103" s="191" t="s">
        <v>11</v>
      </c>
      <c r="AI103" s="191" t="s">
        <v>12</v>
      </c>
      <c r="AJ103" s="191" t="s">
        <v>13</v>
      </c>
      <c r="AK103" s="196" t="s">
        <v>51</v>
      </c>
      <c r="AL103" s="191" t="s">
        <v>14</v>
      </c>
      <c r="AM103" s="13"/>
    </row>
    <row r="104" spans="1:39" s="8" customFormat="1" ht="26.25" customHeight="1">
      <c r="A104" s="195"/>
      <c r="B104" s="195"/>
      <c r="C104" s="197"/>
      <c r="D104" s="198"/>
      <c r="E104" s="171" t="s">
        <v>50</v>
      </c>
      <c r="F104" s="14" t="s">
        <v>15</v>
      </c>
      <c r="G104" s="203" t="s">
        <v>16</v>
      </c>
      <c r="H104" s="203"/>
      <c r="I104" s="203"/>
      <c r="J104" s="170" t="s">
        <v>17</v>
      </c>
      <c r="K104" s="168" t="s">
        <v>18</v>
      </c>
      <c r="L104" s="170"/>
      <c r="M104" s="170" t="s">
        <v>17</v>
      </c>
      <c r="N104" s="170" t="s">
        <v>17</v>
      </c>
      <c r="O104" s="170" t="s">
        <v>17</v>
      </c>
      <c r="P104" s="170" t="s">
        <v>19</v>
      </c>
      <c r="Q104" s="170" t="s">
        <v>19</v>
      </c>
      <c r="R104" s="170" t="s">
        <v>19</v>
      </c>
      <c r="S104" s="170" t="s">
        <v>19</v>
      </c>
      <c r="T104" s="170" t="s">
        <v>19</v>
      </c>
      <c r="U104" s="170" t="s">
        <v>19</v>
      </c>
      <c r="V104" s="170" t="s">
        <v>20</v>
      </c>
      <c r="W104" s="170"/>
      <c r="X104" s="171" t="s">
        <v>50</v>
      </c>
      <c r="Y104" s="14" t="s">
        <v>21</v>
      </c>
      <c r="Z104" s="14" t="s">
        <v>22</v>
      </c>
      <c r="AA104" s="110" t="s">
        <v>50</v>
      </c>
      <c r="AB104" s="14" t="s">
        <v>21</v>
      </c>
      <c r="AC104" s="14" t="s">
        <v>23</v>
      </c>
      <c r="AD104" s="191"/>
      <c r="AE104" s="191"/>
      <c r="AF104" s="123"/>
      <c r="AG104" s="123"/>
      <c r="AH104" s="193"/>
      <c r="AI104" s="193"/>
      <c r="AJ104" s="195"/>
      <c r="AK104" s="197"/>
      <c r="AL104" s="192"/>
      <c r="AM104" s="13"/>
    </row>
    <row r="105" spans="1:39" s="8" customFormat="1" ht="33" customHeight="1">
      <c r="A105" s="25">
        <v>3</v>
      </c>
      <c r="B105" s="27" t="s">
        <v>148</v>
      </c>
      <c r="C105" s="25"/>
      <c r="D105" s="22"/>
      <c r="E105" s="25">
        <v>1</v>
      </c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>
        <v>1</v>
      </c>
      <c r="Y105" s="27"/>
      <c r="Z105" s="27"/>
      <c r="AA105" s="113">
        <v>0</v>
      </c>
      <c r="AB105" s="27"/>
      <c r="AC105" s="27"/>
      <c r="AD105" s="27"/>
      <c r="AE105" s="27"/>
      <c r="AF105" s="120"/>
      <c r="AG105" s="120"/>
      <c r="AH105" s="23" t="s">
        <v>197</v>
      </c>
      <c r="AI105" s="25" t="s">
        <v>145</v>
      </c>
      <c r="AJ105" s="44" t="s">
        <v>202</v>
      </c>
      <c r="AK105" s="25" t="s">
        <v>136</v>
      </c>
      <c r="AL105" s="29" t="s">
        <v>203</v>
      </c>
      <c r="AM105" s="13"/>
    </row>
    <row r="106" spans="1:39" s="8" customFormat="1" ht="31.5" customHeight="1">
      <c r="A106" s="25">
        <v>4</v>
      </c>
      <c r="B106" s="27" t="s">
        <v>146</v>
      </c>
      <c r="C106" s="25"/>
      <c r="D106" s="22"/>
      <c r="E106" s="25">
        <v>3</v>
      </c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>
        <v>3</v>
      </c>
      <c r="Y106" s="27"/>
      <c r="Z106" s="27"/>
      <c r="AA106" s="114">
        <v>0</v>
      </c>
      <c r="AB106" s="27"/>
      <c r="AC106" s="27"/>
      <c r="AD106" s="27"/>
      <c r="AE106" s="27"/>
      <c r="AF106" s="120"/>
      <c r="AG106" s="120"/>
      <c r="AH106" s="23" t="s">
        <v>197</v>
      </c>
      <c r="AI106" s="23" t="s">
        <v>144</v>
      </c>
      <c r="AJ106" s="25" t="s">
        <v>205</v>
      </c>
      <c r="AK106" s="25" t="s">
        <v>136</v>
      </c>
      <c r="AL106" s="29"/>
      <c r="AM106" s="13"/>
    </row>
    <row r="110" spans="1:39">
      <c r="B110" s="45"/>
    </row>
    <row r="111" spans="1:39" ht="15.75">
      <c r="A111" s="199" t="s">
        <v>206</v>
      </c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  <c r="AB111" s="199"/>
      <c r="AC111" s="199"/>
      <c r="AD111" s="199"/>
      <c r="AE111" s="199"/>
      <c r="AF111" s="199"/>
      <c r="AG111" s="199"/>
      <c r="AH111" s="199"/>
      <c r="AI111" s="199"/>
      <c r="AJ111" s="199"/>
      <c r="AK111" s="199"/>
      <c r="AL111" s="206"/>
    </row>
    <row r="113" spans="1:39" s="8" customFormat="1" ht="33" customHeight="1">
      <c r="A113" s="191" t="s">
        <v>5</v>
      </c>
      <c r="B113" s="195" t="s">
        <v>6</v>
      </c>
      <c r="C113" s="191" t="s">
        <v>7</v>
      </c>
      <c r="D113" s="191" t="s">
        <v>8</v>
      </c>
      <c r="E113" s="191" t="s">
        <v>47</v>
      </c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68"/>
      <c r="R113" s="168"/>
      <c r="S113" s="168"/>
      <c r="T113" s="168"/>
      <c r="U113" s="168"/>
      <c r="V113" s="168"/>
      <c r="W113" s="170"/>
      <c r="X113" s="204" t="s">
        <v>48</v>
      </c>
      <c r="Y113" s="203"/>
      <c r="Z113" s="203"/>
      <c r="AA113" s="204" t="s">
        <v>49</v>
      </c>
      <c r="AB113" s="203"/>
      <c r="AC113" s="203"/>
      <c r="AD113" s="191" t="s">
        <v>9</v>
      </c>
      <c r="AE113" s="191" t="s">
        <v>10</v>
      </c>
      <c r="AF113" s="123"/>
      <c r="AG113" s="123"/>
      <c r="AH113" s="191" t="s">
        <v>11</v>
      </c>
      <c r="AI113" s="191" t="s">
        <v>12</v>
      </c>
      <c r="AJ113" s="191" t="s">
        <v>13</v>
      </c>
      <c r="AK113" s="191" t="s">
        <v>51</v>
      </c>
      <c r="AL113" s="191" t="s">
        <v>14</v>
      </c>
      <c r="AM113" s="13"/>
    </row>
    <row r="114" spans="1:39" s="8" customFormat="1" ht="26.25" customHeight="1">
      <c r="A114" s="195"/>
      <c r="B114" s="195"/>
      <c r="C114" s="191"/>
      <c r="D114" s="195"/>
      <c r="E114" s="167" t="s">
        <v>50</v>
      </c>
      <c r="F114" s="169" t="s">
        <v>15</v>
      </c>
      <c r="G114" s="203" t="s">
        <v>16</v>
      </c>
      <c r="H114" s="203"/>
      <c r="I114" s="203"/>
      <c r="J114" s="170" t="s">
        <v>17</v>
      </c>
      <c r="K114" s="168" t="s">
        <v>18</v>
      </c>
      <c r="L114" s="170"/>
      <c r="M114" s="170" t="s">
        <v>17</v>
      </c>
      <c r="N114" s="170" t="s">
        <v>17</v>
      </c>
      <c r="O114" s="170" t="s">
        <v>17</v>
      </c>
      <c r="P114" s="170" t="s">
        <v>19</v>
      </c>
      <c r="Q114" s="170" t="s">
        <v>19</v>
      </c>
      <c r="R114" s="170" t="s">
        <v>19</v>
      </c>
      <c r="S114" s="170" t="s">
        <v>19</v>
      </c>
      <c r="T114" s="170" t="s">
        <v>19</v>
      </c>
      <c r="U114" s="170" t="s">
        <v>19</v>
      </c>
      <c r="V114" s="170" t="s">
        <v>20</v>
      </c>
      <c r="W114" s="170"/>
      <c r="X114" s="167" t="s">
        <v>50</v>
      </c>
      <c r="Y114" s="169" t="s">
        <v>21</v>
      </c>
      <c r="Z114" s="169" t="s">
        <v>22</v>
      </c>
      <c r="AA114" s="119" t="s">
        <v>50</v>
      </c>
      <c r="AB114" s="169" t="s">
        <v>21</v>
      </c>
      <c r="AC114" s="169" t="s">
        <v>23</v>
      </c>
      <c r="AD114" s="191"/>
      <c r="AE114" s="191"/>
      <c r="AF114" s="123"/>
      <c r="AG114" s="123"/>
      <c r="AH114" s="193"/>
      <c r="AI114" s="193"/>
      <c r="AJ114" s="195"/>
      <c r="AK114" s="191"/>
      <c r="AL114" s="192"/>
      <c r="AM114" s="13"/>
    </row>
    <row r="115" spans="1:39" s="8" customFormat="1" ht="26.25" customHeight="1">
      <c r="A115" s="22">
        <v>1</v>
      </c>
      <c r="B115" s="26" t="s">
        <v>155</v>
      </c>
      <c r="C115" s="47"/>
      <c r="D115" s="22">
        <v>2008</v>
      </c>
      <c r="E115" s="23">
        <v>1</v>
      </c>
      <c r="F115" s="25">
        <v>1</v>
      </c>
      <c r="G115" s="24"/>
      <c r="H115" s="23" t="s">
        <v>156</v>
      </c>
      <c r="I115" s="23" t="s">
        <v>157</v>
      </c>
      <c r="J115" s="22" t="s">
        <v>43</v>
      </c>
      <c r="K115" s="22"/>
      <c r="L115" s="191"/>
      <c r="M115" s="25"/>
      <c r="N115" s="25"/>
      <c r="O115" s="25"/>
      <c r="P115" s="25"/>
      <c r="Q115" s="25"/>
      <c r="R115" s="25" t="e">
        <f>ROUND(#REF!*#REF!,0)</f>
        <v>#REF!</v>
      </c>
      <c r="S115" s="25" t="e">
        <f>ROUND(#REF!*#REF!,0)</f>
        <v>#REF!</v>
      </c>
      <c r="T115" s="25" t="e">
        <f>ROUND(#REF!*#REF!,0)</f>
        <v>#REF!</v>
      </c>
      <c r="U115" s="25" t="e">
        <f>ROUND(#REF!*#REF!,0)</f>
        <v>#REF!</v>
      </c>
      <c r="V115" s="25" t="e">
        <f>M115+N115+O115+P115+SUM(Q115:T115)+U115</f>
        <v>#REF!</v>
      </c>
      <c r="W115" s="25" t="e">
        <f>G115-V115</f>
        <v>#REF!</v>
      </c>
      <c r="X115" s="23">
        <v>1</v>
      </c>
      <c r="Y115" s="27">
        <f>G115</f>
        <v>0</v>
      </c>
      <c r="Z115" s="27">
        <v>0</v>
      </c>
      <c r="AA115" s="113">
        <v>0</v>
      </c>
      <c r="AB115" s="27">
        <f>Y115-G115</f>
        <v>0</v>
      </c>
      <c r="AC115" s="27">
        <f>F115-Z115</f>
        <v>1</v>
      </c>
      <c r="AD115" s="27">
        <v>0.2</v>
      </c>
      <c r="AE115" s="27"/>
      <c r="AF115" s="120"/>
      <c r="AG115" s="120"/>
      <c r="AH115" s="23" t="s">
        <v>197</v>
      </c>
      <c r="AI115" s="23" t="s">
        <v>197</v>
      </c>
      <c r="AJ115" s="25" t="s">
        <v>104</v>
      </c>
      <c r="AK115" s="25" t="s">
        <v>136</v>
      </c>
      <c r="AL115" s="29" t="s">
        <v>164</v>
      </c>
      <c r="AM115" s="13"/>
    </row>
    <row r="116" spans="1:39" s="8" customFormat="1" ht="26.25" customHeight="1">
      <c r="A116" s="22">
        <v>2</v>
      </c>
      <c r="B116" s="26" t="s">
        <v>158</v>
      </c>
      <c r="C116" s="47"/>
      <c r="D116" s="22">
        <v>2009</v>
      </c>
      <c r="E116" s="23">
        <v>1</v>
      </c>
      <c r="F116" s="25">
        <v>1</v>
      </c>
      <c r="G116" s="24"/>
      <c r="H116" s="23" t="s">
        <v>116</v>
      </c>
      <c r="I116" s="23" t="s">
        <v>159</v>
      </c>
      <c r="J116" s="22" t="s">
        <v>43</v>
      </c>
      <c r="K116" s="22"/>
      <c r="L116" s="191"/>
      <c r="M116" s="25"/>
      <c r="N116" s="25"/>
      <c r="O116" s="25"/>
      <c r="P116" s="25"/>
      <c r="Q116" s="25"/>
      <c r="R116" s="25" t="e">
        <f>ROUND(#REF!*#REF!,0)</f>
        <v>#REF!</v>
      </c>
      <c r="S116" s="25" t="e">
        <f>ROUND(#REF!*#REF!,0)</f>
        <v>#REF!</v>
      </c>
      <c r="T116" s="25" t="e">
        <f>ROUND(#REF!*#REF!,0)</f>
        <v>#REF!</v>
      </c>
      <c r="U116" s="25" t="e">
        <f>ROUND(#REF!*#REF!,0)</f>
        <v>#REF!</v>
      </c>
      <c r="V116" s="25" t="e">
        <f>M116+N116+O116+P116+SUM(Q116:T116)+U116</f>
        <v>#REF!</v>
      </c>
      <c r="W116" s="25" t="e">
        <f>G116-V116</f>
        <v>#REF!</v>
      </c>
      <c r="X116" s="23">
        <v>1</v>
      </c>
      <c r="Y116" s="27">
        <f>G116</f>
        <v>0</v>
      </c>
      <c r="Z116" s="27">
        <v>0</v>
      </c>
      <c r="AA116" s="113">
        <v>0</v>
      </c>
      <c r="AB116" s="27">
        <f>Y116-G116</f>
        <v>0</v>
      </c>
      <c r="AC116" s="27">
        <f>F116-Z116</f>
        <v>1</v>
      </c>
      <c r="AD116" s="27">
        <v>0.2</v>
      </c>
      <c r="AE116" s="27"/>
      <c r="AF116" s="120"/>
      <c r="AG116" s="120"/>
      <c r="AH116" s="23" t="s">
        <v>197</v>
      </c>
      <c r="AI116" s="23" t="s">
        <v>197</v>
      </c>
      <c r="AJ116" s="25" t="s">
        <v>104</v>
      </c>
      <c r="AK116" s="25" t="s">
        <v>136</v>
      </c>
      <c r="AL116" s="29" t="s">
        <v>164</v>
      </c>
      <c r="AM116" s="13"/>
    </row>
    <row r="117" spans="1:39" s="8" customFormat="1" ht="26.25" customHeight="1">
      <c r="A117" s="22">
        <v>3</v>
      </c>
      <c r="B117" s="26" t="s">
        <v>160</v>
      </c>
      <c r="C117" s="22"/>
      <c r="D117" s="22"/>
      <c r="E117" s="22">
        <v>2</v>
      </c>
      <c r="F117" s="22">
        <v>2</v>
      </c>
      <c r="G117" s="28"/>
      <c r="H117" s="23" t="s">
        <v>116</v>
      </c>
      <c r="I117" s="23" t="s">
        <v>161</v>
      </c>
      <c r="J117" s="22" t="s">
        <v>43</v>
      </c>
      <c r="K117" s="22"/>
      <c r="L117" s="191"/>
      <c r="M117" s="25"/>
      <c r="N117" s="25"/>
      <c r="O117" s="25"/>
      <c r="P117" s="25"/>
      <c r="Q117" s="25"/>
      <c r="R117" s="25" t="e">
        <f>ROUND(#REF!*#REF!,0)</f>
        <v>#REF!</v>
      </c>
      <c r="S117" s="25" t="e">
        <f>ROUND(#REF!*#REF!,0)</f>
        <v>#REF!</v>
      </c>
      <c r="T117" s="25" t="e">
        <f>ROUND(#REF!*#REF!,0)</f>
        <v>#REF!</v>
      </c>
      <c r="U117" s="25" t="e">
        <f>ROUND(#REF!*#REF!,0)</f>
        <v>#REF!</v>
      </c>
      <c r="V117" s="25" t="e">
        <f>M117+N117+O117+P117+SUM(Q117:T117)+U117</f>
        <v>#REF!</v>
      </c>
      <c r="W117" s="25" t="e">
        <f>G117-V117</f>
        <v>#REF!</v>
      </c>
      <c r="X117" s="22">
        <v>2</v>
      </c>
      <c r="Y117" s="27">
        <f>G117</f>
        <v>0</v>
      </c>
      <c r="Z117" s="27">
        <v>5250000</v>
      </c>
      <c r="AA117" s="113">
        <v>0</v>
      </c>
      <c r="AB117" s="27">
        <f>Y117-G117</f>
        <v>0</v>
      </c>
      <c r="AC117" s="27">
        <f>F117-Z117</f>
        <v>-5249998</v>
      </c>
      <c r="AD117" s="27">
        <v>0.125</v>
      </c>
      <c r="AE117" s="27"/>
      <c r="AF117" s="120"/>
      <c r="AG117" s="120"/>
      <c r="AH117" s="23" t="s">
        <v>197</v>
      </c>
      <c r="AI117" s="23" t="s">
        <v>197</v>
      </c>
      <c r="AJ117" s="25" t="s">
        <v>104</v>
      </c>
      <c r="AK117" s="25" t="s">
        <v>136</v>
      </c>
      <c r="AL117" s="29" t="s">
        <v>164</v>
      </c>
      <c r="AM117" s="13"/>
    </row>
    <row r="118" spans="1:39" s="8" customFormat="1" ht="26.25" customHeight="1">
      <c r="A118" s="22">
        <v>4</v>
      </c>
      <c r="B118" s="26" t="s">
        <v>162</v>
      </c>
      <c r="C118" s="22"/>
      <c r="D118" s="22"/>
      <c r="E118" s="22">
        <v>3</v>
      </c>
      <c r="F118" s="22">
        <v>3</v>
      </c>
      <c r="G118" s="28"/>
      <c r="H118" s="23" t="s">
        <v>116</v>
      </c>
      <c r="I118" s="23" t="s">
        <v>163</v>
      </c>
      <c r="J118" s="22" t="s">
        <v>43</v>
      </c>
      <c r="K118" s="22"/>
      <c r="L118" s="191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2">
        <v>3</v>
      </c>
      <c r="Y118" s="27"/>
      <c r="Z118" s="27"/>
      <c r="AA118" s="113">
        <v>0</v>
      </c>
      <c r="AB118" s="27"/>
      <c r="AC118" s="27"/>
      <c r="AD118" s="27"/>
      <c r="AE118" s="27"/>
      <c r="AF118" s="120"/>
      <c r="AG118" s="120"/>
      <c r="AH118" s="23" t="s">
        <v>197</v>
      </c>
      <c r="AI118" s="23" t="s">
        <v>197</v>
      </c>
      <c r="AJ118" s="25" t="s">
        <v>104</v>
      </c>
      <c r="AK118" s="25" t="s">
        <v>136</v>
      </c>
      <c r="AL118" s="29" t="s">
        <v>164</v>
      </c>
      <c r="AM118" s="13"/>
    </row>
  </sheetData>
  <mergeCells count="76">
    <mergeCell ref="A111:AL111"/>
    <mergeCell ref="A113:A114"/>
    <mergeCell ref="B113:B114"/>
    <mergeCell ref="C113:C114"/>
    <mergeCell ref="D113:D114"/>
    <mergeCell ref="E113:P113"/>
    <mergeCell ref="X113:Z113"/>
    <mergeCell ref="AA113:AC113"/>
    <mergeCell ref="AD113:AD114"/>
    <mergeCell ref="AE113:AE114"/>
    <mergeCell ref="AH113:AH114"/>
    <mergeCell ref="AI113:AI114"/>
    <mergeCell ref="AJ113:AJ114"/>
    <mergeCell ref="AK113:AK114"/>
    <mergeCell ref="AL113:AL114"/>
    <mergeCell ref="G114:I114"/>
    <mergeCell ref="AI103:AI104"/>
    <mergeCell ref="AJ103:AJ104"/>
    <mergeCell ref="AK103:AK104"/>
    <mergeCell ref="AL103:AL104"/>
    <mergeCell ref="G104:I104"/>
    <mergeCell ref="X103:Z103"/>
    <mergeCell ref="AA103:AC103"/>
    <mergeCell ref="AD103:AD104"/>
    <mergeCell ref="AE103:AE104"/>
    <mergeCell ref="AH103:AH104"/>
    <mergeCell ref="A6:AL6"/>
    <mergeCell ref="A13:B13"/>
    <mergeCell ref="A2:X2"/>
    <mergeCell ref="G17:I17"/>
    <mergeCell ref="AJ87:AL87"/>
    <mergeCell ref="AJ82:AL82"/>
    <mergeCell ref="AI16:AI17"/>
    <mergeCell ref="X16:Z16"/>
    <mergeCell ref="AA16:AC16"/>
    <mergeCell ref="C87:X87"/>
    <mergeCell ref="A8:AL8"/>
    <mergeCell ref="A9:C9"/>
    <mergeCell ref="AA87:AI87"/>
    <mergeCell ref="A10:B10"/>
    <mergeCell ref="A11:B11"/>
    <mergeCell ref="A12:B12"/>
    <mergeCell ref="Z1:AL1"/>
    <mergeCell ref="Z2:AL2"/>
    <mergeCell ref="A3:AL3"/>
    <mergeCell ref="Z4:AL4"/>
    <mergeCell ref="A5:AL5"/>
    <mergeCell ref="A1:X1"/>
    <mergeCell ref="E16:P16"/>
    <mergeCell ref="AJ16:AJ17"/>
    <mergeCell ref="AK16:AK17"/>
    <mergeCell ref="AD16:AD17"/>
    <mergeCell ref="AA80:AL80"/>
    <mergeCell ref="AF16:AF17"/>
    <mergeCell ref="AG16:AG17"/>
    <mergeCell ref="L115:L118"/>
    <mergeCell ref="AL16:AL17"/>
    <mergeCell ref="AH16:AH17"/>
    <mergeCell ref="A14:B14"/>
    <mergeCell ref="A16:A17"/>
    <mergeCell ref="B16:B17"/>
    <mergeCell ref="C16:C17"/>
    <mergeCell ref="AE16:AE17"/>
    <mergeCell ref="D16:D17"/>
    <mergeCell ref="A101:AL101"/>
    <mergeCell ref="A103:A104"/>
    <mergeCell ref="B103:B104"/>
    <mergeCell ref="C103:C104"/>
    <mergeCell ref="D103:D104"/>
    <mergeCell ref="E103:P103"/>
    <mergeCell ref="AI81:AL81"/>
    <mergeCell ref="E86:AH86"/>
    <mergeCell ref="AI86:AJ86"/>
    <mergeCell ref="AK86:AL86"/>
    <mergeCell ref="C82:X82"/>
    <mergeCell ref="AA82:AI82"/>
  </mergeCells>
  <printOptions horizontalCentered="1"/>
  <pageMargins left="0.19685039370078741" right="0.19685039370078741" top="0.55000000000000004" bottom="0.43" header="0.19685039370078741" footer="0.19685039370078741"/>
  <pageSetup paperSize="9"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AM139"/>
  <sheetViews>
    <sheetView tabSelected="1" topLeftCell="A84" zoomScaleSheetLayoutView="102" workbookViewId="0">
      <selection activeCell="AG105" sqref="AG105"/>
    </sheetView>
  </sheetViews>
  <sheetFormatPr defaultRowHeight="12.75"/>
  <cols>
    <col min="1" max="1" width="0.140625" style="89" customWidth="1"/>
    <col min="2" max="2" width="6.5703125" style="104" customWidth="1"/>
    <col min="3" max="3" width="45.28515625" style="89" customWidth="1"/>
    <col min="4" max="4" width="7.85546875" style="89" customWidth="1"/>
    <col min="5" max="5" width="8.5703125" style="89" customWidth="1"/>
    <col min="6" max="6" width="7.7109375" style="104" customWidth="1"/>
    <col min="7" max="7" width="11.5703125" style="105" hidden="1" customWidth="1"/>
    <col min="8" max="8" width="12.140625" style="89" hidden="1" customWidth="1"/>
    <col min="9" max="9" width="11.28515625" style="89" hidden="1" customWidth="1"/>
    <col min="10" max="10" width="12.42578125" style="89" hidden="1" customWidth="1"/>
    <col min="11" max="11" width="10.140625" style="89" hidden="1" customWidth="1"/>
    <col min="12" max="12" width="12.5703125" style="104" hidden="1" customWidth="1"/>
    <col min="13" max="13" width="10.85546875" style="89" hidden="1" customWidth="1"/>
    <col min="14" max="15" width="9.28515625" style="89" hidden="1" customWidth="1"/>
    <col min="16" max="16" width="10" style="89" hidden="1" customWidth="1"/>
    <col min="17" max="17" width="9.5703125" style="89" hidden="1" customWidth="1"/>
    <col min="18" max="18" width="9.42578125" style="89" hidden="1" customWidth="1"/>
    <col min="19" max="19" width="9" style="89" hidden="1" customWidth="1"/>
    <col min="20" max="20" width="11.28515625" style="89" hidden="1" customWidth="1"/>
    <col min="21" max="21" width="11.5703125" style="89" hidden="1" customWidth="1"/>
    <col min="22" max="23" width="10.5703125" style="89" hidden="1" customWidth="1"/>
    <col min="24" max="24" width="0.140625" style="89" hidden="1" customWidth="1"/>
    <col min="25" max="25" width="8.140625" style="104" customWidth="1"/>
    <col min="26" max="26" width="12" style="89" hidden="1" customWidth="1"/>
    <col min="27" max="27" width="5.5703125" style="89" hidden="1" customWidth="1"/>
    <col min="28" max="28" width="7.85546875" style="106" customWidth="1"/>
    <col min="29" max="29" width="6.140625" style="89" hidden="1" customWidth="1"/>
    <col min="30" max="30" width="5.5703125" style="89" hidden="1" customWidth="1"/>
    <col min="31" max="31" width="7.140625" style="89" hidden="1" customWidth="1"/>
    <col min="32" max="32" width="5.42578125" style="89" hidden="1" customWidth="1"/>
    <col min="33" max="33" width="11.85546875" style="89" customWidth="1"/>
    <col min="34" max="34" width="14" style="89" customWidth="1"/>
    <col min="35" max="35" width="15.42578125" style="89" customWidth="1"/>
    <col min="36" max="36" width="17.7109375" style="104" customWidth="1"/>
    <col min="37" max="37" width="10.28515625" style="104" customWidth="1"/>
    <col min="38" max="38" width="13.42578125" style="89" customWidth="1"/>
    <col min="39" max="39" width="12.140625" style="89" customWidth="1"/>
    <col min="40" max="16384" width="9.140625" style="89"/>
  </cols>
  <sheetData>
    <row r="1" spans="1:39" s="6" customFormat="1" ht="15.75">
      <c r="B1" s="63" t="s">
        <v>45</v>
      </c>
      <c r="C1" s="64"/>
      <c r="D1" s="64"/>
      <c r="F1" s="65"/>
      <c r="G1" s="66"/>
      <c r="I1" s="67"/>
      <c r="J1" s="67"/>
      <c r="K1" s="68" t="s">
        <v>0</v>
      </c>
      <c r="L1" s="67"/>
      <c r="M1" s="67"/>
      <c r="N1" s="67"/>
      <c r="O1" s="67"/>
      <c r="Q1" s="68"/>
      <c r="R1" s="68"/>
      <c r="S1" s="68"/>
      <c r="T1" s="68"/>
      <c r="U1" s="68"/>
      <c r="V1" s="68"/>
      <c r="W1" s="68"/>
      <c r="X1" s="68"/>
      <c r="Y1" s="65"/>
      <c r="AA1" s="214" t="s">
        <v>0</v>
      </c>
      <c r="AB1" s="214"/>
      <c r="AC1" s="214"/>
      <c r="AD1" s="214"/>
      <c r="AE1" s="214"/>
      <c r="AF1" s="214"/>
      <c r="AG1" s="214"/>
      <c r="AH1" s="214"/>
      <c r="AI1" s="214"/>
      <c r="AJ1" s="214"/>
      <c r="AK1" s="214"/>
      <c r="AL1" s="214"/>
      <c r="AM1" s="214"/>
    </row>
    <row r="2" spans="1:39" s="6" customFormat="1" ht="15.75">
      <c r="B2" s="69" t="s">
        <v>46</v>
      </c>
      <c r="F2" s="65"/>
      <c r="G2" s="66"/>
      <c r="P2" s="70"/>
      <c r="Q2" s="70"/>
      <c r="R2" s="70"/>
      <c r="S2" s="70"/>
      <c r="T2" s="70"/>
      <c r="U2" s="70"/>
      <c r="V2" s="70"/>
      <c r="W2" s="70"/>
      <c r="X2" s="70"/>
      <c r="Y2" s="65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</row>
    <row r="3" spans="1:39" s="6" customFormat="1" ht="15.75"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</row>
    <row r="4" spans="1:39" s="6" customFormat="1" ht="15.75"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233" t="s">
        <v>190</v>
      </c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</row>
    <row r="5" spans="1:39" s="6" customFormat="1" ht="15.75">
      <c r="B5" s="214" t="s">
        <v>211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</row>
    <row r="6" spans="1:39" s="6" customFormat="1" ht="15.75">
      <c r="B6" s="214" t="s">
        <v>199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</row>
    <row r="7" spans="1:39" s="6" customFormat="1" ht="18.75" customHeight="1"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174"/>
      <c r="AH7" s="174"/>
      <c r="AI7" s="68"/>
      <c r="AJ7" s="68"/>
      <c r="AK7" s="68"/>
      <c r="AL7" s="68"/>
      <c r="AM7" s="68"/>
    </row>
    <row r="8" spans="1:39" s="6" customFormat="1" ht="15.75">
      <c r="A8" s="64" t="s">
        <v>212</v>
      </c>
      <c r="B8" s="65"/>
      <c r="C8" s="65"/>
      <c r="D8" s="65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71"/>
      <c r="AB8" s="68"/>
      <c r="AC8" s="68"/>
      <c r="AD8" s="68"/>
      <c r="AE8" s="68"/>
      <c r="AF8" s="68"/>
      <c r="AG8" s="174"/>
      <c r="AH8" s="174"/>
      <c r="AJ8" s="65"/>
    </row>
    <row r="9" spans="1:39" s="6" customFormat="1" ht="15.75">
      <c r="A9" s="72" t="s">
        <v>208</v>
      </c>
      <c r="B9" s="65"/>
      <c r="D9" s="6" t="s">
        <v>209</v>
      </c>
      <c r="E9" s="68"/>
      <c r="H9" s="72"/>
      <c r="I9" s="68"/>
      <c r="K9" s="72" t="s">
        <v>2</v>
      </c>
      <c r="L9" s="68"/>
      <c r="M9" s="73"/>
      <c r="S9" s="72"/>
      <c r="T9" s="74"/>
      <c r="W9" s="71"/>
      <c r="X9" s="68"/>
      <c r="Z9" s="68"/>
      <c r="AA9" s="68"/>
      <c r="AB9" s="72"/>
      <c r="AI9" s="72" t="s">
        <v>55</v>
      </c>
      <c r="AJ9" s="65"/>
    </row>
    <row r="10" spans="1:39" s="6" customFormat="1" ht="15.75">
      <c r="A10" s="72" t="s">
        <v>58</v>
      </c>
      <c r="B10" s="65"/>
      <c r="D10" s="6" t="s">
        <v>54</v>
      </c>
      <c r="E10" s="65"/>
      <c r="H10" s="72"/>
      <c r="I10" s="68"/>
      <c r="K10" s="72"/>
      <c r="L10" s="68"/>
      <c r="M10" s="73"/>
      <c r="S10" s="72"/>
      <c r="T10" s="74"/>
      <c r="W10" s="71"/>
      <c r="X10" s="68"/>
      <c r="Z10" s="68"/>
      <c r="AA10" s="68"/>
      <c r="AB10" s="72"/>
      <c r="AI10" s="6" t="s">
        <v>59</v>
      </c>
      <c r="AJ10" s="65"/>
    </row>
    <row r="11" spans="1:39" s="6" customFormat="1" ht="15.75">
      <c r="A11" s="72" t="s">
        <v>60</v>
      </c>
      <c r="B11" s="65"/>
      <c r="D11" s="6" t="s">
        <v>61</v>
      </c>
      <c r="E11" s="68"/>
      <c r="H11" s="72"/>
      <c r="I11" s="68"/>
      <c r="K11" s="72" t="s">
        <v>3</v>
      </c>
      <c r="L11" s="68"/>
      <c r="M11" s="73"/>
      <c r="S11" s="72"/>
      <c r="T11" s="74"/>
      <c r="W11" s="71"/>
      <c r="X11" s="68"/>
      <c r="Z11" s="68"/>
      <c r="AA11" s="68"/>
      <c r="AB11" s="72"/>
      <c r="AI11" s="6" t="s">
        <v>62</v>
      </c>
      <c r="AJ11" s="65"/>
    </row>
    <row r="12" spans="1:39" s="6" customFormat="1" ht="15.75">
      <c r="A12" s="72" t="s">
        <v>65</v>
      </c>
      <c r="B12" s="65"/>
      <c r="C12" s="6" t="s">
        <v>165</v>
      </c>
      <c r="D12" s="6" t="s">
        <v>189</v>
      </c>
      <c r="AI12" s="6" t="s">
        <v>63</v>
      </c>
      <c r="AJ12" s="65"/>
    </row>
    <row r="13" spans="1:39" s="6" customFormat="1" ht="15.75">
      <c r="A13" s="72" t="s">
        <v>64</v>
      </c>
      <c r="AJ13" s="65"/>
    </row>
    <row r="14" spans="1:39" s="6" customFormat="1" ht="15.75">
      <c r="A14" s="72" t="s">
        <v>4</v>
      </c>
      <c r="E14" s="65"/>
      <c r="F14" s="66"/>
      <c r="K14" s="65"/>
      <c r="X14" s="65"/>
      <c r="AA14" s="75"/>
      <c r="AJ14" s="65"/>
    </row>
    <row r="15" spans="1:39" s="6" customFormat="1" ht="0.75" customHeight="1">
      <c r="A15" s="72"/>
      <c r="E15" s="65"/>
      <c r="F15" s="66"/>
      <c r="K15" s="65"/>
      <c r="X15" s="65"/>
      <c r="AA15" s="75"/>
      <c r="AJ15" s="65"/>
    </row>
    <row r="16" spans="1:39" s="6" customFormat="1" ht="9.75" customHeight="1">
      <c r="B16" s="65"/>
      <c r="F16" s="65"/>
      <c r="G16" s="66"/>
      <c r="L16" s="65"/>
      <c r="Y16" s="65"/>
      <c r="AB16" s="76"/>
      <c r="AJ16" s="65"/>
      <c r="AK16" s="65"/>
    </row>
    <row r="17" spans="1:39" s="6" customFormat="1" ht="51" customHeight="1">
      <c r="A17" s="229" t="s">
        <v>5</v>
      </c>
      <c r="B17" s="210" t="s">
        <v>5</v>
      </c>
      <c r="C17" s="223" t="s">
        <v>6</v>
      </c>
      <c r="D17" s="207" t="s">
        <v>71</v>
      </c>
      <c r="E17" s="207" t="s">
        <v>8</v>
      </c>
      <c r="F17" s="210" t="s">
        <v>47</v>
      </c>
      <c r="G17" s="223"/>
      <c r="H17" s="223"/>
      <c r="I17" s="223"/>
      <c r="J17" s="223"/>
      <c r="K17" s="223"/>
      <c r="L17" s="223"/>
      <c r="M17" s="223"/>
      <c r="N17" s="223"/>
      <c r="O17" s="223"/>
      <c r="P17" s="223"/>
      <c r="Q17" s="223"/>
      <c r="R17" s="53"/>
      <c r="S17" s="53"/>
      <c r="T17" s="53"/>
      <c r="U17" s="53"/>
      <c r="V17" s="53"/>
      <c r="W17" s="53"/>
      <c r="X17" s="77"/>
      <c r="Y17" s="234" t="s">
        <v>48</v>
      </c>
      <c r="Z17" s="232"/>
      <c r="AA17" s="232"/>
      <c r="AB17" s="234" t="s">
        <v>49</v>
      </c>
      <c r="AC17" s="232"/>
      <c r="AD17" s="232"/>
      <c r="AE17" s="210" t="s">
        <v>9</v>
      </c>
      <c r="AF17" s="210" t="s">
        <v>10</v>
      </c>
      <c r="AG17" s="226" t="s">
        <v>282</v>
      </c>
      <c r="AH17" s="226" t="s">
        <v>230</v>
      </c>
      <c r="AI17" s="210" t="s">
        <v>11</v>
      </c>
      <c r="AJ17" s="210" t="s">
        <v>12</v>
      </c>
      <c r="AK17" s="210" t="s">
        <v>13</v>
      </c>
      <c r="AL17" s="207" t="s">
        <v>72</v>
      </c>
      <c r="AM17" s="210" t="s">
        <v>73</v>
      </c>
    </row>
    <row r="18" spans="1:39" s="6" customFormat="1" ht="15" customHeight="1">
      <c r="A18" s="230"/>
      <c r="B18" s="223"/>
      <c r="C18" s="223"/>
      <c r="D18" s="224"/>
      <c r="E18" s="208"/>
      <c r="F18" s="207" t="s">
        <v>50</v>
      </c>
      <c r="G18" s="220" t="s">
        <v>15</v>
      </c>
      <c r="H18" s="232" t="s">
        <v>16</v>
      </c>
      <c r="I18" s="232"/>
      <c r="J18" s="232"/>
      <c r="K18" s="77" t="s">
        <v>17</v>
      </c>
      <c r="L18" s="53" t="s">
        <v>18</v>
      </c>
      <c r="M18" s="77"/>
      <c r="N18" s="77" t="s">
        <v>17</v>
      </c>
      <c r="O18" s="77" t="s">
        <v>17</v>
      </c>
      <c r="P18" s="77" t="s">
        <v>17</v>
      </c>
      <c r="Q18" s="77" t="s">
        <v>19</v>
      </c>
      <c r="R18" s="77" t="s">
        <v>19</v>
      </c>
      <c r="S18" s="77" t="s">
        <v>19</v>
      </c>
      <c r="T18" s="77" t="s">
        <v>19</v>
      </c>
      <c r="U18" s="77" t="s">
        <v>19</v>
      </c>
      <c r="V18" s="77" t="s">
        <v>19</v>
      </c>
      <c r="W18" s="77" t="s">
        <v>20</v>
      </c>
      <c r="X18" s="77"/>
      <c r="Y18" s="207" t="s">
        <v>50</v>
      </c>
      <c r="Z18" s="220" t="s">
        <v>21</v>
      </c>
      <c r="AA18" s="220" t="s">
        <v>22</v>
      </c>
      <c r="AB18" s="207" t="s">
        <v>50</v>
      </c>
      <c r="AC18" s="220" t="s">
        <v>21</v>
      </c>
      <c r="AD18" s="220" t="s">
        <v>23</v>
      </c>
      <c r="AE18" s="210"/>
      <c r="AF18" s="210"/>
      <c r="AG18" s="227"/>
      <c r="AH18" s="227"/>
      <c r="AI18" s="211"/>
      <c r="AJ18" s="216"/>
      <c r="AK18" s="223"/>
      <c r="AL18" s="224"/>
      <c r="AM18" s="211"/>
    </row>
    <row r="19" spans="1:39" s="6" customFormat="1" ht="15" customHeight="1">
      <c r="A19" s="230"/>
      <c r="B19" s="223"/>
      <c r="C19" s="223"/>
      <c r="D19" s="224"/>
      <c r="E19" s="208"/>
      <c r="F19" s="208"/>
      <c r="G19" s="221"/>
      <c r="H19" s="220" t="s">
        <v>24</v>
      </c>
      <c r="I19" s="232" t="s">
        <v>25</v>
      </c>
      <c r="J19" s="232"/>
      <c r="K19" s="77" t="s">
        <v>26</v>
      </c>
      <c r="L19" s="53" t="s">
        <v>27</v>
      </c>
      <c r="M19" s="77" t="s">
        <v>28</v>
      </c>
      <c r="N19" s="77" t="s">
        <v>26</v>
      </c>
      <c r="O19" s="77" t="s">
        <v>26</v>
      </c>
      <c r="P19" s="77" t="s">
        <v>26</v>
      </c>
      <c r="Q19" s="77" t="s">
        <v>29</v>
      </c>
      <c r="R19" s="77" t="s">
        <v>29</v>
      </c>
      <c r="S19" s="77" t="s">
        <v>29</v>
      </c>
      <c r="T19" s="77" t="s">
        <v>29</v>
      </c>
      <c r="U19" s="77" t="s">
        <v>29</v>
      </c>
      <c r="V19" s="77" t="s">
        <v>29</v>
      </c>
      <c r="W19" s="77" t="s">
        <v>26</v>
      </c>
      <c r="X19" s="77" t="s">
        <v>30</v>
      </c>
      <c r="Y19" s="208"/>
      <c r="Z19" s="221"/>
      <c r="AA19" s="221"/>
      <c r="AB19" s="208"/>
      <c r="AC19" s="221"/>
      <c r="AD19" s="221"/>
      <c r="AE19" s="210"/>
      <c r="AF19" s="210"/>
      <c r="AG19" s="227"/>
      <c r="AH19" s="227"/>
      <c r="AI19" s="211"/>
      <c r="AJ19" s="216"/>
      <c r="AK19" s="223"/>
      <c r="AL19" s="224"/>
      <c r="AM19" s="211"/>
    </row>
    <row r="20" spans="1:39" s="6" customFormat="1" ht="15" customHeight="1">
      <c r="A20" s="230"/>
      <c r="B20" s="223"/>
      <c r="C20" s="223"/>
      <c r="D20" s="225"/>
      <c r="E20" s="209"/>
      <c r="F20" s="209"/>
      <c r="G20" s="222"/>
      <c r="H20" s="231"/>
      <c r="I20" s="79" t="s">
        <v>31</v>
      </c>
      <c r="J20" s="78" t="s">
        <v>32</v>
      </c>
      <c r="K20" s="77" t="s">
        <v>33</v>
      </c>
      <c r="L20" s="53" t="s">
        <v>34</v>
      </c>
      <c r="M20" s="77" t="s">
        <v>35</v>
      </c>
      <c r="N20" s="77" t="s">
        <v>33</v>
      </c>
      <c r="O20" s="77" t="s">
        <v>36</v>
      </c>
      <c r="P20" s="77" t="s">
        <v>36</v>
      </c>
      <c r="Q20" s="77" t="s">
        <v>36</v>
      </c>
      <c r="R20" s="77" t="s">
        <v>36</v>
      </c>
      <c r="S20" s="77" t="s">
        <v>36</v>
      </c>
      <c r="T20" s="77" t="s">
        <v>36</v>
      </c>
      <c r="U20" s="77" t="s">
        <v>36</v>
      </c>
      <c r="V20" s="77" t="s">
        <v>36</v>
      </c>
      <c r="W20" s="77" t="s">
        <v>36</v>
      </c>
      <c r="X20" s="77" t="s">
        <v>37</v>
      </c>
      <c r="Y20" s="209"/>
      <c r="Z20" s="222"/>
      <c r="AA20" s="222"/>
      <c r="AB20" s="209"/>
      <c r="AC20" s="222"/>
      <c r="AD20" s="222"/>
      <c r="AE20" s="210"/>
      <c r="AF20" s="210"/>
      <c r="AG20" s="228"/>
      <c r="AH20" s="228"/>
      <c r="AI20" s="211"/>
      <c r="AJ20" s="216"/>
      <c r="AK20" s="223"/>
      <c r="AL20" s="225"/>
      <c r="AM20" s="211"/>
    </row>
    <row r="21" spans="1:39" s="7" customFormat="1" ht="22.5" customHeight="1">
      <c r="A21" s="61"/>
      <c r="B21" s="53" t="s">
        <v>38</v>
      </c>
      <c r="C21" s="53" t="s">
        <v>39</v>
      </c>
      <c r="D21" s="53" t="s">
        <v>40</v>
      </c>
      <c r="E21" s="53" t="s">
        <v>41</v>
      </c>
      <c r="F21" s="53">
        <v>1</v>
      </c>
      <c r="G21" s="77">
        <v>2</v>
      </c>
      <c r="H21" s="80">
        <v>3</v>
      </c>
      <c r="I21" s="80">
        <v>4</v>
      </c>
      <c r="J21" s="77">
        <v>5</v>
      </c>
      <c r="K21" s="80">
        <v>7</v>
      </c>
      <c r="L21" s="77">
        <v>8</v>
      </c>
      <c r="M21" s="80">
        <v>9</v>
      </c>
      <c r="N21" s="77">
        <v>10</v>
      </c>
      <c r="O21" s="77"/>
      <c r="P21" s="80">
        <v>6</v>
      </c>
      <c r="Q21" s="80"/>
      <c r="R21" s="80"/>
      <c r="S21" s="80"/>
      <c r="T21" s="80"/>
      <c r="U21" s="80"/>
      <c r="V21" s="80"/>
      <c r="W21" s="80"/>
      <c r="X21" s="80">
        <v>5</v>
      </c>
      <c r="Y21" s="53">
        <v>2</v>
      </c>
      <c r="Z21" s="77">
        <v>7</v>
      </c>
      <c r="AA21" s="77">
        <v>8</v>
      </c>
      <c r="AB21" s="77">
        <v>3</v>
      </c>
      <c r="AC21" s="53">
        <v>10</v>
      </c>
      <c r="AD21" s="80">
        <v>11</v>
      </c>
      <c r="AE21" s="53"/>
      <c r="AF21" s="53"/>
      <c r="AG21" s="176"/>
      <c r="AH21" s="176"/>
      <c r="AI21" s="53">
        <v>4</v>
      </c>
      <c r="AJ21" s="53">
        <v>5</v>
      </c>
      <c r="AK21" s="53">
        <v>6</v>
      </c>
      <c r="AL21" s="53">
        <v>7</v>
      </c>
      <c r="AM21" s="53">
        <v>8</v>
      </c>
    </row>
    <row r="22" spans="1:39" s="83" customFormat="1" ht="15.75">
      <c r="A22" s="81"/>
      <c r="B22" s="53" t="s">
        <v>105</v>
      </c>
      <c r="C22" s="54" t="s">
        <v>167</v>
      </c>
      <c r="D22" s="55"/>
      <c r="E22" s="55"/>
      <c r="F22" s="55"/>
      <c r="G22" s="56"/>
      <c r="H22" s="56"/>
      <c r="I22" s="57"/>
      <c r="J22" s="57"/>
      <c r="K22" s="57"/>
      <c r="L22" s="58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5"/>
      <c r="Z22" s="57"/>
      <c r="AA22" s="56"/>
      <c r="AB22" s="59"/>
      <c r="AC22" s="57"/>
      <c r="AD22" s="57"/>
      <c r="AE22" s="60"/>
      <c r="AF22" s="61"/>
      <c r="AG22" s="61"/>
      <c r="AH22" s="61"/>
      <c r="AI22" s="5"/>
      <c r="AJ22" s="5"/>
      <c r="AK22" s="53"/>
      <c r="AL22" s="82"/>
      <c r="AM22" s="53"/>
    </row>
    <row r="23" spans="1:39" s="7" customFormat="1" ht="31.5">
      <c r="A23" s="61"/>
      <c r="B23" s="55">
        <v>1</v>
      </c>
      <c r="C23" s="61" t="s">
        <v>168</v>
      </c>
      <c r="D23" s="55" t="s">
        <v>187</v>
      </c>
      <c r="E23" s="55">
        <v>2022</v>
      </c>
      <c r="F23" s="55">
        <v>7</v>
      </c>
      <c r="G23" s="55">
        <v>7</v>
      </c>
      <c r="H23" s="55">
        <v>7</v>
      </c>
      <c r="I23" s="55">
        <v>7</v>
      </c>
      <c r="J23" s="55">
        <v>7</v>
      </c>
      <c r="K23" s="55">
        <v>7</v>
      </c>
      <c r="L23" s="55">
        <v>7</v>
      </c>
      <c r="M23" s="55">
        <v>7</v>
      </c>
      <c r="N23" s="55">
        <v>7</v>
      </c>
      <c r="O23" s="55">
        <v>7</v>
      </c>
      <c r="P23" s="55">
        <v>7</v>
      </c>
      <c r="Q23" s="55">
        <v>7</v>
      </c>
      <c r="R23" s="55">
        <v>7</v>
      </c>
      <c r="S23" s="55">
        <v>7</v>
      </c>
      <c r="T23" s="55">
        <v>7</v>
      </c>
      <c r="U23" s="55">
        <v>7</v>
      </c>
      <c r="V23" s="55">
        <v>7</v>
      </c>
      <c r="W23" s="55">
        <v>7</v>
      </c>
      <c r="X23" s="55">
        <v>7</v>
      </c>
      <c r="Y23" s="55">
        <v>7</v>
      </c>
      <c r="Z23" s="55">
        <v>7</v>
      </c>
      <c r="AA23" s="55">
        <v>7</v>
      </c>
      <c r="AB23" s="59">
        <v>0</v>
      </c>
      <c r="AC23" s="57"/>
      <c r="AD23" s="57"/>
      <c r="AE23" s="60"/>
      <c r="AF23" s="61"/>
      <c r="AG23" s="61"/>
      <c r="AH23" s="61"/>
      <c r="AI23" s="5" t="s">
        <v>197</v>
      </c>
      <c r="AJ23" s="5" t="s">
        <v>139</v>
      </c>
      <c r="AK23" s="58" t="s">
        <v>74</v>
      </c>
      <c r="AL23" s="84" t="s">
        <v>200</v>
      </c>
      <c r="AM23" s="61"/>
    </row>
    <row r="24" spans="1:39" s="7" customFormat="1" ht="15.75">
      <c r="A24" s="61"/>
      <c r="B24" s="55">
        <v>2</v>
      </c>
      <c r="C24" s="61" t="s">
        <v>101</v>
      </c>
      <c r="D24" s="55" t="s">
        <v>187</v>
      </c>
      <c r="E24" s="55">
        <v>2022</v>
      </c>
      <c r="F24" s="55">
        <v>1</v>
      </c>
      <c r="G24" s="55">
        <v>1</v>
      </c>
      <c r="H24" s="55">
        <v>1</v>
      </c>
      <c r="I24" s="55">
        <v>1</v>
      </c>
      <c r="J24" s="55">
        <v>1</v>
      </c>
      <c r="K24" s="55">
        <v>1</v>
      </c>
      <c r="L24" s="55">
        <v>1</v>
      </c>
      <c r="M24" s="55">
        <v>1</v>
      </c>
      <c r="N24" s="55">
        <v>1</v>
      </c>
      <c r="O24" s="55">
        <v>1</v>
      </c>
      <c r="P24" s="55">
        <v>1</v>
      </c>
      <c r="Q24" s="55">
        <v>1</v>
      </c>
      <c r="R24" s="55">
        <v>1</v>
      </c>
      <c r="S24" s="55">
        <v>1</v>
      </c>
      <c r="T24" s="55">
        <v>1</v>
      </c>
      <c r="U24" s="55">
        <v>1</v>
      </c>
      <c r="V24" s="55">
        <v>1</v>
      </c>
      <c r="W24" s="55">
        <v>1</v>
      </c>
      <c r="X24" s="55">
        <v>1</v>
      </c>
      <c r="Y24" s="55">
        <v>1</v>
      </c>
      <c r="Z24" s="55">
        <v>1</v>
      </c>
      <c r="AA24" s="55">
        <v>1</v>
      </c>
      <c r="AB24" s="59">
        <v>0</v>
      </c>
      <c r="AC24" s="57"/>
      <c r="AD24" s="57"/>
      <c r="AE24" s="60"/>
      <c r="AF24" s="61"/>
      <c r="AG24" s="61"/>
      <c r="AH24" s="61"/>
      <c r="AI24" s="5" t="s">
        <v>197</v>
      </c>
      <c r="AJ24" s="5" t="s">
        <v>139</v>
      </c>
      <c r="AK24" s="58" t="s">
        <v>74</v>
      </c>
      <c r="AL24" s="61"/>
      <c r="AM24" s="61"/>
    </row>
    <row r="25" spans="1:39" s="7" customFormat="1" ht="15.75">
      <c r="A25" s="61"/>
      <c r="B25" s="55">
        <v>3</v>
      </c>
      <c r="C25" s="61" t="s">
        <v>94</v>
      </c>
      <c r="D25" s="55" t="s">
        <v>187</v>
      </c>
      <c r="E25" s="55">
        <v>2022</v>
      </c>
      <c r="F25" s="55">
        <v>7</v>
      </c>
      <c r="G25" s="55">
        <v>7</v>
      </c>
      <c r="H25" s="55">
        <v>7</v>
      </c>
      <c r="I25" s="55">
        <v>7</v>
      </c>
      <c r="J25" s="55">
        <v>7</v>
      </c>
      <c r="K25" s="55">
        <v>7</v>
      </c>
      <c r="L25" s="55">
        <v>7</v>
      </c>
      <c r="M25" s="55">
        <v>7</v>
      </c>
      <c r="N25" s="55">
        <v>7</v>
      </c>
      <c r="O25" s="55">
        <v>7</v>
      </c>
      <c r="P25" s="55">
        <v>7</v>
      </c>
      <c r="Q25" s="55">
        <v>7</v>
      </c>
      <c r="R25" s="55">
        <v>7</v>
      </c>
      <c r="S25" s="55">
        <v>7</v>
      </c>
      <c r="T25" s="55">
        <v>7</v>
      </c>
      <c r="U25" s="55">
        <v>7</v>
      </c>
      <c r="V25" s="55">
        <v>7</v>
      </c>
      <c r="W25" s="55">
        <v>7</v>
      </c>
      <c r="X25" s="55">
        <v>7</v>
      </c>
      <c r="Y25" s="55">
        <v>7</v>
      </c>
      <c r="Z25" s="55">
        <v>7</v>
      </c>
      <c r="AA25" s="55">
        <v>7</v>
      </c>
      <c r="AB25" s="59">
        <v>0</v>
      </c>
      <c r="AC25" s="57"/>
      <c r="AD25" s="57"/>
      <c r="AE25" s="60"/>
      <c r="AF25" s="61"/>
      <c r="AG25" s="61"/>
      <c r="AH25" s="61"/>
      <c r="AI25" s="5" t="s">
        <v>197</v>
      </c>
      <c r="AJ25" s="5" t="s">
        <v>139</v>
      </c>
      <c r="AK25" s="58" t="s">
        <v>74</v>
      </c>
      <c r="AL25" s="61"/>
      <c r="AM25" s="61"/>
    </row>
    <row r="26" spans="1:39" s="7" customFormat="1" ht="15.75">
      <c r="A26" s="61"/>
      <c r="B26" s="55">
        <v>4</v>
      </c>
      <c r="C26" s="61" t="s">
        <v>95</v>
      </c>
      <c r="D26" s="55" t="s">
        <v>187</v>
      </c>
      <c r="E26" s="55">
        <v>2022</v>
      </c>
      <c r="F26" s="55">
        <v>1</v>
      </c>
      <c r="G26" s="55">
        <v>1</v>
      </c>
      <c r="H26" s="55">
        <v>1</v>
      </c>
      <c r="I26" s="55">
        <v>1</v>
      </c>
      <c r="J26" s="55">
        <v>1</v>
      </c>
      <c r="K26" s="55">
        <v>1</v>
      </c>
      <c r="L26" s="55">
        <v>1</v>
      </c>
      <c r="M26" s="55">
        <v>1</v>
      </c>
      <c r="N26" s="55">
        <v>1</v>
      </c>
      <c r="O26" s="55">
        <v>1</v>
      </c>
      <c r="P26" s="55">
        <v>1</v>
      </c>
      <c r="Q26" s="55">
        <v>1</v>
      </c>
      <c r="R26" s="55">
        <v>1</v>
      </c>
      <c r="S26" s="55">
        <v>1</v>
      </c>
      <c r="T26" s="55">
        <v>1</v>
      </c>
      <c r="U26" s="55">
        <v>1</v>
      </c>
      <c r="V26" s="55">
        <v>1</v>
      </c>
      <c r="W26" s="55">
        <v>1</v>
      </c>
      <c r="X26" s="55">
        <v>1</v>
      </c>
      <c r="Y26" s="55">
        <v>1</v>
      </c>
      <c r="Z26" s="55">
        <v>1</v>
      </c>
      <c r="AA26" s="55">
        <v>1</v>
      </c>
      <c r="AB26" s="59">
        <v>0</v>
      </c>
      <c r="AC26" s="57"/>
      <c r="AD26" s="57"/>
      <c r="AE26" s="60"/>
      <c r="AF26" s="61"/>
      <c r="AG26" s="61"/>
      <c r="AH26" s="61"/>
      <c r="AI26" s="5" t="s">
        <v>197</v>
      </c>
      <c r="AJ26" s="5" t="s">
        <v>139</v>
      </c>
      <c r="AK26" s="58" t="s">
        <v>74</v>
      </c>
      <c r="AL26" s="61"/>
      <c r="AM26" s="61"/>
    </row>
    <row r="27" spans="1:39" s="7" customFormat="1" ht="15.75">
      <c r="A27" s="61"/>
      <c r="B27" s="55">
        <v>5</v>
      </c>
      <c r="C27" s="61" t="s">
        <v>96</v>
      </c>
      <c r="D27" s="55" t="s">
        <v>188</v>
      </c>
      <c r="E27" s="55">
        <v>2022</v>
      </c>
      <c r="F27" s="55">
        <v>1</v>
      </c>
      <c r="G27" s="55">
        <v>1</v>
      </c>
      <c r="H27" s="55">
        <v>1</v>
      </c>
      <c r="I27" s="55">
        <v>1</v>
      </c>
      <c r="J27" s="55">
        <v>1</v>
      </c>
      <c r="K27" s="55">
        <v>1</v>
      </c>
      <c r="L27" s="55">
        <v>1</v>
      </c>
      <c r="M27" s="55">
        <v>1</v>
      </c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1</v>
      </c>
      <c r="AA27" s="55">
        <v>1</v>
      </c>
      <c r="AB27" s="59">
        <v>0</v>
      </c>
      <c r="AC27" s="57"/>
      <c r="AD27" s="57"/>
      <c r="AE27" s="60"/>
      <c r="AF27" s="61"/>
      <c r="AG27" s="61"/>
      <c r="AH27" s="61"/>
      <c r="AI27" s="5" t="s">
        <v>197</v>
      </c>
      <c r="AJ27" s="5" t="s">
        <v>139</v>
      </c>
      <c r="AK27" s="58" t="s">
        <v>74</v>
      </c>
      <c r="AL27" s="57"/>
      <c r="AM27" s="61"/>
    </row>
    <row r="28" spans="1:39" s="7" customFormat="1" ht="15.75">
      <c r="A28" s="61"/>
      <c r="B28" s="55">
        <v>6</v>
      </c>
      <c r="C28" s="61" t="s">
        <v>169</v>
      </c>
      <c r="D28" s="55" t="s">
        <v>188</v>
      </c>
      <c r="E28" s="55">
        <v>2022</v>
      </c>
      <c r="F28" s="55">
        <v>3</v>
      </c>
      <c r="G28" s="55">
        <v>3</v>
      </c>
      <c r="H28" s="55">
        <v>3</v>
      </c>
      <c r="I28" s="55">
        <v>3</v>
      </c>
      <c r="J28" s="55">
        <v>3</v>
      </c>
      <c r="K28" s="55">
        <v>3</v>
      </c>
      <c r="L28" s="55">
        <v>3</v>
      </c>
      <c r="M28" s="55">
        <v>3</v>
      </c>
      <c r="N28" s="55">
        <v>3</v>
      </c>
      <c r="O28" s="55">
        <v>3</v>
      </c>
      <c r="P28" s="55">
        <v>3</v>
      </c>
      <c r="Q28" s="55">
        <v>3</v>
      </c>
      <c r="R28" s="55">
        <v>3</v>
      </c>
      <c r="S28" s="55">
        <v>3</v>
      </c>
      <c r="T28" s="55">
        <v>3</v>
      </c>
      <c r="U28" s="55">
        <v>3</v>
      </c>
      <c r="V28" s="55">
        <v>3</v>
      </c>
      <c r="W28" s="55">
        <v>3</v>
      </c>
      <c r="X28" s="55">
        <v>3</v>
      </c>
      <c r="Y28" s="55">
        <v>3</v>
      </c>
      <c r="Z28" s="55">
        <v>3</v>
      </c>
      <c r="AA28" s="55">
        <v>3</v>
      </c>
      <c r="AB28" s="59">
        <v>0</v>
      </c>
      <c r="AC28" s="57"/>
      <c r="AD28" s="57"/>
      <c r="AE28" s="60"/>
      <c r="AF28" s="61"/>
      <c r="AG28" s="61"/>
      <c r="AH28" s="61"/>
      <c r="AI28" s="5" t="s">
        <v>197</v>
      </c>
      <c r="AJ28" s="5" t="s">
        <v>139</v>
      </c>
      <c r="AK28" s="58" t="s">
        <v>74</v>
      </c>
      <c r="AL28" s="57"/>
      <c r="AM28" s="61"/>
    </row>
    <row r="29" spans="1:39" s="7" customFormat="1" ht="15.75">
      <c r="A29" s="61"/>
      <c r="B29" s="55">
        <v>7</v>
      </c>
      <c r="C29" s="61" t="s">
        <v>170</v>
      </c>
      <c r="D29" s="55" t="s">
        <v>188</v>
      </c>
      <c r="E29" s="55">
        <v>2022</v>
      </c>
      <c r="F29" s="55">
        <v>1</v>
      </c>
      <c r="G29" s="55">
        <v>1</v>
      </c>
      <c r="H29" s="55">
        <v>1</v>
      </c>
      <c r="I29" s="55">
        <v>1</v>
      </c>
      <c r="J29" s="55">
        <v>1</v>
      </c>
      <c r="K29" s="55">
        <v>1</v>
      </c>
      <c r="L29" s="55">
        <v>1</v>
      </c>
      <c r="M29" s="55">
        <v>1</v>
      </c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55">
        <v>1</v>
      </c>
      <c r="W29" s="55">
        <v>1</v>
      </c>
      <c r="X29" s="55">
        <v>1</v>
      </c>
      <c r="Y29" s="55">
        <v>1</v>
      </c>
      <c r="Z29" s="55">
        <v>1</v>
      </c>
      <c r="AA29" s="55">
        <v>1</v>
      </c>
      <c r="AB29" s="59">
        <v>0</v>
      </c>
      <c r="AC29" s="57"/>
      <c r="AD29" s="57"/>
      <c r="AE29" s="60"/>
      <c r="AF29" s="61"/>
      <c r="AG29" s="61"/>
      <c r="AH29" s="61"/>
      <c r="AI29" s="5" t="s">
        <v>197</v>
      </c>
      <c r="AJ29" s="5" t="s">
        <v>139</v>
      </c>
      <c r="AK29" s="58" t="s">
        <v>74</v>
      </c>
      <c r="AL29" s="57"/>
      <c r="AM29" s="217" t="s">
        <v>198</v>
      </c>
    </row>
    <row r="30" spans="1:39" s="7" customFormat="1" ht="15.75">
      <c r="A30" s="61"/>
      <c r="B30" s="55">
        <v>8</v>
      </c>
      <c r="C30" s="61" t="s">
        <v>171</v>
      </c>
      <c r="D30" s="55" t="s">
        <v>188</v>
      </c>
      <c r="E30" s="55">
        <v>2022</v>
      </c>
      <c r="F30" s="55">
        <v>1</v>
      </c>
      <c r="G30" s="55">
        <v>1</v>
      </c>
      <c r="H30" s="55">
        <v>1</v>
      </c>
      <c r="I30" s="55">
        <v>1</v>
      </c>
      <c r="J30" s="55">
        <v>1</v>
      </c>
      <c r="K30" s="55">
        <v>1</v>
      </c>
      <c r="L30" s="55">
        <v>1</v>
      </c>
      <c r="M30" s="55">
        <v>1</v>
      </c>
      <c r="N30" s="55">
        <v>1</v>
      </c>
      <c r="O30" s="55">
        <v>1</v>
      </c>
      <c r="P30" s="55">
        <v>1</v>
      </c>
      <c r="Q30" s="55">
        <v>1</v>
      </c>
      <c r="R30" s="55">
        <v>1</v>
      </c>
      <c r="S30" s="55">
        <v>1</v>
      </c>
      <c r="T30" s="55">
        <v>1</v>
      </c>
      <c r="U30" s="55">
        <v>1</v>
      </c>
      <c r="V30" s="55">
        <v>1</v>
      </c>
      <c r="W30" s="55">
        <v>1</v>
      </c>
      <c r="X30" s="55">
        <v>1</v>
      </c>
      <c r="Y30" s="55">
        <v>1</v>
      </c>
      <c r="Z30" s="55">
        <v>1</v>
      </c>
      <c r="AA30" s="55">
        <v>1</v>
      </c>
      <c r="AB30" s="59">
        <v>0</v>
      </c>
      <c r="AC30" s="57"/>
      <c r="AD30" s="57"/>
      <c r="AE30" s="60"/>
      <c r="AF30" s="61"/>
      <c r="AG30" s="61"/>
      <c r="AH30" s="61"/>
      <c r="AI30" s="5" t="s">
        <v>197</v>
      </c>
      <c r="AJ30" s="5" t="s">
        <v>139</v>
      </c>
      <c r="AK30" s="58" t="s">
        <v>74</v>
      </c>
      <c r="AL30" s="57"/>
      <c r="AM30" s="218"/>
    </row>
    <row r="31" spans="1:39" s="7" customFormat="1" ht="15.75">
      <c r="B31" s="55">
        <v>9</v>
      </c>
      <c r="C31" s="61" t="s">
        <v>172</v>
      </c>
      <c r="D31" s="55" t="s">
        <v>188</v>
      </c>
      <c r="E31" s="55">
        <v>2022</v>
      </c>
      <c r="F31" s="55">
        <v>1</v>
      </c>
      <c r="G31" s="55">
        <v>1</v>
      </c>
      <c r="H31" s="55">
        <v>1</v>
      </c>
      <c r="I31" s="55">
        <v>1</v>
      </c>
      <c r="J31" s="55">
        <v>1</v>
      </c>
      <c r="K31" s="55">
        <v>1</v>
      </c>
      <c r="L31" s="55">
        <v>1</v>
      </c>
      <c r="M31" s="55">
        <v>1</v>
      </c>
      <c r="N31" s="55">
        <v>1</v>
      </c>
      <c r="O31" s="55">
        <v>1</v>
      </c>
      <c r="P31" s="55">
        <v>1</v>
      </c>
      <c r="Q31" s="55">
        <v>1</v>
      </c>
      <c r="R31" s="55">
        <v>1</v>
      </c>
      <c r="S31" s="55">
        <v>1</v>
      </c>
      <c r="T31" s="55">
        <v>1</v>
      </c>
      <c r="U31" s="55">
        <v>1</v>
      </c>
      <c r="V31" s="55">
        <v>1</v>
      </c>
      <c r="W31" s="55">
        <v>1</v>
      </c>
      <c r="X31" s="55">
        <v>1</v>
      </c>
      <c r="Y31" s="55">
        <v>1</v>
      </c>
      <c r="Z31" s="55">
        <v>1</v>
      </c>
      <c r="AA31" s="55">
        <v>1</v>
      </c>
      <c r="AB31" s="59">
        <v>0</v>
      </c>
      <c r="AC31" s="57"/>
      <c r="AD31" s="57"/>
      <c r="AE31" s="60"/>
      <c r="AF31" s="61"/>
      <c r="AG31" s="61"/>
      <c r="AH31" s="61"/>
      <c r="AI31" s="5" t="s">
        <v>197</v>
      </c>
      <c r="AJ31" s="5" t="s">
        <v>139</v>
      </c>
      <c r="AK31" s="58" t="s">
        <v>74</v>
      </c>
      <c r="AL31" s="57"/>
      <c r="AM31" s="218"/>
    </row>
    <row r="32" spans="1:39" s="83" customFormat="1" ht="15.75">
      <c r="B32" s="55">
        <v>10</v>
      </c>
      <c r="C32" s="61" t="s">
        <v>173</v>
      </c>
      <c r="D32" s="55" t="s">
        <v>188</v>
      </c>
      <c r="E32" s="55">
        <v>2022</v>
      </c>
      <c r="F32" s="55">
        <v>1</v>
      </c>
      <c r="G32" s="55">
        <v>1</v>
      </c>
      <c r="H32" s="55">
        <v>1</v>
      </c>
      <c r="I32" s="55">
        <v>1</v>
      </c>
      <c r="J32" s="55">
        <v>1</v>
      </c>
      <c r="K32" s="55">
        <v>1</v>
      </c>
      <c r="L32" s="55">
        <v>1</v>
      </c>
      <c r="M32" s="55">
        <v>1</v>
      </c>
      <c r="N32" s="55">
        <v>1</v>
      </c>
      <c r="O32" s="55">
        <v>1</v>
      </c>
      <c r="P32" s="55">
        <v>1</v>
      </c>
      <c r="Q32" s="55">
        <v>1</v>
      </c>
      <c r="R32" s="55">
        <v>1</v>
      </c>
      <c r="S32" s="55">
        <v>1</v>
      </c>
      <c r="T32" s="55">
        <v>1</v>
      </c>
      <c r="U32" s="55">
        <v>1</v>
      </c>
      <c r="V32" s="55">
        <v>1</v>
      </c>
      <c r="W32" s="55">
        <v>1</v>
      </c>
      <c r="X32" s="55">
        <v>1</v>
      </c>
      <c r="Y32" s="55">
        <v>1</v>
      </c>
      <c r="Z32" s="55">
        <v>1</v>
      </c>
      <c r="AA32" s="55">
        <v>1</v>
      </c>
      <c r="AB32" s="59">
        <v>0</v>
      </c>
      <c r="AC32" s="57"/>
      <c r="AD32" s="57"/>
      <c r="AE32" s="60"/>
      <c r="AF32" s="61"/>
      <c r="AG32" s="61"/>
      <c r="AH32" s="61"/>
      <c r="AI32" s="5" t="s">
        <v>197</v>
      </c>
      <c r="AJ32" s="5" t="s">
        <v>139</v>
      </c>
      <c r="AK32" s="58" t="s">
        <v>74</v>
      </c>
      <c r="AL32" s="81"/>
      <c r="AM32" s="218"/>
    </row>
    <row r="33" spans="2:39" s="7" customFormat="1" ht="15.75">
      <c r="B33" s="55">
        <v>11</v>
      </c>
      <c r="C33" s="61" t="s">
        <v>174</v>
      </c>
      <c r="D33" s="55" t="s">
        <v>188</v>
      </c>
      <c r="E33" s="55">
        <v>2022</v>
      </c>
      <c r="F33" s="55">
        <v>1</v>
      </c>
      <c r="G33" s="55">
        <v>1</v>
      </c>
      <c r="H33" s="55">
        <v>1</v>
      </c>
      <c r="I33" s="55">
        <v>1</v>
      </c>
      <c r="J33" s="55">
        <v>1</v>
      </c>
      <c r="K33" s="55">
        <v>1</v>
      </c>
      <c r="L33" s="55">
        <v>1</v>
      </c>
      <c r="M33" s="55">
        <v>1</v>
      </c>
      <c r="N33" s="55">
        <v>1</v>
      </c>
      <c r="O33" s="55">
        <v>1</v>
      </c>
      <c r="P33" s="55">
        <v>1</v>
      </c>
      <c r="Q33" s="55">
        <v>1</v>
      </c>
      <c r="R33" s="55">
        <v>1</v>
      </c>
      <c r="S33" s="55">
        <v>1</v>
      </c>
      <c r="T33" s="55">
        <v>1</v>
      </c>
      <c r="U33" s="55">
        <v>1</v>
      </c>
      <c r="V33" s="55">
        <v>1</v>
      </c>
      <c r="W33" s="55">
        <v>1</v>
      </c>
      <c r="X33" s="55">
        <v>1</v>
      </c>
      <c r="Y33" s="55">
        <v>1</v>
      </c>
      <c r="Z33" s="55">
        <v>1</v>
      </c>
      <c r="AA33" s="55">
        <v>1</v>
      </c>
      <c r="AB33" s="59">
        <v>0</v>
      </c>
      <c r="AC33" s="57"/>
      <c r="AD33" s="57"/>
      <c r="AE33" s="60"/>
      <c r="AF33" s="61"/>
      <c r="AG33" s="61"/>
      <c r="AH33" s="61"/>
      <c r="AI33" s="5" t="s">
        <v>197</v>
      </c>
      <c r="AJ33" s="5" t="s">
        <v>139</v>
      </c>
      <c r="AK33" s="58" t="s">
        <v>74</v>
      </c>
      <c r="AL33" s="61"/>
      <c r="AM33" s="219"/>
    </row>
    <row r="34" spans="2:39" s="7" customFormat="1" ht="15.75">
      <c r="B34" s="55">
        <v>12</v>
      </c>
      <c r="C34" s="61" t="s">
        <v>102</v>
      </c>
      <c r="D34" s="55" t="s">
        <v>187</v>
      </c>
      <c r="E34" s="55">
        <v>2022</v>
      </c>
      <c r="F34" s="55">
        <v>2</v>
      </c>
      <c r="G34" s="55">
        <v>2</v>
      </c>
      <c r="H34" s="55">
        <v>2</v>
      </c>
      <c r="I34" s="55">
        <v>2</v>
      </c>
      <c r="J34" s="55">
        <v>2</v>
      </c>
      <c r="K34" s="55">
        <v>2</v>
      </c>
      <c r="L34" s="55">
        <v>2</v>
      </c>
      <c r="M34" s="55">
        <v>2</v>
      </c>
      <c r="N34" s="55">
        <v>2</v>
      </c>
      <c r="O34" s="55">
        <v>2</v>
      </c>
      <c r="P34" s="55">
        <v>2</v>
      </c>
      <c r="Q34" s="55">
        <v>2</v>
      </c>
      <c r="R34" s="55">
        <v>2</v>
      </c>
      <c r="S34" s="55">
        <v>2</v>
      </c>
      <c r="T34" s="55">
        <v>2</v>
      </c>
      <c r="U34" s="55">
        <v>2</v>
      </c>
      <c r="V34" s="55">
        <v>2</v>
      </c>
      <c r="W34" s="55">
        <v>2</v>
      </c>
      <c r="X34" s="55">
        <v>2</v>
      </c>
      <c r="Y34" s="55">
        <v>2</v>
      </c>
      <c r="Z34" s="55">
        <v>2</v>
      </c>
      <c r="AA34" s="55">
        <v>2</v>
      </c>
      <c r="AB34" s="59">
        <v>0</v>
      </c>
      <c r="AC34" s="57" t="e">
        <f>#REF!+#REF!+#REF!+#REF!</f>
        <v>#REF!</v>
      </c>
      <c r="AD34" s="57">
        <f>G34-AA34</f>
        <v>0</v>
      </c>
      <c r="AE34" s="60"/>
      <c r="AF34" s="61"/>
      <c r="AG34" s="184">
        <v>15675000</v>
      </c>
      <c r="AH34" s="186">
        <f>+Y34*AG34</f>
        <v>31350000</v>
      </c>
      <c r="AI34" s="5" t="s">
        <v>197</v>
      </c>
      <c r="AJ34" s="5" t="s">
        <v>139</v>
      </c>
      <c r="AK34" s="58" t="s">
        <v>74</v>
      </c>
      <c r="AL34" s="61"/>
      <c r="AM34" s="61"/>
    </row>
    <row r="35" spans="2:39" s="7" customFormat="1" ht="15.75">
      <c r="B35" s="55">
        <v>13</v>
      </c>
      <c r="C35" s="61" t="s">
        <v>99</v>
      </c>
      <c r="D35" s="55" t="s">
        <v>187</v>
      </c>
      <c r="E35" s="55">
        <v>2022</v>
      </c>
      <c r="F35" s="55">
        <v>2</v>
      </c>
      <c r="G35" s="55">
        <v>2</v>
      </c>
      <c r="H35" s="55">
        <v>2</v>
      </c>
      <c r="I35" s="55">
        <v>2</v>
      </c>
      <c r="J35" s="55">
        <v>2</v>
      </c>
      <c r="K35" s="55">
        <v>2</v>
      </c>
      <c r="L35" s="55">
        <v>2</v>
      </c>
      <c r="M35" s="55">
        <v>2</v>
      </c>
      <c r="N35" s="55">
        <v>2</v>
      </c>
      <c r="O35" s="55">
        <v>2</v>
      </c>
      <c r="P35" s="55">
        <v>2</v>
      </c>
      <c r="Q35" s="55">
        <v>2</v>
      </c>
      <c r="R35" s="55">
        <v>2</v>
      </c>
      <c r="S35" s="55">
        <v>2</v>
      </c>
      <c r="T35" s="55">
        <v>2</v>
      </c>
      <c r="U35" s="55">
        <v>2</v>
      </c>
      <c r="V35" s="55">
        <v>2</v>
      </c>
      <c r="W35" s="55">
        <v>2</v>
      </c>
      <c r="X35" s="55">
        <v>2</v>
      </c>
      <c r="Y35" s="55">
        <v>2</v>
      </c>
      <c r="Z35" s="55">
        <v>2</v>
      </c>
      <c r="AA35" s="55">
        <v>2</v>
      </c>
      <c r="AB35" s="59">
        <v>0</v>
      </c>
      <c r="AC35" s="57"/>
      <c r="AD35" s="57"/>
      <c r="AE35" s="60"/>
      <c r="AF35" s="61"/>
      <c r="AG35" s="61"/>
      <c r="AH35" s="61"/>
      <c r="AI35" s="5" t="s">
        <v>197</v>
      </c>
      <c r="AJ35" s="5" t="s">
        <v>139</v>
      </c>
      <c r="AK35" s="58" t="s">
        <v>74</v>
      </c>
      <c r="AL35" s="61"/>
      <c r="AM35" s="61"/>
    </row>
    <row r="36" spans="2:39" s="7" customFormat="1" ht="15.75">
      <c r="B36" s="55">
        <v>14</v>
      </c>
      <c r="C36" s="61" t="s">
        <v>100</v>
      </c>
      <c r="D36" s="55" t="s">
        <v>187</v>
      </c>
      <c r="E36" s="55">
        <v>2022</v>
      </c>
      <c r="F36" s="55">
        <v>1</v>
      </c>
      <c r="G36" s="55">
        <v>1</v>
      </c>
      <c r="H36" s="55">
        <v>1</v>
      </c>
      <c r="I36" s="55">
        <v>1</v>
      </c>
      <c r="J36" s="55">
        <v>1</v>
      </c>
      <c r="K36" s="55">
        <v>1</v>
      </c>
      <c r="L36" s="55">
        <v>1</v>
      </c>
      <c r="M36" s="55">
        <v>1</v>
      </c>
      <c r="N36" s="55">
        <v>1</v>
      </c>
      <c r="O36" s="55">
        <v>1</v>
      </c>
      <c r="P36" s="55">
        <v>1</v>
      </c>
      <c r="Q36" s="55">
        <v>1</v>
      </c>
      <c r="R36" s="55">
        <v>1</v>
      </c>
      <c r="S36" s="55">
        <v>1</v>
      </c>
      <c r="T36" s="55">
        <v>1</v>
      </c>
      <c r="U36" s="55">
        <v>1</v>
      </c>
      <c r="V36" s="55">
        <v>1</v>
      </c>
      <c r="W36" s="55">
        <v>1</v>
      </c>
      <c r="X36" s="55">
        <v>1</v>
      </c>
      <c r="Y36" s="55">
        <v>1</v>
      </c>
      <c r="Z36" s="55">
        <v>1</v>
      </c>
      <c r="AA36" s="55">
        <v>1</v>
      </c>
      <c r="AB36" s="59">
        <v>0</v>
      </c>
      <c r="AC36" s="57"/>
      <c r="AD36" s="57"/>
      <c r="AE36" s="60"/>
      <c r="AF36" s="61"/>
      <c r="AG36" s="61"/>
      <c r="AH36" s="61"/>
      <c r="AI36" s="5" t="s">
        <v>197</v>
      </c>
      <c r="AJ36" s="5" t="s">
        <v>139</v>
      </c>
      <c r="AK36" s="58" t="s">
        <v>74</v>
      </c>
      <c r="AL36" s="61"/>
      <c r="AM36" s="61"/>
    </row>
    <row r="37" spans="2:39" s="7" customFormat="1" ht="15.75">
      <c r="B37" s="53" t="s">
        <v>106</v>
      </c>
      <c r="C37" s="54" t="s">
        <v>175</v>
      </c>
      <c r="D37" s="55"/>
      <c r="E37" s="55"/>
      <c r="F37" s="55"/>
      <c r="G37" s="56"/>
      <c r="H37" s="56"/>
      <c r="I37" s="57"/>
      <c r="J37" s="57"/>
      <c r="K37" s="57"/>
      <c r="L37" s="58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5"/>
      <c r="Z37" s="57"/>
      <c r="AA37" s="56"/>
      <c r="AB37" s="59"/>
      <c r="AC37" s="57"/>
      <c r="AD37" s="57"/>
      <c r="AE37" s="60"/>
      <c r="AF37" s="61"/>
      <c r="AG37" s="61"/>
      <c r="AH37" s="61"/>
      <c r="AI37" s="5"/>
      <c r="AJ37" s="5"/>
      <c r="AK37" s="58"/>
      <c r="AL37" s="82"/>
      <c r="AM37" s="61"/>
    </row>
    <row r="38" spans="2:39" s="7" customFormat="1" ht="15.75">
      <c r="B38" s="55">
        <v>1</v>
      </c>
      <c r="C38" s="61" t="s">
        <v>92</v>
      </c>
      <c r="D38" s="55" t="s">
        <v>187</v>
      </c>
      <c r="E38" s="55">
        <v>2022</v>
      </c>
      <c r="F38" s="55">
        <v>8</v>
      </c>
      <c r="G38" s="55">
        <v>8</v>
      </c>
      <c r="H38" s="55">
        <v>8</v>
      </c>
      <c r="I38" s="55">
        <v>8</v>
      </c>
      <c r="J38" s="55">
        <v>8</v>
      </c>
      <c r="K38" s="55">
        <v>8</v>
      </c>
      <c r="L38" s="55">
        <v>8</v>
      </c>
      <c r="M38" s="55">
        <v>8</v>
      </c>
      <c r="N38" s="55">
        <v>8</v>
      </c>
      <c r="O38" s="55">
        <v>8</v>
      </c>
      <c r="P38" s="55">
        <v>8</v>
      </c>
      <c r="Q38" s="55">
        <v>8</v>
      </c>
      <c r="R38" s="55">
        <v>8</v>
      </c>
      <c r="S38" s="55">
        <v>8</v>
      </c>
      <c r="T38" s="55">
        <v>8</v>
      </c>
      <c r="U38" s="55">
        <v>8</v>
      </c>
      <c r="V38" s="55">
        <v>8</v>
      </c>
      <c r="W38" s="55">
        <v>8</v>
      </c>
      <c r="X38" s="55">
        <v>8</v>
      </c>
      <c r="Y38" s="55">
        <v>8</v>
      </c>
      <c r="Z38" s="57"/>
      <c r="AA38" s="56"/>
      <c r="AB38" s="59">
        <v>0</v>
      </c>
      <c r="AC38" s="57"/>
      <c r="AD38" s="57"/>
      <c r="AE38" s="60"/>
      <c r="AF38" s="61"/>
      <c r="AG38" s="61"/>
      <c r="AH38" s="61"/>
      <c r="AI38" s="5" t="s">
        <v>197</v>
      </c>
      <c r="AJ38" s="5" t="s">
        <v>142</v>
      </c>
      <c r="AK38" s="58" t="s">
        <v>74</v>
      </c>
      <c r="AL38" s="61"/>
      <c r="AM38" s="61"/>
    </row>
    <row r="39" spans="2:39" s="7" customFormat="1" ht="15.75">
      <c r="B39" s="55">
        <v>2</v>
      </c>
      <c r="C39" s="61" t="s">
        <v>101</v>
      </c>
      <c r="D39" s="55" t="s">
        <v>187</v>
      </c>
      <c r="E39" s="55">
        <v>2022</v>
      </c>
      <c r="F39" s="55">
        <v>1</v>
      </c>
      <c r="G39" s="55">
        <v>1</v>
      </c>
      <c r="H39" s="55">
        <v>1</v>
      </c>
      <c r="I39" s="55">
        <v>1</v>
      </c>
      <c r="J39" s="55">
        <v>1</v>
      </c>
      <c r="K39" s="55">
        <v>1</v>
      </c>
      <c r="L39" s="55">
        <v>1</v>
      </c>
      <c r="M39" s="55">
        <v>1</v>
      </c>
      <c r="N39" s="55">
        <v>1</v>
      </c>
      <c r="O39" s="55">
        <v>1</v>
      </c>
      <c r="P39" s="55">
        <v>1</v>
      </c>
      <c r="Q39" s="55">
        <v>1</v>
      </c>
      <c r="R39" s="55">
        <v>1</v>
      </c>
      <c r="S39" s="55">
        <v>1</v>
      </c>
      <c r="T39" s="55">
        <v>1</v>
      </c>
      <c r="U39" s="55">
        <v>1</v>
      </c>
      <c r="V39" s="55">
        <v>1</v>
      </c>
      <c r="W39" s="55">
        <v>1</v>
      </c>
      <c r="X39" s="55">
        <v>1</v>
      </c>
      <c r="Y39" s="55">
        <v>1</v>
      </c>
      <c r="Z39" s="57"/>
      <c r="AA39" s="56"/>
      <c r="AB39" s="59">
        <v>0</v>
      </c>
      <c r="AC39" s="57"/>
      <c r="AD39" s="57"/>
      <c r="AE39" s="60"/>
      <c r="AF39" s="61"/>
      <c r="AG39" s="61"/>
      <c r="AH39" s="61"/>
      <c r="AI39" s="5" t="s">
        <v>197</v>
      </c>
      <c r="AJ39" s="5" t="s">
        <v>142</v>
      </c>
      <c r="AK39" s="58" t="s">
        <v>74</v>
      </c>
      <c r="AL39" s="61"/>
      <c r="AM39" s="61"/>
    </row>
    <row r="40" spans="2:39" s="7" customFormat="1" ht="15.75">
      <c r="B40" s="55">
        <v>3</v>
      </c>
      <c r="C40" s="61" t="s">
        <v>94</v>
      </c>
      <c r="D40" s="55" t="s">
        <v>187</v>
      </c>
      <c r="E40" s="55">
        <v>2022</v>
      </c>
      <c r="F40" s="55">
        <v>6</v>
      </c>
      <c r="G40" s="55">
        <v>6</v>
      </c>
      <c r="H40" s="55">
        <v>6</v>
      </c>
      <c r="I40" s="55">
        <v>6</v>
      </c>
      <c r="J40" s="55">
        <v>6</v>
      </c>
      <c r="K40" s="55">
        <v>6</v>
      </c>
      <c r="L40" s="55">
        <v>6</v>
      </c>
      <c r="M40" s="55">
        <v>6</v>
      </c>
      <c r="N40" s="55">
        <v>6</v>
      </c>
      <c r="O40" s="55">
        <v>6</v>
      </c>
      <c r="P40" s="55">
        <v>6</v>
      </c>
      <c r="Q40" s="55">
        <v>6</v>
      </c>
      <c r="R40" s="55">
        <v>6</v>
      </c>
      <c r="S40" s="55">
        <v>6</v>
      </c>
      <c r="T40" s="55">
        <v>6</v>
      </c>
      <c r="U40" s="55">
        <v>6</v>
      </c>
      <c r="V40" s="55">
        <v>6</v>
      </c>
      <c r="W40" s="55">
        <v>6</v>
      </c>
      <c r="X40" s="55">
        <v>6</v>
      </c>
      <c r="Y40" s="55">
        <v>6</v>
      </c>
      <c r="Z40" s="57"/>
      <c r="AA40" s="56"/>
      <c r="AB40" s="59">
        <v>0</v>
      </c>
      <c r="AC40" s="57"/>
      <c r="AD40" s="57"/>
      <c r="AE40" s="60"/>
      <c r="AF40" s="61"/>
      <c r="AG40" s="61"/>
      <c r="AH40" s="61"/>
      <c r="AI40" s="5" t="s">
        <v>197</v>
      </c>
      <c r="AJ40" s="5" t="s">
        <v>142</v>
      </c>
      <c r="AK40" s="58" t="s">
        <v>74</v>
      </c>
      <c r="AL40" s="61"/>
      <c r="AM40" s="61"/>
    </row>
    <row r="41" spans="2:39" s="7" customFormat="1" ht="15.75">
      <c r="B41" s="55">
        <v>4</v>
      </c>
      <c r="C41" s="61" t="s">
        <v>95</v>
      </c>
      <c r="D41" s="55" t="s">
        <v>187</v>
      </c>
      <c r="E41" s="55">
        <v>2022</v>
      </c>
      <c r="F41" s="55">
        <v>1</v>
      </c>
      <c r="G41" s="55">
        <v>1</v>
      </c>
      <c r="H41" s="55">
        <v>1</v>
      </c>
      <c r="I41" s="55">
        <v>1</v>
      </c>
      <c r="J41" s="55">
        <v>1</v>
      </c>
      <c r="K41" s="55">
        <v>1</v>
      </c>
      <c r="L41" s="55">
        <v>1</v>
      </c>
      <c r="M41" s="55">
        <v>1</v>
      </c>
      <c r="N41" s="55">
        <v>1</v>
      </c>
      <c r="O41" s="55">
        <v>1</v>
      </c>
      <c r="P41" s="55">
        <v>1</v>
      </c>
      <c r="Q41" s="55">
        <v>1</v>
      </c>
      <c r="R41" s="55">
        <v>1</v>
      </c>
      <c r="S41" s="55">
        <v>1</v>
      </c>
      <c r="T41" s="55">
        <v>1</v>
      </c>
      <c r="U41" s="55">
        <v>1</v>
      </c>
      <c r="V41" s="55">
        <v>1</v>
      </c>
      <c r="W41" s="55">
        <v>1</v>
      </c>
      <c r="X41" s="55">
        <v>1</v>
      </c>
      <c r="Y41" s="55">
        <v>1</v>
      </c>
      <c r="Z41" s="57"/>
      <c r="AA41" s="56"/>
      <c r="AB41" s="59">
        <v>0</v>
      </c>
      <c r="AC41" s="57"/>
      <c r="AD41" s="57"/>
      <c r="AE41" s="60"/>
      <c r="AF41" s="61"/>
      <c r="AG41" s="61"/>
      <c r="AH41" s="61"/>
      <c r="AI41" s="5" t="s">
        <v>197</v>
      </c>
      <c r="AJ41" s="5" t="s">
        <v>142</v>
      </c>
      <c r="AK41" s="58" t="s">
        <v>74</v>
      </c>
      <c r="AL41" s="61"/>
      <c r="AM41" s="61"/>
    </row>
    <row r="42" spans="2:39" s="7" customFormat="1" ht="15.75">
      <c r="B42" s="55">
        <v>5</v>
      </c>
      <c r="C42" s="61" t="s">
        <v>96</v>
      </c>
      <c r="D42" s="55" t="s">
        <v>188</v>
      </c>
      <c r="E42" s="55">
        <v>2022</v>
      </c>
      <c r="F42" s="55">
        <v>1</v>
      </c>
      <c r="G42" s="55">
        <v>1</v>
      </c>
      <c r="H42" s="55">
        <v>1</v>
      </c>
      <c r="I42" s="55">
        <v>1</v>
      </c>
      <c r="J42" s="55">
        <v>1</v>
      </c>
      <c r="K42" s="55">
        <v>1</v>
      </c>
      <c r="L42" s="55">
        <v>1</v>
      </c>
      <c r="M42" s="55">
        <v>1</v>
      </c>
      <c r="N42" s="55">
        <v>1</v>
      </c>
      <c r="O42" s="55">
        <v>1</v>
      </c>
      <c r="P42" s="55">
        <v>1</v>
      </c>
      <c r="Q42" s="55">
        <v>1</v>
      </c>
      <c r="R42" s="55">
        <v>1</v>
      </c>
      <c r="S42" s="55">
        <v>1</v>
      </c>
      <c r="T42" s="55">
        <v>1</v>
      </c>
      <c r="U42" s="55">
        <v>1</v>
      </c>
      <c r="V42" s="55">
        <v>1</v>
      </c>
      <c r="W42" s="55">
        <v>1</v>
      </c>
      <c r="X42" s="55">
        <v>1</v>
      </c>
      <c r="Y42" s="55">
        <v>1</v>
      </c>
      <c r="Z42" s="57"/>
      <c r="AA42" s="56"/>
      <c r="AB42" s="59">
        <v>0</v>
      </c>
      <c r="AC42" s="57"/>
      <c r="AD42" s="57"/>
      <c r="AE42" s="60"/>
      <c r="AF42" s="61"/>
      <c r="AG42" s="61"/>
      <c r="AH42" s="61"/>
      <c r="AI42" s="5" t="s">
        <v>197</v>
      </c>
      <c r="AJ42" s="5" t="s">
        <v>142</v>
      </c>
      <c r="AK42" s="58" t="s">
        <v>74</v>
      </c>
      <c r="AL42" s="61"/>
      <c r="AM42" s="61"/>
    </row>
    <row r="43" spans="2:39" s="7" customFormat="1" ht="31.5">
      <c r="B43" s="55">
        <v>6</v>
      </c>
      <c r="C43" s="62" t="s">
        <v>176</v>
      </c>
      <c r="D43" s="55" t="s">
        <v>188</v>
      </c>
      <c r="E43" s="55">
        <v>2022</v>
      </c>
      <c r="F43" s="55">
        <v>3</v>
      </c>
      <c r="G43" s="55">
        <v>3</v>
      </c>
      <c r="H43" s="55">
        <v>3</v>
      </c>
      <c r="I43" s="55">
        <v>3</v>
      </c>
      <c r="J43" s="55">
        <v>3</v>
      </c>
      <c r="K43" s="55">
        <v>3</v>
      </c>
      <c r="L43" s="55">
        <v>3</v>
      </c>
      <c r="M43" s="55">
        <v>3</v>
      </c>
      <c r="N43" s="55">
        <v>3</v>
      </c>
      <c r="O43" s="55">
        <v>3</v>
      </c>
      <c r="P43" s="55">
        <v>3</v>
      </c>
      <c r="Q43" s="55">
        <v>3</v>
      </c>
      <c r="R43" s="55">
        <v>3</v>
      </c>
      <c r="S43" s="55">
        <v>3</v>
      </c>
      <c r="T43" s="55">
        <v>3</v>
      </c>
      <c r="U43" s="55">
        <v>3</v>
      </c>
      <c r="V43" s="55">
        <v>3</v>
      </c>
      <c r="W43" s="55">
        <v>3</v>
      </c>
      <c r="X43" s="55">
        <v>3</v>
      </c>
      <c r="Y43" s="55">
        <v>3</v>
      </c>
      <c r="Z43" s="57"/>
      <c r="AA43" s="56"/>
      <c r="AB43" s="59">
        <v>0</v>
      </c>
      <c r="AC43" s="57"/>
      <c r="AD43" s="57"/>
      <c r="AE43" s="60"/>
      <c r="AF43" s="61"/>
      <c r="AG43" s="61"/>
      <c r="AH43" s="61"/>
      <c r="AI43" s="5" t="s">
        <v>197</v>
      </c>
      <c r="AJ43" s="5" t="s">
        <v>142</v>
      </c>
      <c r="AK43" s="58" t="s">
        <v>74</v>
      </c>
      <c r="AL43" s="61"/>
      <c r="AM43" s="61"/>
    </row>
    <row r="44" spans="2:39" s="7" customFormat="1" ht="15.75">
      <c r="B44" s="55">
        <v>7</v>
      </c>
      <c r="C44" s="61" t="s">
        <v>177</v>
      </c>
      <c r="D44" s="55" t="s">
        <v>187</v>
      </c>
      <c r="E44" s="55">
        <v>2022</v>
      </c>
      <c r="F44" s="55">
        <v>2</v>
      </c>
      <c r="G44" s="55">
        <v>2</v>
      </c>
      <c r="H44" s="55">
        <v>2</v>
      </c>
      <c r="I44" s="55">
        <v>2</v>
      </c>
      <c r="J44" s="55">
        <v>2</v>
      </c>
      <c r="K44" s="55">
        <v>2</v>
      </c>
      <c r="L44" s="55">
        <v>2</v>
      </c>
      <c r="M44" s="55">
        <v>2</v>
      </c>
      <c r="N44" s="55">
        <v>2</v>
      </c>
      <c r="O44" s="55">
        <v>2</v>
      </c>
      <c r="P44" s="55">
        <v>2</v>
      </c>
      <c r="Q44" s="55">
        <v>2</v>
      </c>
      <c r="R44" s="55">
        <v>2</v>
      </c>
      <c r="S44" s="55">
        <v>2</v>
      </c>
      <c r="T44" s="55">
        <v>2</v>
      </c>
      <c r="U44" s="55">
        <v>2</v>
      </c>
      <c r="V44" s="55">
        <v>2</v>
      </c>
      <c r="W44" s="55">
        <v>2</v>
      </c>
      <c r="X44" s="55">
        <v>2</v>
      </c>
      <c r="Y44" s="55">
        <v>2</v>
      </c>
      <c r="Z44" s="57"/>
      <c r="AA44" s="56"/>
      <c r="AB44" s="59">
        <v>0</v>
      </c>
      <c r="AC44" s="57"/>
      <c r="AD44" s="57"/>
      <c r="AE44" s="60"/>
      <c r="AF44" s="61"/>
      <c r="AG44" s="184">
        <v>12669000</v>
      </c>
      <c r="AH44" s="186">
        <f>+Y44*AG44</f>
        <v>25338000</v>
      </c>
      <c r="AI44" s="5" t="s">
        <v>197</v>
      </c>
      <c r="AJ44" s="5" t="s">
        <v>142</v>
      </c>
      <c r="AK44" s="58" t="s">
        <v>74</v>
      </c>
      <c r="AL44" s="61"/>
      <c r="AM44" s="61"/>
    </row>
    <row r="45" spans="2:39" s="7" customFormat="1" ht="15.75">
      <c r="B45" s="55">
        <v>8</v>
      </c>
      <c r="C45" s="61" t="s">
        <v>103</v>
      </c>
      <c r="D45" s="55" t="s">
        <v>187</v>
      </c>
      <c r="E45" s="55">
        <v>2022</v>
      </c>
      <c r="F45" s="55">
        <v>1</v>
      </c>
      <c r="G45" s="55">
        <v>1</v>
      </c>
      <c r="H45" s="55">
        <v>1</v>
      </c>
      <c r="I45" s="55">
        <v>1</v>
      </c>
      <c r="J45" s="55">
        <v>1</v>
      </c>
      <c r="K45" s="55">
        <v>1</v>
      </c>
      <c r="L45" s="55">
        <v>1</v>
      </c>
      <c r="M45" s="55">
        <v>1</v>
      </c>
      <c r="N45" s="55">
        <v>1</v>
      </c>
      <c r="O45" s="55">
        <v>1</v>
      </c>
      <c r="P45" s="55">
        <v>1</v>
      </c>
      <c r="Q45" s="55">
        <v>1</v>
      </c>
      <c r="R45" s="55">
        <v>1</v>
      </c>
      <c r="S45" s="55">
        <v>1</v>
      </c>
      <c r="T45" s="55">
        <v>1</v>
      </c>
      <c r="U45" s="55">
        <v>1</v>
      </c>
      <c r="V45" s="55">
        <v>1</v>
      </c>
      <c r="W45" s="55">
        <v>1</v>
      </c>
      <c r="X45" s="55">
        <v>1</v>
      </c>
      <c r="Y45" s="55">
        <v>1</v>
      </c>
      <c r="Z45" s="57"/>
      <c r="AA45" s="56"/>
      <c r="AB45" s="59">
        <v>0</v>
      </c>
      <c r="AC45" s="57"/>
      <c r="AD45" s="57"/>
      <c r="AE45" s="60"/>
      <c r="AF45" s="61"/>
      <c r="AG45" s="61"/>
      <c r="AH45" s="61"/>
      <c r="AI45" s="5" t="s">
        <v>197</v>
      </c>
      <c r="AJ45" s="5" t="s">
        <v>142</v>
      </c>
      <c r="AK45" s="58" t="s">
        <v>74</v>
      </c>
      <c r="AL45" s="61"/>
      <c r="AM45" s="61"/>
    </row>
    <row r="46" spans="2:39" s="7" customFormat="1" ht="15.75">
      <c r="B46" s="53" t="s">
        <v>107</v>
      </c>
      <c r="C46" s="54" t="s">
        <v>178</v>
      </c>
      <c r="D46" s="55"/>
      <c r="E46" s="55"/>
      <c r="F46" s="55"/>
      <c r="G46" s="56"/>
      <c r="H46" s="56"/>
      <c r="I46" s="57"/>
      <c r="J46" s="57"/>
      <c r="K46" s="57"/>
      <c r="L46" s="58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5"/>
      <c r="Z46" s="57"/>
      <c r="AA46" s="56"/>
      <c r="AB46" s="59"/>
      <c r="AC46" s="57"/>
      <c r="AD46" s="57"/>
      <c r="AE46" s="60"/>
      <c r="AF46" s="61"/>
      <c r="AG46" s="61"/>
      <c r="AH46" s="61"/>
      <c r="AI46" s="5"/>
      <c r="AJ46" s="5"/>
      <c r="AK46" s="58"/>
      <c r="AL46" s="82"/>
      <c r="AM46" s="61"/>
    </row>
    <row r="47" spans="2:39" s="7" customFormat="1" ht="15.75">
      <c r="B47" s="55">
        <v>1</v>
      </c>
      <c r="C47" s="61" t="s">
        <v>92</v>
      </c>
      <c r="D47" s="55" t="s">
        <v>187</v>
      </c>
      <c r="E47" s="55">
        <v>2022</v>
      </c>
      <c r="F47" s="55">
        <v>8</v>
      </c>
      <c r="G47" s="55">
        <v>8</v>
      </c>
      <c r="H47" s="55">
        <v>8</v>
      </c>
      <c r="I47" s="55">
        <v>8</v>
      </c>
      <c r="J47" s="55">
        <v>8</v>
      </c>
      <c r="K47" s="55">
        <v>8</v>
      </c>
      <c r="L47" s="55">
        <v>8</v>
      </c>
      <c r="M47" s="55">
        <v>8</v>
      </c>
      <c r="N47" s="55">
        <v>8</v>
      </c>
      <c r="O47" s="55">
        <v>8</v>
      </c>
      <c r="P47" s="55">
        <v>8</v>
      </c>
      <c r="Q47" s="55">
        <v>8</v>
      </c>
      <c r="R47" s="55">
        <v>8</v>
      </c>
      <c r="S47" s="55">
        <v>8</v>
      </c>
      <c r="T47" s="55">
        <v>8</v>
      </c>
      <c r="U47" s="55">
        <v>8</v>
      </c>
      <c r="V47" s="55">
        <v>8</v>
      </c>
      <c r="W47" s="55">
        <v>8</v>
      </c>
      <c r="X47" s="55">
        <v>8</v>
      </c>
      <c r="Y47" s="55">
        <v>8</v>
      </c>
      <c r="Z47" s="57"/>
      <c r="AA47" s="56"/>
      <c r="AB47" s="59">
        <v>0</v>
      </c>
      <c r="AC47" s="57"/>
      <c r="AD47" s="57"/>
      <c r="AE47" s="60"/>
      <c r="AF47" s="61"/>
      <c r="AG47" s="61"/>
      <c r="AH47" s="61"/>
      <c r="AI47" s="5" t="s">
        <v>197</v>
      </c>
      <c r="AJ47" s="5" t="s">
        <v>179</v>
      </c>
      <c r="AK47" s="58" t="s">
        <v>74</v>
      </c>
      <c r="AL47" s="61"/>
      <c r="AM47" s="61"/>
    </row>
    <row r="48" spans="2:39" s="7" customFormat="1" ht="15.75">
      <c r="B48" s="55">
        <v>2</v>
      </c>
      <c r="C48" s="61" t="s">
        <v>101</v>
      </c>
      <c r="D48" s="55" t="s">
        <v>187</v>
      </c>
      <c r="E48" s="55">
        <v>2022</v>
      </c>
      <c r="F48" s="55">
        <v>1</v>
      </c>
      <c r="G48" s="55">
        <v>1</v>
      </c>
      <c r="H48" s="55">
        <v>1</v>
      </c>
      <c r="I48" s="55">
        <v>1</v>
      </c>
      <c r="J48" s="55">
        <v>1</v>
      </c>
      <c r="K48" s="55">
        <v>1</v>
      </c>
      <c r="L48" s="55">
        <v>1</v>
      </c>
      <c r="M48" s="55">
        <v>1</v>
      </c>
      <c r="N48" s="55">
        <v>1</v>
      </c>
      <c r="O48" s="55">
        <v>1</v>
      </c>
      <c r="P48" s="55">
        <v>1</v>
      </c>
      <c r="Q48" s="55">
        <v>1</v>
      </c>
      <c r="R48" s="55">
        <v>1</v>
      </c>
      <c r="S48" s="55">
        <v>1</v>
      </c>
      <c r="T48" s="55">
        <v>1</v>
      </c>
      <c r="U48" s="55">
        <v>1</v>
      </c>
      <c r="V48" s="55">
        <v>1</v>
      </c>
      <c r="W48" s="55">
        <v>1</v>
      </c>
      <c r="X48" s="55">
        <v>1</v>
      </c>
      <c r="Y48" s="55">
        <v>1</v>
      </c>
      <c r="Z48" s="57"/>
      <c r="AA48" s="56"/>
      <c r="AB48" s="59">
        <v>0</v>
      </c>
      <c r="AC48" s="57"/>
      <c r="AD48" s="57"/>
      <c r="AE48" s="60"/>
      <c r="AF48" s="61"/>
      <c r="AG48" s="61"/>
      <c r="AH48" s="61"/>
      <c r="AI48" s="5" t="s">
        <v>197</v>
      </c>
      <c r="AJ48" s="5" t="s">
        <v>179</v>
      </c>
      <c r="AK48" s="58" t="s">
        <v>74</v>
      </c>
      <c r="AL48" s="61"/>
      <c r="AM48" s="61"/>
    </row>
    <row r="49" spans="2:39" s="7" customFormat="1" ht="15.75">
      <c r="B49" s="55">
        <v>3</v>
      </c>
      <c r="C49" s="61" t="s">
        <v>94</v>
      </c>
      <c r="D49" s="55" t="s">
        <v>187</v>
      </c>
      <c r="E49" s="55">
        <v>2022</v>
      </c>
      <c r="F49" s="55">
        <v>6</v>
      </c>
      <c r="G49" s="55">
        <v>6</v>
      </c>
      <c r="H49" s="55">
        <v>6</v>
      </c>
      <c r="I49" s="55">
        <v>6</v>
      </c>
      <c r="J49" s="55">
        <v>6</v>
      </c>
      <c r="K49" s="55">
        <v>6</v>
      </c>
      <c r="L49" s="55">
        <v>6</v>
      </c>
      <c r="M49" s="55">
        <v>6</v>
      </c>
      <c r="N49" s="55">
        <v>6</v>
      </c>
      <c r="O49" s="55">
        <v>6</v>
      </c>
      <c r="P49" s="55">
        <v>6</v>
      </c>
      <c r="Q49" s="55">
        <v>6</v>
      </c>
      <c r="R49" s="55">
        <v>6</v>
      </c>
      <c r="S49" s="55">
        <v>6</v>
      </c>
      <c r="T49" s="55">
        <v>6</v>
      </c>
      <c r="U49" s="55">
        <v>6</v>
      </c>
      <c r="V49" s="55">
        <v>6</v>
      </c>
      <c r="W49" s="55">
        <v>6</v>
      </c>
      <c r="X49" s="55">
        <v>6</v>
      </c>
      <c r="Y49" s="55">
        <v>6</v>
      </c>
      <c r="Z49" s="57"/>
      <c r="AA49" s="56"/>
      <c r="AB49" s="59">
        <v>0</v>
      </c>
      <c r="AC49" s="57"/>
      <c r="AD49" s="57"/>
      <c r="AE49" s="60"/>
      <c r="AF49" s="61"/>
      <c r="AG49" s="61"/>
      <c r="AH49" s="61"/>
      <c r="AI49" s="5" t="s">
        <v>197</v>
      </c>
      <c r="AJ49" s="5" t="s">
        <v>179</v>
      </c>
      <c r="AK49" s="58" t="s">
        <v>74</v>
      </c>
      <c r="AL49" s="61"/>
      <c r="AM49" s="61"/>
    </row>
    <row r="50" spans="2:39" s="7" customFormat="1" ht="15.75">
      <c r="B50" s="55">
        <v>4</v>
      </c>
      <c r="C50" s="61" t="s">
        <v>95</v>
      </c>
      <c r="D50" s="55" t="s">
        <v>187</v>
      </c>
      <c r="E50" s="55">
        <v>2022</v>
      </c>
      <c r="F50" s="55">
        <v>1</v>
      </c>
      <c r="G50" s="55">
        <v>1</v>
      </c>
      <c r="H50" s="55">
        <v>1</v>
      </c>
      <c r="I50" s="55">
        <v>1</v>
      </c>
      <c r="J50" s="55">
        <v>1</v>
      </c>
      <c r="K50" s="55">
        <v>1</v>
      </c>
      <c r="L50" s="55">
        <v>1</v>
      </c>
      <c r="M50" s="55">
        <v>1</v>
      </c>
      <c r="N50" s="55">
        <v>1</v>
      </c>
      <c r="O50" s="55">
        <v>1</v>
      </c>
      <c r="P50" s="55">
        <v>1</v>
      </c>
      <c r="Q50" s="55">
        <v>1</v>
      </c>
      <c r="R50" s="55">
        <v>1</v>
      </c>
      <c r="S50" s="55">
        <v>1</v>
      </c>
      <c r="T50" s="55">
        <v>1</v>
      </c>
      <c r="U50" s="55">
        <v>1</v>
      </c>
      <c r="V50" s="55">
        <v>1</v>
      </c>
      <c r="W50" s="55">
        <v>1</v>
      </c>
      <c r="X50" s="55">
        <v>1</v>
      </c>
      <c r="Y50" s="55">
        <v>1</v>
      </c>
      <c r="Z50" s="57"/>
      <c r="AA50" s="56"/>
      <c r="AB50" s="59">
        <v>0</v>
      </c>
      <c r="AC50" s="57"/>
      <c r="AD50" s="57"/>
      <c r="AE50" s="60"/>
      <c r="AF50" s="61"/>
      <c r="AG50" s="61"/>
      <c r="AH50" s="61"/>
      <c r="AI50" s="5" t="s">
        <v>197</v>
      </c>
      <c r="AJ50" s="5" t="s">
        <v>179</v>
      </c>
      <c r="AK50" s="58" t="s">
        <v>74</v>
      </c>
      <c r="AL50" s="61"/>
      <c r="AM50" s="61"/>
    </row>
    <row r="51" spans="2:39" s="7" customFormat="1" ht="15.75">
      <c r="B51" s="55">
        <v>5</v>
      </c>
      <c r="C51" s="61" t="s">
        <v>96</v>
      </c>
      <c r="D51" s="55" t="s">
        <v>188</v>
      </c>
      <c r="E51" s="55">
        <v>2022</v>
      </c>
      <c r="F51" s="55">
        <v>1</v>
      </c>
      <c r="G51" s="55">
        <v>1</v>
      </c>
      <c r="H51" s="55">
        <v>1</v>
      </c>
      <c r="I51" s="55">
        <v>1</v>
      </c>
      <c r="J51" s="55">
        <v>1</v>
      </c>
      <c r="K51" s="55">
        <v>1</v>
      </c>
      <c r="L51" s="55">
        <v>1</v>
      </c>
      <c r="M51" s="55">
        <v>1</v>
      </c>
      <c r="N51" s="55">
        <v>1</v>
      </c>
      <c r="O51" s="55">
        <v>1</v>
      </c>
      <c r="P51" s="55">
        <v>1</v>
      </c>
      <c r="Q51" s="55">
        <v>1</v>
      </c>
      <c r="R51" s="55">
        <v>1</v>
      </c>
      <c r="S51" s="55">
        <v>1</v>
      </c>
      <c r="T51" s="55">
        <v>1</v>
      </c>
      <c r="U51" s="55">
        <v>1</v>
      </c>
      <c r="V51" s="55">
        <v>1</v>
      </c>
      <c r="W51" s="55">
        <v>1</v>
      </c>
      <c r="X51" s="55">
        <v>1</v>
      </c>
      <c r="Y51" s="55">
        <v>1</v>
      </c>
      <c r="Z51" s="57"/>
      <c r="AA51" s="56"/>
      <c r="AB51" s="59">
        <v>0</v>
      </c>
      <c r="AC51" s="57"/>
      <c r="AD51" s="57"/>
      <c r="AE51" s="60"/>
      <c r="AF51" s="61"/>
      <c r="AG51" s="61"/>
      <c r="AH51" s="61"/>
      <c r="AI51" s="5" t="s">
        <v>197</v>
      </c>
      <c r="AJ51" s="5" t="s">
        <v>179</v>
      </c>
      <c r="AK51" s="58" t="s">
        <v>74</v>
      </c>
      <c r="AL51" s="61"/>
      <c r="AM51" s="61"/>
    </row>
    <row r="52" spans="2:39" s="7" customFormat="1" ht="31.5">
      <c r="B52" s="55">
        <v>6</v>
      </c>
      <c r="C52" s="62" t="s">
        <v>97</v>
      </c>
      <c r="D52" s="55" t="s">
        <v>188</v>
      </c>
      <c r="E52" s="55">
        <v>2022</v>
      </c>
      <c r="F52" s="55">
        <v>3</v>
      </c>
      <c r="G52" s="55">
        <v>3</v>
      </c>
      <c r="H52" s="55">
        <v>3</v>
      </c>
      <c r="I52" s="55">
        <v>3</v>
      </c>
      <c r="J52" s="55">
        <v>3</v>
      </c>
      <c r="K52" s="55">
        <v>3</v>
      </c>
      <c r="L52" s="55">
        <v>3</v>
      </c>
      <c r="M52" s="55">
        <v>3</v>
      </c>
      <c r="N52" s="55">
        <v>3</v>
      </c>
      <c r="O52" s="55">
        <v>3</v>
      </c>
      <c r="P52" s="55">
        <v>3</v>
      </c>
      <c r="Q52" s="55">
        <v>3</v>
      </c>
      <c r="R52" s="55">
        <v>3</v>
      </c>
      <c r="S52" s="55">
        <v>3</v>
      </c>
      <c r="T52" s="55">
        <v>3</v>
      </c>
      <c r="U52" s="55">
        <v>3</v>
      </c>
      <c r="V52" s="55">
        <v>3</v>
      </c>
      <c r="W52" s="55">
        <v>3</v>
      </c>
      <c r="X52" s="55">
        <v>3</v>
      </c>
      <c r="Y52" s="55">
        <v>3</v>
      </c>
      <c r="Z52" s="57"/>
      <c r="AA52" s="56"/>
      <c r="AB52" s="59">
        <v>0</v>
      </c>
      <c r="AC52" s="57"/>
      <c r="AD52" s="57"/>
      <c r="AE52" s="60"/>
      <c r="AF52" s="61"/>
      <c r="AG52" s="61"/>
      <c r="AH52" s="61"/>
      <c r="AI52" s="5" t="s">
        <v>197</v>
      </c>
      <c r="AJ52" s="5" t="s">
        <v>179</v>
      </c>
      <c r="AK52" s="58" t="s">
        <v>74</v>
      </c>
      <c r="AL52" s="61"/>
      <c r="AM52" s="61"/>
    </row>
    <row r="53" spans="2:39" s="7" customFormat="1" ht="15.75">
      <c r="B53" s="55">
        <v>7</v>
      </c>
      <c r="C53" s="61" t="s">
        <v>102</v>
      </c>
      <c r="D53" s="55" t="s">
        <v>187</v>
      </c>
      <c r="E53" s="55">
        <v>2022</v>
      </c>
      <c r="F53" s="55">
        <v>2</v>
      </c>
      <c r="G53" s="55">
        <v>2</v>
      </c>
      <c r="H53" s="55">
        <v>2</v>
      </c>
      <c r="I53" s="55">
        <v>2</v>
      </c>
      <c r="J53" s="55">
        <v>2</v>
      </c>
      <c r="K53" s="55">
        <v>2</v>
      </c>
      <c r="L53" s="55">
        <v>2</v>
      </c>
      <c r="M53" s="55">
        <v>2</v>
      </c>
      <c r="N53" s="55">
        <v>2</v>
      </c>
      <c r="O53" s="55">
        <v>2</v>
      </c>
      <c r="P53" s="55">
        <v>2</v>
      </c>
      <c r="Q53" s="55">
        <v>2</v>
      </c>
      <c r="R53" s="55">
        <v>2</v>
      </c>
      <c r="S53" s="55">
        <v>2</v>
      </c>
      <c r="T53" s="55">
        <v>2</v>
      </c>
      <c r="U53" s="55">
        <v>2</v>
      </c>
      <c r="V53" s="55">
        <v>2</v>
      </c>
      <c r="W53" s="55">
        <v>2</v>
      </c>
      <c r="X53" s="55">
        <v>2</v>
      </c>
      <c r="Y53" s="55">
        <v>2</v>
      </c>
      <c r="Z53" s="57"/>
      <c r="AA53" s="56"/>
      <c r="AB53" s="59">
        <v>0</v>
      </c>
      <c r="AC53" s="57"/>
      <c r="AD53" s="57"/>
      <c r="AE53" s="60"/>
      <c r="AF53" s="61"/>
      <c r="AG53" s="184">
        <v>15675000</v>
      </c>
      <c r="AH53" s="186">
        <f>+Y53*AG53</f>
        <v>31350000</v>
      </c>
      <c r="AI53" s="5" t="s">
        <v>197</v>
      </c>
      <c r="AJ53" s="5" t="s">
        <v>179</v>
      </c>
      <c r="AK53" s="58" t="s">
        <v>74</v>
      </c>
      <c r="AL53" s="61"/>
      <c r="AM53" s="61"/>
    </row>
    <row r="54" spans="2:39" s="7" customFormat="1" ht="15.75">
      <c r="B54" s="55">
        <v>8</v>
      </c>
      <c r="C54" s="61" t="s">
        <v>100</v>
      </c>
      <c r="D54" s="55" t="s">
        <v>187</v>
      </c>
      <c r="E54" s="55">
        <v>2022</v>
      </c>
      <c r="F54" s="55">
        <v>1</v>
      </c>
      <c r="G54" s="55">
        <v>1</v>
      </c>
      <c r="H54" s="55">
        <v>1</v>
      </c>
      <c r="I54" s="55">
        <v>1</v>
      </c>
      <c r="J54" s="55">
        <v>1</v>
      </c>
      <c r="K54" s="55">
        <v>1</v>
      </c>
      <c r="L54" s="55">
        <v>1</v>
      </c>
      <c r="M54" s="55">
        <v>1</v>
      </c>
      <c r="N54" s="55">
        <v>1</v>
      </c>
      <c r="O54" s="55">
        <v>1</v>
      </c>
      <c r="P54" s="55">
        <v>1</v>
      </c>
      <c r="Q54" s="55">
        <v>1</v>
      </c>
      <c r="R54" s="55">
        <v>1</v>
      </c>
      <c r="S54" s="55">
        <v>1</v>
      </c>
      <c r="T54" s="55">
        <v>1</v>
      </c>
      <c r="U54" s="55">
        <v>1</v>
      </c>
      <c r="V54" s="55">
        <v>1</v>
      </c>
      <c r="W54" s="55">
        <v>1</v>
      </c>
      <c r="X54" s="55">
        <v>1</v>
      </c>
      <c r="Y54" s="55">
        <v>1</v>
      </c>
      <c r="Z54" s="57"/>
      <c r="AA54" s="56"/>
      <c r="AB54" s="59">
        <v>0</v>
      </c>
      <c r="AC54" s="57"/>
      <c r="AD54" s="57"/>
      <c r="AE54" s="60"/>
      <c r="AF54" s="61"/>
      <c r="AG54" s="61"/>
      <c r="AH54" s="61"/>
      <c r="AI54" s="5" t="s">
        <v>197</v>
      </c>
      <c r="AJ54" s="5" t="s">
        <v>179</v>
      </c>
      <c r="AK54" s="58" t="s">
        <v>74</v>
      </c>
      <c r="AL54" s="61"/>
      <c r="AM54" s="61"/>
    </row>
    <row r="55" spans="2:39" s="7" customFormat="1" ht="25.5">
      <c r="B55" s="53" t="s">
        <v>151</v>
      </c>
      <c r="C55" s="212" t="s">
        <v>180</v>
      </c>
      <c r="D55" s="212"/>
      <c r="E55" s="212"/>
      <c r="F55" s="212"/>
      <c r="G55" s="56"/>
      <c r="H55" s="56"/>
      <c r="I55" s="57"/>
      <c r="J55" s="57"/>
      <c r="K55" s="57"/>
      <c r="L55" s="58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5"/>
      <c r="Z55" s="57"/>
      <c r="AA55" s="56"/>
      <c r="AB55" s="59"/>
      <c r="AC55" s="57"/>
      <c r="AD55" s="57"/>
      <c r="AE55" s="60"/>
      <c r="AF55" s="61"/>
      <c r="AG55" s="61"/>
      <c r="AH55" s="61"/>
      <c r="AI55" s="5"/>
      <c r="AJ55" s="5"/>
      <c r="AK55" s="58"/>
      <c r="AL55" s="82" t="s">
        <v>200</v>
      </c>
      <c r="AM55" s="61"/>
    </row>
    <row r="56" spans="2:39" s="7" customFormat="1" ht="15.75">
      <c r="B56" s="55">
        <v>1</v>
      </c>
      <c r="C56" s="61" t="s">
        <v>168</v>
      </c>
      <c r="D56" s="55" t="s">
        <v>187</v>
      </c>
      <c r="E56" s="55">
        <v>2022</v>
      </c>
      <c r="F56" s="55">
        <v>2</v>
      </c>
      <c r="G56" s="55">
        <v>2</v>
      </c>
      <c r="H56" s="55">
        <v>2</v>
      </c>
      <c r="I56" s="55">
        <v>2</v>
      </c>
      <c r="J56" s="55">
        <v>2</v>
      </c>
      <c r="K56" s="55">
        <v>2</v>
      </c>
      <c r="L56" s="55">
        <v>2</v>
      </c>
      <c r="M56" s="55">
        <v>2</v>
      </c>
      <c r="N56" s="55">
        <v>2</v>
      </c>
      <c r="O56" s="55">
        <v>2</v>
      </c>
      <c r="P56" s="55">
        <v>2</v>
      </c>
      <c r="Q56" s="55">
        <v>2</v>
      </c>
      <c r="R56" s="55">
        <v>2</v>
      </c>
      <c r="S56" s="55">
        <v>2</v>
      </c>
      <c r="T56" s="55">
        <v>2</v>
      </c>
      <c r="U56" s="55">
        <v>2</v>
      </c>
      <c r="V56" s="55">
        <v>2</v>
      </c>
      <c r="W56" s="55">
        <v>2</v>
      </c>
      <c r="X56" s="55">
        <v>2</v>
      </c>
      <c r="Y56" s="55">
        <v>2</v>
      </c>
      <c r="Z56" s="57"/>
      <c r="AA56" s="56"/>
      <c r="AB56" s="59">
        <v>0</v>
      </c>
      <c r="AC56" s="57"/>
      <c r="AD56" s="57"/>
      <c r="AE56" s="60"/>
      <c r="AF56" s="61"/>
      <c r="AG56" s="61"/>
      <c r="AH56" s="61"/>
      <c r="AI56" s="5" t="s">
        <v>197</v>
      </c>
      <c r="AJ56" s="5" t="s">
        <v>181</v>
      </c>
      <c r="AK56" s="58" t="s">
        <v>74</v>
      </c>
      <c r="AL56" s="61"/>
      <c r="AM56" s="61"/>
    </row>
    <row r="57" spans="2:39" s="7" customFormat="1" ht="15.75">
      <c r="B57" s="55">
        <v>2</v>
      </c>
      <c r="C57" s="61" t="s">
        <v>182</v>
      </c>
      <c r="D57" s="55" t="s">
        <v>187</v>
      </c>
      <c r="E57" s="55">
        <v>2022</v>
      </c>
      <c r="F57" s="55">
        <v>1</v>
      </c>
      <c r="G57" s="55">
        <v>1</v>
      </c>
      <c r="H57" s="55">
        <v>1</v>
      </c>
      <c r="I57" s="55">
        <v>1</v>
      </c>
      <c r="J57" s="55">
        <v>1</v>
      </c>
      <c r="K57" s="55">
        <v>1</v>
      </c>
      <c r="L57" s="55">
        <v>1</v>
      </c>
      <c r="M57" s="55">
        <v>1</v>
      </c>
      <c r="N57" s="55">
        <v>1</v>
      </c>
      <c r="O57" s="55">
        <v>1</v>
      </c>
      <c r="P57" s="55">
        <v>1</v>
      </c>
      <c r="Q57" s="55">
        <v>1</v>
      </c>
      <c r="R57" s="55">
        <v>1</v>
      </c>
      <c r="S57" s="55">
        <v>1</v>
      </c>
      <c r="T57" s="55">
        <v>1</v>
      </c>
      <c r="U57" s="55">
        <v>1</v>
      </c>
      <c r="V57" s="55">
        <v>1</v>
      </c>
      <c r="W57" s="55">
        <v>1</v>
      </c>
      <c r="X57" s="55">
        <v>1</v>
      </c>
      <c r="Y57" s="55">
        <v>1</v>
      </c>
      <c r="Z57" s="57"/>
      <c r="AA57" s="56"/>
      <c r="AB57" s="59">
        <v>0</v>
      </c>
      <c r="AC57" s="57"/>
      <c r="AD57" s="57"/>
      <c r="AE57" s="60"/>
      <c r="AF57" s="61"/>
      <c r="AG57" s="61"/>
      <c r="AH57" s="61"/>
      <c r="AI57" s="5" t="s">
        <v>197</v>
      </c>
      <c r="AJ57" s="5" t="s">
        <v>181</v>
      </c>
      <c r="AK57" s="58" t="s">
        <v>74</v>
      </c>
      <c r="AL57" s="61"/>
      <c r="AM57" s="61"/>
    </row>
    <row r="58" spans="2:39" s="7" customFormat="1" ht="15.75">
      <c r="B58" s="55">
        <v>3</v>
      </c>
      <c r="C58" s="61" t="s">
        <v>94</v>
      </c>
      <c r="D58" s="55" t="s">
        <v>187</v>
      </c>
      <c r="E58" s="55">
        <v>2022</v>
      </c>
      <c r="F58" s="55">
        <v>4</v>
      </c>
      <c r="G58" s="55">
        <v>4</v>
      </c>
      <c r="H58" s="55">
        <v>4</v>
      </c>
      <c r="I58" s="55">
        <v>4</v>
      </c>
      <c r="J58" s="55">
        <v>4</v>
      </c>
      <c r="K58" s="55">
        <v>4</v>
      </c>
      <c r="L58" s="55">
        <v>4</v>
      </c>
      <c r="M58" s="55">
        <v>4</v>
      </c>
      <c r="N58" s="55">
        <v>4</v>
      </c>
      <c r="O58" s="55">
        <v>4</v>
      </c>
      <c r="P58" s="55">
        <v>4</v>
      </c>
      <c r="Q58" s="55">
        <v>4</v>
      </c>
      <c r="R58" s="55">
        <v>4</v>
      </c>
      <c r="S58" s="55">
        <v>4</v>
      </c>
      <c r="T58" s="55">
        <v>4</v>
      </c>
      <c r="U58" s="55">
        <v>4</v>
      </c>
      <c r="V58" s="55">
        <v>4</v>
      </c>
      <c r="W58" s="55">
        <v>4</v>
      </c>
      <c r="X58" s="55">
        <v>4</v>
      </c>
      <c r="Y58" s="55">
        <v>4</v>
      </c>
      <c r="Z58" s="57"/>
      <c r="AA58" s="56"/>
      <c r="AB58" s="59">
        <v>0</v>
      </c>
      <c r="AC58" s="57"/>
      <c r="AD58" s="57"/>
      <c r="AE58" s="60"/>
      <c r="AF58" s="61"/>
      <c r="AG58" s="61"/>
      <c r="AH58" s="61"/>
      <c r="AI58" s="5" t="s">
        <v>197</v>
      </c>
      <c r="AJ58" s="5" t="s">
        <v>181</v>
      </c>
      <c r="AK58" s="58" t="s">
        <v>74</v>
      </c>
      <c r="AL58" s="61"/>
      <c r="AM58" s="61"/>
    </row>
    <row r="59" spans="2:39" s="7" customFormat="1" ht="15.75">
      <c r="B59" s="55">
        <v>4</v>
      </c>
      <c r="C59" s="61" t="s">
        <v>95</v>
      </c>
      <c r="D59" s="55" t="s">
        <v>187</v>
      </c>
      <c r="E59" s="55">
        <v>2022</v>
      </c>
      <c r="F59" s="55">
        <v>1</v>
      </c>
      <c r="G59" s="55">
        <v>1</v>
      </c>
      <c r="H59" s="55">
        <v>1</v>
      </c>
      <c r="I59" s="55">
        <v>1</v>
      </c>
      <c r="J59" s="55">
        <v>1</v>
      </c>
      <c r="K59" s="55">
        <v>1</v>
      </c>
      <c r="L59" s="55">
        <v>1</v>
      </c>
      <c r="M59" s="55">
        <v>1</v>
      </c>
      <c r="N59" s="55">
        <v>1</v>
      </c>
      <c r="O59" s="55">
        <v>1</v>
      </c>
      <c r="P59" s="55">
        <v>1</v>
      </c>
      <c r="Q59" s="55">
        <v>1</v>
      </c>
      <c r="R59" s="55">
        <v>1</v>
      </c>
      <c r="S59" s="55">
        <v>1</v>
      </c>
      <c r="T59" s="55">
        <v>1</v>
      </c>
      <c r="U59" s="55">
        <v>1</v>
      </c>
      <c r="V59" s="55">
        <v>1</v>
      </c>
      <c r="W59" s="55">
        <v>1</v>
      </c>
      <c r="X59" s="55">
        <v>1</v>
      </c>
      <c r="Y59" s="55">
        <v>1</v>
      </c>
      <c r="Z59" s="57"/>
      <c r="AA59" s="56"/>
      <c r="AB59" s="59">
        <v>0</v>
      </c>
      <c r="AC59" s="57"/>
      <c r="AD59" s="57"/>
      <c r="AE59" s="60"/>
      <c r="AF59" s="61"/>
      <c r="AG59" s="61"/>
      <c r="AH59" s="61"/>
      <c r="AI59" s="5" t="s">
        <v>197</v>
      </c>
      <c r="AJ59" s="5" t="s">
        <v>181</v>
      </c>
      <c r="AK59" s="58" t="s">
        <v>74</v>
      </c>
      <c r="AL59" s="61"/>
      <c r="AM59" s="61"/>
    </row>
    <row r="60" spans="2:39" s="7" customFormat="1" ht="15.75">
      <c r="B60" s="55">
        <v>5</v>
      </c>
      <c r="C60" s="61" t="s">
        <v>96</v>
      </c>
      <c r="D60" s="55" t="s">
        <v>188</v>
      </c>
      <c r="E60" s="55">
        <v>2022</v>
      </c>
      <c r="F60" s="55">
        <v>1</v>
      </c>
      <c r="G60" s="55">
        <v>1</v>
      </c>
      <c r="H60" s="55">
        <v>1</v>
      </c>
      <c r="I60" s="55">
        <v>1</v>
      </c>
      <c r="J60" s="55">
        <v>1</v>
      </c>
      <c r="K60" s="55">
        <v>1</v>
      </c>
      <c r="L60" s="55">
        <v>1</v>
      </c>
      <c r="M60" s="55">
        <v>1</v>
      </c>
      <c r="N60" s="55">
        <v>1</v>
      </c>
      <c r="O60" s="55">
        <v>1</v>
      </c>
      <c r="P60" s="55">
        <v>1</v>
      </c>
      <c r="Q60" s="55">
        <v>1</v>
      </c>
      <c r="R60" s="55">
        <v>1</v>
      </c>
      <c r="S60" s="55">
        <v>1</v>
      </c>
      <c r="T60" s="55">
        <v>1</v>
      </c>
      <c r="U60" s="55">
        <v>1</v>
      </c>
      <c r="V60" s="55">
        <v>1</v>
      </c>
      <c r="W60" s="55">
        <v>1</v>
      </c>
      <c r="X60" s="55">
        <v>1</v>
      </c>
      <c r="Y60" s="55">
        <v>1</v>
      </c>
      <c r="Z60" s="57"/>
      <c r="AA60" s="56"/>
      <c r="AB60" s="59">
        <v>0</v>
      </c>
      <c r="AC60" s="57"/>
      <c r="AD60" s="57"/>
      <c r="AE60" s="60"/>
      <c r="AF60" s="61"/>
      <c r="AG60" s="61"/>
      <c r="AH60" s="61"/>
      <c r="AI60" s="5" t="s">
        <v>197</v>
      </c>
      <c r="AJ60" s="5" t="s">
        <v>181</v>
      </c>
      <c r="AK60" s="58" t="s">
        <v>74</v>
      </c>
      <c r="AL60" s="61"/>
      <c r="AM60" s="61"/>
    </row>
    <row r="61" spans="2:39" s="7" customFormat="1" ht="31.5">
      <c r="B61" s="55">
        <v>6</v>
      </c>
      <c r="C61" s="62" t="s">
        <v>97</v>
      </c>
      <c r="D61" s="55" t="s">
        <v>188</v>
      </c>
      <c r="E61" s="55">
        <v>2022</v>
      </c>
      <c r="F61" s="55">
        <v>2</v>
      </c>
      <c r="G61" s="55">
        <v>2</v>
      </c>
      <c r="H61" s="55">
        <v>2</v>
      </c>
      <c r="I61" s="55">
        <v>2</v>
      </c>
      <c r="J61" s="55">
        <v>2</v>
      </c>
      <c r="K61" s="55">
        <v>2</v>
      </c>
      <c r="L61" s="55">
        <v>2</v>
      </c>
      <c r="M61" s="55">
        <v>2</v>
      </c>
      <c r="N61" s="55">
        <v>2</v>
      </c>
      <c r="O61" s="55">
        <v>2</v>
      </c>
      <c r="P61" s="55">
        <v>2</v>
      </c>
      <c r="Q61" s="55">
        <v>2</v>
      </c>
      <c r="R61" s="55">
        <v>2</v>
      </c>
      <c r="S61" s="55">
        <v>2</v>
      </c>
      <c r="T61" s="55">
        <v>2</v>
      </c>
      <c r="U61" s="55">
        <v>2</v>
      </c>
      <c r="V61" s="55">
        <v>2</v>
      </c>
      <c r="W61" s="55">
        <v>2</v>
      </c>
      <c r="X61" s="55">
        <v>2</v>
      </c>
      <c r="Y61" s="55">
        <v>2</v>
      </c>
      <c r="Z61" s="57"/>
      <c r="AA61" s="56"/>
      <c r="AB61" s="59">
        <v>0</v>
      </c>
      <c r="AC61" s="57"/>
      <c r="AD61" s="57"/>
      <c r="AE61" s="60"/>
      <c r="AF61" s="61"/>
      <c r="AG61" s="61"/>
      <c r="AH61" s="61"/>
      <c r="AI61" s="5" t="s">
        <v>197</v>
      </c>
      <c r="AJ61" s="5" t="s">
        <v>181</v>
      </c>
      <c r="AK61" s="58" t="s">
        <v>74</v>
      </c>
      <c r="AL61" s="61"/>
      <c r="AM61" s="61"/>
    </row>
    <row r="62" spans="2:39" s="7" customFormat="1" ht="15.75">
      <c r="B62" s="55">
        <v>7</v>
      </c>
      <c r="C62" s="61" t="s">
        <v>177</v>
      </c>
      <c r="D62" s="55" t="s">
        <v>187</v>
      </c>
      <c r="E62" s="55">
        <v>2022</v>
      </c>
      <c r="F62" s="55">
        <v>1</v>
      </c>
      <c r="G62" s="55">
        <v>1</v>
      </c>
      <c r="H62" s="55">
        <v>1</v>
      </c>
      <c r="I62" s="55">
        <v>1</v>
      </c>
      <c r="J62" s="55">
        <v>1</v>
      </c>
      <c r="K62" s="55">
        <v>1</v>
      </c>
      <c r="L62" s="55">
        <v>1</v>
      </c>
      <c r="M62" s="55">
        <v>1</v>
      </c>
      <c r="N62" s="55">
        <v>1</v>
      </c>
      <c r="O62" s="55">
        <v>1</v>
      </c>
      <c r="P62" s="55">
        <v>1</v>
      </c>
      <c r="Q62" s="55">
        <v>1</v>
      </c>
      <c r="R62" s="55">
        <v>1</v>
      </c>
      <c r="S62" s="55">
        <v>1</v>
      </c>
      <c r="T62" s="55">
        <v>1</v>
      </c>
      <c r="U62" s="55">
        <v>1</v>
      </c>
      <c r="V62" s="55">
        <v>1</v>
      </c>
      <c r="W62" s="55">
        <v>1</v>
      </c>
      <c r="X62" s="55">
        <v>1</v>
      </c>
      <c r="Y62" s="55">
        <v>1</v>
      </c>
      <c r="Z62" s="57"/>
      <c r="AA62" s="56"/>
      <c r="AB62" s="59">
        <v>0</v>
      </c>
      <c r="AC62" s="57"/>
      <c r="AD62" s="57"/>
      <c r="AE62" s="60"/>
      <c r="AF62" s="61"/>
      <c r="AG62" s="184">
        <v>12669000</v>
      </c>
      <c r="AH62" s="186">
        <f>+Y62*AG62</f>
        <v>12669000</v>
      </c>
      <c r="AI62" s="5" t="s">
        <v>197</v>
      </c>
      <c r="AJ62" s="5" t="s">
        <v>181</v>
      </c>
      <c r="AK62" s="58" t="s">
        <v>74</v>
      </c>
      <c r="AL62" s="61"/>
      <c r="AM62" s="61"/>
    </row>
    <row r="63" spans="2:39" s="7" customFormat="1" ht="15.75">
      <c r="B63" s="55">
        <v>8</v>
      </c>
      <c r="C63" s="61" t="s">
        <v>99</v>
      </c>
      <c r="D63" s="55" t="s">
        <v>187</v>
      </c>
      <c r="E63" s="55">
        <v>2022</v>
      </c>
      <c r="F63" s="55">
        <v>1</v>
      </c>
      <c r="G63" s="55">
        <v>1</v>
      </c>
      <c r="H63" s="55">
        <v>1</v>
      </c>
      <c r="I63" s="55">
        <v>1</v>
      </c>
      <c r="J63" s="55">
        <v>1</v>
      </c>
      <c r="K63" s="55">
        <v>1</v>
      </c>
      <c r="L63" s="55">
        <v>1</v>
      </c>
      <c r="M63" s="55">
        <v>1</v>
      </c>
      <c r="N63" s="55">
        <v>1</v>
      </c>
      <c r="O63" s="55">
        <v>1</v>
      </c>
      <c r="P63" s="55">
        <v>1</v>
      </c>
      <c r="Q63" s="55">
        <v>1</v>
      </c>
      <c r="R63" s="55">
        <v>1</v>
      </c>
      <c r="S63" s="55">
        <v>1</v>
      </c>
      <c r="T63" s="55">
        <v>1</v>
      </c>
      <c r="U63" s="55">
        <v>1</v>
      </c>
      <c r="V63" s="55">
        <v>1</v>
      </c>
      <c r="W63" s="55">
        <v>1</v>
      </c>
      <c r="X63" s="55">
        <v>1</v>
      </c>
      <c r="Y63" s="55">
        <v>1</v>
      </c>
      <c r="Z63" s="57"/>
      <c r="AA63" s="56"/>
      <c r="AB63" s="59">
        <v>0</v>
      </c>
      <c r="AC63" s="57"/>
      <c r="AD63" s="57"/>
      <c r="AE63" s="60"/>
      <c r="AF63" s="61"/>
      <c r="AG63" s="61"/>
      <c r="AH63" s="61"/>
      <c r="AI63" s="5" t="s">
        <v>197</v>
      </c>
      <c r="AJ63" s="5" t="s">
        <v>181</v>
      </c>
      <c r="AK63" s="58" t="s">
        <v>74</v>
      </c>
      <c r="AL63" s="61"/>
      <c r="AM63" s="61"/>
    </row>
    <row r="64" spans="2:39" s="7" customFormat="1" ht="15.75">
      <c r="B64" s="55">
        <v>9</v>
      </c>
      <c r="C64" s="61" t="s">
        <v>183</v>
      </c>
      <c r="D64" s="55" t="s">
        <v>187</v>
      </c>
      <c r="E64" s="55">
        <v>2022</v>
      </c>
      <c r="F64" s="55">
        <v>1</v>
      </c>
      <c r="G64" s="55">
        <v>1</v>
      </c>
      <c r="H64" s="55">
        <v>1</v>
      </c>
      <c r="I64" s="55">
        <v>1</v>
      </c>
      <c r="J64" s="55">
        <v>1</v>
      </c>
      <c r="K64" s="55">
        <v>1</v>
      </c>
      <c r="L64" s="55">
        <v>1</v>
      </c>
      <c r="M64" s="55">
        <v>1</v>
      </c>
      <c r="N64" s="55">
        <v>1</v>
      </c>
      <c r="O64" s="55">
        <v>1</v>
      </c>
      <c r="P64" s="55">
        <v>1</v>
      </c>
      <c r="Q64" s="55">
        <v>1</v>
      </c>
      <c r="R64" s="55">
        <v>1</v>
      </c>
      <c r="S64" s="55">
        <v>1</v>
      </c>
      <c r="T64" s="55">
        <v>1</v>
      </c>
      <c r="U64" s="55">
        <v>1</v>
      </c>
      <c r="V64" s="55">
        <v>1</v>
      </c>
      <c r="W64" s="55">
        <v>1</v>
      </c>
      <c r="X64" s="55">
        <v>1</v>
      </c>
      <c r="Y64" s="55">
        <v>1</v>
      </c>
      <c r="Z64" s="57"/>
      <c r="AA64" s="56"/>
      <c r="AB64" s="59">
        <v>0</v>
      </c>
      <c r="AC64" s="57"/>
      <c r="AD64" s="57"/>
      <c r="AE64" s="60"/>
      <c r="AF64" s="61"/>
      <c r="AG64" s="61"/>
      <c r="AH64" s="61"/>
      <c r="AI64" s="5" t="s">
        <v>197</v>
      </c>
      <c r="AJ64" s="5" t="s">
        <v>181</v>
      </c>
      <c r="AK64" s="58" t="s">
        <v>74</v>
      </c>
      <c r="AL64" s="61"/>
      <c r="AM64" s="61"/>
    </row>
    <row r="65" spans="2:39" s="7" customFormat="1" ht="15.75">
      <c r="B65" s="53" t="s">
        <v>152</v>
      </c>
      <c r="C65" s="212" t="s">
        <v>115</v>
      </c>
      <c r="D65" s="212"/>
      <c r="E65" s="212"/>
      <c r="F65" s="55"/>
      <c r="G65" s="56"/>
      <c r="H65" s="56"/>
      <c r="I65" s="57"/>
      <c r="J65" s="57"/>
      <c r="K65" s="57"/>
      <c r="L65" s="58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5"/>
      <c r="Z65" s="57"/>
      <c r="AA65" s="56"/>
      <c r="AB65" s="59"/>
      <c r="AC65" s="57"/>
      <c r="AD65" s="57"/>
      <c r="AE65" s="60"/>
      <c r="AF65" s="61"/>
      <c r="AG65" s="61"/>
      <c r="AH65" s="61"/>
      <c r="AI65" s="5"/>
      <c r="AJ65" s="5"/>
      <c r="AK65" s="58"/>
      <c r="AL65" s="82"/>
      <c r="AM65" s="61"/>
    </row>
    <row r="66" spans="2:39" s="7" customFormat="1" ht="15.75">
      <c r="B66" s="55">
        <v>1</v>
      </c>
      <c r="C66" s="61" t="s">
        <v>168</v>
      </c>
      <c r="D66" s="55" t="s">
        <v>187</v>
      </c>
      <c r="E66" s="55">
        <v>2022</v>
      </c>
      <c r="F66" s="55">
        <v>10</v>
      </c>
      <c r="G66" s="55">
        <v>10</v>
      </c>
      <c r="H66" s="55">
        <v>10</v>
      </c>
      <c r="I66" s="55">
        <v>10</v>
      </c>
      <c r="J66" s="55">
        <v>10</v>
      </c>
      <c r="K66" s="55">
        <v>10</v>
      </c>
      <c r="L66" s="55">
        <v>10</v>
      </c>
      <c r="M66" s="55">
        <v>10</v>
      </c>
      <c r="N66" s="55">
        <v>10</v>
      </c>
      <c r="O66" s="55">
        <v>10</v>
      </c>
      <c r="P66" s="55">
        <v>10</v>
      </c>
      <c r="Q66" s="55">
        <v>10</v>
      </c>
      <c r="R66" s="55">
        <v>10</v>
      </c>
      <c r="S66" s="55">
        <v>10</v>
      </c>
      <c r="T66" s="55">
        <v>10</v>
      </c>
      <c r="U66" s="55">
        <v>10</v>
      </c>
      <c r="V66" s="55">
        <v>10</v>
      </c>
      <c r="W66" s="55">
        <v>10</v>
      </c>
      <c r="X66" s="55">
        <v>10</v>
      </c>
      <c r="Y66" s="55">
        <v>10</v>
      </c>
      <c r="Z66" s="57"/>
      <c r="AA66" s="56"/>
      <c r="AB66" s="59">
        <v>0</v>
      </c>
      <c r="AC66" s="57"/>
      <c r="AD66" s="57"/>
      <c r="AE66" s="60"/>
      <c r="AF66" s="61"/>
      <c r="AG66" s="61"/>
      <c r="AH66" s="61"/>
      <c r="AI66" s="5" t="s">
        <v>197</v>
      </c>
      <c r="AJ66" s="5" t="s">
        <v>67</v>
      </c>
      <c r="AK66" s="58" t="s">
        <v>74</v>
      </c>
      <c r="AL66" s="61"/>
      <c r="AM66" s="61"/>
    </row>
    <row r="67" spans="2:39" s="7" customFormat="1" ht="15.75">
      <c r="B67" s="55">
        <v>2</v>
      </c>
      <c r="C67" s="61" t="s">
        <v>93</v>
      </c>
      <c r="D67" s="55" t="s">
        <v>187</v>
      </c>
      <c r="E67" s="55">
        <v>2022</v>
      </c>
      <c r="F67" s="55">
        <v>1</v>
      </c>
      <c r="G67" s="55">
        <v>1</v>
      </c>
      <c r="H67" s="55">
        <v>1</v>
      </c>
      <c r="I67" s="55">
        <v>1</v>
      </c>
      <c r="J67" s="55">
        <v>1</v>
      </c>
      <c r="K67" s="55">
        <v>1</v>
      </c>
      <c r="L67" s="55">
        <v>1</v>
      </c>
      <c r="M67" s="55">
        <v>1</v>
      </c>
      <c r="N67" s="55">
        <v>1</v>
      </c>
      <c r="O67" s="55">
        <v>1</v>
      </c>
      <c r="P67" s="55">
        <v>1</v>
      </c>
      <c r="Q67" s="55">
        <v>1</v>
      </c>
      <c r="R67" s="55">
        <v>1</v>
      </c>
      <c r="S67" s="55">
        <v>1</v>
      </c>
      <c r="T67" s="55">
        <v>1</v>
      </c>
      <c r="U67" s="55">
        <v>1</v>
      </c>
      <c r="V67" s="55">
        <v>1</v>
      </c>
      <c r="W67" s="55">
        <v>1</v>
      </c>
      <c r="X67" s="55">
        <v>1</v>
      </c>
      <c r="Y67" s="55">
        <v>1</v>
      </c>
      <c r="Z67" s="57"/>
      <c r="AA67" s="56"/>
      <c r="AB67" s="59">
        <v>0</v>
      </c>
      <c r="AC67" s="57"/>
      <c r="AD67" s="57"/>
      <c r="AE67" s="60"/>
      <c r="AF67" s="61"/>
      <c r="AG67" s="61"/>
      <c r="AH67" s="61"/>
      <c r="AI67" s="5" t="s">
        <v>197</v>
      </c>
      <c r="AJ67" s="5" t="s">
        <v>67</v>
      </c>
      <c r="AK67" s="58" t="s">
        <v>74</v>
      </c>
      <c r="AL67" s="61"/>
      <c r="AM67" s="61"/>
    </row>
    <row r="68" spans="2:39" s="7" customFormat="1" ht="15.75">
      <c r="B68" s="55">
        <v>3</v>
      </c>
      <c r="C68" s="61" t="s">
        <v>94</v>
      </c>
      <c r="D68" s="55" t="s">
        <v>187</v>
      </c>
      <c r="E68" s="55">
        <v>2022</v>
      </c>
      <c r="F68" s="55">
        <v>8</v>
      </c>
      <c r="G68" s="55">
        <v>8</v>
      </c>
      <c r="H68" s="55">
        <v>8</v>
      </c>
      <c r="I68" s="55">
        <v>8</v>
      </c>
      <c r="J68" s="55">
        <v>8</v>
      </c>
      <c r="K68" s="55">
        <v>8</v>
      </c>
      <c r="L68" s="55">
        <v>8</v>
      </c>
      <c r="M68" s="55">
        <v>8</v>
      </c>
      <c r="N68" s="55">
        <v>8</v>
      </c>
      <c r="O68" s="55">
        <v>8</v>
      </c>
      <c r="P68" s="55">
        <v>8</v>
      </c>
      <c r="Q68" s="55">
        <v>8</v>
      </c>
      <c r="R68" s="55">
        <v>8</v>
      </c>
      <c r="S68" s="55">
        <v>8</v>
      </c>
      <c r="T68" s="55">
        <v>8</v>
      </c>
      <c r="U68" s="55">
        <v>8</v>
      </c>
      <c r="V68" s="55">
        <v>8</v>
      </c>
      <c r="W68" s="55">
        <v>8</v>
      </c>
      <c r="X68" s="55">
        <v>8</v>
      </c>
      <c r="Y68" s="55">
        <v>8</v>
      </c>
      <c r="Z68" s="57"/>
      <c r="AA68" s="56"/>
      <c r="AB68" s="59">
        <v>0</v>
      </c>
      <c r="AC68" s="57"/>
      <c r="AD68" s="57"/>
      <c r="AE68" s="60"/>
      <c r="AF68" s="61"/>
      <c r="AG68" s="61"/>
      <c r="AH68" s="61"/>
      <c r="AI68" s="5" t="s">
        <v>197</v>
      </c>
      <c r="AJ68" s="5" t="s">
        <v>67</v>
      </c>
      <c r="AK68" s="58" t="s">
        <v>74</v>
      </c>
      <c r="AL68" s="61"/>
      <c r="AM68" s="61"/>
    </row>
    <row r="69" spans="2:39" s="7" customFormat="1" ht="15.75">
      <c r="B69" s="55">
        <v>4</v>
      </c>
      <c r="C69" s="61" t="s">
        <v>95</v>
      </c>
      <c r="D69" s="55" t="s">
        <v>187</v>
      </c>
      <c r="E69" s="55">
        <v>2022</v>
      </c>
      <c r="F69" s="55">
        <v>1</v>
      </c>
      <c r="G69" s="55">
        <v>1</v>
      </c>
      <c r="H69" s="55">
        <v>1</v>
      </c>
      <c r="I69" s="55">
        <v>1</v>
      </c>
      <c r="J69" s="55">
        <v>1</v>
      </c>
      <c r="K69" s="55">
        <v>1</v>
      </c>
      <c r="L69" s="55">
        <v>1</v>
      </c>
      <c r="M69" s="55">
        <v>1</v>
      </c>
      <c r="N69" s="55">
        <v>1</v>
      </c>
      <c r="O69" s="55">
        <v>1</v>
      </c>
      <c r="P69" s="55">
        <v>1</v>
      </c>
      <c r="Q69" s="55">
        <v>1</v>
      </c>
      <c r="R69" s="55">
        <v>1</v>
      </c>
      <c r="S69" s="55">
        <v>1</v>
      </c>
      <c r="T69" s="55">
        <v>1</v>
      </c>
      <c r="U69" s="55">
        <v>1</v>
      </c>
      <c r="V69" s="55">
        <v>1</v>
      </c>
      <c r="W69" s="55">
        <v>1</v>
      </c>
      <c r="X69" s="55">
        <v>1</v>
      </c>
      <c r="Y69" s="55">
        <v>1</v>
      </c>
      <c r="Z69" s="57"/>
      <c r="AA69" s="56"/>
      <c r="AB69" s="59">
        <v>0</v>
      </c>
      <c r="AC69" s="57"/>
      <c r="AD69" s="57"/>
      <c r="AE69" s="60"/>
      <c r="AF69" s="61"/>
      <c r="AG69" s="61"/>
      <c r="AH69" s="61"/>
      <c r="AI69" s="5" t="s">
        <v>197</v>
      </c>
      <c r="AJ69" s="5" t="s">
        <v>67</v>
      </c>
      <c r="AK69" s="58" t="s">
        <v>74</v>
      </c>
      <c r="AL69" s="61"/>
      <c r="AM69" s="61"/>
    </row>
    <row r="70" spans="2:39" s="7" customFormat="1" ht="15.75">
      <c r="B70" s="55">
        <v>5</v>
      </c>
      <c r="C70" s="61" t="s">
        <v>96</v>
      </c>
      <c r="D70" s="55" t="s">
        <v>188</v>
      </c>
      <c r="E70" s="55">
        <v>2022</v>
      </c>
      <c r="F70" s="55">
        <v>3</v>
      </c>
      <c r="G70" s="55">
        <v>3</v>
      </c>
      <c r="H70" s="55">
        <v>3</v>
      </c>
      <c r="I70" s="55">
        <v>3</v>
      </c>
      <c r="J70" s="55">
        <v>3</v>
      </c>
      <c r="K70" s="55">
        <v>3</v>
      </c>
      <c r="L70" s="55">
        <v>3</v>
      </c>
      <c r="M70" s="55">
        <v>3</v>
      </c>
      <c r="N70" s="55">
        <v>3</v>
      </c>
      <c r="O70" s="55">
        <v>3</v>
      </c>
      <c r="P70" s="55">
        <v>3</v>
      </c>
      <c r="Q70" s="55">
        <v>3</v>
      </c>
      <c r="R70" s="55">
        <v>3</v>
      </c>
      <c r="S70" s="55">
        <v>3</v>
      </c>
      <c r="T70" s="55">
        <v>3</v>
      </c>
      <c r="U70" s="55">
        <v>3</v>
      </c>
      <c r="V70" s="55">
        <v>3</v>
      </c>
      <c r="W70" s="55">
        <v>3</v>
      </c>
      <c r="X70" s="55">
        <v>3</v>
      </c>
      <c r="Y70" s="55">
        <v>3</v>
      </c>
      <c r="Z70" s="57"/>
      <c r="AA70" s="56"/>
      <c r="AB70" s="59">
        <v>0</v>
      </c>
      <c r="AC70" s="57"/>
      <c r="AD70" s="57"/>
      <c r="AE70" s="60"/>
      <c r="AF70" s="61"/>
      <c r="AG70" s="61"/>
      <c r="AH70" s="61"/>
      <c r="AI70" s="5" t="s">
        <v>197</v>
      </c>
      <c r="AJ70" s="5" t="s">
        <v>67</v>
      </c>
      <c r="AK70" s="58" t="s">
        <v>74</v>
      </c>
      <c r="AL70" s="61"/>
      <c r="AM70" s="61"/>
    </row>
    <row r="71" spans="2:39" s="7" customFormat="1" ht="31.5">
      <c r="B71" s="55">
        <v>6</v>
      </c>
      <c r="C71" s="62" t="s">
        <v>176</v>
      </c>
      <c r="D71" s="55" t="s">
        <v>188</v>
      </c>
      <c r="E71" s="55">
        <v>2022</v>
      </c>
      <c r="F71" s="55">
        <v>6</v>
      </c>
      <c r="G71" s="55">
        <v>6</v>
      </c>
      <c r="H71" s="55">
        <v>6</v>
      </c>
      <c r="I71" s="55">
        <v>6</v>
      </c>
      <c r="J71" s="55">
        <v>6</v>
      </c>
      <c r="K71" s="55">
        <v>6</v>
      </c>
      <c r="L71" s="55">
        <v>6</v>
      </c>
      <c r="M71" s="55">
        <v>6</v>
      </c>
      <c r="N71" s="55">
        <v>6</v>
      </c>
      <c r="O71" s="55">
        <v>6</v>
      </c>
      <c r="P71" s="55">
        <v>6</v>
      </c>
      <c r="Q71" s="55">
        <v>6</v>
      </c>
      <c r="R71" s="55">
        <v>6</v>
      </c>
      <c r="S71" s="55">
        <v>6</v>
      </c>
      <c r="T71" s="55">
        <v>6</v>
      </c>
      <c r="U71" s="55">
        <v>6</v>
      </c>
      <c r="V71" s="55">
        <v>6</v>
      </c>
      <c r="W71" s="55">
        <v>6</v>
      </c>
      <c r="X71" s="55">
        <v>6</v>
      </c>
      <c r="Y71" s="55">
        <v>6</v>
      </c>
      <c r="Z71" s="57"/>
      <c r="AA71" s="56"/>
      <c r="AB71" s="59">
        <v>0</v>
      </c>
      <c r="AC71" s="57"/>
      <c r="AD71" s="57"/>
      <c r="AE71" s="60"/>
      <c r="AF71" s="61"/>
      <c r="AG71" s="61"/>
      <c r="AH71" s="61"/>
      <c r="AI71" s="5" t="s">
        <v>197</v>
      </c>
      <c r="AJ71" s="5" t="s">
        <v>67</v>
      </c>
      <c r="AK71" s="58" t="s">
        <v>74</v>
      </c>
      <c r="AL71" s="61"/>
      <c r="AM71" s="61"/>
    </row>
    <row r="72" spans="2:39" s="7" customFormat="1" ht="15.75">
      <c r="B72" s="55">
        <v>7</v>
      </c>
      <c r="C72" s="61" t="s">
        <v>98</v>
      </c>
      <c r="D72" s="55" t="s">
        <v>187</v>
      </c>
      <c r="E72" s="55">
        <v>2022</v>
      </c>
      <c r="F72" s="55">
        <v>1</v>
      </c>
      <c r="G72" s="55">
        <v>1</v>
      </c>
      <c r="H72" s="55">
        <v>1</v>
      </c>
      <c r="I72" s="55">
        <v>1</v>
      </c>
      <c r="J72" s="55">
        <v>1</v>
      </c>
      <c r="K72" s="55">
        <v>1</v>
      </c>
      <c r="L72" s="55">
        <v>1</v>
      </c>
      <c r="M72" s="55">
        <v>1</v>
      </c>
      <c r="N72" s="55">
        <v>1</v>
      </c>
      <c r="O72" s="55">
        <v>1</v>
      </c>
      <c r="P72" s="55">
        <v>1</v>
      </c>
      <c r="Q72" s="55">
        <v>1</v>
      </c>
      <c r="R72" s="55">
        <v>1</v>
      </c>
      <c r="S72" s="55">
        <v>1</v>
      </c>
      <c r="T72" s="55">
        <v>1</v>
      </c>
      <c r="U72" s="55">
        <v>1</v>
      </c>
      <c r="V72" s="55">
        <v>1</v>
      </c>
      <c r="W72" s="55">
        <v>1</v>
      </c>
      <c r="X72" s="55">
        <v>1</v>
      </c>
      <c r="Y72" s="55">
        <v>1</v>
      </c>
      <c r="Z72" s="57"/>
      <c r="AA72" s="56"/>
      <c r="AB72" s="59">
        <v>0</v>
      </c>
      <c r="AC72" s="57"/>
      <c r="AD72" s="57"/>
      <c r="AE72" s="60"/>
      <c r="AF72" s="61"/>
      <c r="AG72" s="185">
        <v>44440000</v>
      </c>
      <c r="AH72" s="186">
        <f>+Y72*AG72</f>
        <v>44440000</v>
      </c>
      <c r="AI72" s="5" t="s">
        <v>197</v>
      </c>
      <c r="AJ72" s="5" t="s">
        <v>67</v>
      </c>
      <c r="AK72" s="58" t="s">
        <v>74</v>
      </c>
      <c r="AL72" s="61"/>
      <c r="AM72" s="61"/>
    </row>
    <row r="73" spans="2:39" s="7" customFormat="1" ht="15.75">
      <c r="B73" s="55">
        <v>8</v>
      </c>
      <c r="C73" s="61" t="s">
        <v>184</v>
      </c>
      <c r="D73" s="55" t="s">
        <v>187</v>
      </c>
      <c r="E73" s="55">
        <v>2022</v>
      </c>
      <c r="F73" s="55">
        <v>1</v>
      </c>
      <c r="G73" s="55">
        <v>1</v>
      </c>
      <c r="H73" s="55">
        <v>1</v>
      </c>
      <c r="I73" s="55">
        <v>1</v>
      </c>
      <c r="J73" s="55">
        <v>1</v>
      </c>
      <c r="K73" s="55">
        <v>1</v>
      </c>
      <c r="L73" s="55">
        <v>1</v>
      </c>
      <c r="M73" s="55">
        <v>1</v>
      </c>
      <c r="N73" s="55">
        <v>1</v>
      </c>
      <c r="O73" s="55">
        <v>1</v>
      </c>
      <c r="P73" s="55">
        <v>1</v>
      </c>
      <c r="Q73" s="55">
        <v>1</v>
      </c>
      <c r="R73" s="55">
        <v>1</v>
      </c>
      <c r="S73" s="55">
        <v>1</v>
      </c>
      <c r="T73" s="55">
        <v>1</v>
      </c>
      <c r="U73" s="55">
        <v>1</v>
      </c>
      <c r="V73" s="55">
        <v>1</v>
      </c>
      <c r="W73" s="55">
        <v>1</v>
      </c>
      <c r="X73" s="55">
        <v>1</v>
      </c>
      <c r="Y73" s="55">
        <v>1</v>
      </c>
      <c r="Z73" s="57"/>
      <c r="AA73" s="56"/>
      <c r="AB73" s="59">
        <v>0</v>
      </c>
      <c r="AC73" s="57"/>
      <c r="AD73" s="57"/>
      <c r="AE73" s="60"/>
      <c r="AF73" s="61"/>
      <c r="AG73" s="185">
        <v>31460000</v>
      </c>
      <c r="AH73" s="186">
        <f>+Y73*AG73</f>
        <v>31460000</v>
      </c>
      <c r="AI73" s="5" t="s">
        <v>197</v>
      </c>
      <c r="AJ73" s="5" t="s">
        <v>67</v>
      </c>
      <c r="AK73" s="58" t="s">
        <v>74</v>
      </c>
      <c r="AL73" s="61"/>
      <c r="AM73" s="61"/>
    </row>
    <row r="74" spans="2:39" s="7" customFormat="1" ht="15.75">
      <c r="B74" s="55">
        <v>9</v>
      </c>
      <c r="C74" s="61" t="s">
        <v>99</v>
      </c>
      <c r="D74" s="55" t="s">
        <v>187</v>
      </c>
      <c r="E74" s="55">
        <v>2022</v>
      </c>
      <c r="F74" s="55">
        <v>3</v>
      </c>
      <c r="G74" s="55">
        <v>3</v>
      </c>
      <c r="H74" s="55">
        <v>3</v>
      </c>
      <c r="I74" s="55">
        <v>3</v>
      </c>
      <c r="J74" s="55">
        <v>3</v>
      </c>
      <c r="K74" s="55">
        <v>3</v>
      </c>
      <c r="L74" s="55">
        <v>3</v>
      </c>
      <c r="M74" s="55">
        <v>3</v>
      </c>
      <c r="N74" s="55">
        <v>3</v>
      </c>
      <c r="O74" s="55">
        <v>3</v>
      </c>
      <c r="P74" s="55">
        <v>3</v>
      </c>
      <c r="Q74" s="55">
        <v>3</v>
      </c>
      <c r="R74" s="55">
        <v>3</v>
      </c>
      <c r="S74" s="55">
        <v>3</v>
      </c>
      <c r="T74" s="55">
        <v>3</v>
      </c>
      <c r="U74" s="55">
        <v>3</v>
      </c>
      <c r="V74" s="55">
        <v>3</v>
      </c>
      <c r="W74" s="55">
        <v>3</v>
      </c>
      <c r="X74" s="55">
        <v>3</v>
      </c>
      <c r="Y74" s="55">
        <v>3</v>
      </c>
      <c r="Z74" s="57"/>
      <c r="AA74" s="56"/>
      <c r="AB74" s="59">
        <v>0</v>
      </c>
      <c r="AC74" s="57"/>
      <c r="AD74" s="57"/>
      <c r="AE74" s="60"/>
      <c r="AF74" s="61"/>
      <c r="AG74" s="61"/>
      <c r="AH74" s="61"/>
      <c r="AI74" s="5" t="s">
        <v>197</v>
      </c>
      <c r="AJ74" s="5" t="s">
        <v>67</v>
      </c>
      <c r="AK74" s="58" t="s">
        <v>74</v>
      </c>
      <c r="AL74" s="61"/>
      <c r="AM74" s="61"/>
    </row>
    <row r="75" spans="2:39" s="7" customFormat="1" ht="15.75">
      <c r="B75" s="55">
        <v>10</v>
      </c>
      <c r="C75" s="61" t="s">
        <v>100</v>
      </c>
      <c r="D75" s="55" t="s">
        <v>187</v>
      </c>
      <c r="E75" s="55">
        <v>2022</v>
      </c>
      <c r="F75" s="55">
        <v>1</v>
      </c>
      <c r="G75" s="55">
        <v>1</v>
      </c>
      <c r="H75" s="55">
        <v>1</v>
      </c>
      <c r="I75" s="55">
        <v>1</v>
      </c>
      <c r="J75" s="55">
        <v>1</v>
      </c>
      <c r="K75" s="55">
        <v>1</v>
      </c>
      <c r="L75" s="55">
        <v>1</v>
      </c>
      <c r="M75" s="55">
        <v>1</v>
      </c>
      <c r="N75" s="55">
        <v>1</v>
      </c>
      <c r="O75" s="55">
        <v>1</v>
      </c>
      <c r="P75" s="55">
        <v>1</v>
      </c>
      <c r="Q75" s="55">
        <v>1</v>
      </c>
      <c r="R75" s="55">
        <v>1</v>
      </c>
      <c r="S75" s="55">
        <v>1</v>
      </c>
      <c r="T75" s="55">
        <v>1</v>
      </c>
      <c r="U75" s="55">
        <v>1</v>
      </c>
      <c r="V75" s="55">
        <v>1</v>
      </c>
      <c r="W75" s="55">
        <v>1</v>
      </c>
      <c r="X75" s="55">
        <v>1</v>
      </c>
      <c r="Y75" s="55">
        <v>1</v>
      </c>
      <c r="Z75" s="57"/>
      <c r="AA75" s="56"/>
      <c r="AB75" s="59">
        <v>0</v>
      </c>
      <c r="AC75" s="57"/>
      <c r="AD75" s="57"/>
      <c r="AE75" s="60"/>
      <c r="AF75" s="61"/>
      <c r="AG75" s="61"/>
      <c r="AH75" s="61"/>
      <c r="AI75" s="5" t="s">
        <v>197</v>
      </c>
      <c r="AJ75" s="5" t="s">
        <v>67</v>
      </c>
      <c r="AK75" s="58" t="s">
        <v>74</v>
      </c>
      <c r="AL75" s="61"/>
      <c r="AM75" s="61"/>
    </row>
    <row r="76" spans="2:39" s="7" customFormat="1" ht="15.75">
      <c r="B76" s="53" t="s">
        <v>153</v>
      </c>
      <c r="C76" s="54" t="s">
        <v>129</v>
      </c>
      <c r="D76" s="55"/>
      <c r="E76" s="55"/>
      <c r="F76" s="55"/>
      <c r="G76" s="56"/>
      <c r="H76" s="56"/>
      <c r="I76" s="57"/>
      <c r="J76" s="57"/>
      <c r="K76" s="57"/>
      <c r="L76" s="58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5"/>
      <c r="Z76" s="57"/>
      <c r="AA76" s="56"/>
      <c r="AB76" s="59"/>
      <c r="AC76" s="57"/>
      <c r="AD76" s="57"/>
      <c r="AE76" s="60"/>
      <c r="AF76" s="61"/>
      <c r="AG76" s="61"/>
      <c r="AH76" s="61"/>
      <c r="AI76" s="5"/>
      <c r="AJ76" s="5"/>
      <c r="AK76" s="58"/>
      <c r="AL76" s="82"/>
      <c r="AM76" s="61"/>
    </row>
    <row r="77" spans="2:39" s="7" customFormat="1" ht="15.75">
      <c r="B77" s="55">
        <v>1</v>
      </c>
      <c r="C77" s="61" t="s">
        <v>185</v>
      </c>
      <c r="D77" s="55" t="s">
        <v>187</v>
      </c>
      <c r="E77" s="55">
        <v>2022</v>
      </c>
      <c r="F77" s="55">
        <v>8</v>
      </c>
      <c r="G77" s="55">
        <v>8</v>
      </c>
      <c r="H77" s="55">
        <v>8</v>
      </c>
      <c r="I77" s="55">
        <v>8</v>
      </c>
      <c r="J77" s="55">
        <v>8</v>
      </c>
      <c r="K77" s="55">
        <v>8</v>
      </c>
      <c r="L77" s="55">
        <v>8</v>
      </c>
      <c r="M77" s="55">
        <v>8</v>
      </c>
      <c r="N77" s="55">
        <v>8</v>
      </c>
      <c r="O77" s="55">
        <v>8</v>
      </c>
      <c r="P77" s="55">
        <v>8</v>
      </c>
      <c r="Q77" s="55">
        <v>8</v>
      </c>
      <c r="R77" s="55">
        <v>8</v>
      </c>
      <c r="S77" s="55">
        <v>8</v>
      </c>
      <c r="T77" s="55">
        <v>8</v>
      </c>
      <c r="U77" s="55">
        <v>8</v>
      </c>
      <c r="V77" s="55">
        <v>8</v>
      </c>
      <c r="W77" s="55">
        <v>8</v>
      </c>
      <c r="X77" s="55">
        <v>8</v>
      </c>
      <c r="Y77" s="55">
        <v>8</v>
      </c>
      <c r="Z77" s="57"/>
      <c r="AA77" s="56"/>
      <c r="AB77" s="59">
        <v>0</v>
      </c>
      <c r="AC77" s="57"/>
      <c r="AD77" s="57"/>
      <c r="AE77" s="60"/>
      <c r="AF77" s="61"/>
      <c r="AG77" s="61"/>
      <c r="AH77" s="61"/>
      <c r="AI77" s="5" t="s">
        <v>197</v>
      </c>
      <c r="AJ77" s="5" t="s">
        <v>132</v>
      </c>
      <c r="AK77" s="58" t="s">
        <v>74</v>
      </c>
      <c r="AL77" s="61"/>
      <c r="AM77" s="61"/>
    </row>
    <row r="78" spans="2:39" s="7" customFormat="1" ht="15.75">
      <c r="B78" s="55">
        <v>2</v>
      </c>
      <c r="C78" s="61" t="s">
        <v>101</v>
      </c>
      <c r="D78" s="55" t="s">
        <v>187</v>
      </c>
      <c r="E78" s="55">
        <v>2022</v>
      </c>
      <c r="F78" s="55">
        <v>1</v>
      </c>
      <c r="G78" s="55">
        <v>1</v>
      </c>
      <c r="H78" s="55">
        <v>1</v>
      </c>
      <c r="I78" s="55">
        <v>1</v>
      </c>
      <c r="J78" s="55">
        <v>1</v>
      </c>
      <c r="K78" s="55">
        <v>1</v>
      </c>
      <c r="L78" s="55">
        <v>1</v>
      </c>
      <c r="M78" s="55">
        <v>1</v>
      </c>
      <c r="N78" s="55">
        <v>1</v>
      </c>
      <c r="O78" s="55">
        <v>1</v>
      </c>
      <c r="P78" s="55">
        <v>1</v>
      </c>
      <c r="Q78" s="55">
        <v>1</v>
      </c>
      <c r="R78" s="55">
        <v>1</v>
      </c>
      <c r="S78" s="55">
        <v>1</v>
      </c>
      <c r="T78" s="55">
        <v>1</v>
      </c>
      <c r="U78" s="55">
        <v>1</v>
      </c>
      <c r="V78" s="55">
        <v>1</v>
      </c>
      <c r="W78" s="55">
        <v>1</v>
      </c>
      <c r="X78" s="55">
        <v>1</v>
      </c>
      <c r="Y78" s="55">
        <v>1</v>
      </c>
      <c r="Z78" s="57"/>
      <c r="AA78" s="56"/>
      <c r="AB78" s="59">
        <v>0</v>
      </c>
      <c r="AC78" s="57"/>
      <c r="AD78" s="57"/>
      <c r="AE78" s="60"/>
      <c r="AF78" s="61"/>
      <c r="AG78" s="61"/>
      <c r="AH78" s="61"/>
      <c r="AI78" s="5" t="s">
        <v>197</v>
      </c>
      <c r="AJ78" s="5" t="s">
        <v>132</v>
      </c>
      <c r="AK78" s="58" t="s">
        <v>74</v>
      </c>
      <c r="AL78" s="61"/>
      <c r="AM78" s="61"/>
    </row>
    <row r="79" spans="2:39" s="7" customFormat="1" ht="15.75">
      <c r="B79" s="55">
        <v>3</v>
      </c>
      <c r="C79" s="61" t="s">
        <v>94</v>
      </c>
      <c r="D79" s="55" t="s">
        <v>187</v>
      </c>
      <c r="E79" s="55">
        <v>2022</v>
      </c>
      <c r="F79" s="55">
        <v>3</v>
      </c>
      <c r="G79" s="55">
        <v>3</v>
      </c>
      <c r="H79" s="55">
        <v>3</v>
      </c>
      <c r="I79" s="55">
        <v>3</v>
      </c>
      <c r="J79" s="55">
        <v>3</v>
      </c>
      <c r="K79" s="55">
        <v>3</v>
      </c>
      <c r="L79" s="55">
        <v>3</v>
      </c>
      <c r="M79" s="55">
        <v>3</v>
      </c>
      <c r="N79" s="55">
        <v>3</v>
      </c>
      <c r="O79" s="55">
        <v>3</v>
      </c>
      <c r="P79" s="55">
        <v>3</v>
      </c>
      <c r="Q79" s="55">
        <v>3</v>
      </c>
      <c r="R79" s="55">
        <v>3</v>
      </c>
      <c r="S79" s="55">
        <v>3</v>
      </c>
      <c r="T79" s="55">
        <v>3</v>
      </c>
      <c r="U79" s="55">
        <v>3</v>
      </c>
      <c r="V79" s="55">
        <v>3</v>
      </c>
      <c r="W79" s="55">
        <v>3</v>
      </c>
      <c r="X79" s="55">
        <v>3</v>
      </c>
      <c r="Y79" s="55">
        <v>3</v>
      </c>
      <c r="Z79" s="57"/>
      <c r="AA79" s="56"/>
      <c r="AB79" s="59">
        <v>0</v>
      </c>
      <c r="AC79" s="57"/>
      <c r="AD79" s="57"/>
      <c r="AE79" s="60"/>
      <c r="AF79" s="61"/>
      <c r="AG79" s="61"/>
      <c r="AH79" s="61"/>
      <c r="AI79" s="5" t="s">
        <v>197</v>
      </c>
      <c r="AJ79" s="5" t="s">
        <v>132</v>
      </c>
      <c r="AK79" s="58" t="s">
        <v>74</v>
      </c>
      <c r="AL79" s="61"/>
      <c r="AM79" s="61"/>
    </row>
    <row r="80" spans="2:39" s="7" customFormat="1" ht="15.75">
      <c r="B80" s="55">
        <v>4</v>
      </c>
      <c r="C80" s="61" t="s">
        <v>95</v>
      </c>
      <c r="D80" s="55" t="s">
        <v>187</v>
      </c>
      <c r="E80" s="55">
        <v>2022</v>
      </c>
      <c r="F80" s="55">
        <v>1</v>
      </c>
      <c r="G80" s="55">
        <v>1</v>
      </c>
      <c r="H80" s="55">
        <v>1</v>
      </c>
      <c r="I80" s="55">
        <v>1</v>
      </c>
      <c r="J80" s="55">
        <v>1</v>
      </c>
      <c r="K80" s="55">
        <v>1</v>
      </c>
      <c r="L80" s="55">
        <v>1</v>
      </c>
      <c r="M80" s="55">
        <v>1</v>
      </c>
      <c r="N80" s="55">
        <v>1</v>
      </c>
      <c r="O80" s="55">
        <v>1</v>
      </c>
      <c r="P80" s="55">
        <v>1</v>
      </c>
      <c r="Q80" s="55">
        <v>1</v>
      </c>
      <c r="R80" s="55">
        <v>1</v>
      </c>
      <c r="S80" s="55">
        <v>1</v>
      </c>
      <c r="T80" s="55">
        <v>1</v>
      </c>
      <c r="U80" s="55">
        <v>1</v>
      </c>
      <c r="V80" s="55">
        <v>1</v>
      </c>
      <c r="W80" s="55">
        <v>1</v>
      </c>
      <c r="X80" s="55">
        <v>1</v>
      </c>
      <c r="Y80" s="55">
        <v>1</v>
      </c>
      <c r="Z80" s="57"/>
      <c r="AA80" s="56"/>
      <c r="AB80" s="59">
        <v>0</v>
      </c>
      <c r="AC80" s="57"/>
      <c r="AD80" s="57"/>
      <c r="AE80" s="60"/>
      <c r="AF80" s="61"/>
      <c r="AG80" s="61"/>
      <c r="AH80" s="61"/>
      <c r="AI80" s="5" t="s">
        <v>197</v>
      </c>
      <c r="AJ80" s="5" t="s">
        <v>132</v>
      </c>
      <c r="AK80" s="58" t="s">
        <v>74</v>
      </c>
      <c r="AL80" s="61"/>
      <c r="AM80" s="61"/>
    </row>
    <row r="81" spans="1:39" s="7" customFormat="1" ht="15.75">
      <c r="B81" s="55">
        <v>5</v>
      </c>
      <c r="C81" s="61" t="s">
        <v>96</v>
      </c>
      <c r="D81" s="55" t="s">
        <v>188</v>
      </c>
      <c r="E81" s="55">
        <v>2022</v>
      </c>
      <c r="F81" s="55">
        <v>1</v>
      </c>
      <c r="G81" s="55">
        <v>1</v>
      </c>
      <c r="H81" s="55">
        <v>1</v>
      </c>
      <c r="I81" s="55">
        <v>1</v>
      </c>
      <c r="J81" s="55">
        <v>1</v>
      </c>
      <c r="K81" s="55">
        <v>1</v>
      </c>
      <c r="L81" s="55">
        <v>1</v>
      </c>
      <c r="M81" s="55">
        <v>1</v>
      </c>
      <c r="N81" s="55">
        <v>1</v>
      </c>
      <c r="O81" s="55">
        <v>1</v>
      </c>
      <c r="P81" s="55">
        <v>1</v>
      </c>
      <c r="Q81" s="55">
        <v>1</v>
      </c>
      <c r="R81" s="55">
        <v>1</v>
      </c>
      <c r="S81" s="55">
        <v>1</v>
      </c>
      <c r="T81" s="55">
        <v>1</v>
      </c>
      <c r="U81" s="55">
        <v>1</v>
      </c>
      <c r="V81" s="55">
        <v>1</v>
      </c>
      <c r="W81" s="55">
        <v>1</v>
      </c>
      <c r="X81" s="55">
        <v>1</v>
      </c>
      <c r="Y81" s="55">
        <v>1</v>
      </c>
      <c r="Z81" s="57"/>
      <c r="AA81" s="56"/>
      <c r="AB81" s="59">
        <v>0</v>
      </c>
      <c r="AC81" s="57"/>
      <c r="AD81" s="57"/>
      <c r="AE81" s="60"/>
      <c r="AF81" s="61"/>
      <c r="AG81" s="61"/>
      <c r="AH81" s="61"/>
      <c r="AI81" s="5" t="s">
        <v>197</v>
      </c>
      <c r="AJ81" s="5" t="s">
        <v>132</v>
      </c>
      <c r="AK81" s="58" t="s">
        <v>74</v>
      </c>
      <c r="AL81" s="61"/>
      <c r="AM81" s="61"/>
    </row>
    <row r="82" spans="1:39" s="7" customFormat="1" ht="31.5">
      <c r="B82" s="55">
        <v>6</v>
      </c>
      <c r="C82" s="62" t="s">
        <v>97</v>
      </c>
      <c r="D82" s="55" t="s">
        <v>188</v>
      </c>
      <c r="E82" s="55">
        <v>2022</v>
      </c>
      <c r="F82" s="55">
        <v>2</v>
      </c>
      <c r="G82" s="55">
        <v>2</v>
      </c>
      <c r="H82" s="55">
        <v>2</v>
      </c>
      <c r="I82" s="55">
        <v>2</v>
      </c>
      <c r="J82" s="55">
        <v>2</v>
      </c>
      <c r="K82" s="55">
        <v>2</v>
      </c>
      <c r="L82" s="55">
        <v>2</v>
      </c>
      <c r="M82" s="55">
        <v>2</v>
      </c>
      <c r="N82" s="55">
        <v>2</v>
      </c>
      <c r="O82" s="55">
        <v>2</v>
      </c>
      <c r="P82" s="55">
        <v>2</v>
      </c>
      <c r="Q82" s="55">
        <v>2</v>
      </c>
      <c r="R82" s="55">
        <v>2</v>
      </c>
      <c r="S82" s="55">
        <v>2</v>
      </c>
      <c r="T82" s="55">
        <v>2</v>
      </c>
      <c r="U82" s="55">
        <v>2</v>
      </c>
      <c r="V82" s="55">
        <v>2</v>
      </c>
      <c r="W82" s="55">
        <v>2</v>
      </c>
      <c r="X82" s="55">
        <v>2</v>
      </c>
      <c r="Y82" s="55">
        <v>2</v>
      </c>
      <c r="Z82" s="57"/>
      <c r="AA82" s="56"/>
      <c r="AB82" s="59">
        <v>0</v>
      </c>
      <c r="AC82" s="57"/>
      <c r="AD82" s="57"/>
      <c r="AE82" s="60"/>
      <c r="AF82" s="61"/>
      <c r="AG82" s="61"/>
      <c r="AH82" s="61"/>
      <c r="AI82" s="5" t="s">
        <v>197</v>
      </c>
      <c r="AJ82" s="5" t="s">
        <v>132</v>
      </c>
      <c r="AK82" s="58" t="s">
        <v>74</v>
      </c>
      <c r="AL82" s="61"/>
      <c r="AM82" s="61"/>
    </row>
    <row r="83" spans="1:39" s="7" customFormat="1" ht="15.75">
      <c r="B83" s="55">
        <v>7</v>
      </c>
      <c r="C83" s="61" t="s">
        <v>177</v>
      </c>
      <c r="D83" s="55" t="s">
        <v>187</v>
      </c>
      <c r="E83" s="55">
        <v>2022</v>
      </c>
      <c r="F83" s="55">
        <v>1</v>
      </c>
      <c r="G83" s="55">
        <v>1</v>
      </c>
      <c r="H83" s="55">
        <v>1</v>
      </c>
      <c r="I83" s="55">
        <v>1</v>
      </c>
      <c r="J83" s="55">
        <v>1</v>
      </c>
      <c r="K83" s="55">
        <v>1</v>
      </c>
      <c r="L83" s="55">
        <v>1</v>
      </c>
      <c r="M83" s="55">
        <v>1</v>
      </c>
      <c r="N83" s="55">
        <v>1</v>
      </c>
      <c r="O83" s="55">
        <v>1</v>
      </c>
      <c r="P83" s="55">
        <v>1</v>
      </c>
      <c r="Q83" s="55">
        <v>1</v>
      </c>
      <c r="R83" s="55">
        <v>1</v>
      </c>
      <c r="S83" s="55">
        <v>1</v>
      </c>
      <c r="T83" s="55">
        <v>1</v>
      </c>
      <c r="U83" s="55">
        <v>1</v>
      </c>
      <c r="V83" s="55">
        <v>1</v>
      </c>
      <c r="W83" s="55">
        <v>1</v>
      </c>
      <c r="X83" s="55">
        <v>1</v>
      </c>
      <c r="Y83" s="55">
        <v>1</v>
      </c>
      <c r="Z83" s="57"/>
      <c r="AA83" s="56"/>
      <c r="AB83" s="59">
        <v>0</v>
      </c>
      <c r="AC83" s="57"/>
      <c r="AD83" s="57"/>
      <c r="AE83" s="60"/>
      <c r="AF83" s="61"/>
      <c r="AG83" s="184">
        <v>12669000</v>
      </c>
      <c r="AH83" s="186">
        <f>+Y83*AG83</f>
        <v>12669000</v>
      </c>
      <c r="AI83" s="5" t="s">
        <v>197</v>
      </c>
      <c r="AJ83" s="5" t="s">
        <v>132</v>
      </c>
      <c r="AK83" s="58" t="s">
        <v>74</v>
      </c>
      <c r="AL83" s="61"/>
      <c r="AM83" s="61"/>
    </row>
    <row r="84" spans="1:39" s="7" customFormat="1" ht="15.75">
      <c r="B84" s="55">
        <v>8</v>
      </c>
      <c r="C84" s="61" t="s">
        <v>100</v>
      </c>
      <c r="D84" s="55" t="s">
        <v>187</v>
      </c>
      <c r="E84" s="55">
        <v>2022</v>
      </c>
      <c r="F84" s="55">
        <v>1</v>
      </c>
      <c r="G84" s="55">
        <v>1</v>
      </c>
      <c r="H84" s="55">
        <v>1</v>
      </c>
      <c r="I84" s="55">
        <v>1</v>
      </c>
      <c r="J84" s="55">
        <v>1</v>
      </c>
      <c r="K84" s="55">
        <v>1</v>
      </c>
      <c r="L84" s="55">
        <v>1</v>
      </c>
      <c r="M84" s="55">
        <v>1</v>
      </c>
      <c r="N84" s="55">
        <v>1</v>
      </c>
      <c r="O84" s="55">
        <v>1</v>
      </c>
      <c r="P84" s="55">
        <v>1</v>
      </c>
      <c r="Q84" s="55">
        <v>1</v>
      </c>
      <c r="R84" s="55">
        <v>1</v>
      </c>
      <c r="S84" s="55">
        <v>1</v>
      </c>
      <c r="T84" s="55">
        <v>1</v>
      </c>
      <c r="U84" s="55">
        <v>1</v>
      </c>
      <c r="V84" s="55">
        <v>1</v>
      </c>
      <c r="W84" s="55">
        <v>1</v>
      </c>
      <c r="X84" s="55">
        <v>1</v>
      </c>
      <c r="Y84" s="55">
        <v>1</v>
      </c>
      <c r="Z84" s="57"/>
      <c r="AA84" s="56"/>
      <c r="AB84" s="59">
        <v>0</v>
      </c>
      <c r="AC84" s="57"/>
      <c r="AD84" s="57"/>
      <c r="AE84" s="60"/>
      <c r="AF84" s="61"/>
      <c r="AG84" s="61"/>
      <c r="AH84" s="61"/>
      <c r="AI84" s="5" t="s">
        <v>197</v>
      </c>
      <c r="AJ84" s="5" t="s">
        <v>132</v>
      </c>
      <c r="AK84" s="58" t="s">
        <v>74</v>
      </c>
      <c r="AL84" s="61"/>
      <c r="AM84" s="61"/>
    </row>
    <row r="85" spans="1:39" s="7" customFormat="1" ht="15.75">
      <c r="B85" s="53" t="s">
        <v>154</v>
      </c>
      <c r="C85" s="212" t="s">
        <v>135</v>
      </c>
      <c r="D85" s="212"/>
      <c r="E85" s="212"/>
      <c r="F85" s="55"/>
      <c r="G85" s="56"/>
      <c r="H85" s="56"/>
      <c r="I85" s="57"/>
      <c r="J85" s="57"/>
      <c r="K85" s="57"/>
      <c r="L85" s="58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5"/>
      <c r="Z85" s="57"/>
      <c r="AA85" s="56"/>
      <c r="AB85" s="59"/>
      <c r="AC85" s="57"/>
      <c r="AD85" s="57"/>
      <c r="AE85" s="60"/>
      <c r="AF85" s="61"/>
      <c r="AG85" s="61"/>
      <c r="AH85" s="61"/>
      <c r="AI85" s="5"/>
      <c r="AJ85" s="5"/>
      <c r="AK85" s="58"/>
      <c r="AL85" s="82"/>
      <c r="AM85" s="61"/>
    </row>
    <row r="86" spans="1:39" s="7" customFormat="1" ht="15.75">
      <c r="B86" s="55">
        <v>1</v>
      </c>
      <c r="C86" s="61" t="s">
        <v>168</v>
      </c>
      <c r="D86" s="55" t="s">
        <v>187</v>
      </c>
      <c r="E86" s="55">
        <v>2022</v>
      </c>
      <c r="F86" s="55">
        <v>2</v>
      </c>
      <c r="G86" s="55">
        <v>2</v>
      </c>
      <c r="H86" s="55">
        <v>2</v>
      </c>
      <c r="I86" s="55">
        <v>2</v>
      </c>
      <c r="J86" s="55">
        <v>2</v>
      </c>
      <c r="K86" s="55">
        <v>2</v>
      </c>
      <c r="L86" s="55">
        <v>2</v>
      </c>
      <c r="M86" s="55">
        <v>2</v>
      </c>
      <c r="N86" s="55">
        <v>2</v>
      </c>
      <c r="O86" s="55">
        <v>2</v>
      </c>
      <c r="P86" s="55">
        <v>2</v>
      </c>
      <c r="Q86" s="55">
        <v>2</v>
      </c>
      <c r="R86" s="55">
        <v>2</v>
      </c>
      <c r="S86" s="55">
        <v>2</v>
      </c>
      <c r="T86" s="55">
        <v>2</v>
      </c>
      <c r="U86" s="55">
        <v>2</v>
      </c>
      <c r="V86" s="55">
        <v>2</v>
      </c>
      <c r="W86" s="55">
        <v>2</v>
      </c>
      <c r="X86" s="55">
        <v>2</v>
      </c>
      <c r="Y86" s="55">
        <v>2</v>
      </c>
      <c r="Z86" s="57"/>
      <c r="AA86" s="56"/>
      <c r="AB86" s="59">
        <v>0</v>
      </c>
      <c r="AC86" s="57"/>
      <c r="AD86" s="57"/>
      <c r="AE86" s="60"/>
      <c r="AF86" s="61"/>
      <c r="AG86" s="61"/>
      <c r="AH86" s="61"/>
      <c r="AI86" s="5" t="s">
        <v>197</v>
      </c>
      <c r="AJ86" s="5" t="s">
        <v>186</v>
      </c>
      <c r="AK86" s="58" t="s">
        <v>74</v>
      </c>
      <c r="AL86" s="61"/>
      <c r="AM86" s="61"/>
    </row>
    <row r="87" spans="1:39" s="7" customFormat="1" ht="15.75">
      <c r="B87" s="55">
        <v>2</v>
      </c>
      <c r="C87" s="61" t="s">
        <v>182</v>
      </c>
      <c r="D87" s="55" t="s">
        <v>187</v>
      </c>
      <c r="E87" s="55">
        <v>2022</v>
      </c>
      <c r="F87" s="55">
        <v>1</v>
      </c>
      <c r="G87" s="55">
        <v>1</v>
      </c>
      <c r="H87" s="55">
        <v>1</v>
      </c>
      <c r="I87" s="55">
        <v>1</v>
      </c>
      <c r="J87" s="55">
        <v>1</v>
      </c>
      <c r="K87" s="55">
        <v>1</v>
      </c>
      <c r="L87" s="55">
        <v>1</v>
      </c>
      <c r="M87" s="55">
        <v>1</v>
      </c>
      <c r="N87" s="55">
        <v>1</v>
      </c>
      <c r="O87" s="55">
        <v>1</v>
      </c>
      <c r="P87" s="55">
        <v>1</v>
      </c>
      <c r="Q87" s="55">
        <v>1</v>
      </c>
      <c r="R87" s="55">
        <v>1</v>
      </c>
      <c r="S87" s="55">
        <v>1</v>
      </c>
      <c r="T87" s="55">
        <v>1</v>
      </c>
      <c r="U87" s="55">
        <v>1</v>
      </c>
      <c r="V87" s="55">
        <v>1</v>
      </c>
      <c r="W87" s="55">
        <v>1</v>
      </c>
      <c r="X87" s="55">
        <v>1</v>
      </c>
      <c r="Y87" s="55">
        <v>1</v>
      </c>
      <c r="Z87" s="57"/>
      <c r="AA87" s="56"/>
      <c r="AB87" s="59">
        <v>0</v>
      </c>
      <c r="AC87" s="57"/>
      <c r="AD87" s="57"/>
      <c r="AE87" s="60"/>
      <c r="AF87" s="61"/>
      <c r="AG87" s="61"/>
      <c r="AH87" s="61"/>
      <c r="AI87" s="5" t="s">
        <v>197</v>
      </c>
      <c r="AJ87" s="5" t="s">
        <v>186</v>
      </c>
      <c r="AK87" s="58" t="s">
        <v>74</v>
      </c>
      <c r="AL87" s="61"/>
      <c r="AM87" s="61"/>
    </row>
    <row r="88" spans="1:39" s="7" customFormat="1" ht="15.75">
      <c r="B88" s="55">
        <v>3</v>
      </c>
      <c r="C88" s="61" t="s">
        <v>94</v>
      </c>
      <c r="D88" s="55" t="s">
        <v>187</v>
      </c>
      <c r="E88" s="55">
        <v>2022</v>
      </c>
      <c r="F88" s="55">
        <v>4</v>
      </c>
      <c r="G88" s="55">
        <v>4</v>
      </c>
      <c r="H88" s="55">
        <v>4</v>
      </c>
      <c r="I88" s="55">
        <v>4</v>
      </c>
      <c r="J88" s="55">
        <v>4</v>
      </c>
      <c r="K88" s="55">
        <v>4</v>
      </c>
      <c r="L88" s="55">
        <v>4</v>
      </c>
      <c r="M88" s="55">
        <v>4</v>
      </c>
      <c r="N88" s="55">
        <v>4</v>
      </c>
      <c r="O88" s="55">
        <v>4</v>
      </c>
      <c r="P88" s="55">
        <v>4</v>
      </c>
      <c r="Q88" s="55">
        <v>4</v>
      </c>
      <c r="R88" s="55">
        <v>4</v>
      </c>
      <c r="S88" s="55">
        <v>4</v>
      </c>
      <c r="T88" s="55">
        <v>4</v>
      </c>
      <c r="U88" s="55">
        <v>4</v>
      </c>
      <c r="V88" s="55">
        <v>4</v>
      </c>
      <c r="W88" s="55">
        <v>4</v>
      </c>
      <c r="X88" s="55">
        <v>4</v>
      </c>
      <c r="Y88" s="55">
        <v>4</v>
      </c>
      <c r="Z88" s="57"/>
      <c r="AA88" s="56"/>
      <c r="AB88" s="59">
        <v>0</v>
      </c>
      <c r="AC88" s="57"/>
      <c r="AD88" s="57"/>
      <c r="AE88" s="60"/>
      <c r="AF88" s="61"/>
      <c r="AG88" s="61"/>
      <c r="AH88" s="61"/>
      <c r="AI88" s="5" t="s">
        <v>197</v>
      </c>
      <c r="AJ88" s="5" t="s">
        <v>186</v>
      </c>
      <c r="AK88" s="58" t="s">
        <v>74</v>
      </c>
      <c r="AL88" s="61"/>
      <c r="AM88" s="61"/>
    </row>
    <row r="89" spans="1:39" s="7" customFormat="1" ht="15.75">
      <c r="B89" s="55">
        <v>4</v>
      </c>
      <c r="C89" s="61" t="s">
        <v>95</v>
      </c>
      <c r="D89" s="55" t="s">
        <v>187</v>
      </c>
      <c r="E89" s="55">
        <v>2022</v>
      </c>
      <c r="F89" s="55">
        <v>1</v>
      </c>
      <c r="G89" s="55">
        <v>1</v>
      </c>
      <c r="H89" s="55">
        <v>1</v>
      </c>
      <c r="I89" s="55">
        <v>1</v>
      </c>
      <c r="J89" s="55">
        <v>1</v>
      </c>
      <c r="K89" s="55">
        <v>1</v>
      </c>
      <c r="L89" s="55">
        <v>1</v>
      </c>
      <c r="M89" s="55">
        <v>1</v>
      </c>
      <c r="N89" s="55">
        <v>1</v>
      </c>
      <c r="O89" s="55">
        <v>1</v>
      </c>
      <c r="P89" s="55">
        <v>1</v>
      </c>
      <c r="Q89" s="55">
        <v>1</v>
      </c>
      <c r="R89" s="55">
        <v>1</v>
      </c>
      <c r="S89" s="55">
        <v>1</v>
      </c>
      <c r="T89" s="55">
        <v>1</v>
      </c>
      <c r="U89" s="55">
        <v>1</v>
      </c>
      <c r="V89" s="55">
        <v>1</v>
      </c>
      <c r="W89" s="55">
        <v>1</v>
      </c>
      <c r="X89" s="55">
        <v>1</v>
      </c>
      <c r="Y89" s="55">
        <v>1</v>
      </c>
      <c r="Z89" s="57"/>
      <c r="AA89" s="56"/>
      <c r="AB89" s="59">
        <v>0</v>
      </c>
      <c r="AC89" s="57"/>
      <c r="AD89" s="57"/>
      <c r="AE89" s="60"/>
      <c r="AF89" s="61"/>
      <c r="AG89" s="61"/>
      <c r="AH89" s="61"/>
      <c r="AI89" s="5" t="s">
        <v>197</v>
      </c>
      <c r="AJ89" s="5" t="s">
        <v>186</v>
      </c>
      <c r="AK89" s="58" t="s">
        <v>74</v>
      </c>
      <c r="AL89" s="61"/>
      <c r="AM89" s="61"/>
    </row>
    <row r="90" spans="1:39" s="7" customFormat="1" ht="15.75">
      <c r="B90" s="55">
        <v>5</v>
      </c>
      <c r="C90" s="61" t="s">
        <v>96</v>
      </c>
      <c r="D90" s="55" t="s">
        <v>188</v>
      </c>
      <c r="E90" s="55">
        <v>2022</v>
      </c>
      <c r="F90" s="55">
        <v>1</v>
      </c>
      <c r="G90" s="55">
        <v>1</v>
      </c>
      <c r="H90" s="55">
        <v>1</v>
      </c>
      <c r="I90" s="55">
        <v>1</v>
      </c>
      <c r="J90" s="55">
        <v>1</v>
      </c>
      <c r="K90" s="55">
        <v>1</v>
      </c>
      <c r="L90" s="55">
        <v>1</v>
      </c>
      <c r="M90" s="55">
        <v>1</v>
      </c>
      <c r="N90" s="55">
        <v>1</v>
      </c>
      <c r="O90" s="55">
        <v>1</v>
      </c>
      <c r="P90" s="55">
        <v>1</v>
      </c>
      <c r="Q90" s="55">
        <v>1</v>
      </c>
      <c r="R90" s="55">
        <v>1</v>
      </c>
      <c r="S90" s="55">
        <v>1</v>
      </c>
      <c r="T90" s="55">
        <v>1</v>
      </c>
      <c r="U90" s="55">
        <v>1</v>
      </c>
      <c r="V90" s="55">
        <v>1</v>
      </c>
      <c r="W90" s="55">
        <v>1</v>
      </c>
      <c r="X90" s="55">
        <v>1</v>
      </c>
      <c r="Y90" s="55">
        <v>1</v>
      </c>
      <c r="Z90" s="57"/>
      <c r="AA90" s="56"/>
      <c r="AB90" s="59">
        <v>0</v>
      </c>
      <c r="AC90" s="57"/>
      <c r="AD90" s="57"/>
      <c r="AE90" s="60"/>
      <c r="AF90" s="61"/>
      <c r="AG90" s="61"/>
      <c r="AH90" s="61"/>
      <c r="AI90" s="5" t="s">
        <v>197</v>
      </c>
      <c r="AJ90" s="5" t="s">
        <v>186</v>
      </c>
      <c r="AK90" s="58" t="s">
        <v>74</v>
      </c>
      <c r="AL90" s="61"/>
      <c r="AM90" s="61"/>
    </row>
    <row r="91" spans="1:39" s="7" customFormat="1" ht="31.5">
      <c r="B91" s="55">
        <v>6</v>
      </c>
      <c r="C91" s="62" t="s">
        <v>176</v>
      </c>
      <c r="D91" s="55" t="s">
        <v>188</v>
      </c>
      <c r="E91" s="55">
        <v>2022</v>
      </c>
      <c r="F91" s="55">
        <v>2</v>
      </c>
      <c r="G91" s="55">
        <v>2</v>
      </c>
      <c r="H91" s="55">
        <v>2</v>
      </c>
      <c r="I91" s="55">
        <v>2</v>
      </c>
      <c r="J91" s="55">
        <v>2</v>
      </c>
      <c r="K91" s="55">
        <v>2</v>
      </c>
      <c r="L91" s="55">
        <v>2</v>
      </c>
      <c r="M91" s="55">
        <v>2</v>
      </c>
      <c r="N91" s="55">
        <v>2</v>
      </c>
      <c r="O91" s="55">
        <v>2</v>
      </c>
      <c r="P91" s="55">
        <v>2</v>
      </c>
      <c r="Q91" s="55">
        <v>2</v>
      </c>
      <c r="R91" s="55">
        <v>2</v>
      </c>
      <c r="S91" s="55">
        <v>2</v>
      </c>
      <c r="T91" s="55">
        <v>2</v>
      </c>
      <c r="U91" s="55">
        <v>2</v>
      </c>
      <c r="V91" s="55">
        <v>2</v>
      </c>
      <c r="W91" s="55">
        <v>2</v>
      </c>
      <c r="X91" s="55">
        <v>2</v>
      </c>
      <c r="Y91" s="55">
        <v>2</v>
      </c>
      <c r="Z91" s="57"/>
      <c r="AA91" s="56"/>
      <c r="AB91" s="59">
        <v>0</v>
      </c>
      <c r="AC91" s="57"/>
      <c r="AD91" s="57"/>
      <c r="AE91" s="60"/>
      <c r="AF91" s="61"/>
      <c r="AG91" s="61"/>
      <c r="AH91" s="61"/>
      <c r="AI91" s="5" t="s">
        <v>197</v>
      </c>
      <c r="AJ91" s="5" t="s">
        <v>186</v>
      </c>
      <c r="AK91" s="58" t="s">
        <v>74</v>
      </c>
      <c r="AL91" s="61"/>
      <c r="AM91" s="61"/>
    </row>
    <row r="92" spans="1:39" s="7" customFormat="1" ht="15.75">
      <c r="B92" s="55">
        <v>7</v>
      </c>
      <c r="C92" s="61" t="s">
        <v>177</v>
      </c>
      <c r="D92" s="55" t="s">
        <v>187</v>
      </c>
      <c r="E92" s="55">
        <v>2022</v>
      </c>
      <c r="F92" s="55">
        <v>1</v>
      </c>
      <c r="G92" s="55">
        <v>1</v>
      </c>
      <c r="H92" s="55">
        <v>1</v>
      </c>
      <c r="I92" s="55">
        <v>1</v>
      </c>
      <c r="J92" s="55">
        <v>1</v>
      </c>
      <c r="K92" s="55">
        <v>1</v>
      </c>
      <c r="L92" s="55">
        <v>1</v>
      </c>
      <c r="M92" s="55">
        <v>1</v>
      </c>
      <c r="N92" s="55">
        <v>1</v>
      </c>
      <c r="O92" s="55">
        <v>1</v>
      </c>
      <c r="P92" s="55">
        <v>1</v>
      </c>
      <c r="Q92" s="55">
        <v>1</v>
      </c>
      <c r="R92" s="55">
        <v>1</v>
      </c>
      <c r="S92" s="55">
        <v>1</v>
      </c>
      <c r="T92" s="55">
        <v>1</v>
      </c>
      <c r="U92" s="55">
        <v>1</v>
      </c>
      <c r="V92" s="55">
        <v>1</v>
      </c>
      <c r="W92" s="55">
        <v>1</v>
      </c>
      <c r="X92" s="55">
        <v>1</v>
      </c>
      <c r="Y92" s="55">
        <v>1</v>
      </c>
      <c r="Z92" s="57"/>
      <c r="AA92" s="56"/>
      <c r="AB92" s="59">
        <v>0</v>
      </c>
      <c r="AC92" s="57"/>
      <c r="AD92" s="57"/>
      <c r="AE92" s="60"/>
      <c r="AF92" s="61"/>
      <c r="AG92" s="184">
        <v>12669000</v>
      </c>
      <c r="AH92" s="186">
        <f>+Y92*AG92</f>
        <v>12669000</v>
      </c>
      <c r="AI92" s="5" t="s">
        <v>197</v>
      </c>
      <c r="AJ92" s="5" t="s">
        <v>186</v>
      </c>
      <c r="AK92" s="58" t="s">
        <v>74</v>
      </c>
      <c r="AL92" s="61"/>
      <c r="AM92" s="61"/>
    </row>
    <row r="93" spans="1:39" s="7" customFormat="1" ht="15.75">
      <c r="B93" s="55">
        <v>8</v>
      </c>
      <c r="C93" s="61" t="s">
        <v>99</v>
      </c>
      <c r="D93" s="55" t="s">
        <v>187</v>
      </c>
      <c r="E93" s="55">
        <v>2022</v>
      </c>
      <c r="F93" s="55">
        <v>1</v>
      </c>
      <c r="G93" s="55">
        <v>1</v>
      </c>
      <c r="H93" s="55">
        <v>1</v>
      </c>
      <c r="I93" s="55">
        <v>1</v>
      </c>
      <c r="J93" s="55">
        <v>1</v>
      </c>
      <c r="K93" s="55">
        <v>1</v>
      </c>
      <c r="L93" s="55">
        <v>1</v>
      </c>
      <c r="M93" s="55">
        <v>1</v>
      </c>
      <c r="N93" s="55">
        <v>1</v>
      </c>
      <c r="O93" s="55">
        <v>1</v>
      </c>
      <c r="P93" s="55">
        <v>1</v>
      </c>
      <c r="Q93" s="55">
        <v>1</v>
      </c>
      <c r="R93" s="55">
        <v>1</v>
      </c>
      <c r="S93" s="55">
        <v>1</v>
      </c>
      <c r="T93" s="55">
        <v>1</v>
      </c>
      <c r="U93" s="55">
        <v>1</v>
      </c>
      <c r="V93" s="55">
        <v>1</v>
      </c>
      <c r="W93" s="55">
        <v>1</v>
      </c>
      <c r="X93" s="55">
        <v>1</v>
      </c>
      <c r="Y93" s="55">
        <v>1</v>
      </c>
      <c r="Z93" s="57"/>
      <c r="AA93" s="56"/>
      <c r="AB93" s="59">
        <v>0</v>
      </c>
      <c r="AC93" s="57"/>
      <c r="AD93" s="57"/>
      <c r="AE93" s="60"/>
      <c r="AF93" s="61"/>
      <c r="AG93" s="61"/>
      <c r="AH93" s="61"/>
      <c r="AI93" s="5" t="s">
        <v>197</v>
      </c>
      <c r="AJ93" s="5" t="s">
        <v>186</v>
      </c>
      <c r="AK93" s="58" t="s">
        <v>74</v>
      </c>
      <c r="AL93" s="61"/>
      <c r="AM93" s="61"/>
    </row>
    <row r="94" spans="1:39" s="7" customFormat="1" ht="15.75">
      <c r="B94" s="55">
        <v>9</v>
      </c>
      <c r="C94" s="61" t="s">
        <v>103</v>
      </c>
      <c r="D94" s="55" t="s">
        <v>187</v>
      </c>
      <c r="E94" s="55">
        <v>2022</v>
      </c>
      <c r="F94" s="55">
        <v>1</v>
      </c>
      <c r="G94" s="55">
        <v>1</v>
      </c>
      <c r="H94" s="55">
        <v>1</v>
      </c>
      <c r="I94" s="55">
        <v>1</v>
      </c>
      <c r="J94" s="55">
        <v>1</v>
      </c>
      <c r="K94" s="55">
        <v>1</v>
      </c>
      <c r="L94" s="55">
        <v>1</v>
      </c>
      <c r="M94" s="55">
        <v>1</v>
      </c>
      <c r="N94" s="55">
        <v>1</v>
      </c>
      <c r="O94" s="55">
        <v>1</v>
      </c>
      <c r="P94" s="55">
        <v>1</v>
      </c>
      <c r="Q94" s="55">
        <v>1</v>
      </c>
      <c r="R94" s="55">
        <v>1</v>
      </c>
      <c r="S94" s="55">
        <v>1</v>
      </c>
      <c r="T94" s="55">
        <v>1</v>
      </c>
      <c r="U94" s="55">
        <v>1</v>
      </c>
      <c r="V94" s="55">
        <v>1</v>
      </c>
      <c r="W94" s="55">
        <v>1</v>
      </c>
      <c r="X94" s="55">
        <v>1</v>
      </c>
      <c r="Y94" s="55">
        <v>1</v>
      </c>
      <c r="Z94" s="57"/>
      <c r="AA94" s="56"/>
      <c r="AB94" s="59">
        <v>0</v>
      </c>
      <c r="AC94" s="57"/>
      <c r="AD94" s="57"/>
      <c r="AE94" s="60"/>
      <c r="AF94" s="61"/>
      <c r="AG94" s="61"/>
      <c r="AH94" s="61"/>
      <c r="AI94" s="5" t="s">
        <v>197</v>
      </c>
      <c r="AJ94" s="5" t="s">
        <v>186</v>
      </c>
      <c r="AK94" s="58" t="s">
        <v>74</v>
      </c>
      <c r="AL94" s="61"/>
      <c r="AM94" s="61"/>
    </row>
    <row r="95" spans="1:39" s="189" customFormat="1" ht="15" customHeight="1">
      <c r="A95" s="187"/>
      <c r="B95" s="187" t="s">
        <v>280</v>
      </c>
      <c r="C95" s="187" t="s">
        <v>280</v>
      </c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>
        <f>SUM(AH22:AH94)</f>
        <v>201945000</v>
      </c>
      <c r="AI95" s="188"/>
      <c r="AJ95" s="188"/>
      <c r="AK95" s="188"/>
      <c r="AL95" s="188"/>
    </row>
    <row r="96" spans="1:39" s="67" customFormat="1" ht="15.75">
      <c r="A96" s="68"/>
      <c r="E96" s="68"/>
      <c r="F96" s="85"/>
      <c r="K96" s="68"/>
      <c r="X96" s="68"/>
      <c r="AA96" s="68"/>
      <c r="AB96" s="86"/>
      <c r="AJ96" s="214" t="s">
        <v>214</v>
      </c>
      <c r="AK96" s="214"/>
      <c r="AL96" s="214"/>
      <c r="AM96" s="214"/>
    </row>
    <row r="97" spans="1:39" s="67" customFormat="1" ht="15.75">
      <c r="A97" s="68"/>
      <c r="B97" s="67" t="s">
        <v>53</v>
      </c>
      <c r="D97" s="214" t="s">
        <v>114</v>
      </c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AB97" s="214" t="s">
        <v>54</v>
      </c>
      <c r="AC97" s="214"/>
      <c r="AD97" s="214"/>
      <c r="AE97" s="214"/>
      <c r="AF97" s="214"/>
      <c r="AG97" s="214"/>
      <c r="AH97" s="214"/>
      <c r="AI97" s="214"/>
      <c r="AJ97" s="214"/>
      <c r="AK97" s="214" t="s">
        <v>55</v>
      </c>
      <c r="AL97" s="214"/>
      <c r="AM97" s="214"/>
    </row>
    <row r="98" spans="1:39" s="67" customFormat="1" ht="15.75">
      <c r="A98" s="68" t="s">
        <v>56</v>
      </c>
      <c r="B98" s="68" t="s">
        <v>56</v>
      </c>
      <c r="C98" s="67" t="s">
        <v>111</v>
      </c>
      <c r="D98" s="6"/>
      <c r="E98" s="68"/>
      <c r="F98" s="85"/>
      <c r="K98" s="68"/>
      <c r="X98" s="68"/>
      <c r="AA98" s="68"/>
      <c r="AB98" s="86"/>
      <c r="AJ98" s="68"/>
      <c r="AK98" s="68"/>
    </row>
    <row r="99" spans="1:39" s="67" customFormat="1" ht="15.75">
      <c r="A99" s="68" t="s">
        <v>56</v>
      </c>
      <c r="B99" s="68" t="s">
        <v>56</v>
      </c>
      <c r="C99" s="67" t="s">
        <v>110</v>
      </c>
      <c r="D99" s="6"/>
      <c r="E99" s="68"/>
      <c r="F99" s="85"/>
      <c r="K99" s="68"/>
      <c r="X99" s="68"/>
      <c r="AA99" s="68"/>
      <c r="AB99" s="86"/>
      <c r="AJ99" s="68"/>
      <c r="AK99" s="68"/>
    </row>
    <row r="100" spans="1:39" s="67" customFormat="1" ht="15.75">
      <c r="A100" s="68" t="s">
        <v>56</v>
      </c>
      <c r="B100" s="68" t="s">
        <v>56</v>
      </c>
      <c r="C100" s="67" t="s">
        <v>109</v>
      </c>
      <c r="D100" s="6"/>
      <c r="E100" s="68"/>
      <c r="F100" s="85"/>
      <c r="K100" s="68"/>
      <c r="X100" s="68"/>
      <c r="AA100" s="68"/>
      <c r="AB100" s="86"/>
      <c r="AJ100" s="68"/>
      <c r="AK100" s="68"/>
    </row>
    <row r="101" spans="1:39" s="67" customFormat="1" ht="15.75">
      <c r="A101" s="68" t="s">
        <v>56</v>
      </c>
      <c r="B101" s="68" t="s">
        <v>56</v>
      </c>
      <c r="C101" s="67" t="s">
        <v>108</v>
      </c>
      <c r="D101" s="6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174"/>
      <c r="AH101" s="174"/>
      <c r="AI101" s="214"/>
      <c r="AJ101" s="214"/>
      <c r="AK101" s="214"/>
      <c r="AL101" s="214"/>
    </row>
    <row r="102" spans="1:39" s="67" customFormat="1" ht="19.5" customHeight="1">
      <c r="A102" s="68"/>
      <c r="B102" s="68" t="s">
        <v>56</v>
      </c>
      <c r="C102" s="67" t="s">
        <v>213</v>
      </c>
      <c r="D102" s="214" t="s">
        <v>165</v>
      </c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AB102" s="214" t="s">
        <v>57</v>
      </c>
      <c r="AC102" s="214"/>
      <c r="AD102" s="214"/>
      <c r="AE102" s="214"/>
      <c r="AF102" s="214"/>
      <c r="AG102" s="214"/>
      <c r="AH102" s="214"/>
      <c r="AI102" s="214"/>
      <c r="AJ102" s="214"/>
      <c r="AK102" s="214" t="s">
        <v>210</v>
      </c>
      <c r="AL102" s="214"/>
      <c r="AM102" s="214"/>
    </row>
    <row r="103" spans="1:39" s="87" customFormat="1">
      <c r="B103" s="88"/>
      <c r="D103" s="89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215"/>
      <c r="AC103" s="215"/>
      <c r="AD103" s="215"/>
      <c r="AE103" s="215"/>
      <c r="AF103" s="215"/>
      <c r="AG103" s="175"/>
      <c r="AH103" s="175"/>
      <c r="AI103" s="215"/>
      <c r="AJ103" s="215"/>
      <c r="AK103" s="215"/>
      <c r="AL103" s="215"/>
      <c r="AM103" s="215"/>
    </row>
    <row r="132" spans="1:39">
      <c r="A132" s="213" t="s">
        <v>75</v>
      </c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  <c r="AA132" s="213"/>
      <c r="AB132" s="213"/>
      <c r="AC132" s="213"/>
      <c r="AD132" s="213"/>
      <c r="AE132" s="213"/>
      <c r="AF132" s="213"/>
      <c r="AG132" s="213"/>
      <c r="AH132" s="213"/>
      <c r="AI132" s="213"/>
      <c r="AJ132" s="213"/>
      <c r="AK132" s="213"/>
      <c r="AL132" s="213"/>
    </row>
    <row r="134" spans="1:39" s="96" customFormat="1" ht="26.25" customHeight="1">
      <c r="A134" s="90"/>
      <c r="B134" s="91">
        <v>1</v>
      </c>
      <c r="C134" s="90" t="s">
        <v>76</v>
      </c>
      <c r="D134" s="92"/>
      <c r="E134" s="1"/>
      <c r="F134" s="4">
        <v>1</v>
      </c>
      <c r="G134" s="2"/>
      <c r="H134" s="2"/>
      <c r="I134" s="2"/>
      <c r="J134" s="3"/>
      <c r="K134" s="3"/>
      <c r="L134" s="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1">
        <v>1</v>
      </c>
      <c r="Z134" s="3"/>
      <c r="AA134" s="2"/>
      <c r="AB134" s="93"/>
      <c r="AC134" s="3"/>
      <c r="AD134" s="3"/>
      <c r="AE134" s="94"/>
      <c r="AF134" s="90"/>
      <c r="AG134" s="90"/>
      <c r="AH134" s="90"/>
      <c r="AI134" s="3" t="s">
        <v>77</v>
      </c>
      <c r="AJ134" s="4" t="s">
        <v>78</v>
      </c>
      <c r="AK134" s="4" t="s">
        <v>79</v>
      </c>
      <c r="AL134" s="95" t="s">
        <v>80</v>
      </c>
      <c r="AM134" s="90" t="s">
        <v>81</v>
      </c>
    </row>
    <row r="135" spans="1:39" s="96" customFormat="1" ht="26.25" customHeight="1">
      <c r="A135" s="90"/>
      <c r="B135" s="1">
        <v>2</v>
      </c>
      <c r="C135" s="90" t="s">
        <v>82</v>
      </c>
      <c r="D135" s="97"/>
      <c r="E135" s="1"/>
      <c r="F135" s="1">
        <v>2</v>
      </c>
      <c r="G135" s="2"/>
      <c r="H135" s="2"/>
      <c r="I135" s="2"/>
      <c r="J135" s="3"/>
      <c r="K135" s="3"/>
      <c r="L135" s="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1">
        <v>2</v>
      </c>
      <c r="Z135" s="3"/>
      <c r="AA135" s="2"/>
      <c r="AB135" s="98"/>
      <c r="AC135" s="3"/>
      <c r="AD135" s="3"/>
      <c r="AE135" s="99"/>
      <c r="AF135" s="90"/>
      <c r="AG135" s="90"/>
      <c r="AH135" s="90"/>
      <c r="AI135" s="3" t="s">
        <v>77</v>
      </c>
      <c r="AJ135" s="1" t="s">
        <v>78</v>
      </c>
      <c r="AK135" s="4" t="s">
        <v>79</v>
      </c>
      <c r="AL135" s="95" t="s">
        <v>80</v>
      </c>
      <c r="AM135" s="90" t="s">
        <v>81</v>
      </c>
    </row>
    <row r="136" spans="1:39" s="96" customFormat="1" ht="26.25" customHeight="1">
      <c r="A136" s="90"/>
      <c r="B136" s="91">
        <v>11</v>
      </c>
      <c r="C136" s="90" t="s">
        <v>83</v>
      </c>
      <c r="D136" s="97"/>
      <c r="E136" s="1"/>
      <c r="F136" s="1">
        <v>1</v>
      </c>
      <c r="G136" s="2"/>
      <c r="H136" s="2"/>
      <c r="I136" s="3"/>
      <c r="J136" s="3"/>
      <c r="K136" s="3"/>
      <c r="L136" s="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1">
        <v>1</v>
      </c>
      <c r="Z136" s="3"/>
      <c r="AA136" s="2"/>
      <c r="AB136" s="93"/>
      <c r="AC136" s="3"/>
      <c r="AD136" s="3"/>
      <c r="AE136" s="100"/>
      <c r="AF136" s="90"/>
      <c r="AG136" s="90"/>
      <c r="AH136" s="90"/>
      <c r="AI136" s="3" t="s">
        <v>77</v>
      </c>
      <c r="AJ136" s="1" t="s">
        <v>78</v>
      </c>
      <c r="AK136" s="4" t="s">
        <v>84</v>
      </c>
      <c r="AL136" s="3"/>
      <c r="AM136" s="90" t="s">
        <v>85</v>
      </c>
    </row>
    <row r="137" spans="1:39" s="96" customFormat="1" ht="26.25" customHeight="1">
      <c r="A137" s="90"/>
      <c r="B137" s="1">
        <v>12</v>
      </c>
      <c r="C137" s="90" t="s">
        <v>86</v>
      </c>
      <c r="D137" s="97"/>
      <c r="E137" s="1"/>
      <c r="F137" s="1">
        <v>1</v>
      </c>
      <c r="G137" s="2"/>
      <c r="H137" s="2"/>
      <c r="I137" s="3"/>
      <c r="J137" s="3"/>
      <c r="K137" s="3"/>
      <c r="L137" s="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1">
        <v>1</v>
      </c>
      <c r="Z137" s="3"/>
      <c r="AA137" s="2"/>
      <c r="AB137" s="93"/>
      <c r="AC137" s="3"/>
      <c r="AD137" s="3"/>
      <c r="AE137" s="100"/>
      <c r="AF137" s="90"/>
      <c r="AG137" s="90"/>
      <c r="AH137" s="90"/>
      <c r="AI137" s="3" t="s">
        <v>77</v>
      </c>
      <c r="AJ137" s="1" t="s">
        <v>78</v>
      </c>
      <c r="AK137" s="4" t="s">
        <v>87</v>
      </c>
      <c r="AL137" s="95" t="s">
        <v>80</v>
      </c>
      <c r="AM137" s="90" t="s">
        <v>81</v>
      </c>
    </row>
    <row r="138" spans="1:39" s="96" customFormat="1" ht="26.25" customHeight="1">
      <c r="A138" s="90"/>
      <c r="B138" s="1">
        <v>14</v>
      </c>
      <c r="C138" s="90" t="s">
        <v>88</v>
      </c>
      <c r="D138" s="97"/>
      <c r="E138" s="1"/>
      <c r="F138" s="101">
        <v>1</v>
      </c>
      <c r="G138" s="2"/>
      <c r="H138" s="2"/>
      <c r="I138" s="3"/>
      <c r="J138" s="3"/>
      <c r="K138" s="3"/>
      <c r="L138" s="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101">
        <v>1</v>
      </c>
      <c r="Z138" s="3"/>
      <c r="AA138" s="2"/>
      <c r="AB138" s="93"/>
      <c r="AC138" s="3"/>
      <c r="AD138" s="3"/>
      <c r="AE138" s="100"/>
      <c r="AF138" s="90"/>
      <c r="AG138" s="90"/>
      <c r="AH138" s="90"/>
      <c r="AI138" s="3" t="s">
        <v>77</v>
      </c>
      <c r="AJ138" s="101" t="s">
        <v>89</v>
      </c>
      <c r="AK138" s="4" t="s">
        <v>79</v>
      </c>
      <c r="AL138" s="102" t="s">
        <v>90</v>
      </c>
      <c r="AM138" s="90" t="s">
        <v>81</v>
      </c>
    </row>
    <row r="139" spans="1:39" s="96" customFormat="1" ht="26.25" customHeight="1">
      <c r="A139" s="90"/>
      <c r="B139" s="1">
        <v>15</v>
      </c>
      <c r="C139" s="103" t="s">
        <v>91</v>
      </c>
      <c r="D139" s="97"/>
      <c r="E139" s="1"/>
      <c r="F139" s="1">
        <v>1</v>
      </c>
      <c r="G139" s="2"/>
      <c r="H139" s="2"/>
      <c r="I139" s="3"/>
      <c r="J139" s="3"/>
      <c r="K139" s="3"/>
      <c r="L139" s="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101">
        <v>1</v>
      </c>
      <c r="Z139" s="3"/>
      <c r="AA139" s="2"/>
      <c r="AB139" s="93"/>
      <c r="AC139" s="3"/>
      <c r="AD139" s="3"/>
      <c r="AE139" s="100"/>
      <c r="AF139" s="90"/>
      <c r="AG139" s="90"/>
      <c r="AH139" s="90"/>
      <c r="AI139" s="3" t="s">
        <v>77</v>
      </c>
      <c r="AJ139" s="101" t="s">
        <v>89</v>
      </c>
      <c r="AK139" s="4" t="s">
        <v>87</v>
      </c>
      <c r="AL139" s="102" t="s">
        <v>90</v>
      </c>
      <c r="AM139" s="90" t="s">
        <v>81</v>
      </c>
    </row>
  </sheetData>
  <autoFilter ref="A17:AM102" xr:uid="{D19ACEFA-D928-4866-BB07-96E12B5F4A99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24" showButton="0"/>
    <filterColumn colId="25" showButton="0"/>
    <filterColumn colId="27" showButton="0"/>
    <filterColumn colId="28" showButton="0"/>
  </autoFilter>
  <mergeCells count="52">
    <mergeCell ref="B6:AM6"/>
    <mergeCell ref="H19:H20"/>
    <mergeCell ref="I19:J19"/>
    <mergeCell ref="AA1:AM1"/>
    <mergeCell ref="AA2:AM2"/>
    <mergeCell ref="B3:AM3"/>
    <mergeCell ref="AA4:AM4"/>
    <mergeCell ref="B5:AM5"/>
    <mergeCell ref="F17:Q17"/>
    <mergeCell ref="F18:F20"/>
    <mergeCell ref="G18:G20"/>
    <mergeCell ref="H18:J18"/>
    <mergeCell ref="AA18:AA20"/>
    <mergeCell ref="Y17:AA17"/>
    <mergeCell ref="AB17:AD17"/>
    <mergeCell ref="AE17:AE20"/>
    <mergeCell ref="A17:A20"/>
    <mergeCell ref="B17:B20"/>
    <mergeCell ref="C17:C20"/>
    <mergeCell ref="D17:D20"/>
    <mergeCell ref="E17:E20"/>
    <mergeCell ref="AK97:AM97"/>
    <mergeCell ref="E101:AF101"/>
    <mergeCell ref="AM17:AM20"/>
    <mergeCell ref="AM29:AM33"/>
    <mergeCell ref="AF17:AF20"/>
    <mergeCell ref="Y18:Y20"/>
    <mergeCell ref="Z18:Z20"/>
    <mergeCell ref="AC18:AC20"/>
    <mergeCell ref="AD18:AD20"/>
    <mergeCell ref="AK17:AK20"/>
    <mergeCell ref="AL17:AL20"/>
    <mergeCell ref="C55:F55"/>
    <mergeCell ref="C65:E65"/>
    <mergeCell ref="AG17:AG20"/>
    <mergeCell ref="AH17:AH20"/>
    <mergeCell ref="AB18:AB20"/>
    <mergeCell ref="AI17:AI20"/>
    <mergeCell ref="C85:E85"/>
    <mergeCell ref="A132:AL132"/>
    <mergeCell ref="AK102:AM102"/>
    <mergeCell ref="D102:Y102"/>
    <mergeCell ref="AB102:AJ102"/>
    <mergeCell ref="AK103:AM103"/>
    <mergeCell ref="E103:AF103"/>
    <mergeCell ref="AI103:AJ103"/>
    <mergeCell ref="AJ96:AM96"/>
    <mergeCell ref="AI101:AJ101"/>
    <mergeCell ref="AK101:AL101"/>
    <mergeCell ref="D97:Y97"/>
    <mergeCell ref="AB97:AJ97"/>
    <mergeCell ref="AJ17:AJ20"/>
  </mergeCells>
  <printOptions horizontalCentered="1"/>
  <pageMargins left="0.23622047244094499" right="0.25" top="0.49803149600000002" bottom="0.49803149600000002" header="0.31496062992126" footer="0.31496062992126"/>
  <pageSetup paperSize="9" scale="90" orientation="landscape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Kangatang</vt:lpstr>
      <vt:lpstr>foxz</vt:lpstr>
      <vt:lpstr>1.Khoa TTGDSK-TB VP-2022</vt:lpstr>
      <vt:lpstr>2.KHoa TTGDSK-2022-TB Điện</vt:lpstr>
      <vt:lpstr>'1.Khoa TTGDSK-TB VP-2022'!Print_Area</vt:lpstr>
      <vt:lpstr>'1.Khoa TTGDSK-TB VP-2022'!Print_Titles</vt:lpstr>
      <vt:lpstr>'2.KHoa TTGDSK-2022-TB Điện'!Print_Titles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2026-05-06T02:43:34Z</cp:lastPrinted>
  <dcterms:created xsi:type="dcterms:W3CDTF">2019-01-08T07:18:38Z</dcterms:created>
  <dcterms:modified xsi:type="dcterms:W3CDTF">2026-06-17T02:02:53Z</dcterms:modified>
</cp:coreProperties>
</file>