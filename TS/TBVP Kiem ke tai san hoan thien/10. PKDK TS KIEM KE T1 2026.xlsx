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filterPrivacy="1" defaultThemeVersion="124226"/>
  <xr:revisionPtr revIDLastSave="0" documentId="13_ncr:1_{09432AF3-4EAF-4EE0-9FED-4B58A8A3ECF5}" xr6:coauthVersionLast="36" xr6:coauthVersionMax="47" xr10:uidLastSave="{00000000-0000-0000-0000-000000000000}"/>
  <bookViews>
    <workbookView xWindow="-120" yWindow="-120" windowWidth="19800" windowHeight="11760" firstSheet="16" activeTab="18" xr2:uid="{00000000-000D-0000-FFFF-FFFF00000000}"/>
  </bookViews>
  <sheets>
    <sheet name="tang ham" sheetId="10" state="hidden" r:id="rId1"/>
    <sheet name="tang 1" sheetId="9" state="hidden" r:id="rId2"/>
    <sheet name="tang 3" sheetId="7" state="hidden" r:id="rId3"/>
    <sheet name="tang 4" sheetId="5" state="hidden" r:id="rId4"/>
    <sheet name="tang 5" sheetId="4" state="hidden" r:id="rId5"/>
    <sheet name="tang 6" sheetId="1" state="hidden" r:id="rId6"/>
    <sheet name="tang 7" sheetId="11" state="hidden" r:id="rId7"/>
    <sheet name="tang mai" sheetId="12" state="hidden" r:id="rId8"/>
    <sheet name="KL ONG CAN NHAP" sheetId="14" state="hidden" r:id="rId9"/>
    <sheet name="KLCTN" sheetId="15" state="hidden" r:id="rId10"/>
    <sheet name="foxz" sheetId="24" state="hidden" r:id="rId11"/>
    <sheet name="foxz_2" sheetId="25" state="veryHidden" r:id="rId12"/>
    <sheet name="foxz_3" sheetId="26" state="veryHidden" r:id="rId13"/>
    <sheet name="foxz_4" sheetId="27" state="veryHidden" r:id="rId14"/>
    <sheet name="Tầng 1 tài sản" sheetId="22" r:id="rId15"/>
    <sheet name="Tầng 2 tài sản" sheetId="17" r:id="rId16"/>
    <sheet name="tầng 3 tài sản" sheetId="18" r:id="rId17"/>
    <sheet name="1.TB DIEN T1 2025" sheetId="23" r:id="rId18"/>
    <sheet name="TB DIEN T2 2022" sheetId="20" r:id="rId19"/>
    <sheet name="TB DIEN T3 2022" sheetId="21" r:id="rId20"/>
    <sheet name="CS2" sheetId="30" r:id="rId21"/>
    <sheet name="Sheet1" sheetId="28" r:id="rId22"/>
  </sheets>
  <definedNames>
    <definedName name="_xlnm._FilterDatabase" localSheetId="17" hidden="1">'1.TB DIEN T1 2025'!$A$15:$AL$101</definedName>
    <definedName name="_xlnm._FilterDatabase" localSheetId="18" hidden="1">'TB DIEN T2 2022'!$A$14:$AL$400</definedName>
    <definedName name="_xlnm._FilterDatabase" localSheetId="19" hidden="1">'TB DIEN T3 2022'!$A$15:$AL$60</definedName>
    <definedName name="_xlnm.Print_Area" localSheetId="9">KLCTN!$A$1:$F$259</definedName>
    <definedName name="_xlnm.Print_Area" localSheetId="1">'tang 1'!$A$1:$F$209</definedName>
    <definedName name="_xlnm.Print_Area" localSheetId="2">'tang 3'!$A$1:$F$386</definedName>
    <definedName name="_xlnm.Print_Area" localSheetId="3">'tang 4'!$A$1:$F$370</definedName>
    <definedName name="_xlnm.Print_Area" localSheetId="4">'tang 5'!$A$1:$F$291</definedName>
    <definedName name="_xlnm.Print_Area" localSheetId="5">'tang 6'!$A$1:$F$326</definedName>
    <definedName name="_xlnm.Print_Area" localSheetId="0">'tang ham'!$A$1:$F$113</definedName>
    <definedName name="_xlnm.Print_Titles" localSheetId="20">'CS2'!$25:$26</definedName>
    <definedName name="_xlnm.Print_Titles" localSheetId="2">'tang 3'!$5:$6</definedName>
    <definedName name="_xlnm.Print_Titles" localSheetId="3">'tang 4'!$5:$6</definedName>
    <definedName name="_xlnm.Print_Titles" localSheetId="4">'tang 5'!$5:$6</definedName>
    <definedName name="_xlnm.Print_Titles" localSheetId="5">'tang 6'!$5:$6</definedName>
    <definedName name="_xlnm.Print_Titles" localSheetId="0">'tang ham'!$5:$6</definedName>
    <definedName name="_xlnm.Print_Titles" localSheetId="14">'Tầng 1 tài sản'!$25:$26</definedName>
    <definedName name="_xlnm.Print_Titles" localSheetId="15">'Tầng 2 tài sản'!$13:$14</definedName>
    <definedName name="_xlnm.Print_Titles" localSheetId="16">'tầng 3 tài sản'!$26:$27</definedName>
    <definedName name="_xlnm.Print_Titles" localSheetId="18">'TB DIEN T2 2022'!$14:$15</definedName>
  </definedNames>
  <calcPr calcId="191029"/>
</workbook>
</file>

<file path=xl/calcChain.xml><?xml version="1.0" encoding="utf-8"?>
<calcChain xmlns="http://schemas.openxmlformats.org/spreadsheetml/2006/main">
  <c r="G401" i="20" l="1"/>
  <c r="J48" i="21" l="1"/>
  <c r="J35" i="21"/>
  <c r="J23" i="21"/>
  <c r="J349" i="20"/>
  <c r="J316" i="20"/>
  <c r="J305" i="20"/>
  <c r="J273" i="20"/>
  <c r="J244" i="20"/>
  <c r="J234" i="20"/>
  <c r="J224" i="20"/>
  <c r="J214" i="20"/>
  <c r="J204" i="20"/>
  <c r="J194" i="20"/>
  <c r="J173" i="20"/>
  <c r="J163" i="20"/>
  <c r="J102" i="20"/>
  <c r="J84" i="20"/>
  <c r="J59" i="20"/>
  <c r="J33" i="20"/>
  <c r="J24" i="23"/>
  <c r="J38" i="21" l="1"/>
  <c r="J53" i="21" s="1"/>
  <c r="J338" i="20"/>
  <c r="J327" i="20"/>
  <c r="J294" i="20"/>
  <c r="J283" i="20"/>
  <c r="J261" i="20"/>
  <c r="J183" i="20"/>
  <c r="J152" i="20"/>
  <c r="J136" i="20"/>
  <c r="J125" i="20"/>
  <c r="J114" i="20"/>
  <c r="J22" i="20"/>
  <c r="J386" i="20" s="1"/>
  <c r="J90" i="23"/>
  <c r="J67" i="23"/>
  <c r="J57" i="23"/>
  <c r="J46" i="23"/>
  <c r="J35" i="23"/>
  <c r="J94" i="23" l="1"/>
  <c r="Q53" i="21"/>
  <c r="A45" i="21"/>
  <c r="A46" i="21" s="1"/>
  <c r="A47" i="21" s="1"/>
  <c r="A48" i="21" s="1"/>
  <c r="A49" i="21" s="1"/>
  <c r="A50" i="21" s="1"/>
  <c r="A51" i="21" s="1"/>
  <c r="A52" i="21" s="1"/>
  <c r="A29" i="2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20" i="21"/>
  <c r="A21" i="21" s="1"/>
  <c r="A22" i="21" s="1"/>
  <c r="A23" i="21" s="1"/>
  <c r="A24" i="21" s="1"/>
  <c r="A25" i="21" s="1"/>
  <c r="A26" i="21" s="1"/>
  <c r="A376" i="20"/>
  <c r="A377" i="20" s="1"/>
  <c r="A378" i="20" s="1"/>
  <c r="A379" i="20" s="1"/>
  <c r="A380" i="20" s="1"/>
  <c r="A381" i="20" s="1"/>
  <c r="A382" i="20" s="1"/>
  <c r="A383" i="20" s="1"/>
  <c r="A384" i="20" s="1"/>
  <c r="A385" i="20" s="1"/>
  <c r="A364" i="20"/>
  <c r="A365" i="20" s="1"/>
  <c r="A366" i="20" s="1"/>
  <c r="A367" i="20" s="1"/>
  <c r="A368" i="20" s="1"/>
  <c r="A369" i="20" s="1"/>
  <c r="A370" i="20" s="1"/>
  <c r="A371" i="20" s="1"/>
  <c r="A372" i="20" s="1"/>
  <c r="A373" i="20" s="1"/>
  <c r="A356" i="20"/>
  <c r="A357" i="20" s="1"/>
  <c r="A358" i="20" s="1"/>
  <c r="A359" i="20" s="1"/>
  <c r="A360" i="20" s="1"/>
  <c r="A361" i="20" s="1"/>
  <c r="A345" i="20"/>
  <c r="A346" i="20" s="1"/>
  <c r="A347" i="20" s="1"/>
  <c r="A348" i="20" s="1"/>
  <c r="A349" i="20" s="1"/>
  <c r="A350" i="20" s="1"/>
  <c r="A351" i="20" s="1"/>
  <c r="A352" i="20" s="1"/>
  <c r="A353" i="20" s="1"/>
  <c r="A334" i="20"/>
  <c r="A335" i="20" s="1"/>
  <c r="A336" i="20" s="1"/>
  <c r="A337" i="20" s="1"/>
  <c r="A338" i="20" s="1"/>
  <c r="A339" i="20" s="1"/>
  <c r="A340" i="20" s="1"/>
  <c r="A341" i="20" s="1"/>
  <c r="A342" i="20" s="1"/>
  <c r="A323" i="20"/>
  <c r="A324" i="20" s="1"/>
  <c r="A325" i="20" s="1"/>
  <c r="A326" i="20" s="1"/>
  <c r="A327" i="20" s="1"/>
  <c r="A328" i="20" s="1"/>
  <c r="A329" i="20" s="1"/>
  <c r="A330" i="20" s="1"/>
  <c r="A331" i="20" s="1"/>
  <c r="A312" i="20"/>
  <c r="A313" i="20" s="1"/>
  <c r="A314" i="20" s="1"/>
  <c r="A315" i="20" s="1"/>
  <c r="A316" i="20" s="1"/>
  <c r="A317" i="20" s="1"/>
  <c r="A318" i="20" s="1"/>
  <c r="A319" i="20" s="1"/>
  <c r="A320" i="20" s="1"/>
  <c r="A301" i="20"/>
  <c r="A302" i="20" s="1"/>
  <c r="A303" i="20" s="1"/>
  <c r="A304" i="20" s="1"/>
  <c r="A305" i="20" s="1"/>
  <c r="A306" i="20" s="1"/>
  <c r="A307" i="20" s="1"/>
  <c r="A308" i="20" s="1"/>
  <c r="A309" i="20" s="1"/>
  <c r="A290" i="20"/>
  <c r="A291" i="20" s="1"/>
  <c r="A292" i="20" s="1"/>
  <c r="A293" i="20" s="1"/>
  <c r="A294" i="20" s="1"/>
  <c r="A295" i="20" s="1"/>
  <c r="A296" i="20" s="1"/>
  <c r="A297" i="20" s="1"/>
  <c r="A298" i="20" s="1"/>
  <c r="A280" i="20"/>
  <c r="A281" i="20" s="1"/>
  <c r="A282" i="20" s="1"/>
  <c r="A283" i="20" s="1"/>
  <c r="A284" i="20" s="1"/>
  <c r="A285" i="20" s="1"/>
  <c r="A286" i="20" s="1"/>
  <c r="A287" i="20" s="1"/>
  <c r="A270" i="20"/>
  <c r="A271" i="20" s="1"/>
  <c r="A272" i="20" s="1"/>
  <c r="A273" i="20" s="1"/>
  <c r="A274" i="20" s="1"/>
  <c r="A275" i="20" s="1"/>
  <c r="A276" i="20" s="1"/>
  <c r="A277" i="20" s="1"/>
  <c r="A251" i="20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41" i="20"/>
  <c r="A242" i="20" s="1"/>
  <c r="A243" i="20" s="1"/>
  <c r="A244" i="20" s="1"/>
  <c r="A245" i="20" s="1"/>
  <c r="A246" i="20" s="1"/>
  <c r="A247" i="20" s="1"/>
  <c r="A248" i="20" s="1"/>
  <c r="A231" i="20"/>
  <c r="A232" i="20" s="1"/>
  <c r="A233" i="20" s="1"/>
  <c r="A234" i="20" s="1"/>
  <c r="A235" i="20" s="1"/>
  <c r="A236" i="20" s="1"/>
  <c r="A237" i="20" s="1"/>
  <c r="A238" i="20" s="1"/>
  <c r="A221" i="20"/>
  <c r="A222" i="20" s="1"/>
  <c r="A223" i="20" s="1"/>
  <c r="A224" i="20" s="1"/>
  <c r="A225" i="20" s="1"/>
  <c r="A226" i="20" s="1"/>
  <c r="A227" i="20" s="1"/>
  <c r="A228" i="20" s="1"/>
  <c r="A211" i="20"/>
  <c r="A212" i="20" s="1"/>
  <c r="A213" i="20" s="1"/>
  <c r="A214" i="20" s="1"/>
  <c r="A215" i="20" s="1"/>
  <c r="A216" i="20" s="1"/>
  <c r="A217" i="20" s="1"/>
  <c r="A218" i="20" s="1"/>
  <c r="A201" i="20"/>
  <c r="A202" i="20" s="1"/>
  <c r="A203" i="20" s="1"/>
  <c r="A204" i="20" s="1"/>
  <c r="A205" i="20" s="1"/>
  <c r="A206" i="20" s="1"/>
  <c r="A207" i="20" s="1"/>
  <c r="A208" i="20" s="1"/>
  <c r="A189" i="20"/>
  <c r="A190" i="20" s="1"/>
  <c r="A191" i="20" s="1"/>
  <c r="A192" i="20" s="1"/>
  <c r="A193" i="20" s="1"/>
  <c r="A194" i="20" s="1"/>
  <c r="A195" i="20" s="1"/>
  <c r="A196" i="20" s="1"/>
  <c r="A197" i="20" s="1"/>
  <c r="A198" i="20" s="1"/>
  <c r="A180" i="20"/>
  <c r="A181" i="20" s="1"/>
  <c r="A182" i="20" s="1"/>
  <c r="A183" i="20" s="1"/>
  <c r="A184" i="20" s="1"/>
  <c r="A185" i="20" s="1"/>
  <c r="A186" i="20" s="1"/>
  <c r="A170" i="20"/>
  <c r="A171" i="20" s="1"/>
  <c r="A172" i="20" s="1"/>
  <c r="A173" i="20" s="1"/>
  <c r="A174" i="20" s="1"/>
  <c r="A175" i="20" s="1"/>
  <c r="A176" i="20" s="1"/>
  <c r="A177" i="20" s="1"/>
  <c r="A160" i="20"/>
  <c r="A161" i="20" s="1"/>
  <c r="A162" i="20" s="1"/>
  <c r="A163" i="20" s="1"/>
  <c r="A164" i="20" s="1"/>
  <c r="A165" i="20" s="1"/>
  <c r="A166" i="20" s="1"/>
  <c r="A167" i="20" s="1"/>
  <c r="A142" i="20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33" i="20"/>
  <c r="A134" i="20" s="1"/>
  <c r="A135" i="20" s="1"/>
  <c r="A136" i="20" s="1"/>
  <c r="A137" i="20" s="1"/>
  <c r="A138" i="20" s="1"/>
  <c r="A139" i="20" s="1"/>
  <c r="A121" i="20"/>
  <c r="A122" i="20" s="1"/>
  <c r="A123" i="20" s="1"/>
  <c r="A124" i="20" s="1"/>
  <c r="A125" i="20" s="1"/>
  <c r="A126" i="20" s="1"/>
  <c r="A127" i="20" s="1"/>
  <c r="A128" i="20" s="1"/>
  <c r="A129" i="20" s="1"/>
  <c r="A130" i="20" s="1"/>
  <c r="A109" i="20"/>
  <c r="A110" i="20" s="1"/>
  <c r="A111" i="20" s="1"/>
  <c r="A112" i="20" s="1"/>
  <c r="A113" i="20" s="1"/>
  <c r="A114" i="20" s="1"/>
  <c r="A115" i="20" s="1"/>
  <c r="A116" i="20" s="1"/>
  <c r="A117" i="20" s="1"/>
  <c r="A118" i="20" s="1"/>
  <c r="A97" i="20"/>
  <c r="A98" i="20" s="1"/>
  <c r="A99" i="20" s="1"/>
  <c r="A100" i="20" s="1"/>
  <c r="A101" i="20" s="1"/>
  <c r="A102" i="20" s="1"/>
  <c r="A103" i="20" s="1"/>
  <c r="A104" i="20" s="1"/>
  <c r="A105" i="20" s="1"/>
  <c r="A106" i="20" s="1"/>
  <c r="A78" i="20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64" i="20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56" i="20"/>
  <c r="A57" i="20" s="1"/>
  <c r="A58" i="20" s="1"/>
  <c r="A59" i="20" s="1"/>
  <c r="A60" i="20" s="1"/>
  <c r="A61" i="20" s="1"/>
  <c r="A40" i="20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30" i="20"/>
  <c r="A31" i="20" s="1"/>
  <c r="A32" i="20" s="1"/>
  <c r="A33" i="20" s="1"/>
  <c r="A34" i="20" s="1"/>
  <c r="A35" i="20" s="1"/>
  <c r="A36" i="20" s="1"/>
  <c r="A37" i="20" s="1"/>
  <c r="A19" i="20"/>
  <c r="A20" i="20" s="1"/>
  <c r="A21" i="20" s="1"/>
  <c r="A22" i="20" s="1"/>
  <c r="A23" i="20" s="1"/>
  <c r="A24" i="20" s="1"/>
  <c r="A25" i="20" s="1"/>
  <c r="A26" i="20" s="1"/>
  <c r="A27" i="20" s="1"/>
  <c r="A74" i="23"/>
  <c r="A75" i="23" s="1"/>
  <c r="A76" i="23" s="1"/>
  <c r="A77" i="23" s="1"/>
  <c r="A78" i="23" s="1"/>
  <c r="A79" i="23" s="1"/>
  <c r="A80" i="23" s="1"/>
  <c r="A81" i="23" s="1"/>
  <c r="A82" i="23" s="1"/>
  <c r="A83" i="23" s="1"/>
  <c r="A63" i="23"/>
  <c r="A64" i="23" s="1"/>
  <c r="A65" i="23" s="1"/>
  <c r="A66" i="23" s="1"/>
  <c r="A67" i="23" s="1"/>
  <c r="A68" i="23" s="1"/>
  <c r="A69" i="23" s="1"/>
  <c r="A70" i="23" s="1"/>
  <c r="A71" i="23" s="1"/>
  <c r="A53" i="23"/>
  <c r="A54" i="23" s="1"/>
  <c r="A55" i="23" s="1"/>
  <c r="A56" i="23" s="1"/>
  <c r="A57" i="23" s="1"/>
  <c r="A58" i="23" s="1"/>
  <c r="A59" i="23" s="1"/>
  <c r="A60" i="23" s="1"/>
  <c r="A42" i="23"/>
  <c r="A43" i="23" s="1"/>
  <c r="A44" i="23" s="1"/>
  <c r="A45" i="23" s="1"/>
  <c r="A46" i="23" s="1"/>
  <c r="A47" i="23" s="1"/>
  <c r="A48" i="23" s="1"/>
  <c r="A49" i="23" s="1"/>
  <c r="A50" i="23" s="1"/>
  <c r="A32" i="23"/>
  <c r="A33" i="23" s="1"/>
  <c r="A34" i="23" s="1"/>
  <c r="A35" i="23" s="1"/>
  <c r="A36" i="23" s="1"/>
  <c r="A37" i="23" s="1"/>
  <c r="A38" i="23" s="1"/>
  <c r="A39" i="23" s="1"/>
  <c r="A31" i="23"/>
  <c r="A20" i="23"/>
  <c r="A21" i="23" s="1"/>
  <c r="A22" i="23" s="1"/>
  <c r="A23" i="23" s="1"/>
  <c r="A24" i="23" s="1"/>
  <c r="A25" i="23" s="1"/>
  <c r="A26" i="23" s="1"/>
  <c r="A27" i="23" s="1"/>
  <c r="A28" i="23" s="1"/>
  <c r="R36" i="30" l="1"/>
  <c r="O107" i="30" l="1"/>
  <c r="J105" i="30" l="1"/>
  <c r="AH105" i="30"/>
  <c r="J55" i="18"/>
  <c r="AH55" i="18"/>
  <c r="K165" i="17"/>
  <c r="AH165" i="17"/>
  <c r="J89" i="22"/>
  <c r="AH89" i="22"/>
  <c r="K19" i="17" l="1"/>
  <c r="J35" i="22"/>
  <c r="J36" i="30"/>
  <c r="J53" i="22" l="1"/>
  <c r="J46" i="22"/>
  <c r="J68" i="22"/>
  <c r="J34" i="18" l="1"/>
  <c r="K142" i="17"/>
  <c r="K127" i="17"/>
  <c r="K109" i="17"/>
  <c r="K37" i="17"/>
  <c r="K97" i="17" l="1"/>
  <c r="K136" i="17" l="1"/>
  <c r="K90" i="17"/>
  <c r="K86" i="17"/>
  <c r="K81" i="17"/>
  <c r="K76" i="17"/>
  <c r="K71" i="17"/>
  <c r="K58" i="17"/>
  <c r="K50" i="17"/>
  <c r="K42" i="17"/>
  <c r="K31" i="17"/>
  <c r="J88" i="22"/>
  <c r="K115" i="17" l="1"/>
  <c r="K98" i="17"/>
  <c r="J33" i="18"/>
  <c r="K141" i="17"/>
  <c r="K130" i="17"/>
  <c r="K125" i="17"/>
  <c r="K120" i="17"/>
  <c r="K107" i="17"/>
  <c r="K102" i="17"/>
  <c r="K80" i="17"/>
  <c r="K70" i="17"/>
  <c r="K66" i="17"/>
  <c r="K63" i="17"/>
  <c r="K59" i="17"/>
  <c r="K48" i="17"/>
  <c r="K40" i="17"/>
  <c r="K35" i="17"/>
  <c r="K30" i="17"/>
  <c r="K23" i="17"/>
  <c r="J87" i="22"/>
  <c r="J76" i="22"/>
  <c r="J65" i="22"/>
  <c r="J50" i="22"/>
  <c r="J45" i="22"/>
  <c r="J39" i="22"/>
  <c r="J35" i="18" l="1"/>
  <c r="K134" i="17"/>
  <c r="K131" i="17"/>
  <c r="K126" i="17"/>
  <c r="K119" i="17"/>
  <c r="K116" i="17"/>
  <c r="K108" i="17"/>
  <c r="K103" i="17"/>
  <c r="K99" i="17"/>
  <c r="K64" i="17"/>
  <c r="K57" i="17"/>
  <c r="K49" i="17"/>
  <c r="K41" i="17"/>
  <c r="K36" i="17"/>
  <c r="K29" i="17"/>
  <c r="J86" i="22"/>
  <c r="J67" i="22"/>
  <c r="J62" i="22"/>
  <c r="J51" i="22"/>
  <c r="K121" i="17" l="1"/>
  <c r="K159" i="17"/>
  <c r="K135" i="17"/>
  <c r="K129" i="17"/>
  <c r="K124" i="17"/>
  <c r="K114" i="17"/>
  <c r="K106" i="17"/>
  <c r="K101" i="17"/>
  <c r="K89" i="17"/>
  <c r="K85" i="17"/>
  <c r="K79" i="17"/>
  <c r="K75" i="17"/>
  <c r="J41" i="18"/>
  <c r="K69" i="17"/>
  <c r="K56" i="17"/>
  <c r="K47" i="17"/>
  <c r="K39" i="17"/>
  <c r="K34" i="17"/>
  <c r="K28" i="17"/>
  <c r="K22" i="17"/>
  <c r="J64" i="22"/>
  <c r="J49" i="22"/>
  <c r="J44" i="22"/>
  <c r="J38" i="22"/>
  <c r="K140" i="17" l="1"/>
  <c r="K156" i="17"/>
  <c r="J40" i="22"/>
  <c r="J52" i="22"/>
  <c r="J73" i="22"/>
  <c r="J77" i="22"/>
  <c r="J83" i="22"/>
  <c r="I82" i="22" l="1"/>
  <c r="J82" i="22"/>
  <c r="I78" i="22"/>
  <c r="J78" i="22"/>
  <c r="I41" i="22"/>
  <c r="J41" i="22"/>
  <c r="A47" i="18" l="1"/>
  <c r="A48" i="18" s="1"/>
  <c r="A49" i="18" s="1"/>
  <c r="A52" i="18"/>
  <c r="A137" i="17" l="1"/>
  <c r="A72" i="17"/>
  <c r="A51" i="17"/>
  <c r="A53" i="17"/>
  <c r="A35" i="17" l="1"/>
  <c r="A40" i="17"/>
  <c r="A49" i="17"/>
  <c r="A57" i="17"/>
  <c r="A70" i="17"/>
  <c r="A80" i="17"/>
  <c r="A81" i="17" s="1"/>
  <c r="A97" i="17"/>
  <c r="A102" i="17"/>
  <c r="A103" i="17" s="1"/>
  <c r="A104" i="17" s="1"/>
  <c r="A107" i="17"/>
  <c r="A108" i="17" s="1"/>
  <c r="A115" i="17"/>
  <c r="A116" i="17" s="1"/>
  <c r="A125" i="17"/>
  <c r="A126" i="17" s="1"/>
  <c r="A130" i="17"/>
  <c r="A131" i="17" s="1"/>
  <c r="A135" i="17"/>
  <c r="A9" i="7" l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29" i="5" l="1"/>
  <c r="A330" i="5" s="1"/>
  <c r="A331" i="5" s="1"/>
  <c r="A92" i="1"/>
  <c r="A93" i="1" s="1"/>
  <c r="A94" i="1" s="1"/>
  <c r="A95" i="1" s="1"/>
  <c r="A96" i="1" s="1"/>
  <c r="A97" i="1" s="1"/>
  <c r="A98" i="1" s="1"/>
  <c r="A99" i="1" l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l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213" i="1"/>
  <c r="A199" i="1" l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198" i="1"/>
  <c r="D13" i="14"/>
  <c r="D18" i="14" s="1"/>
  <c r="A233" i="1" l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D10" i="14"/>
  <c r="D11" i="14"/>
  <c r="D9" i="14"/>
  <c r="A282" i="1" l="1"/>
  <c r="A283" i="1" s="1"/>
  <c r="A284" i="1" s="1"/>
  <c r="A285" i="1" s="1"/>
  <c r="A286" i="1" s="1"/>
  <c r="D10" i="10"/>
  <c r="A297" i="1" l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287" i="1"/>
  <c r="A288" i="1" s="1"/>
  <c r="A289" i="1" s="1"/>
  <c r="A290" i="1" s="1"/>
  <c r="A291" i="1" s="1"/>
  <c r="A292" i="1" l="1"/>
  <c r="A294" i="1" s="1"/>
  <c r="A295" i="1" s="1"/>
  <c r="A296" i="1" s="1"/>
  <c r="A293" i="1"/>
</calcChain>
</file>

<file path=xl/sharedStrings.xml><?xml version="1.0" encoding="utf-8"?>
<sst xmlns="http://schemas.openxmlformats.org/spreadsheetml/2006/main" count="9032" uniqueCount="1168">
  <si>
    <t>BẢNG KHỐI LƯỢNG CHI TIẾT TẦNG 4</t>
  </si>
  <si>
    <t>Đính kèm biên bản họp ngày …../….../2021</t>
  </si>
  <si>
    <t>CÔNG TRÌNH: TRUNG TÂM KIỂM SOÁT BỆNH TẬT ĐÀ NẴNG</t>
  </si>
  <si>
    <t>ĐỊA ĐIỂM XÂY DỰNG: SỐ 08 BIÊN CƯƠNG - TP QUY NHƠN -TỈNH BÌNH ĐỊNH</t>
  </si>
  <si>
    <t>STT</t>
  </si>
  <si>
    <t>Tên công tác / Diễn giải khối lượng</t>
  </si>
  <si>
    <t>Đơn vị</t>
  </si>
  <si>
    <t>Số lượng</t>
  </si>
  <si>
    <t>Tình trạng</t>
  </si>
  <si>
    <t>Ghi Chú</t>
  </si>
  <si>
    <t>I</t>
  </si>
  <si>
    <t>HỆ THỒNG CƠ ĐIỆN</t>
  </si>
  <si>
    <t>P. Kho lưu trữ 1 (T4.1)</t>
  </si>
  <si>
    <t>P. Kho lưu trữ 2 (T4.2)</t>
  </si>
  <si>
    <t>P. Kho lưu trữ 3 (T4.3)</t>
  </si>
  <si>
    <t>P. Làm việc khoa xét nghiệm (T4.4)</t>
  </si>
  <si>
    <t>P. Tài chính kế toán (T4.7)</t>
  </si>
  <si>
    <t>P. Giao ban   (T4.8)</t>
  </si>
  <si>
    <t>P. Văn thư (T4.9)</t>
  </si>
  <si>
    <t>P. Giao ban (T4.10)</t>
  </si>
  <si>
    <t>P. Tổ chức hành chính (T4.11)</t>
  </si>
  <si>
    <t>P. Đội xe (T4.12)</t>
  </si>
  <si>
    <t>P. Mạng (T4.13)</t>
  </si>
  <si>
    <t>P. Kế hoạch ngiệp vụ (T4.14)</t>
  </si>
  <si>
    <t>P. Giao ban (T4.15)</t>
  </si>
  <si>
    <t>P. CNTT (T4.16)</t>
  </si>
  <si>
    <t>P. Thủ quỷ (T4.21)</t>
  </si>
  <si>
    <t>P. Thư viện (T4.22)</t>
  </si>
  <si>
    <t>P. Làm việc sức khỏe sinh sản (T5.1)</t>
  </si>
  <si>
    <t>P. Giao ban khoa SK sinh sản (T5.2)</t>
  </si>
  <si>
    <t>P. Làm việc K.P. chống HIV/S (T5.3)</t>
  </si>
  <si>
    <t>P. Giao ban (T5.4)</t>
  </si>
  <si>
    <t>P. Làm việc khoa ký sinh trùng (T5.5)</t>
  </si>
  <si>
    <t>P. Giao ban (T5.6)</t>
  </si>
  <si>
    <t>P. Kho (T5.9)</t>
  </si>
  <si>
    <t>P. Kho khoa bệnh truyền nhiễm (T5.10)</t>
  </si>
  <si>
    <t>P. Quản lý bệnh truyền nhiễm (T5.11)</t>
  </si>
  <si>
    <t>P. Giao ban (T5.12)</t>
  </si>
  <si>
    <t>P. Làm việc khoa kiểm dịch y tế (T5.16)</t>
  </si>
  <si>
    <t>P. Giao ban (T5.17)</t>
  </si>
  <si>
    <t>P. Kiểm dịch y tế (T5.18)</t>
  </si>
  <si>
    <t>P. Quan trắc môi trường (T6.1)</t>
  </si>
  <si>
    <t>P. Giao ban K. Bệnh ngề nghiệp (T6.2)</t>
  </si>
  <si>
    <t>P. Làm việc K. Bệnh ngề nghiệp (T6.3)</t>
  </si>
  <si>
    <t>P. Thiết kế đồ họa (T6.4)</t>
  </si>
  <si>
    <t>P. Dựng phim (T6.5)</t>
  </si>
  <si>
    <t>P. Studio (T6.6)</t>
  </si>
  <si>
    <t>P. Bảo quản thiết bị (T6.7)</t>
  </si>
  <si>
    <t>P. Làm việc K. Truyền thông (T6.8)</t>
  </si>
  <si>
    <t>P. Giao ban (T6.9)</t>
  </si>
  <si>
    <t>P. Tư vấn sức khỏe cá nhân (T6.10)</t>
  </si>
  <si>
    <t>P. Làm việc khoa SK MT (T6.11)</t>
  </si>
  <si>
    <t>P. Giao ban (T6.12)</t>
  </si>
  <si>
    <t>P. Làm việc y tế trường học (T6.13)</t>
  </si>
  <si>
    <t>P. Kho 1 (T6.14)</t>
  </si>
  <si>
    <t>P. Kho 2 (T6.15)</t>
  </si>
  <si>
    <t>P. Làm việc (T6.16)</t>
  </si>
  <si>
    <t>P. Giao ban (T6.17)</t>
  </si>
  <si>
    <t>P. Làm việc khoa không lây nhiễm (T6.18)</t>
  </si>
  <si>
    <t>P. Xông hơi (T6.21)</t>
  </si>
  <si>
    <t>P. Câu lạc bộ sức khỏe (T6.22)</t>
  </si>
  <si>
    <t>BẢNG KHỐI LƯỢNG CHI TIẾT TẦNG 5</t>
  </si>
  <si>
    <t>BẢNG KHỐI LƯỢNG CHI TIẾT TẦNG 6</t>
  </si>
  <si>
    <t>P. Làm việc khoa dinh dưỡng( T5.20)</t>
  </si>
  <si>
    <t>P. Giao ban khoa dinh dưỡng( T5.19)</t>
  </si>
  <si>
    <t>P. Soi lam và Xử lý côn trùng (T5.8)</t>
  </si>
  <si>
    <t>P. Giám đốc (T4.17)</t>
  </si>
  <si>
    <t>Tủ điện âm tường bao gồm thiết bị</t>
  </si>
  <si>
    <t>Đèn led panel 45 w vuông 0,6x0,6 m</t>
  </si>
  <si>
    <t>Công tắc đôi</t>
  </si>
  <si>
    <t>Ổ cắm đôi 3 chấu</t>
  </si>
  <si>
    <t>bộ</t>
  </si>
  <si>
    <t>Ổ cắm đơn 3 chấu</t>
  </si>
  <si>
    <t>Đèn led ốp trần cảm ứng 18w</t>
  </si>
  <si>
    <t>Đèn led downlight 12w</t>
  </si>
  <si>
    <t>Đèn led downlight 16w</t>
  </si>
  <si>
    <t>Công tắc đơn</t>
  </si>
  <si>
    <t>Công tắc 3</t>
  </si>
  <si>
    <t>Tủ điện tầng bao gồm thiết bị</t>
  </si>
  <si>
    <t>Công tắc 4</t>
  </si>
  <si>
    <t>Đèn led panel 45 w  0,3x1,2 m</t>
  </si>
  <si>
    <t>Ổ cắm đôi 3 chấu âm sàn</t>
  </si>
  <si>
    <t>Đèn led panel 45 w  0,3x1,2m</t>
  </si>
  <si>
    <t>Đèn led panel 45 w 0,3x1,2 m</t>
  </si>
  <si>
    <t>P. Sinh hóa miễn dịch huyết học (T3.1)</t>
  </si>
  <si>
    <t>P. Chụp X quang 1 (T3.2)</t>
  </si>
  <si>
    <t>P. Chờ xét nghiệm lấy kết quả (T3.4)</t>
  </si>
  <si>
    <t>P. Xét nghiệm, hấp sấy (T3.5)</t>
  </si>
  <si>
    <t>P.Xử lý mẫu (T3.6)</t>
  </si>
  <si>
    <t>P. Hóa lý thực phẩm nước (T3.7)</t>
  </si>
  <si>
    <t>P. Labo hóa lý (T3.8)</t>
  </si>
  <si>
    <t>P. Hành chính, Lavabo HIV (T3.9)</t>
  </si>
  <si>
    <t>P. Labo huyết thanh virus (T3.10)</t>
  </si>
  <si>
    <t>P. Làm việc khoa xét nghiệm (T3.11)</t>
  </si>
  <si>
    <t>P. Điện tim (T3.12)</t>
  </si>
  <si>
    <t>P. Siêu âm (T3.13)</t>
  </si>
  <si>
    <t>P. Siêu âm (T3.14)</t>
  </si>
  <si>
    <t>P. Vệ sinh thiết bị (T3.15)</t>
  </si>
  <si>
    <t>P. Bệnh nhân lấy mẫu TT (T3.16)</t>
  </si>
  <si>
    <t>P. Nội soi (T3.17)</t>
  </si>
  <si>
    <t>Công tắc 1</t>
  </si>
  <si>
    <t>Công tắc 2</t>
  </si>
  <si>
    <t>Tủ điện gắn nổi bao gồm thiết bị</t>
  </si>
  <si>
    <t>P. Kho khí y tế X2/Y3</t>
  </si>
  <si>
    <t>Đèn led chống nổ 18w 1,2m</t>
  </si>
  <si>
    <t>Đèn exit</t>
  </si>
  <si>
    <t>Đèn sự cố</t>
  </si>
  <si>
    <t>Hành lang, cầu thang bộ</t>
  </si>
  <si>
    <t xml:space="preserve">Đèn ốp trần vuông 45 w </t>
  </si>
  <si>
    <t>Phòng kho X1/Y1</t>
  </si>
  <si>
    <t>Phòng kỹ thuật X6-9/Y4</t>
  </si>
  <si>
    <t>P. Kho hóa chất (T1.1)</t>
  </si>
  <si>
    <t>P. Kho vắc xin (T1.2)</t>
  </si>
  <si>
    <t>P. Theo dõi sau tiêm (T1.4)</t>
  </si>
  <si>
    <t>P. Cấp cứu (T1.5)</t>
  </si>
  <si>
    <t>Phòng tiêm (T1.6)</t>
  </si>
  <si>
    <t>P. Thu viện phí (T1.7)</t>
  </si>
  <si>
    <t>P. Quầy thuốc (T1.8)</t>
  </si>
  <si>
    <t>P. Kho vật tư y tế (T1.9)</t>
  </si>
  <si>
    <t>P. Giao ban khoa dược (T1.10)</t>
  </si>
  <si>
    <t>P. Khoa dược (T1.11)</t>
  </si>
  <si>
    <t>P. CLB đồng đẳng (T1.12)</t>
  </si>
  <si>
    <t>P. Lấy mẫu xét nghiệm (T1.13)</t>
  </si>
  <si>
    <t>P. Tư vấn chuyên môn (T1.14)</t>
  </si>
  <si>
    <t>P. Tiếp nhận mẫu nước TP (T1.15)</t>
  </si>
  <si>
    <t>P. Tư vấn  (T1.16)</t>
  </si>
  <si>
    <t>P. Thu phí  (T1.18)</t>
  </si>
  <si>
    <t>Đèn chống ẩm 1,2m</t>
  </si>
  <si>
    <t>Đèn chống nổ 1,2m</t>
  </si>
  <si>
    <t>P. Hội trường 1 (T7.1)</t>
  </si>
  <si>
    <t>P. Hội trường 2  (T7.2)</t>
  </si>
  <si>
    <t>P. Học  (T7.3)</t>
  </si>
  <si>
    <t>P. Học  (T7.4)</t>
  </si>
  <si>
    <t>P. Học  (T7.5)</t>
  </si>
  <si>
    <t>P. Nghỉ nhân viên (T7.6)</t>
  </si>
  <si>
    <t>P. Căn tin (T7.7)</t>
  </si>
  <si>
    <t>P. Mô hình (T7.8)</t>
  </si>
  <si>
    <t>P.thí nghiệm (T7.9)</t>
  </si>
  <si>
    <t>P. Thực hành (T7.10)</t>
  </si>
  <si>
    <t>P. Chuẩn bị (x9/y3-y4) (T.AT)</t>
  </si>
  <si>
    <t>P. Hội trường 250 ghế (T.HT)</t>
  </si>
  <si>
    <t>Đèn led panel 45w vuông 0,6x0,6 m</t>
  </si>
  <si>
    <t>Tủ điện TM2 bao gồm thiết bị</t>
  </si>
  <si>
    <t>Đèn led downlight 25w</t>
  </si>
  <si>
    <t>Tủ điện gắn nổi bao gồm thiết bị T.AT</t>
  </si>
  <si>
    <t>Tủ điện âm tường bao gồm thiết bị T.HT</t>
  </si>
  <si>
    <t>Ban công</t>
  </si>
  <si>
    <t>Đèn ốp trần vuông 45 W</t>
  </si>
  <si>
    <t>P. Kỹ thuật (x2/y3) (T.MB1)</t>
  </si>
  <si>
    <t>P. Kỹ thuật (x11/y3) (T.MB2)</t>
  </si>
  <si>
    <t>Sảnh tầng X7-9/Y3,4</t>
  </si>
  <si>
    <t>Tủ điện thang máy T.TM bao gồm thiết bị</t>
  </si>
  <si>
    <t>Đèn khẩn cấp</t>
  </si>
  <si>
    <t>Đèn cảm biến 18w</t>
  </si>
  <si>
    <t>Tủ điện thang máy T.MB2 bao gồm thiết bị</t>
  </si>
  <si>
    <t>BẢNG KHỐI LƯỢNG CHI TIẾT TẦNG MÁI</t>
  </si>
  <si>
    <t>BẢNG KHỐI LƯỢNG CHI TIẾT TẦNG 7</t>
  </si>
  <si>
    <t>BẢNG KHỐI LƯỢNG CHI TIẾT TẦNG 3</t>
  </si>
  <si>
    <t>BẢNG KHỐI LƯỢNG CHI TIẾT TẦNG 1</t>
  </si>
  <si>
    <t>Bãi giữ xe (x6/y3) (T.B1)</t>
  </si>
  <si>
    <t>P.máy bơm (T.MB)</t>
  </si>
  <si>
    <t>P.máy bơm (PCCC)</t>
  </si>
  <si>
    <t>BẢNG KHỐI LƯỢNG CHI TIẾT TẦNG HẦM</t>
  </si>
  <si>
    <t xml:space="preserve">P.kỹ thuật (x2/y1) </t>
  </si>
  <si>
    <t>Sảnh thang máy lớn X8/Y3</t>
  </si>
  <si>
    <t>Sảnh thang máy nhỏ X1/Y2</t>
  </si>
  <si>
    <t xml:space="preserve">P.kỹ thuật (x2/y2) </t>
  </si>
  <si>
    <t xml:space="preserve">P.kỹ thuật (x2/y3) </t>
  </si>
  <si>
    <t xml:space="preserve">P.quạt (x2/y4) </t>
  </si>
  <si>
    <t xml:space="preserve">P.kỹ thuật (x6,7/y4) </t>
  </si>
  <si>
    <t xml:space="preserve">P.kỹ thuật (x6/y3,4) </t>
  </si>
  <si>
    <t xml:space="preserve">P.kỹ thuật (x8,9/y4) </t>
  </si>
  <si>
    <t xml:space="preserve">P.kỹ thuật (x9/y3,4) </t>
  </si>
  <si>
    <t xml:space="preserve">P.quạt (x11/y4) </t>
  </si>
  <si>
    <t>Cầu thang bộ X11,12/Y3</t>
  </si>
  <si>
    <t>Cầu thang bộ giữa X7/Y3,4</t>
  </si>
  <si>
    <t>Đèn chống nổ1,2m</t>
  </si>
  <si>
    <t>Đèn chống ẩm1,2m</t>
  </si>
  <si>
    <t>Đèn downligt 16W (12w ốp trần)</t>
  </si>
  <si>
    <t xml:space="preserve">Đèn downligt 16W </t>
  </si>
  <si>
    <t>Đèn cảm ứng 18w</t>
  </si>
  <si>
    <t>Công tắc ba</t>
  </si>
  <si>
    <t xml:space="preserve">Đèn led dây </t>
  </si>
  <si>
    <t>m</t>
  </si>
  <si>
    <t>P. Kho (T7.11)</t>
  </si>
  <si>
    <t>Đèn khẩn</t>
  </si>
  <si>
    <t>Công tắc bốn</t>
  </si>
  <si>
    <t>Nước mưa ngoài nhà</t>
  </si>
  <si>
    <t>BẢNG KHỐI LƯỢNG VẬT TƯ CẦN THIẾT ĐỂ THI CÔNG</t>
  </si>
  <si>
    <t>Lơi PVC D114</t>
  </si>
  <si>
    <t>Ống PVC D114</t>
  </si>
  <si>
    <t>cái</t>
  </si>
  <si>
    <t>Co PVC D114</t>
  </si>
  <si>
    <t>II</t>
  </si>
  <si>
    <t>Thoát thải thí nghiệm</t>
  </si>
  <si>
    <t>Ống PPR D63</t>
  </si>
  <si>
    <t>Co ppr D40</t>
  </si>
  <si>
    <t>Co ppr D63</t>
  </si>
  <si>
    <t>Tê ppr D63</t>
  </si>
  <si>
    <t>III</t>
  </si>
  <si>
    <t>Giảm ppr D75-50</t>
  </si>
  <si>
    <t>Giảm ppr D75-40</t>
  </si>
  <si>
    <t>Co ppr D50</t>
  </si>
  <si>
    <t>Zăc co ppr D40</t>
  </si>
  <si>
    <t>Zăc co ppr D50</t>
  </si>
  <si>
    <t>Kết nối ống thoát chậu rửa bê tông ( 5 chậu)</t>
  </si>
  <si>
    <t>Co pvc D60</t>
  </si>
  <si>
    <t>Nối ppr D63</t>
  </si>
  <si>
    <t>Giảm ppr D75-63</t>
  </si>
  <si>
    <t>P.SOI LAM</t>
  </si>
  <si>
    <t>P. XỬ LÝ ĐỒ BẨN</t>
  </si>
  <si>
    <t>P. LỌC RỬA TT</t>
  </si>
  <si>
    <t>Nối ren ngoài PVC D60</t>
  </si>
  <si>
    <t>Zăc co ren trong ppr D63</t>
  </si>
  <si>
    <t>Ống pvc D60</t>
  </si>
  <si>
    <t>Ống ppr D63</t>
  </si>
  <si>
    <t>Ống ppr D50</t>
  </si>
  <si>
    <t xml:space="preserve">Ống PPR D40 </t>
  </si>
  <si>
    <t>Giảm  PPR D40 -  32</t>
  </si>
  <si>
    <t>TẦNG HẦM</t>
  </si>
  <si>
    <t>Cụm bơm cấp nước lên mái</t>
  </si>
  <si>
    <t>cụm</t>
  </si>
  <si>
    <t>Cụm bơm chìm hố nước trục X2/Y2</t>
  </si>
  <si>
    <t>Cụm bơm chìm hố nước trục X3/Y4</t>
  </si>
  <si>
    <t>Cụm bơm chìm hố nước trục X9/Y4</t>
  </si>
  <si>
    <t>Cụm bơm chìm hố nước trục X11/Y2</t>
  </si>
  <si>
    <t>Cụm bơm chìm hố nước trục X10/Y'</t>
  </si>
  <si>
    <t>Cụm bơm chìm hố nước trục X7/Y'</t>
  </si>
  <si>
    <t>TẦNG 1</t>
  </si>
  <si>
    <t>Lavabo âm bàn</t>
  </si>
  <si>
    <t>Lavabo treo tường và chân</t>
  </si>
  <si>
    <t>Thoát sàn</t>
  </si>
  <si>
    <t>Bồn cầu + vòi xịt+ hộp giấy vệ sinh</t>
  </si>
  <si>
    <t>Chậu tiểu nam</t>
  </si>
  <si>
    <t>Khu WC chung W2 X11/Y3,4</t>
  </si>
  <si>
    <t>Khu WC chung W1 X2/Y3,4</t>
  </si>
  <si>
    <t>Khu WC riêng lẻ Câu lạc bộ đồng đẳng</t>
  </si>
  <si>
    <t>Vòi sen tắm lạnh</t>
  </si>
  <si>
    <t>TẦNG 2</t>
  </si>
  <si>
    <t>Khu WC chung W4 X2/Y3,4</t>
  </si>
  <si>
    <t>Khu WC chung W3 X11/Y3,4</t>
  </si>
  <si>
    <t>Khu WC riêng lẻ Ph. bệnh nhân lấy mẫu TT để xét nghiệm</t>
  </si>
  <si>
    <t>Khu WC riêng lẻ Ph. Nghỉ nhân viên</t>
  </si>
  <si>
    <t>Khu WC riêng lẻ Ph. Chuẩn bị hồ sơ bệnh nhân</t>
  </si>
  <si>
    <t>Ph. Thây đồ phụ trợ phòng mổ X6/Y3</t>
  </si>
  <si>
    <t>Phòng thây đồ 2 X11/Y2,3</t>
  </si>
  <si>
    <t>Phòng theo dõi sau thủ thuật</t>
  </si>
  <si>
    <t>Phòng khám 1</t>
  </si>
  <si>
    <t>Phòng khám 2</t>
  </si>
  <si>
    <t>Phòng khám 3</t>
  </si>
  <si>
    <t>Phòng khám 4</t>
  </si>
  <si>
    <t>Phòng khám 5</t>
  </si>
  <si>
    <t>Phòng khám 6</t>
  </si>
  <si>
    <t>Phòng khám phụ khoa</t>
  </si>
  <si>
    <t>PH. Siêu âm</t>
  </si>
  <si>
    <t>PH. Khám thai</t>
  </si>
  <si>
    <t>PH. Monitor</t>
  </si>
  <si>
    <t>Vòi sen tắm nóng lạnh</t>
  </si>
  <si>
    <t>Vòi rửa sàn D21</t>
  </si>
  <si>
    <t>Ph. Khám sàn lọc trước tiêm</t>
  </si>
  <si>
    <t>Ph.  Tiêm</t>
  </si>
  <si>
    <t>Ph. Theo dõi sau tiêm</t>
  </si>
  <si>
    <t>Ph. Cấp cứu</t>
  </si>
  <si>
    <t>Ph. Lấy mẫu xét nghiệm</t>
  </si>
  <si>
    <t>Lavabo treo tường và chân trong các phòng riêng lẻ</t>
  </si>
  <si>
    <t>TẦNG 3</t>
  </si>
  <si>
    <t>Khu WC riêng lẻ Ph. Theo dõi sau nội soi</t>
  </si>
  <si>
    <t xml:space="preserve">Khu WC riêng lẻ Ph. Bệnh nhân lấy mẫu TT </t>
  </si>
  <si>
    <t>Khu WC riêng lẻ Ph. Tắm X5/Y2</t>
  </si>
  <si>
    <t>Phòng thây đồ 3 X11/Y2,3</t>
  </si>
  <si>
    <t>Phòng thây đồ 4 X11/Y2,3</t>
  </si>
  <si>
    <t>Phòng lấy mẫu X9/Y3</t>
  </si>
  <si>
    <t>Phòng Vi sinh thiết bị X10/Y1</t>
  </si>
  <si>
    <t>Lavabo Huyết Thanh Vi Rut X5-7/Y1,2</t>
  </si>
  <si>
    <t>Phễu thu sàn</t>
  </si>
  <si>
    <t>Labo vi sinh nước thực phẩm X5-7/Y3,4</t>
  </si>
  <si>
    <t>PH. Hóa lý nước thực phẩm X3/Y3,4</t>
  </si>
  <si>
    <t>PH. Labo HIV X4/Y1,2</t>
  </si>
  <si>
    <t>PH. Kỹ thuật X6-9/Y4</t>
  </si>
  <si>
    <t>Khu WC riêng lẻ Ph. Phó giám đốc</t>
  </si>
  <si>
    <t>Khu WC riêng lẻ Ph.  Giám đốc</t>
  </si>
  <si>
    <t>Bình nóng lạnh</t>
  </si>
  <si>
    <t>Khu WC riêng lẻ Ph. Thây đồ nam</t>
  </si>
  <si>
    <t>Khu WC riêng lẻ Ph. Thây đồ nữ</t>
  </si>
  <si>
    <t>TẦNG 4</t>
  </si>
  <si>
    <t>TẦNG 5</t>
  </si>
  <si>
    <t>Khu WC riêng lẻ Ph. Phó giám đốc X7/Y1</t>
  </si>
  <si>
    <t>Khu WC riêng lẻ Ph. Phó giám đốc X8/Y1</t>
  </si>
  <si>
    <t>TẦNG 6</t>
  </si>
  <si>
    <t>Khu WC riêng lẻ Ph. Thây đồ 5 X9-10/Y1</t>
  </si>
  <si>
    <t>TẦNG 7</t>
  </si>
  <si>
    <t>Khu WC chung W5 X2/Y3,4</t>
  </si>
  <si>
    <t>Khu WC chung W6 X11/Y3,4</t>
  </si>
  <si>
    <t>TẦNG mái</t>
  </si>
  <si>
    <t>Phòng kỹ thuật X2/Y3</t>
  </si>
  <si>
    <t>Cụm bơm tăng áp</t>
  </si>
  <si>
    <t xml:space="preserve">cụm </t>
  </si>
  <si>
    <t>Phòng kỹ thuật X11/Y3</t>
  </si>
  <si>
    <t>Sê nô</t>
  </si>
  <si>
    <t xml:space="preserve">Phễu thu nước mưa </t>
  </si>
  <si>
    <t xml:space="preserve">bộ </t>
  </si>
  <si>
    <t xml:space="preserve">Sê nô 3 tum </t>
  </si>
  <si>
    <t>(Đính kèm biên bản họp ngày …. ./04/2022)</t>
  </si>
  <si>
    <t>Đèn led panel 45w KT: 0,3x1,2 m</t>
  </si>
  <si>
    <t>Điều hòa 24000BTU/H + remote không dây</t>
  </si>
  <si>
    <t>Đầu báo khói</t>
  </si>
  <si>
    <t>P. Căn tin (T1.3) + P. kỹ thuật điện</t>
  </si>
  <si>
    <t>Tủ điện tổng TĐT bao gồm thiết bị</t>
  </si>
  <si>
    <t>Tủ</t>
  </si>
  <si>
    <t>P. khám sàn lọc trước tiêm (T1.17)</t>
  </si>
  <si>
    <t>Phòng kho X1/Y4(phía sau cầu thang bộ)</t>
  </si>
  <si>
    <t>WC công cộng trục X2/Y4</t>
  </si>
  <si>
    <t>WC công cộng trục X12/Y4</t>
  </si>
  <si>
    <t>Chậu tiểu nam + van nhấn</t>
  </si>
  <si>
    <t>Lavabo âm bàn + vòi</t>
  </si>
  <si>
    <t>Lavabo treo tường và chân + vòi</t>
  </si>
  <si>
    <t>P. Họp (T4.19)</t>
  </si>
  <si>
    <t>Lắp đặt đầu báo khói địa chỉ (kể cả đế)</t>
  </si>
  <si>
    <t>Đầu phun sprinkler 68 độ C (loại quay xuống) + đế ốp trần</t>
  </si>
  <si>
    <t>Đầu báo khói địa chỉ (kể cả đế)</t>
  </si>
  <si>
    <t>Đầu phun sprinkler 68 độ C (loại quay xuống)</t>
  </si>
  <si>
    <t>Công tắc dòng chảy</t>
  </si>
  <si>
    <t>Đồng hồ đo áp lực + van chặn đồng hồ áp lực</t>
  </si>
  <si>
    <t>Van chặn ty nổi bắt bích dn=100mm</t>
  </si>
  <si>
    <t>Van chặn DN25</t>
  </si>
  <si>
    <t>Bình chữa cháy hóa chất STAT-X 1500E</t>
  </si>
  <si>
    <t>bình</t>
  </si>
  <si>
    <t>Tủ điều khiển chữa cháy 1 khu vực</t>
  </si>
  <si>
    <t>tủ</t>
  </si>
  <si>
    <t>Ắc  quy 12V7A</t>
  </si>
  <si>
    <t>Phòng kỹ thuật X6-X9/Y4</t>
  </si>
  <si>
    <t>Van xả tràn điều khiển màng ngăn cháy DN25</t>
  </si>
  <si>
    <t>Nút nhấn xác nhận màng ngăn cháy</t>
  </si>
  <si>
    <t>Đầu phun hở màng ngăn cháy</t>
  </si>
  <si>
    <t>Đầu báo khói thường ( kể cả đế )</t>
  </si>
  <si>
    <t>Van góc chữa cháy dn=50mm</t>
  </si>
  <si>
    <t>Van ren, đường kính van d=25mm</t>
  </si>
  <si>
    <t xml:space="preserve"> Cuộn vòi chữa cháy dn=50-20m + Lăng phun, khớp nối dn=50mm</t>
  </si>
  <si>
    <t>Bình bột chữa cháy (ABC) 4Kg</t>
  </si>
  <si>
    <t>Bình khí chữa cháy (C02) 3Kg</t>
  </si>
  <si>
    <t>Bộ nội quy, hiệu lệnh PCCC</t>
  </si>
  <si>
    <t>Mặt nạ phòng độc</t>
  </si>
  <si>
    <t xml:space="preserve">Đầu phun sprinkler 68 độ C (loại quay xuống) + đế </t>
  </si>
  <si>
    <t>Module INPUT/OUTPUT loại địa chỉ (DIMM)</t>
  </si>
  <si>
    <t>Đầu phun sprinkler 68 độ C (loại quay xuống) + đế</t>
  </si>
  <si>
    <t>P. Phó Giám đốc (T6.20)</t>
  </si>
  <si>
    <t>P. Phó Giám đốc (T6.19)</t>
  </si>
  <si>
    <t>Đầu báo nhiệt địa chỉ (kể cả đế)</t>
  </si>
  <si>
    <t>Module giám sát đơn loại địa chỉ</t>
  </si>
  <si>
    <t>Nút nhấn kích hoạt xả khí</t>
  </si>
  <si>
    <t>Nút nhấn trì hoãn xả khí</t>
  </si>
  <si>
    <t>Chuông báo động</t>
  </si>
  <si>
    <t>Còi / đèn xả khí</t>
  </si>
  <si>
    <t>Đầu báo khói thường (kể cả đế)</t>
  </si>
  <si>
    <t>Đầu nhiệt gia tăng 57 độ C (kể cả đế)</t>
  </si>
  <si>
    <t>Nút nhấn khẩn loại địa chỉ</t>
  </si>
  <si>
    <t>Còi tích hợp đèn báo cháy loại thường</t>
  </si>
  <si>
    <t>Module OUTPUT kết nối còi, đèn</t>
  </si>
  <si>
    <t>Module giám sát đầu báo thường</t>
  </si>
  <si>
    <t>Module điều khiển màng ngăn cháy</t>
  </si>
  <si>
    <t>Hộp vòi chữa cháy trong nhà mặt tôn rời kích thước 1000x500x180mm</t>
  </si>
  <si>
    <t>Cuộn vòi chữa cháy dn=50-20m + Lăng phun, khớp nối dn=50mm</t>
  </si>
  <si>
    <t>Khu WC chung trục X2/Y3,4</t>
  </si>
  <si>
    <t>Khu WC chung trục X11/Y3,4</t>
  </si>
  <si>
    <t>Chậu tiểu nam + nút nhấn xả</t>
  </si>
  <si>
    <t xml:space="preserve">     BAN QLDA                        ĐƠN VỊ SỬ DỤNG                   ĐƠN VỊ THI CÔNG</t>
  </si>
  <si>
    <t>Xí bệt + vòi xịt+ hộp giấy vệ sinh</t>
  </si>
  <si>
    <t>P. Phó Giám đốc (T5.15)</t>
  </si>
  <si>
    <t>P. Phó Giám đốc (T5.14)</t>
  </si>
  <si>
    <t>Bình chữa cháy FM-200 loại 120 lít, nạp 75kg hóa chất, bao gồm van đầu chai và phụ kiện</t>
  </si>
  <si>
    <t>Đầu phun khí FM-200 loại 360 độ dn=25mm</t>
  </si>
  <si>
    <t>Van chọn vùng dn=25mm</t>
  </si>
  <si>
    <t>Bình chữa cháy FM-200 loại 75 lít, nạp 48kg hóa chất, bao gồm van đầu chai và phụ kiện</t>
  </si>
  <si>
    <t xml:space="preserve">Đầu phun sprinkler 68 độ C(loại quay xuống) + đế </t>
  </si>
  <si>
    <t>P. Thay đồ nữ (T4.6)</t>
  </si>
  <si>
    <t>P. Thay đồ nam (T4.5)</t>
  </si>
  <si>
    <t>Bình nóng lạnh 15L</t>
  </si>
  <si>
    <t>P. Phó Giám đốc (T4.20)</t>
  </si>
  <si>
    <t>Xí bệt+ vòi xịt+ hộp giấy vệ sinh</t>
  </si>
  <si>
    <t>Đầu phun khí FM-200 loại 360 độ dn=32mm</t>
  </si>
  <si>
    <t>Van chọn vùng dn=50mm</t>
  </si>
  <si>
    <t>Điều hòa treo tường 24.000 Btu/h</t>
  </si>
  <si>
    <t>Quạt trần + hộp số</t>
  </si>
  <si>
    <t>Miệng gió 200x200 + OBD</t>
  </si>
  <si>
    <t>Điều hòa cassette 4 hướng 36.000 Btu/h</t>
  </si>
  <si>
    <t>Miệng gió 600x150 + OBD</t>
  </si>
  <si>
    <t>Điều hòa cassette 4 hướng 48.000 Btu/h</t>
  </si>
  <si>
    <t>Miệng gió 250x250 + OBD</t>
  </si>
  <si>
    <t>Điều hòa treo tường 18.000 Btu/h</t>
  </si>
  <si>
    <t>Miệng gió 150x150 + OBD</t>
  </si>
  <si>
    <t>Điều hòa cassette 1 hướng 24.000 Btu/h</t>
  </si>
  <si>
    <t>Miệng gió 800x150 + OBD</t>
  </si>
  <si>
    <t>Quầy tiếp tân</t>
  </si>
  <si>
    <t>Khu vực sảnh</t>
  </si>
  <si>
    <t>Miệng louver 750x200 + OBD</t>
  </si>
  <si>
    <t>Quạt kruger 900m3/h@150Pa</t>
  </si>
  <si>
    <t>Quạt kruger 1100m3/h@150Pa</t>
  </si>
  <si>
    <t>P. thay đồ</t>
  </si>
  <si>
    <t>Miệng gió louver 750x200</t>
  </si>
  <si>
    <t>Quạt gắn trần 100m3/h</t>
  </si>
  <si>
    <t>Miệng gió hút khói 400x400 + OBD</t>
  </si>
  <si>
    <t>Miệng gió louver 900x250</t>
  </si>
  <si>
    <t>Miệng gió louver 600x250</t>
  </si>
  <si>
    <t>Trục X1</t>
  </si>
  <si>
    <t>Quạt kruger 1000m3/h@150Pa</t>
  </si>
  <si>
    <t>Quạt kruger 2500m3/h@200Pa</t>
  </si>
  <si>
    <t>Trục X12</t>
  </si>
  <si>
    <t>Miệng gió louver 700x250</t>
  </si>
  <si>
    <t>Quạt kruger 1200m3/h@150Pa</t>
  </si>
  <si>
    <t>Quạt kruger 1500m3/h@150Pa</t>
  </si>
  <si>
    <t>Điều hòa cassette 1 hướng 24.000BTU</t>
  </si>
  <si>
    <t>Điều hòa cassette 4 hướng 36.000BTU</t>
  </si>
  <si>
    <t>Quạt hút gắn tường 1100 m3/h+ miệng gió</t>
  </si>
  <si>
    <t>Quạt hút gắn tường 800 m3/h+ miệng gió</t>
  </si>
  <si>
    <t>Điều hòa cục bộ 18.000BTU</t>
  </si>
  <si>
    <t>Miệng gió + OBD 600x150</t>
  </si>
  <si>
    <t>Điều hòa cục bộ 24.000BTU</t>
  </si>
  <si>
    <t>Quạt hút gắn tường 1000 m3/h+ miệng gió</t>
  </si>
  <si>
    <t>Khu vực chế biến</t>
  </si>
  <si>
    <t>Quạt hút gắn tường 200 m3/h+ miệng gió</t>
  </si>
  <si>
    <t>Miệng gió + OBD 250x150</t>
  </si>
  <si>
    <t>Điều hòa cục bộ 12.000BTU</t>
  </si>
  <si>
    <t>Miệng gió louver 1200x300</t>
  </si>
  <si>
    <t>Điều hòa cassette 4 hướng 48.000BTU</t>
  </si>
  <si>
    <t>Miệng gió tươi 900x200</t>
  </si>
  <si>
    <t xml:space="preserve">Miệng gió hút khói 1000x300 </t>
  </si>
  <si>
    <t>Miệng gió louver 800x300</t>
  </si>
  <si>
    <t>Quạt kruger 1600m3/h@150Pa</t>
  </si>
  <si>
    <t xml:space="preserve">Miệng hút khói 500x500 </t>
  </si>
  <si>
    <t>(Trục X11-X12)</t>
  </si>
  <si>
    <t>Quạt kruger 3000m3/h@200Pa</t>
  </si>
  <si>
    <t>Miệng hút khói 500x500 + OBD</t>
  </si>
  <si>
    <t>(Trục X6-X9)</t>
  </si>
  <si>
    <t>Miệng gió louver 500x250</t>
  </si>
  <si>
    <t>Quạt kruger 800m3/h@150Pa</t>
  </si>
  <si>
    <t>Miệng hút khói 400x400 + OBD</t>
  </si>
  <si>
    <t>Hành lang</t>
  </si>
  <si>
    <t>(Trục X1-X2)</t>
  </si>
  <si>
    <t>Miệng gió louver 300x250</t>
  </si>
  <si>
    <t>Quạt kruger 600m3/h@150Pa</t>
  </si>
  <si>
    <t>Miệng gió hút mùi WC 200x200 + OBD</t>
  </si>
  <si>
    <t>Quạt tạo áp 8.85 m3/s@450Pa</t>
  </si>
  <si>
    <t>Cục nóng máy treo tường</t>
  </si>
  <si>
    <t>Cửa xả áp</t>
  </si>
  <si>
    <t>Điều hòa treo tường 36.000 Btu/h</t>
  </si>
  <si>
    <t>P. Làm việc khoa bệnh truyền nhiễm (T5.13)</t>
  </si>
  <si>
    <t>Miệng louver 150x150</t>
  </si>
  <si>
    <t>Trục X12/Y4</t>
  </si>
  <si>
    <t>Điều hòa cassette 36.000 Btu/h</t>
  </si>
  <si>
    <t>Quạt hút gắn trần 100m3/h</t>
  </si>
  <si>
    <t>Miệng gió louver 150x150</t>
  </si>
  <si>
    <t>Điều hòa cassette 48.000 Btu/h</t>
  </si>
  <si>
    <t>Quạt kruger 1500m3/h@200Pa</t>
  </si>
  <si>
    <t>Phòng đệm</t>
  </si>
  <si>
    <t>Điều hòa dấu trần 24.000 Btu/h</t>
  </si>
  <si>
    <t>Điều hòa treo tường 12.000 Btu/h</t>
  </si>
  <si>
    <t>Điều hòa dấu trần 18.000 Btu/h</t>
  </si>
  <si>
    <t>Điều hòa treo tường 9.000 Btu/h</t>
  </si>
  <si>
    <t>Điều hòa dấu trần 48.000 Btu/h</t>
  </si>
  <si>
    <t>Miệng gió hút khói 500x500 + OBD</t>
  </si>
  <si>
    <t>Quạt hút gắn tường 100m3/h</t>
  </si>
  <si>
    <t xml:space="preserve">Quạt hút gắn tường 100m3/h + OBD </t>
  </si>
  <si>
    <t>Miệng gió hồi 250x250</t>
  </si>
  <si>
    <t>Miệng gió cấp 250x250 + OBD</t>
  </si>
  <si>
    <t>Miệng gió tươi 200x200 + OBD</t>
  </si>
  <si>
    <t>Miệng gió tươi 150x150 + OBD</t>
  </si>
  <si>
    <t>Miệng gió hồi 300x300</t>
  </si>
  <si>
    <t>Miệng gió cấp 300x300 + OBD</t>
  </si>
  <si>
    <t>Miệng gió hồi 400x400</t>
  </si>
  <si>
    <t>Miệng gió cấp 400x400 + OBD</t>
  </si>
  <si>
    <t>Quạt kruger 500m3/h@150Pa</t>
  </si>
  <si>
    <t>Miệng gió tươi 250x250 + OBD</t>
  </si>
  <si>
    <t>Miệng gió hồi 450x450</t>
  </si>
  <si>
    <t>Miệng gió cấp 450x450 + OBD</t>
  </si>
  <si>
    <t>Quạt kruger 300 m3/h@150Pa</t>
  </si>
  <si>
    <t>Quạt kruger 500 m3/h@150Pa</t>
  </si>
  <si>
    <t>Miệng louver 300x150</t>
  </si>
  <si>
    <t>Miệng louver 300x250</t>
  </si>
  <si>
    <t>Miệng gió WC 200x200 + OBD</t>
  </si>
  <si>
    <t>Miệng gió WC 150x150 + OBD</t>
  </si>
  <si>
    <t>Trục X2/Y2-Y3</t>
  </si>
  <si>
    <t>Trục X11/Y2-Y3</t>
  </si>
  <si>
    <t>Miệng gió tươi 800x150 + OBD</t>
  </si>
  <si>
    <t>Phòng tư vấn</t>
  </si>
  <si>
    <t>Miệng gió louver750x170</t>
  </si>
  <si>
    <t>Miệng gió louver 1375x170</t>
  </si>
  <si>
    <t>Miệng gió louver 900x170</t>
  </si>
  <si>
    <t>Quạt kruger 800m3/h@200Pa</t>
  </si>
  <si>
    <t>Quạt kruger 1000m3/h@200Pa</t>
  </si>
  <si>
    <t>Miệng louver 700x250</t>
  </si>
  <si>
    <t>Khu chế biến</t>
  </si>
  <si>
    <t>Kho thuốc</t>
  </si>
  <si>
    <t>Kho thuốc BH</t>
  </si>
  <si>
    <t>Hành lang chính</t>
  </si>
  <si>
    <t>Phần ĐHKK và thông gió</t>
  </si>
  <si>
    <t>Miệng gió hút khói 600x400 + OBD</t>
  </si>
  <si>
    <t>Quạt kruger 15000m3/h@200pa</t>
  </si>
  <si>
    <t>Quạt hút gắn tường 1000 m3/h</t>
  </si>
  <si>
    <t>Quạt hút gắn tường 600 m3/h</t>
  </si>
  <si>
    <t>Trục X6</t>
  </si>
  <si>
    <t>Quạt hút gắn tường 500 m3/h</t>
  </si>
  <si>
    <t>Trục X9</t>
  </si>
  <si>
    <t>Quạt hút gắn tường 2000 m3/h</t>
  </si>
  <si>
    <t>Miệng gió 1000x300</t>
  </si>
  <si>
    <t>Quạt kruger 3000m3/h@200pa</t>
  </si>
  <si>
    <t>Miệng gió tạo áp hành lang thoát hiểm trục X7 400x600 + OBD</t>
  </si>
  <si>
    <t>Đèn led panel 45w  0,3x1,2 m</t>
  </si>
  <si>
    <t>P. Theo dõi sau nội soi (T3.18)</t>
  </si>
  <si>
    <t>Phòng thay đồ 3</t>
  </si>
  <si>
    <t>Phòng thay đồ 4</t>
  </si>
  <si>
    <t>* Phòng tắm</t>
  </si>
  <si>
    <t>Tủ điện tầng bao gồm thiết bị + Tap Off</t>
  </si>
  <si>
    <t>Labo cận lâm sàn</t>
  </si>
  <si>
    <t xml:space="preserve">Miệng gió hồi 400x400 </t>
  </si>
  <si>
    <t>P. Chụp X quang 2 + khu vực điều khiển(T3.3)</t>
  </si>
  <si>
    <t xml:space="preserve">Miệng gió hồi 300x300 </t>
  </si>
  <si>
    <t xml:space="preserve">Miệng gió hồi 250x250 </t>
  </si>
  <si>
    <t>Trục X6-X9/Y4</t>
  </si>
  <si>
    <t>Tủ lạnh Aqua</t>
  </si>
  <si>
    <t>Quạt công nghiệp Lipan</t>
  </si>
  <si>
    <t>Kệ inox để nước</t>
  </si>
  <si>
    <t>Sảnh khu vui chơi</t>
  </si>
  <si>
    <t>Quạt đứng công nghiệp</t>
  </si>
  <si>
    <t>P. Nghỉ nhân viên (T2.22)</t>
  </si>
  <si>
    <t>Kỹ thuật bơm tinh trùng (T2.14)</t>
  </si>
  <si>
    <t>P. Lọc rửa tinh trùng (T2.13)</t>
  </si>
  <si>
    <t>P. Siêu âm (T2.8)</t>
  </si>
  <si>
    <t>P. Khám thai + kho(T2.6)</t>
  </si>
  <si>
    <t>P. Xử lý đồ bẩn (T2.1)</t>
  </si>
  <si>
    <t>Ghế nhựa bệnh nhân ( 4 ghế)</t>
  </si>
  <si>
    <t>Cây inox treo đồ</t>
  </si>
  <si>
    <t>P TD bệnh nhân sau bơm tinh trùng</t>
  </si>
  <si>
    <t>Quạt đứng Bifan</t>
  </si>
  <si>
    <t>Quạt đứng Kimwin</t>
  </si>
  <si>
    <t>Quạt đứng ASIA</t>
  </si>
  <si>
    <t>Tủ sắt đựng hồ sơ</t>
  </si>
  <si>
    <t>Bộ bàn ghế 6 ghế</t>
  </si>
  <si>
    <t>Ghế gỗ hội trường</t>
  </si>
  <si>
    <t>Tủ sắt đựng đồ cá nhân</t>
  </si>
  <si>
    <t xml:space="preserve">Ghế họp giao ban </t>
  </si>
  <si>
    <t>Bàn họp</t>
  </si>
  <si>
    <t>Ghế nệm xếp thấp</t>
  </si>
  <si>
    <t>kệ sách</t>
  </si>
  <si>
    <t>Kệ đựng hồ sơ</t>
  </si>
  <si>
    <t>Bàn để tài liệu 2m</t>
  </si>
  <si>
    <t>Dãy ghế bệnh nhân ( 4 ghế)</t>
  </si>
  <si>
    <t>Dãy ghế bệnh nhân ( 2 ghế)</t>
  </si>
  <si>
    <t>Bàn vi tính nhỏ</t>
  </si>
  <si>
    <t>Ghế nệm tròn</t>
  </si>
  <si>
    <t>Phòng vi sinh thiết bị</t>
  </si>
  <si>
    <t>Ghế nệm xếp cao</t>
  </si>
  <si>
    <t>Giá inox để nước</t>
  </si>
  <si>
    <t xml:space="preserve">P. Theo dõi sau thủ thuật </t>
  </si>
  <si>
    <t>P. Thủ thuật 5</t>
  </si>
  <si>
    <t>P. Thủ thuật  4</t>
  </si>
  <si>
    <t>Ghế nệm xếp thấp ( xanh)</t>
  </si>
  <si>
    <t>P. Thủ thuật 3</t>
  </si>
  <si>
    <t>P. Thủ thuật 2</t>
  </si>
  <si>
    <t>P. Thủ thuật 1</t>
  </si>
  <si>
    <t>Quầy chữ U + 2 cửa lật (không lắp)</t>
  </si>
  <si>
    <t>khu vực tiếp nhận</t>
  </si>
  <si>
    <t>Phòng Tư vấn KSL trước tiêm chủng</t>
  </si>
  <si>
    <t>Phòng khám (T2.27) nghề nghiệp</t>
  </si>
  <si>
    <t>Phòng khám (T2.26) khám nội</t>
  </si>
  <si>
    <t>Phòng khám (T2.28) liên chuyên khoa</t>
  </si>
  <si>
    <t>Phòng khám (T2.30). Khám Hiếm Muộn</t>
  </si>
  <si>
    <t>1 cái p. tiêm chủng. 2 cái phòng siêu âm</t>
  </si>
  <si>
    <t>tiêm chủng</t>
  </si>
  <si>
    <t>Tiêm chủng</t>
  </si>
  <si>
    <t>Phòng khám (T2.25) Nhi</t>
  </si>
  <si>
    <t>Phong đốt laser 110</t>
  </si>
  <si>
    <t>khám thai 204</t>
  </si>
  <si>
    <t>P. Khám thai</t>
  </si>
  <si>
    <t xml:space="preserve"> P 212</t>
  </si>
  <si>
    <t>Sảnh giữa tầng 2- Đón tiếp</t>
  </si>
  <si>
    <t>GLV 21</t>
  </si>
  <si>
    <t>TDC 22</t>
  </si>
  <si>
    <t>BLV34</t>
  </si>
  <si>
    <t>GLV48</t>
  </si>
  <si>
    <t>Hành lang: 2  + Sảnh hành lang  khu B tầng 1: 6</t>
  </si>
  <si>
    <t>Sảnh chờ+ hành lang t2</t>
  </si>
  <si>
    <t>P 305</t>
  </si>
  <si>
    <t>P 203</t>
  </si>
  <si>
    <t>P111</t>
  </si>
  <si>
    <t>P 101</t>
  </si>
  <si>
    <t>P 107</t>
  </si>
  <si>
    <t>P108+109</t>
  </si>
  <si>
    <t>Khám nam khoa</t>
  </si>
  <si>
    <t>GLV-12</t>
  </si>
  <si>
    <t>P đợi 103 HV</t>
  </si>
  <si>
    <t>BLV 36</t>
  </si>
  <si>
    <t>bs hân cầm chia khóa</t>
  </si>
  <si>
    <t>P. Giao ban (T2.23) Làm việc</t>
  </si>
  <si>
    <t>BH2010/2</t>
  </si>
  <si>
    <t>Khu khách hàng đợi 103HV</t>
  </si>
  <si>
    <t>P 212</t>
  </si>
  <si>
    <t>Mã ĐV SDNS: 1127644</t>
  </si>
  <si>
    <t>- Hôm nay, ngày      tháng     năm 2023, tại Trung tâm Kiểm soát bệnh tât TP Đà Nẵng chúng tôi gồm:</t>
  </si>
  <si>
    <t>1. Ông. Phạm Trúc Lâm</t>
  </si>
  <si>
    <t>Phó Giám đốc phụ trách</t>
  </si>
  <si>
    <t>Chủ tịch hội đồng</t>
  </si>
  <si>
    <t>2. Ông. Nguyễn Thanh Huỳnh</t>
  </si>
  <si>
    <t>Trưởng phòng TC - KT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</si>
  <si>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</si>
  <si>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</si>
  <si>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</si>
  <si>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</si>
  <si>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</si>
  <si>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</si>
  <si>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</si>
  <si>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</si>
  <si>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</si>
  <si>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</si>
  <si>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</si>
  <si>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</si>
  <si>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</si>
  <si>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</si>
  <si>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Bộ phận quản lý</t>
  </si>
  <si>
    <t>Nơi sử dụng hoặc người sử dụng</t>
  </si>
  <si>
    <t>Tình trạng sử dụng</t>
  </si>
  <si>
    <t>Nơi chuyển đến</t>
  </si>
  <si>
    <t>Ghi 
chú</t>
  </si>
  <si>
    <t>Giá trị
còn lại</t>
  </si>
  <si>
    <t>Bàn làm việc - BLV15-1
-Kích thước: (1.500x750x760)mm.
- Gỗ công nghiệp phủ melamine có hộc liền.</t>
  </si>
  <si>
    <t>Ghế làm việc
-Kích thước: (550x530x865/990)mm.
- Khung nhựa, đệm tựa bọc vải tay nhựa.</t>
  </si>
  <si>
    <t>Bàn -BH2010
-Kích thước: (2.000x1.000x750)mm.
- Gỗ công nghiệp melamine.</t>
  </si>
  <si>
    <t>Bàn làm việc - BLV1809-1
-Kích thước: (1.800x900x760)mm.
-Gỗ công nghiệp phun PU</t>
  </si>
  <si>
    <t>Ghế sảnh chờ
-Kích thước:(1.980x530x840)mm.
- Khung thép sơn tĩnh điện chống hàn gỉ, đệm bằng nhựa đúc.</t>
  </si>
  <si>
    <t>Ghế họp - GH12
-Kích thước: (440x520x1.050)mm.
-Gỗ tự nhiên phun PU.</t>
  </si>
  <si>
    <t>Bàn - BQ208
-Kích thước: (2.800x800x750)mm.
-Gỗ tự nhiên ghép thanh, có thọa, có hộc đựng hồ sơ, kệ CPU</t>
  </si>
  <si>
    <t xml:space="preserve">Bàn làm việc </t>
  </si>
  <si>
    <t>PKĐK</t>
  </si>
  <si>
    <t>SKSS</t>
  </si>
  <si>
    <t>Thành viên tổ kiểm kê</t>
  </si>
  <si>
    <t>Nguyễn Thanh Huỳnh</t>
  </si>
  <si>
    <t>Phạm Trúc Lâm</t>
  </si>
  <si>
    <t>Bàn làm việc</t>
  </si>
  <si>
    <t>Tủ đựng dụng cụ
-Kích thước: (1.000x450x1.830)mm.
- Khung sắt sơn tĩnh điện khoang trên có 03 khoang, có 02 đợt di động. Khung cánh kính mở</t>
  </si>
  <si>
    <t>Ghế họp gỗ - GH12
-Kích thước: (440x520x1.050)mm.
-Gỗ tự nhiên phun PU.</t>
  </si>
  <si>
    <t>Sảnh chính ( bốc số)</t>
  </si>
  <si>
    <t>Cơ sở cũ 06 pct</t>
  </si>
  <si>
    <t>Đơn vị: Trung tâm Kiểm soát bệnh tật TP Đà Nẵng</t>
  </si>
  <si>
    <t>Mẫu số C53-HD</t>
  </si>
  <si>
    <t>(Ban hành theo QĐ số 19/2006/QĐ-BTC ngày 30/03/2006 của</t>
  </si>
  <si>
    <t>DANH SÁCH KIỂM KÊ TÀI SẢN CỐ ĐỊNH NĂM 2017</t>
  </si>
  <si>
    <t xml:space="preserve">           của Bộ trưởng Bộ Tài Chính)</t>
  </si>
  <si>
    <t>4. Ông Võ Xuân Hân</t>
  </si>
  <si>
    <t>Phó trưởng PKĐK</t>
  </si>
  <si>
    <t>P. Sau tiêm</t>
  </si>
  <si>
    <t>đang sd</t>
  </si>
  <si>
    <t>GLV 13</t>
  </si>
  <si>
    <t>BLV15-1/09</t>
  </si>
  <si>
    <t>P. cấp cứu</t>
  </si>
  <si>
    <t>BLV15-1/07-08</t>
  </si>
  <si>
    <t>P. tiêm chủng</t>
  </si>
  <si>
    <t>Phòng tiêm chủng (T1.6)</t>
  </si>
  <si>
    <t>TDC 05-07</t>
  </si>
  <si>
    <t>GH 06-10</t>
  </si>
  <si>
    <t>GH 11</t>
  </si>
  <si>
    <t>BLV15-1/02-06</t>
  </si>
  <si>
    <t>GH 01-05</t>
  </si>
  <si>
    <t>GSC 03-05</t>
  </si>
  <si>
    <t>Hành lang T1</t>
  </si>
  <si>
    <t>GLV 01</t>
  </si>
  <si>
    <t>Sảnh chính T1</t>
  </si>
  <si>
    <t>GSC 09-20</t>
  </si>
  <si>
    <t>GLV 49</t>
  </si>
  <si>
    <t>IV</t>
  </si>
  <si>
    <t>Ghế khám
-Kích thước: (590x540x920)mm.
- Khung nhựa, đệm tựa bọc vải lưới, chân mạ.</t>
  </si>
  <si>
    <t>BLV 35</t>
  </si>
  <si>
    <t>V</t>
  </si>
  <si>
    <t>P. Khám vú</t>
  </si>
  <si>
    <t>Ghế quầy
-Kích thước: (590x540x920)mm.
- Ghế lưới tay nhựa chân mạ.</t>
  </si>
  <si>
    <t>BLV 33</t>
  </si>
  <si>
    <t>P. Siêu âm T2</t>
  </si>
  <si>
    <t>TDC 23-24</t>
  </si>
  <si>
    <t>Ghế khám
-Kích thước: (590x555x1.050)mm.
- Khung nhựa, đệm tựa bọc vải lưới, chân mạ.</t>
  </si>
  <si>
    <t>VI</t>
  </si>
  <si>
    <t>P. Khám phụ khoa</t>
  </si>
  <si>
    <t>GLV 33-37</t>
  </si>
  <si>
    <t>P. Khám phụ khoa (Soi CTC) + P. Làm việc</t>
  </si>
  <si>
    <t>VII</t>
  </si>
  <si>
    <t>P. Tiền phẩu (Chuẩn bị hồ sơ)</t>
  </si>
  <si>
    <t>BLV 18-19</t>
  </si>
  <si>
    <t>P. Tiền phẫu</t>
  </si>
  <si>
    <t>TDC 08-09</t>
  </si>
  <si>
    <t>GLV 16</t>
  </si>
  <si>
    <t>TDC 10</t>
  </si>
  <si>
    <t>P. Lọc rửa TT</t>
  </si>
  <si>
    <t>VIII</t>
  </si>
  <si>
    <t>IX</t>
  </si>
  <si>
    <t>GLV 18</t>
  </si>
  <si>
    <t>P. Bơm TT</t>
  </si>
  <si>
    <t>X</t>
  </si>
  <si>
    <t>XI</t>
  </si>
  <si>
    <t>XII</t>
  </si>
  <si>
    <t>BLV 13</t>
  </si>
  <si>
    <t>GLV 14</t>
  </si>
  <si>
    <t>BLV 14</t>
  </si>
  <si>
    <t>P. Thủ thuật 4</t>
  </si>
  <si>
    <t xml:space="preserve"> BLV 15</t>
  </si>
  <si>
    <t>GLV 15</t>
  </si>
  <si>
    <t>BLV 16</t>
  </si>
  <si>
    <t>BLV 17</t>
  </si>
  <si>
    <t>P. Nghỉ nhân viên</t>
  </si>
  <si>
    <t>BH 55</t>
  </si>
  <si>
    <t>P. Giao ban</t>
  </si>
  <si>
    <t>GQ 712/1-30</t>
  </si>
  <si>
    <t>P.Tư vấn sức khoẻ và khám sàng lọc tiền sinh (T2.24)</t>
  </si>
  <si>
    <t>P. Tư vấn SK</t>
  </si>
  <si>
    <t>TDC 14-15</t>
  </si>
  <si>
    <t>BLV1809/1</t>
  </si>
  <si>
    <t>PK Nhi</t>
  </si>
  <si>
    <t>GLV 31-32</t>
  </si>
  <si>
    <t>BLV 167</t>
  </si>
  <si>
    <t>PK Nội</t>
  </si>
  <si>
    <t>TDC 83</t>
  </si>
  <si>
    <t>TDC 19</t>
  </si>
  <si>
    <t>PK Bệnh NN</t>
  </si>
  <si>
    <t>PK Liên CK</t>
  </si>
  <si>
    <t>TDC 20</t>
  </si>
  <si>
    <t>Phòng khám Ngoại - Nam khoa ( T2. 29)</t>
  </si>
  <si>
    <t>BLV 30</t>
  </si>
  <si>
    <t>TDC 21</t>
  </si>
  <si>
    <t>PK Ngoại</t>
  </si>
  <si>
    <t>BLV 31-32</t>
  </si>
  <si>
    <t>PK Hiếm muộn</t>
  </si>
  <si>
    <t>Hlang T2</t>
  </si>
  <si>
    <t>Sảnh giữa T2</t>
  </si>
  <si>
    <t>GLV 19-20</t>
  </si>
  <si>
    <t>Ghế quầy
-Kích thước: (590x540x920)mm.
- Ghế lưới tay nhựa chân mạ</t>
  </si>
  <si>
    <t>Phòng chụp X quang (Nhũ ảnh + Đọc phim)</t>
  </si>
  <si>
    <t>01 P. Nhũ ảnh
01 P. Đọc phim</t>
  </si>
  <si>
    <t>P. Nhũ ảnh</t>
  </si>
  <si>
    <t>GLV 59-60</t>
  </si>
  <si>
    <t>P. Đọc phim</t>
  </si>
  <si>
    <t>BLV 37</t>
  </si>
  <si>
    <t>P. Siêu âm 2</t>
  </si>
  <si>
    <t>GLV 52-53</t>
  </si>
  <si>
    <t>TDC 29</t>
  </si>
  <si>
    <t>GBN 19</t>
  </si>
  <si>
    <t>P. Lấy mẫu TT</t>
  </si>
  <si>
    <t>GLV 50</t>
  </si>
  <si>
    <t>GBN 18</t>
  </si>
  <si>
    <t>BLV 38</t>
  </si>
  <si>
    <t>GLV 51</t>
  </si>
  <si>
    <t>TDC 28</t>
  </si>
  <si>
    <t>P. Nội soi</t>
  </si>
  <si>
    <t xml:space="preserve">P. Bảo quản dụng cụ + hấp sấy dụng cụ </t>
  </si>
  <si>
    <t>Bàn làm việc - BLV15-1
- Kích thước: (1.500x750x760)mm.
- Gỗ công nghiệp phủ melamine có hộc liền.</t>
  </si>
  <si>
    <t>TÀI SẢN THIẾT BỊ VĂN PHÒNG TỪ 06 PCT CHUYỂN VỀ 118 LÊ ĐÌNH LÝ</t>
  </si>
  <si>
    <t>Ghế quầy
-Kích thước: (590x540x920)mm
- Ghế lưới tay nhựa chân mạ</t>
  </si>
  <si>
    <t>GSC 01-02</t>
  </si>
  <si>
    <t>BQ 3080/1</t>
  </si>
  <si>
    <t xml:space="preserve">Bàn - BQ 3080
- Kích thước: (3,000x800x1,100)mm
- Khung thép sơn tĩnh điện chống hàn gỉ, đệm bằng nhựa đúc </t>
  </si>
  <si>
    <t>BLV 20</t>
  </si>
  <si>
    <t>P. Bquản dụng cụ</t>
  </si>
  <si>
    <t>P. Monitor (T2.7) KHÁM NHŨ</t>
  </si>
  <si>
    <t xml:space="preserve">VI </t>
  </si>
  <si>
    <t>GLV 17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</si>
  <si>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</si>
  <si>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</si>
  <si>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</si>
  <si>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</si>
  <si>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</si>
  <si>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</si>
  <si>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</si>
  <si>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</si>
  <si>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</si>
  <si>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</si>
  <si>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</si>
  <si>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</si>
  <si>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Trưởng phòng TCKT</t>
  </si>
  <si>
    <t>Chủ tịch Hội đồng</t>
  </si>
  <si>
    <t>- Trần Liên</t>
  </si>
  <si>
    <t>…………</t>
  </si>
  <si>
    <t>- Lưu Thị Mận</t>
  </si>
  <si>
    <t>- Trần Quốc Việt</t>
  </si>
  <si>
    <t>- Đặng Thị Tuyến</t>
  </si>
  <si>
    <t>Phó Trưởng PKĐK</t>
  </si>
  <si>
    <t>Võ Xuân Hân</t>
  </si>
  <si>
    <t xml:space="preserve">                                                   Đà Nẵng, ngày       tháng       năm 2023</t>
  </si>
  <si>
    <t>P. Siêu âm 2 (T3.14)</t>
  </si>
  <si>
    <t>P. Tư vấn TC</t>
  </si>
  <si>
    <t>KHU A - Tầng 1</t>
  </si>
  <si>
    <t>Phòng thu viện phí</t>
  </si>
  <si>
    <t>Bàn viện phí</t>
  </si>
  <si>
    <t>Quạt treo tường Senko</t>
  </si>
  <si>
    <t>Khu vực Tiếp nhận</t>
  </si>
  <si>
    <t>Tháp dinh dưỡng</t>
  </si>
  <si>
    <t>Tượng mẹ bồng con</t>
  </si>
  <si>
    <t>Bàn tiếp đón</t>
  </si>
  <si>
    <t>Điện thoại bàn</t>
  </si>
  <si>
    <t>Quạt đứng Natifan</t>
  </si>
  <si>
    <t>Ghế inox nệm xếp cao</t>
  </si>
  <si>
    <t>Bàn vi tính 1,0m</t>
  </si>
  <si>
    <t>Quạt đứng MD</t>
  </si>
  <si>
    <t>Quạt đứng cao cấp Natifan</t>
  </si>
  <si>
    <t>Khu B - Tầng 1</t>
  </si>
  <si>
    <t>Sảnh + Hành lang</t>
  </si>
  <si>
    <t>Tủ nhôm đựng văn phòng phẩm</t>
  </si>
  <si>
    <t>P. Tiêm chủng</t>
  </si>
  <si>
    <t>Bàn vi tính</t>
  </si>
  <si>
    <t>Kệ inox đựng bình nước</t>
  </si>
  <si>
    <t>Ghế nệm có tay</t>
  </si>
  <si>
    <t>Quạt treo tường Sankyo</t>
  </si>
  <si>
    <t>Ghế gỗ</t>
  </si>
  <si>
    <t>Bàn vi tính (0.6m x 1.2m)</t>
  </si>
  <si>
    <t>Quạt đứng Daivi</t>
  </si>
  <si>
    <t>Hỏng</t>
  </si>
  <si>
    <t>Phòng 106</t>
  </si>
  <si>
    <t>Ghế xoay đệm</t>
  </si>
  <si>
    <t>Bàn vi tính gỗ ép 1,4m</t>
  </si>
  <si>
    <t>Ghế dựa gỗ</t>
  </si>
  <si>
    <t>Khu B - Tầng 2</t>
  </si>
  <si>
    <t>Sảnh chờ + Hành lang tầng 2</t>
  </si>
  <si>
    <t>Ghế nhựa bệnh nhân</t>
  </si>
  <si>
    <t xml:space="preserve">Quạt đứng Dai vi </t>
  </si>
  <si>
    <t>Phòng Siêu âm (P.203 + P.202)</t>
  </si>
  <si>
    <t>Ghế xoay nệm</t>
  </si>
  <si>
    <t>Ghế tựa gỗ</t>
  </si>
  <si>
    <t>Quạt treo tường</t>
  </si>
  <si>
    <t>Vách ngăn nhôm</t>
  </si>
  <si>
    <t>Quạt treo tường ASIA</t>
  </si>
  <si>
    <t xml:space="preserve">Ghế gỗ </t>
  </si>
  <si>
    <t xml:space="preserve">Ghế tựa gỗ </t>
  </si>
  <si>
    <t>Bảng đứng</t>
  </si>
  <si>
    <t>Quạt trần</t>
  </si>
  <si>
    <t>Quạt gắn trần xoay</t>
  </si>
  <si>
    <t>Không SD</t>
  </si>
  <si>
    <t>06 PCT</t>
  </si>
  <si>
    <t>Quạt treo tường ASIA, SENKO</t>
  </si>
  <si>
    <t>Băng ghế chờ 5 chỗ</t>
  </si>
  <si>
    <t>103 HV</t>
  </si>
  <si>
    <t>Quạt đứng Senko</t>
  </si>
  <si>
    <t>Quạt đứng Jiplai</t>
  </si>
  <si>
    <t>Không sd</t>
  </si>
  <si>
    <t>Bảng meca lịch tiêm chủng</t>
  </si>
  <si>
    <t>Phòng tiêm</t>
  </si>
  <si>
    <t>1997-
bàn hành chính</t>
  </si>
  <si>
    <t>Bàn làm việc có gương</t>
  </si>
  <si>
    <t>Băng ghế chờ 4 chỗ</t>
  </si>
  <si>
    <t>Bàn tư vấn xét nghiệm</t>
  </si>
  <si>
    <t>Ghế tựa nhựa</t>
  </si>
  <si>
    <t>2019</t>
  </si>
  <si>
    <t>Quạt treo tường bifan</t>
  </si>
  <si>
    <t>Gường cá nhân</t>
  </si>
  <si>
    <t xml:space="preserve">Bình chữa cháy </t>
  </si>
  <si>
    <t>Bàn gỗ không gương</t>
  </si>
  <si>
    <t>TS cũ 103 HV chuyển về</t>
  </si>
  <si>
    <t>2020</t>
  </si>
  <si>
    <t>Điều hòa Tosiba</t>
  </si>
  <si>
    <t>Điều hòa National</t>
  </si>
  <si>
    <t>Tủ dính tường</t>
  </si>
  <si>
    <t>Mái xếp di động</t>
  </si>
  <si>
    <t>P. Thu phí</t>
  </si>
  <si>
    <t>P. Hành chính</t>
  </si>
  <si>
    <t>P. Tư vấn</t>
  </si>
  <si>
    <t>P. TDST</t>
  </si>
  <si>
    <t>Ts cũ 06 PCT chuyển về</t>
  </si>
  <si>
    <t>TD sau bơm TT</t>
  </si>
  <si>
    <t>XXV</t>
  </si>
  <si>
    <t>TD sau thủ thuật</t>
  </si>
  <si>
    <t>XXVI</t>
  </si>
  <si>
    <t>Sảnh trái</t>
  </si>
  <si>
    <t>XXVII</t>
  </si>
  <si>
    <t>HLang P T2</t>
  </si>
  <si>
    <t>XXVIII</t>
  </si>
  <si>
    <t>TS cũ 06 PCT chuyển về</t>
  </si>
  <si>
    <t>Tủ  hồ sơ ( gỗ ép)</t>
  </si>
  <si>
    <t>P. Vi sinh</t>
  </si>
  <si>
    <t>hỏng</t>
  </si>
  <si>
    <t>Tầng hầm 118</t>
  </si>
  <si>
    <t>Viện phí</t>
  </si>
  <si>
    <t>Tiếp nhận</t>
  </si>
  <si>
    <t>Quạt ASIA</t>
  </si>
  <si>
    <t>Hlang</t>
  </si>
  <si>
    <t>-1</t>
  </si>
  <si>
    <t>203+202</t>
  </si>
  <si>
    <t>XXIX</t>
  </si>
  <si>
    <t>XXX</t>
  </si>
  <si>
    <t>P. Khám SL trước tiêm</t>
  </si>
  <si>
    <t>CƠ SỞ CŨ 103 HÙNG VƯƠNG</t>
  </si>
  <si>
    <t>Ghế nệm xếp xanh</t>
  </si>
  <si>
    <t>Điều hòa treo tường 24.000 Btu/h + remote</t>
  </si>
  <si>
    <t>P. TD Sau tiêm</t>
  </si>
  <si>
    <t>Đèn led panel 45w 0,3x1,2 m</t>
  </si>
  <si>
    <t xml:space="preserve">Điều hòa treo tường 18.000 Btu/h + remote </t>
  </si>
  <si>
    <t>Điều hòa treo tường 18.000 Btu/h + remote</t>
  </si>
  <si>
    <t>P. khám sàng lọc trước tiêm (T1.17)</t>
  </si>
  <si>
    <t>Vòi rửa vệ sinh</t>
  </si>
  <si>
    <t>P. Tư vấn tiêm chủng</t>
  </si>
  <si>
    <t>WC</t>
  </si>
  <si>
    <t>Vòi nước</t>
  </si>
  <si>
    <t>P. Bảo quản dụng cụ + hấp sấy dụng cụ (T2.2)</t>
  </si>
  <si>
    <t>Điều hòa treo tường 12.000 Btu/h + remote</t>
  </si>
  <si>
    <t>P. Bệnh Nhân Lấy mẫu TT (T2.3)</t>
  </si>
  <si>
    <t>P. Mổ (T2.4)</t>
  </si>
  <si>
    <t>P. Phụ trợ phòng mổ (T2.5)</t>
  </si>
  <si>
    <t>Bình nước nóng gián tiếp 15L + ổ cắm 3 chấu</t>
  </si>
  <si>
    <t>Chậu rửa tay Inox mở vòi bằng chân + vòi</t>
  </si>
  <si>
    <t>Miệng gió tươi 300x300 + OBD</t>
  </si>
  <si>
    <t>P. Khám phụ khoa (T2.9)</t>
  </si>
  <si>
    <t>P. Chuẩn bị hồ sơ BN (T2.12)</t>
  </si>
  <si>
    <t>Đèn led panel 45w 0,6x0,6 m</t>
  </si>
  <si>
    <t>P. Hồi sức sau mổ, lưu bệnh nhân sau bơm tinh trùng (T2.15)</t>
  </si>
  <si>
    <t>P. Theo dõi sau thủ thuật (T2.16)</t>
  </si>
  <si>
    <t>P. Thủ thuật  (T2.17)</t>
  </si>
  <si>
    <t>P. Thủ thuật  (T2.18)</t>
  </si>
  <si>
    <t>P. Thủ thuật  (T2.19)</t>
  </si>
  <si>
    <t>P. Thủ thuật  (T2.20)</t>
  </si>
  <si>
    <t>P. Thủ thuật  (T2.21)</t>
  </si>
  <si>
    <t>P. Giao ban (T2.23)</t>
  </si>
  <si>
    <t>P.Tư vấn và khám sàng lọc tiền sinh (T2.24)</t>
  </si>
  <si>
    <t>Phòng khám (T2.25)</t>
  </si>
  <si>
    <t>Phòng khám (T2.26)</t>
  </si>
  <si>
    <t>Phòng khám (T2.27)</t>
  </si>
  <si>
    <t>Phòng khám (T2.28)</t>
  </si>
  <si>
    <t>Phòng khám (T2.29)</t>
  </si>
  <si>
    <t>Phòng khám (T2.30)</t>
  </si>
  <si>
    <t>Phòng thay đồ 2</t>
  </si>
  <si>
    <t>Khu WC chung W4 (X2/Y3,4)</t>
  </si>
  <si>
    <t>Khu WC chung W3 (X11/Y3,4)</t>
  </si>
  <si>
    <t>ĐVT</t>
  </si>
  <si>
    <t>Trên trần</t>
  </si>
  <si>
    <t>soi cổ tử cung</t>
  </si>
  <si>
    <t>Ngoài tường</t>
  </si>
  <si>
    <t>XXXI</t>
  </si>
  <si>
    <t>XXXII</t>
  </si>
  <si>
    <t>P. Xử lý đồ bẩn</t>
  </si>
  <si>
    <t>Bquản, hấp sấy DC</t>
  </si>
  <si>
    <t>P. Lấy mẫu tinh trùng</t>
  </si>
  <si>
    <t>P. Mổ</t>
  </si>
  <si>
    <t>P. Phụ trợ P mổ</t>
  </si>
  <si>
    <t>P. Khám thai + kho (T2.6)</t>
  </si>
  <si>
    <t>P. Khám nhũ</t>
  </si>
  <si>
    <t>P. Siêu âm</t>
  </si>
  <si>
    <t>P. Làm việc</t>
  </si>
  <si>
    <t>P. Chuẩn bị hồ sơ</t>
  </si>
  <si>
    <t>P. KT bơm TT</t>
  </si>
  <si>
    <t>Hồi sức sau mổ</t>
  </si>
  <si>
    <t>P. Thủ thuật</t>
  </si>
  <si>
    <t>TV và KSL tiền sinh</t>
  </si>
  <si>
    <t>P. Khám</t>
  </si>
  <si>
    <t>P. Thay đồ 2</t>
  </si>
  <si>
    <t>WC4</t>
  </si>
  <si>
    <t>WC3</t>
  </si>
  <si>
    <t xml:space="preserve">Điều hòa treo tường 24.000 Btu/h + remote </t>
  </si>
  <si>
    <t>Điều hòa dấu trần 18.000 Btu/h + remote</t>
  </si>
  <si>
    <t>X quang 1</t>
  </si>
  <si>
    <t>X quang 2</t>
  </si>
  <si>
    <t>Siêu âm</t>
  </si>
  <si>
    <t>Tiếp nhận năm 2022</t>
  </si>
  <si>
    <t xml:space="preserve">P đọc phim </t>
  </si>
  <si>
    <t>GSC 31-32</t>
  </si>
  <si>
    <t>Đề nghị thanh lý</t>
  </si>
  <si>
    <t>Tầng hầm</t>
  </si>
  <si>
    <t>Kho HIV</t>
  </si>
  <si>
    <t>Đã tháo không tìm thấy</t>
  </si>
  <si>
    <t>- Trần Liên………………………………….</t>
  </si>
  <si>
    <t>- Trần Quốc Việt……………………….…..</t>
  </si>
  <si>
    <t>Ghi chú</t>
  </si>
  <si>
    <t>KHÔNG CÓ TRONG SỔ TÀI SẢN</t>
  </si>
  <si>
    <t>P. Monitor (T2.7) - Phòng khám nhũ</t>
  </si>
  <si>
    <t>P.làm việc P.khám (T2.10) - Phòng Khám phụ khoa</t>
  </si>
  <si>
    <t>Bảo vệ 118</t>
  </si>
  <si>
    <t>4. Ông. Trương Tấn Nam</t>
  </si>
  <si>
    <t>Trưởng PKĐK</t>
  </si>
  <si>
    <t>Trương Tấn Nam</t>
  </si>
  <si>
    <t>Trưởng phòng PKĐK</t>
  </si>
  <si>
    <t>Bs Nam</t>
  </si>
  <si>
    <t>Ghế ngồi làm việc - GX23
-Kích thước: (650x660x1270)mm.
- Chân hợp kim nhôm, tay gỗ sơn kết hợp thép mạ, đệm tựa da.</t>
  </si>
  <si>
    <t>GX23/3</t>
  </si>
  <si>
    <t>Kệ gỗ</t>
  </si>
  <si>
    <t>DC-B087/1</t>
  </si>
  <si>
    <t>04 P. Tư vấn TC
01. Phòng tiêm</t>
  </si>
  <si>
    <t>Sảnh Khu vui chơi</t>
  </si>
  <si>
    <t>TÀI SẢN THANH LÝ THEO QUYẾT ĐỊNH 443/QĐ-TTKSBT NGÀY 13/12/2023</t>
  </si>
  <si>
    <t>Tầng hầm và vị trí khác</t>
  </si>
  <si>
    <t>Chuyển khung sắt từ 103 HV về cải tạo lại thành mái che tại sảnh chính T1</t>
  </si>
  <si>
    <t>TDC 26</t>
  </si>
  <si>
    <t>01 P. Siêu âm
01 Hành lang</t>
  </si>
  <si>
    <t>TDC 18</t>
  </si>
  <si>
    <t>TDC 11-12</t>
  </si>
  <si>
    <t>BLV 21, 29</t>
  </si>
  <si>
    <t>GLV 38, 183</t>
  </si>
  <si>
    <t>BLV 69</t>
  </si>
  <si>
    <t>BLV 28</t>
  </si>
  <si>
    <t>GLV 39</t>
  </si>
  <si>
    <t>GQ 01</t>
  </si>
  <si>
    <t>TDC 31, 27, 13</t>
  </si>
  <si>
    <t>BLV1809/14</t>
  </si>
  <si>
    <t>GLV 06-11,02</t>
  </si>
  <si>
    <t>TDC 02-04</t>
  </si>
  <si>
    <t>TDC 01</t>
  </si>
  <si>
    <t>GLV 03-05</t>
  </si>
  <si>
    <t xml:space="preserve"> GLV 42-47, 179</t>
  </si>
  <si>
    <t>GLV 22-26
GLV 174-178</t>
  </si>
  <si>
    <t>GLV 27,29,30, 40, 180</t>
  </si>
  <si>
    <t>GLV 264, 181</t>
  </si>
  <si>
    <t>,</t>
  </si>
  <si>
    <t>GLV 41, 182</t>
  </si>
  <si>
    <t>1. Ông. Nguyễn Đại Vĩnh</t>
  </si>
  <si>
    <t>Giám đốc</t>
  </si>
  <si>
    <t>(TS do hãng vắc xin tài trợ cho Phòng tiêm chủng)</t>
  </si>
  <si>
    <t>Nguyễn Đại Vĩnh</t>
  </si>
  <si>
    <t>đang sd
(Hỏng 1)</t>
  </si>
  <si>
    <t>BLV 22-23, 1</t>
  </si>
  <si>
    <t>đang sd
Hỏng 1</t>
  </si>
  <si>
    <t>Hành lang 2 bên tầng 2</t>
  </si>
  <si>
    <t>01 cái tiếp đón tầng 2</t>
  </si>
  <si>
    <t>BLV 27</t>
  </si>
  <si>
    <t>- Lê Thị Bích Trâm………………………….</t>
  </si>
  <si>
    <t>Phòng Chăm sóc khách hàng Tầng 1 (Chuyển từ Phòng Tư vấn sức khoẻ sang)</t>
  </si>
  <si>
    <t>CSKH</t>
  </si>
  <si>
    <t xml:space="preserve">BIÊN BẢN KIỂM KÊ TÀI SẢN CỐ ĐỊNH NĂM 2025
TBVP PHÒNG KHÁM ĐA KHOA TẦNG 1 </t>
  </si>
  <si>
    <t>Phòng Chăm sóc khách hàng T1 (Phòng Tư vấn sức khoẻ chuyển sang)</t>
  </si>
  <si>
    <t>BQ208/4</t>
  </si>
  <si>
    <t>GLV 52-55</t>
  </si>
  <si>
    <t>TDC 29, 84</t>
  </si>
  <si>
    <t>BQ 3080</t>
  </si>
  <si>
    <t>BIÊN BẢN KIỂM KÊ TÀI SẢN CỐ ĐỊNH NĂM 2025
TBVP PHÒNG KHÁM ĐA KHOA TẦNG 2</t>
  </si>
  <si>
    <t>TDC 17</t>
  </si>
  <si>
    <t>TDC 16, 25</t>
  </si>
  <si>
    <t>BIÊN BẢN KIỂM KÊ TÀI SẢN CỐ ĐỊNH NĂM 2025
TBVP PHÒNG KHÁM ĐA KHOA TẦNG 3</t>
  </si>
  <si>
    <t>XN theo dõi</t>
  </si>
  <si>
    <t>Chuyển P.CSKH T1 PKĐK</t>
  </si>
  <si>
    <t>-2</t>
  </si>
  <si>
    <t>P. Bệnh nhân lấy mẫu TT 1 (T3.16) chuyển thành Phòng quản lý chất lượng XN Y học XN quản lý</t>
  </si>
  <si>
    <t>P. Bệnh nhân lấy mẫu TT2 (T3.16) (Chuyển Khoa XN quản lý)</t>
  </si>
  <si>
    <t>Phòng vi sinh thiết bị chuyển thành Kho VPP Khoa Xét nghiệm</t>
  </si>
  <si>
    <t xml:space="preserve">P. Siêu âm  2 (T3.14) </t>
  </si>
  <si>
    <t>Bàn - BQ3080( bàn ghép 4 miếng)
-Kích thước: (3.000x800x1.100)mm.
- Gỗ tự nhiên ghép thanh, có thọa, có hộc đựng hồ sơ, kệ CPU</t>
  </si>
  <si>
    <t>Hành lang bên phải Tầng 1 ( TrướcTV khám SL)</t>
  </si>
  <si>
    <t xml:space="preserve"> Trước thang máy</t>
  </si>
  <si>
    <t>1 Cái hàng lang bên P trước phòng tư vấn và 01 cái trước quầy thuốc, còn 10</t>
  </si>
  <si>
    <t>Sảnh trái ( Khu khám Hợp đồng)</t>
  </si>
  <si>
    <t xml:space="preserve"> Ghế bảo vệ đang sd ĐN chuyển Tc Quản lý</t>
  </si>
  <si>
    <t>GSC 06-07</t>
  </si>
  <si>
    <t>GSC 08</t>
  </si>
  <si>
    <t>P. khám sàng lọc trước tiêm (T1.17). Tư vấn tiêm chủng+ chăm sóc khách hàng</t>
  </si>
  <si>
    <t>01 đang sd
01 hỏng</t>
  </si>
  <si>
    <t>P TD bệnh nhân sau bơm tinh trùng (kho T2)</t>
  </si>
  <si>
    <t>P. Tiêm chủng 06 PCT tháo gỡ chuyển về</t>
  </si>
  <si>
    <t>Phòng Tư vấn tiêm chủng (T1.16) P.Trưởng phòng  PKDK</t>
  </si>
  <si>
    <t>2. Ông. Hồ Phú Quảng</t>
  </si>
  <si>
    <t>Hồ Phú Quảng</t>
  </si>
  <si>
    <t>BLV 24,26,27</t>
  </si>
  <si>
    <t>GLV số 11 hỏng</t>
  </si>
  <si>
    <t>P. khám sàng lọc trước tiêm (T1.17). Tư vấn tiêm chủng+ chăm sóc khách hàng chuyển lên</t>
  </si>
  <si>
    <t>BLV15-1/10, 12</t>
  </si>
  <si>
    <t>+1</t>
  </si>
  <si>
    <t>GSC 21-28</t>
  </si>
  <si>
    <t>GSC 29-30 Chuyển  ghế lên Tầng 5, hành lang thang máy</t>
  </si>
  <si>
    <t>GQ 02</t>
  </si>
  <si>
    <t>GQ 03</t>
  </si>
  <si>
    <t>GQ 04, 05</t>
  </si>
  <si>
    <t>GQ 06</t>
  </si>
  <si>
    <t>GQ 07</t>
  </si>
  <si>
    <t>GQ 08, 09</t>
  </si>
  <si>
    <t>GK 01, 02</t>
  </si>
  <si>
    <t>GK 03</t>
  </si>
  <si>
    <t>GK 04, 05</t>
  </si>
  <si>
    <t>GK 06</t>
  </si>
  <si>
    <t>GK 07, 08</t>
  </si>
  <si>
    <t>GK 09</t>
  </si>
  <si>
    <t>GK 10</t>
  </si>
  <si>
    <t>GK 11</t>
  </si>
  <si>
    <t>GK 12</t>
  </si>
  <si>
    <t>GK 13</t>
  </si>
  <si>
    <t>GK 14, 15</t>
  </si>
  <si>
    <t>BIÊN BẢN KIỂM KÊ TÀI SẢN CỐ ĐỊNH NĂM 2025
TBVP PHÒNG KHÁM ĐA KHOA CƠ SỞ 2</t>
  </si>
  <si>
    <t>Bàn để máy sấy</t>
  </si>
  <si>
    <t>Bàn để sạp giặt đồ</t>
  </si>
  <si>
    <t>Đơn giá</t>
  </si>
  <si>
    <t>Thành tiền</t>
  </si>
  <si>
    <t>Máy giặt (phòng Thúy)</t>
  </si>
  <si>
    <t>Rèm cửa</t>
  </si>
  <si>
    <t>Bàn làm việc gỗ Huỹnh</t>
  </si>
  <si>
    <t>Máy điều hòa LG (phòng mổ)</t>
  </si>
  <si>
    <t>Nệm</t>
  </si>
  <si>
    <t>Máy điều hòa</t>
  </si>
  <si>
    <t>Ghế tròn xoay Inox</t>
  </si>
  <si>
    <t>Thùng đựng nước inox</t>
  </si>
  <si>
    <t>Ghế tròn xoay Inox</t>
  </si>
  <si>
    <t>Thùng khăn sạch</t>
  </si>
  <si>
    <t>Máy điều hòa LG</t>
  </si>
  <si>
    <t>Bàn gương Inox 1,4m</t>
  </si>
  <si>
    <t>Giá gỗ để tài liệu tuyên truyên</t>
  </si>
  <si>
    <t>Bàn hột xoài ván Mã Lai (Giao ban)</t>
  </si>
  <si>
    <t>Bàn làm việc  0,6 x 1,2</t>
  </si>
  <si>
    <t>Nệm 2</t>
  </si>
  <si>
    <t>Ghế nệm xoay</t>
  </si>
  <si>
    <t>Bàn làm việc lớn mặt Mêca</t>
  </si>
  <si>
    <t>Máy hút  ẩm (Bcæ cò)</t>
  </si>
  <si>
    <t>Tủ hồ sơ sắt TU09K3</t>
  </si>
  <si>
    <t>Ghế Inox tròn xoay</t>
  </si>
  <si>
    <t>Bàn làm việc nhỏ mặt Meca</t>
  </si>
  <si>
    <t>Bàn làm việc  ván Mã lai</t>
  </si>
  <si>
    <t>Tủ hồ sơ sắt</t>
  </si>
  <si>
    <t>Ghế nệp xoay nhỏ</t>
  </si>
  <si>
    <t>Tủ kính 1,8 x 1,6</t>
  </si>
  <si>
    <t>Quạt treo tường Asia</t>
  </si>
  <si>
    <t>Ghế xếp Inox da (màu đà)</t>
  </si>
  <si>
    <t>Tủ sắt</t>
  </si>
  <si>
    <t>Bàn vi tính 1.2x0.6</t>
  </si>
  <si>
    <t>Tủ hồ sơ nhôm W1400</t>
  </si>
  <si>
    <t xml:space="preserve"> Điện thoại Nokia 110 (2019)</t>
  </si>
  <si>
    <t>Tủ lạnh : NR-BJ151SSV1; hiệu Phanasonic</t>
  </si>
  <si>
    <t>Tủ hồ sơ TU17B1C2 (1000x500x1830) mm</t>
  </si>
  <si>
    <t>Bàn làm việc dán  meca</t>
  </si>
  <si>
    <t>CS2</t>
  </si>
  <si>
    <t>Kho 129 TNV</t>
  </si>
  <si>
    <t>129 TNV</t>
  </si>
  <si>
    <t>135 TNV</t>
  </si>
  <si>
    <t>Ghế GX17 (ghế xếp đỏ)</t>
  </si>
  <si>
    <t>không sd</t>
  </si>
  <si>
    <t>BLV 01</t>
  </si>
  <si>
    <t>GTX 01-04</t>
  </si>
  <si>
    <t>GTX 05</t>
  </si>
  <si>
    <t>BG 01</t>
  </si>
  <si>
    <t>GXĐ 01-06</t>
  </si>
  <si>
    <t xml:space="preserve">hỏng </t>
  </si>
  <si>
    <t>QCN</t>
  </si>
  <si>
    <t>GTX 06</t>
  </si>
  <si>
    <t>TS 52</t>
  </si>
  <si>
    <t>BVT 01</t>
  </si>
  <si>
    <t>BVT 02</t>
  </si>
  <si>
    <t>BVT 03-04</t>
  </si>
  <si>
    <t>BVT 05-06</t>
  </si>
  <si>
    <t>THS 01-02</t>
  </si>
  <si>
    <t>BVT 07</t>
  </si>
  <si>
    <t xml:space="preserve"> Hôm nay, ngày     tháng 01 năm 2026, tại Phòng khám đa khoa  tiến hành kiểm kê tài sản, kết quả như sau:</t>
  </si>
  <si>
    <t>- Nguyễn Thị Hà Vy………………………….</t>
  </si>
  <si>
    <t xml:space="preserve">              Đà Nẵng, ngày       tháng 01     năm 2026</t>
  </si>
  <si>
    <t xml:space="preserve">Máy điều hòa Mitsubishi </t>
  </si>
  <si>
    <t xml:space="preserve">Máy điều hòa Mitsubisi18YN-S5	</t>
  </si>
  <si>
    <t>Máy điều hòa Panasonic Inverter</t>
  </si>
  <si>
    <t>Máy lạnh Daikin FTC 50NV(NS)</t>
  </si>
  <si>
    <t>Mái hiên xếp màu trắng xám (5,5m x 20m); Kèo giằng 40x40, dày 1,4ly, trụ 114 dày 1,8 ly, sắt vuông 25x25 dày 1,2ly</t>
  </si>
  <si>
    <t>Máy lạnh Daikin 2,5 HP</t>
  </si>
  <si>
    <t>Máy điều hòa Mitsubishi Inverter</t>
  </si>
  <si>
    <t>SS 04/14</t>
  </si>
  <si>
    <t>SS 05/15</t>
  </si>
  <si>
    <t>SS 100/15</t>
  </si>
  <si>
    <t>06/XN/2021</t>
  </si>
  <si>
    <t>CDC06/20</t>
  </si>
  <si>
    <t>06/PKĐK/2022</t>
  </si>
  <si>
    <t>SS 01/16</t>
  </si>
  <si>
    <t>Máy điều hòa Retech 18000BTU</t>
  </si>
  <si>
    <t>SR 03/13</t>
  </si>
  <si>
    <t>Quạt đứng</t>
  </si>
  <si>
    <t xml:space="preserve">Ghế nhựa bệnh nhân </t>
  </si>
  <si>
    <t>Khoa XN Tầng 3 chuyển xuống</t>
  </si>
  <si>
    <t>Băng ghế chờ (4 chỗ ngồi/dãy)</t>
  </si>
  <si>
    <t>TỔNG CỘNG</t>
  </si>
  <si>
    <t>THEO DÕI CCDC</t>
  </si>
  <si>
    <t>BQ208/1-3 (BQ208/12-14)</t>
  </si>
  <si>
    <t>BIÊN BẢN KIỂM KÊ TÀI SẢN CỐ ĐỊNH NĂM 2026
THIẾT BỊ ĐIỆN PHÒNG KHÁM ĐA KHOA TẦNG 1</t>
  </si>
  <si>
    <t>- Hôm nay, ngày  06  tháng 01   năm 2026, tại Trung tâm Kiểm soát bệnh tât TP Đà Nẵng chúng tôi gồm:</t>
  </si>
  <si>
    <t xml:space="preserve">                                   Đà Nẵng, ngày   06  tháng 01   năm 2026</t>
  </si>
  <si>
    <t>- Nguyễn Thị Vũ Cẩm………………………….</t>
  </si>
  <si>
    <t>BIÊN BẢN KIỂM KÊ TÀI SẢN CỐ ĐỊNH NĂM 2026
THIẾT BỊ ĐIỆN PHÒNG KHÁM ĐA KHOA TẦNG 2</t>
  </si>
  <si>
    <t xml:space="preserve"> Hôm nay, ngày  06   tháng 01 năm 2026, tại Phòng khám đa khoa  tiến hành kiểm kê tài sản, kết quả như sau:</t>
  </si>
  <si>
    <t xml:space="preserve">              Đà Nẵng, ngày   06    tháng 01     năm 2026</t>
  </si>
  <si>
    <t>BIÊN BẢN KIỂM KÊ TÀI SẢN CỐ ĐỊNH NĂM 2026
THIẾT BỊ ĐIỆN PHÒNG KHÁM ĐA KHOA TẦNG 3</t>
  </si>
  <si>
    <t xml:space="preserve"> Hôm nay, ngày   06  tháng 01 năm 2026, tại Phòng khám đa khoa  tiến hành kiểm kê tài sản, kết quả như sau:</t>
  </si>
  <si>
    <t xml:space="preserve">              Đà Nẵng, ngày  06     tháng 01   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</si>
</sst>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.000_);_(* \(#,##0.000\);_(* &quot;-&quot;??_);_(@_)"/>
    <numFmt numFmtId="168" formatCode="0.000"/>
    <numFmt numFmtId="169" formatCode="_(* #,##0_);_(* \(#,##0\);_(* &quot;-&quot;??_);_(@_)"/>
    <numFmt numFmtId="170" formatCode="_-* #,##0&quot; &quot;_₫_-;\-* #,##0&quot; &quot;_₫_-;_-* &quot;-&quot;??&quot; &quot;_₫_-;_-@_-"/>
    <numFmt numFmtId="171" formatCode="_-* #,##0&quot; &quot;_ _-;\-* #,##0&quot; &quot;_ _-;_-* &quot;-&quot;??&quot; &quot;_ _-;_-@_-"/>
  </numFmts>
  <fonts count="43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3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2"/>
      <color indexed="8"/>
      <name val="VNI-Times"/>
      <family val="2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3"/>
      <color theme="1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b/>
      <i/>
      <sz val="12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b/>
      <sz val="15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  <charset val="163"/>
    </font>
    <font>
      <sz val="13"/>
      <name val="Times New Roman"/>
      <family val="1"/>
      <charset val="163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VNtimes new roman"/>
      <family val="2"/>
    </font>
    <font>
      <sz val="12"/>
      <name val=".VnTime"/>
      <family val="2"/>
    </font>
    <font>
      <sz val="12"/>
      <name val="Times New Roman"/>
      <family val="1"/>
      <charset val="163"/>
    </font>
    <font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4"/>
      <name val="Times New Roman"/>
      <family val="1"/>
      <charset val="163"/>
    </font>
    <font>
      <sz val="8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name val="VNtimes new roman"/>
      <family val="2"/>
      <charset val="163"/>
    </font>
    <font>
      <b/>
      <sz val="12"/>
      <name val="VNtimes new roman"/>
      <family val="2"/>
      <charset val="163"/>
    </font>
    <font>
      <sz val="8"/>
      <name val="Times New Roman"/>
      <family val="1"/>
    </font>
    <font>
      <b/>
      <sz val="13"/>
      <name val="VNtimes new roman"/>
      <family val="2"/>
      <charset val="163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2"/>
    </font>
    <font>
      <sz val="14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indexed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  <charset val="163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3">
    <xf numFmtId="0" fontId="0" fillId="0" borderId="0"/>
    <xf numFmtId="0" fontId="1" fillId="0" borderId="0"/>
    <xf numFmtId="0" fontId="6" fillId="0" borderId="0"/>
    <xf numFmtId="166" fontId="19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2" fillId="0" borderId="0"/>
    <xf numFmtId="0" fontId="6" fillId="0" borderId="0"/>
    <xf numFmtId="0" fontId="19" fillId="0" borderId="0"/>
    <xf numFmtId="0" fontId="36" fillId="0" borderId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1" fillId="0" borderId="0"/>
    <xf numFmtId="165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</xf>
    <xf numFmtId="0" fontId="39" fillId="0" borderId="0" applyNumberFormat="0" applyFill="0" applyBorder="0" applyAlignment="0" applyProtection="0">
      <alignment vertical="top"/>
    </xf>
    <xf numFmtId="0" fontId="37" fillId="0" borderId="0"/>
    <xf numFmtId="0" fontId="39" fillId="0" borderId="0" applyNumberFormat="0" applyFill="0" applyBorder="0" applyAlignment="0" applyProtection="0">
      <alignment vertical="top"/>
    </xf>
    <xf numFmtId="0" fontId="39" fillId="0" borderId="0" applyNumberFormat="0" applyFill="0" applyBorder="0" applyAlignment="0" applyProtection="0">
      <alignment vertical="top"/>
    </xf>
    <xf numFmtId="9" fontId="20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</xf>
    <xf numFmtId="0" fontId="39" fillId="0" borderId="0" applyNumberFormat="0" applyFill="0" applyBorder="0" applyAlignment="0" applyProtection="0">
      <alignment vertical="top"/>
    </xf>
    <xf numFmtId="0" fontId="19" fillId="0" borderId="0"/>
    <xf numFmtId="165" fontId="19" fillId="0" borderId="0" applyFont="0" applyFill="0" applyBorder="0" applyAlignment="0" applyProtection="0"/>
    <xf numFmtId="0" fontId="38" fillId="0" borderId="0"/>
    <xf numFmtId="0" fontId="20" fillId="0" borderId="0"/>
    <xf numFmtId="0" fontId="38" fillId="0" borderId="0"/>
    <xf numFmtId="165" fontId="36" fillId="0" borderId="0" applyFont="0" applyFill="0" applyBorder="0" applyAlignment="0" applyProtection="0"/>
    <xf numFmtId="0" fontId="36" fillId="0" borderId="0"/>
    <xf numFmtId="165" fontId="20" fillId="0" borderId="0" applyFont="0" applyFill="0" applyBorder="0" applyAlignment="0" applyProtection="0"/>
    <xf numFmtId="0" fontId="19" fillId="0" borderId="0"/>
    <xf numFmtId="164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5" fontId="20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40" fillId="0" borderId="0" applyAlignment="0">
      <alignment vertical="top" wrapText="1"/>
      <protection locked="0"/>
    </xf>
  </cellStyleXfs>
  <cellXfs count="451">
    <xf numFmtId="0" fontId="0" fillId="0" borderId="0" xfId="0"/>
    <xf numFmtId="0" fontId="4" fillId="0" borderId="0" xfId="1" applyFont="1" applyAlignment="1">
      <alignment vertical="top" wrapText="1"/>
    </xf>
    <xf numFmtId="0" fontId="5" fillId="0" borderId="0" xfId="0" applyFont="1"/>
    <xf numFmtId="3" fontId="3" fillId="2" borderId="5" xfId="1" applyNumberFormat="1" applyFont="1" applyFill="1" applyBorder="1" applyAlignment="1" applyProtection="1">
      <alignment horizontal="center" vertical="top" wrapText="1"/>
      <protection locked="0"/>
    </xf>
    <xf numFmtId="49" fontId="3" fillId="2" borderId="5" xfId="1" applyNumberFormat="1" applyFont="1" applyFill="1" applyBorder="1" applyAlignment="1" applyProtection="1">
      <alignment horizontal="center" vertical="top" wrapText="1"/>
      <protection locked="0"/>
    </xf>
    <xf numFmtId="49" fontId="4" fillId="2" borderId="5" xfId="1" applyNumberFormat="1" applyFont="1" applyFill="1" applyBorder="1" applyAlignment="1" applyProtection="1">
      <alignment horizontal="center" vertical="top" wrapText="1"/>
      <protection locked="0"/>
    </xf>
    <xf numFmtId="0" fontId="4" fillId="2" borderId="5" xfId="1" applyFont="1" applyFill="1" applyBorder="1" applyAlignment="1">
      <alignment vertical="top" wrapText="1"/>
    </xf>
    <xf numFmtId="0" fontId="5" fillId="0" borderId="4" xfId="0" applyFont="1" applyBorder="1"/>
    <xf numFmtId="0" fontId="7" fillId="0" borderId="4" xfId="2" applyFont="1" applyBorder="1" applyAlignment="1">
      <alignment wrapText="1"/>
    </xf>
    <xf numFmtId="49" fontId="4" fillId="2" borderId="5" xfId="1" applyNumberFormat="1" applyFont="1" applyFill="1" applyBorder="1" applyAlignment="1" applyProtection="1">
      <alignment horizontal="center" wrapText="1"/>
      <protection locked="0"/>
    </xf>
    <xf numFmtId="0" fontId="4" fillId="0" borderId="0" xfId="1" applyFont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4" xfId="2" applyFont="1" applyBorder="1" applyAlignment="1">
      <alignment wrapText="1"/>
    </xf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0" borderId="4" xfId="2" applyFont="1" applyBorder="1" applyAlignment="1">
      <alignment wrapText="1"/>
    </xf>
    <xf numFmtId="0" fontId="11" fillId="0" borderId="4" xfId="2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3" fillId="0" borderId="4" xfId="2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13" fillId="0" borderId="4" xfId="2" applyFont="1" applyBorder="1" applyAlignment="1">
      <alignment vertical="center" wrapText="1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14" fillId="0" borderId="0" xfId="0" applyFont="1"/>
    <xf numFmtId="0" fontId="14" fillId="0" borderId="7" xfId="0" applyFont="1" applyBorder="1" applyAlignment="1">
      <alignment horizontal="center" vertical="center"/>
    </xf>
    <xf numFmtId="0" fontId="5" fillId="3" borderId="0" xfId="0" applyFont="1" applyFill="1"/>
    <xf numFmtId="0" fontId="4" fillId="0" borderId="0" xfId="0" applyFont="1"/>
    <xf numFmtId="0" fontId="14" fillId="3" borderId="0" xfId="0" applyFont="1" applyFill="1"/>
    <xf numFmtId="0" fontId="14" fillId="0" borderId="4" xfId="0" applyFont="1" applyBorder="1" applyAlignment="1">
      <alignment horizontal="center" vertical="center"/>
    </xf>
    <xf numFmtId="0" fontId="3" fillId="0" borderId="4" xfId="2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4" xfId="2" applyFont="1" applyBorder="1" applyAlignment="1">
      <alignment vertical="center" wrapText="1"/>
    </xf>
    <xf numFmtId="0" fontId="8" fillId="3" borderId="4" xfId="2" applyFont="1" applyFill="1" applyBorder="1" applyAlignment="1">
      <alignment wrapText="1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/>
    </xf>
    <xf numFmtId="0" fontId="3" fillId="0" borderId="4" xfId="0" applyFont="1" applyBorder="1"/>
    <xf numFmtId="0" fontId="16" fillId="0" borderId="4" xfId="0" applyFont="1" applyBorder="1"/>
    <xf numFmtId="0" fontId="4" fillId="0" borderId="5" xfId="0" applyFont="1" applyBorder="1" applyAlignment="1">
      <alignment horizontal="center"/>
    </xf>
    <xf numFmtId="0" fontId="16" fillId="0" borderId="4" xfId="0" applyFont="1" applyBorder="1" applyAlignment="1">
      <alignment wrapText="1"/>
    </xf>
    <xf numFmtId="0" fontId="3" fillId="0" borderId="4" xfId="2" applyFont="1" applyBorder="1" applyAlignment="1">
      <alignment horizontal="left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/>
    </xf>
    <xf numFmtId="0" fontId="20" fillId="3" borderId="4" xfId="0" applyFont="1" applyFill="1" applyBorder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20" fillId="3" borderId="0" xfId="0" applyFont="1" applyFill="1"/>
    <xf numFmtId="0" fontId="20" fillId="3" borderId="0" xfId="0" applyFont="1" applyFill="1" applyAlignment="1">
      <alignment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vertical="center"/>
    </xf>
    <xf numFmtId="0" fontId="20" fillId="3" borderId="4" xfId="2" applyFont="1" applyFill="1" applyBorder="1" applyAlignment="1">
      <alignment horizontal="left" vertical="center" wrapText="1"/>
    </xf>
    <xf numFmtId="0" fontId="20" fillId="3" borderId="4" xfId="0" quotePrefix="1" applyFont="1" applyFill="1" applyBorder="1" applyAlignment="1">
      <alignment horizontal="center" vertical="center" wrapText="1"/>
    </xf>
    <xf numFmtId="0" fontId="24" fillId="3" borderId="4" xfId="2" applyFont="1" applyFill="1" applyBorder="1" applyAlignment="1">
      <alignment horizontal="left" vertical="center" wrapText="1"/>
    </xf>
    <xf numFmtId="0" fontId="25" fillId="3" borderId="0" xfId="0" quotePrefix="1" applyFont="1" applyFill="1"/>
    <xf numFmtId="0" fontId="23" fillId="3" borderId="0" xfId="0" applyFont="1" applyFill="1"/>
    <xf numFmtId="0" fontId="23" fillId="3" borderId="0" xfId="0" applyFont="1" applyFill="1" applyAlignment="1">
      <alignment horizontal="left" vertical="center" wrapText="1"/>
    </xf>
    <xf numFmtId="0" fontId="26" fillId="3" borderId="0" xfId="0" applyFont="1" applyFill="1" applyAlignment="1">
      <alignment vertical="center"/>
    </xf>
    <xf numFmtId="0" fontId="23" fillId="3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right"/>
    </xf>
    <xf numFmtId="167" fontId="25" fillId="3" borderId="0" xfId="4" applyNumberFormat="1" applyFont="1" applyFill="1" applyAlignment="1">
      <alignment horizontal="center"/>
    </xf>
    <xf numFmtId="0" fontId="27" fillId="3" borderId="0" xfId="0" applyFont="1" applyFill="1"/>
    <xf numFmtId="3" fontId="23" fillId="3" borderId="0" xfId="0" applyNumberFormat="1" applyFont="1" applyFill="1" applyAlignment="1">
      <alignment horizontal="right"/>
    </xf>
    <xf numFmtId="167" fontId="23" fillId="3" borderId="0" xfId="4" applyNumberFormat="1" applyFont="1" applyFill="1" applyBorder="1" applyAlignment="1">
      <alignment horizontal="center"/>
    </xf>
    <xf numFmtId="3" fontId="28" fillId="3" borderId="4" xfId="0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24" fillId="3" borderId="4" xfId="1" applyFont="1" applyFill="1" applyBorder="1" applyAlignment="1">
      <alignment horizontal="center" vertical="center" wrapText="1"/>
    </xf>
    <xf numFmtId="0" fontId="24" fillId="3" borderId="4" xfId="1" applyFont="1" applyFill="1" applyBorder="1" applyAlignment="1">
      <alignment vertical="center" wrapText="1"/>
    </xf>
    <xf numFmtId="0" fontId="18" fillId="3" borderId="4" xfId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vertical="center" wrapText="1"/>
    </xf>
    <xf numFmtId="0" fontId="28" fillId="3" borderId="4" xfId="2" applyFont="1" applyFill="1" applyBorder="1" applyAlignment="1">
      <alignment horizontal="left" vertical="center" wrapText="1"/>
    </xf>
    <xf numFmtId="0" fontId="24" fillId="3" borderId="4" xfId="0" applyFont="1" applyFill="1" applyBorder="1" applyAlignment="1">
      <alignment horizontal="left" vertical="center"/>
    </xf>
    <xf numFmtId="0" fontId="24" fillId="3" borderId="4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vertical="center"/>
    </xf>
    <xf numFmtId="3" fontId="24" fillId="3" borderId="4" xfId="0" applyNumberFormat="1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/>
    </xf>
    <xf numFmtId="0" fontId="24" fillId="3" borderId="4" xfId="2" applyFont="1" applyFill="1" applyBorder="1" applyAlignment="1">
      <alignment vertical="center" wrapText="1"/>
    </xf>
    <xf numFmtId="0" fontId="24" fillId="3" borderId="4" xfId="0" applyFont="1" applyFill="1" applyBorder="1" applyAlignment="1">
      <alignment horizontal="left" vertical="center" wrapText="1"/>
    </xf>
    <xf numFmtId="0" fontId="24" fillId="3" borderId="4" xfId="0" applyFont="1" applyFill="1" applyBorder="1" applyAlignment="1">
      <alignment horizontal="center"/>
    </xf>
    <xf numFmtId="0" fontId="24" fillId="3" borderId="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28" fillId="3" borderId="4" xfId="2" applyFont="1" applyFill="1" applyBorder="1" applyAlignment="1">
      <alignment vertical="center" wrapText="1"/>
    </xf>
    <xf numFmtId="0" fontId="25" fillId="3" borderId="0" xfId="0" applyFont="1" applyFill="1"/>
    <xf numFmtId="3" fontId="25" fillId="3" borderId="0" xfId="0" applyNumberFormat="1" applyFont="1" applyFill="1" applyAlignment="1">
      <alignment horizontal="right"/>
    </xf>
    <xf numFmtId="167" fontId="25" fillId="3" borderId="0" xfId="4" applyNumberFormat="1" applyFont="1" applyFill="1" applyBorder="1"/>
    <xf numFmtId="0" fontId="17" fillId="3" borderId="0" xfId="0" applyFont="1" applyFill="1"/>
    <xf numFmtId="0" fontId="18" fillId="3" borderId="0" xfId="0" applyFont="1" applyFill="1"/>
    <xf numFmtId="0" fontId="17" fillId="3" borderId="0" xfId="0" applyFont="1" applyFill="1" applyAlignment="1">
      <alignment horizontal="left"/>
    </xf>
    <xf numFmtId="0" fontId="18" fillId="3" borderId="4" xfId="2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8" fillId="3" borderId="4" xfId="2" applyFont="1" applyFill="1" applyBorder="1" applyAlignment="1">
      <alignment horizontal="center" vertical="center" wrapText="1"/>
    </xf>
    <xf numFmtId="0" fontId="25" fillId="3" borderId="0" xfId="0" quotePrefix="1" applyFont="1" applyFill="1" applyAlignment="1">
      <alignment horizontal="center"/>
    </xf>
    <xf numFmtId="3" fontId="23" fillId="3" borderId="0" xfId="0" applyNumberFormat="1" applyFont="1" applyFill="1" applyAlignment="1">
      <alignment horizontal="center"/>
    </xf>
    <xf numFmtId="3" fontId="25" fillId="3" borderId="4" xfId="0" applyNumberFormat="1" applyFont="1" applyFill="1" applyBorder="1" applyAlignment="1">
      <alignment horizontal="center" vertical="center" wrapText="1"/>
    </xf>
    <xf numFmtId="0" fontId="18" fillId="3" borderId="4" xfId="1" applyFont="1" applyFill="1" applyBorder="1" applyAlignment="1">
      <alignment vertical="center" wrapText="1"/>
    </xf>
    <xf numFmtId="0" fontId="18" fillId="3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vertical="center"/>
    </xf>
    <xf numFmtId="0" fontId="18" fillId="3" borderId="4" xfId="0" quotePrefix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/>
    </xf>
    <xf numFmtId="0" fontId="18" fillId="3" borderId="4" xfId="0" quotePrefix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vertical="center" wrapText="1"/>
    </xf>
    <xf numFmtId="3" fontId="18" fillId="3" borderId="4" xfId="0" applyNumberFormat="1" applyFont="1" applyFill="1" applyBorder="1" applyAlignment="1">
      <alignment horizontal="center" vertical="center" wrapText="1"/>
    </xf>
    <xf numFmtId="3" fontId="23" fillId="3" borderId="4" xfId="0" applyNumberFormat="1" applyFont="1" applyFill="1" applyBorder="1" applyAlignment="1">
      <alignment horizontal="center" vertical="center"/>
    </xf>
    <xf numFmtId="3" fontId="23" fillId="3" borderId="4" xfId="0" applyNumberFormat="1" applyFont="1" applyFill="1" applyBorder="1" applyAlignment="1">
      <alignment horizontal="left" vertical="center"/>
    </xf>
    <xf numFmtId="0" fontId="23" fillId="3" borderId="4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8" fillId="3" borderId="0" xfId="0" applyFont="1" applyFill="1" applyAlignment="1">
      <alignment horizontal="left" vertical="center" wrapText="1"/>
    </xf>
    <xf numFmtId="3" fontId="25" fillId="3" borderId="0" xfId="0" applyNumberFormat="1" applyFont="1" applyFill="1" applyAlignment="1">
      <alignment horizontal="center"/>
    </xf>
    <xf numFmtId="167" fontId="25" fillId="3" borderId="0" xfId="4" applyNumberFormat="1" applyFont="1" applyFill="1" applyBorder="1" applyAlignment="1">
      <alignment horizontal="center"/>
    </xf>
    <xf numFmtId="0" fontId="23" fillId="3" borderId="0" xfId="0" applyFont="1" applyFill="1" applyAlignment="1">
      <alignment vertical="center"/>
    </xf>
    <xf numFmtId="3" fontId="23" fillId="3" borderId="4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left" vertical="center" wrapText="1"/>
    </xf>
    <xf numFmtId="3" fontId="23" fillId="3" borderId="4" xfId="0" quotePrefix="1" applyNumberFormat="1" applyFont="1" applyFill="1" applyBorder="1" applyAlignment="1">
      <alignment horizontal="center" vertical="center"/>
    </xf>
    <xf numFmtId="168" fontId="23" fillId="3" borderId="4" xfId="0" applyNumberFormat="1" applyFont="1" applyFill="1" applyBorder="1" applyAlignment="1">
      <alignment horizontal="left" vertical="center" wrapText="1"/>
    </xf>
    <xf numFmtId="0" fontId="23" fillId="3" borderId="4" xfId="2" applyFont="1" applyFill="1" applyBorder="1" applyAlignment="1">
      <alignment horizontal="center" vertical="center"/>
    </xf>
    <xf numFmtId="0" fontId="23" fillId="3" borderId="0" xfId="5" applyFont="1" applyFill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23" fillId="3" borderId="4" xfId="2" applyFont="1" applyFill="1" applyBorder="1" applyAlignment="1">
      <alignment wrapText="1"/>
    </xf>
    <xf numFmtId="0" fontId="23" fillId="3" borderId="4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left" wrapText="1"/>
    </xf>
    <xf numFmtId="0" fontId="23" fillId="3" borderId="4" xfId="0" applyFont="1" applyFill="1" applyBorder="1"/>
    <xf numFmtId="0" fontId="23" fillId="3" borderId="0" xfId="0" applyFont="1" applyFill="1" applyAlignment="1">
      <alignment vertical="center" wrapText="1"/>
    </xf>
    <xf numFmtId="0" fontId="23" fillId="3" borderId="4" xfId="0" quotePrefix="1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vertical="center" wrapText="1"/>
    </xf>
    <xf numFmtId="3" fontId="18" fillId="3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/>
    <xf numFmtId="3" fontId="17" fillId="3" borderId="4" xfId="0" applyNumberFormat="1" applyFont="1" applyFill="1" applyBorder="1" applyAlignment="1">
      <alignment horizontal="center" vertical="center"/>
    </xf>
    <xf numFmtId="3" fontId="18" fillId="3" borderId="4" xfId="3" applyNumberFormat="1" applyFont="1" applyFill="1" applyBorder="1" applyAlignment="1">
      <alignment horizontal="center" vertical="center"/>
    </xf>
    <xf numFmtId="3" fontId="18" fillId="3" borderId="4" xfId="3" quotePrefix="1" applyNumberFormat="1" applyFont="1" applyFill="1" applyBorder="1" applyAlignment="1">
      <alignment horizontal="center" vertical="center"/>
    </xf>
    <xf numFmtId="3" fontId="18" fillId="3" borderId="4" xfId="0" quotePrefix="1" applyNumberFormat="1" applyFont="1" applyFill="1" applyBorder="1" applyAlignment="1">
      <alignment horizontal="center" vertical="center"/>
    </xf>
    <xf numFmtId="0" fontId="25" fillId="3" borderId="4" xfId="2" applyFont="1" applyFill="1" applyBorder="1" applyAlignment="1">
      <alignment vertical="center" wrapText="1"/>
    </xf>
    <xf numFmtId="0" fontId="25" fillId="3" borderId="4" xfId="2" applyFont="1" applyFill="1" applyBorder="1" applyAlignment="1">
      <alignment wrapText="1"/>
    </xf>
    <xf numFmtId="0" fontId="23" fillId="3" borderId="4" xfId="2" applyFont="1" applyFill="1" applyBorder="1" applyAlignment="1">
      <alignment vertical="center" wrapText="1"/>
    </xf>
    <xf numFmtId="0" fontId="23" fillId="3" borderId="4" xfId="0" applyFont="1" applyFill="1" applyBorder="1" applyAlignment="1">
      <alignment vertical="center"/>
    </xf>
    <xf numFmtId="0" fontId="25" fillId="3" borderId="8" xfId="0" applyFont="1" applyFill="1" applyBorder="1" applyAlignment="1">
      <alignment vertical="center" wrapText="1"/>
    </xf>
    <xf numFmtId="0" fontId="25" fillId="3" borderId="4" xfId="0" applyFont="1" applyFill="1" applyBorder="1" applyAlignment="1">
      <alignment vertical="center" wrapText="1"/>
    </xf>
    <xf numFmtId="0" fontId="25" fillId="3" borderId="0" xfId="0" applyFont="1" applyFill="1" applyAlignment="1">
      <alignment vertical="center" wrapText="1"/>
    </xf>
    <xf numFmtId="0" fontId="25" fillId="3" borderId="8" xfId="2" applyFont="1" applyFill="1" applyBorder="1" applyAlignment="1">
      <alignment vertical="center" wrapText="1"/>
    </xf>
    <xf numFmtId="0" fontId="23" fillId="3" borderId="8" xfId="2" applyFont="1" applyFill="1" applyBorder="1" applyAlignment="1">
      <alignment vertical="center" wrapText="1"/>
    </xf>
    <xf numFmtId="0" fontId="23" fillId="3" borderId="4" xfId="0" applyFont="1" applyFill="1" applyBorder="1" applyAlignment="1">
      <alignment wrapText="1"/>
    </xf>
    <xf numFmtId="0" fontId="25" fillId="3" borderId="4" xfId="2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vertical="center"/>
    </xf>
    <xf numFmtId="0" fontId="23" fillId="3" borderId="0" xfId="0" applyFont="1" applyFill="1" applyAlignment="1">
      <alignment horizontal="left" wrapText="1"/>
    </xf>
    <xf numFmtId="0" fontId="18" fillId="3" borderId="4" xfId="1" applyFont="1" applyFill="1" applyBorder="1" applyAlignment="1">
      <alignment vertical="top" wrapText="1"/>
    </xf>
    <xf numFmtId="0" fontId="18" fillId="3" borderId="0" xfId="1" applyFont="1" applyFill="1" applyAlignment="1">
      <alignment vertical="top" wrapText="1"/>
    </xf>
    <xf numFmtId="0" fontId="23" fillId="3" borderId="4" xfId="1" applyFont="1" applyFill="1" applyBorder="1" applyAlignment="1">
      <alignment horizontal="center" vertical="center" wrapText="1"/>
    </xf>
    <xf numFmtId="0" fontId="23" fillId="3" borderId="4" xfId="1" applyFont="1" applyFill="1" applyBorder="1" applyAlignment="1">
      <alignment vertical="center" wrapText="1"/>
    </xf>
    <xf numFmtId="0" fontId="23" fillId="3" borderId="4" xfId="1" applyFont="1" applyFill="1" applyBorder="1" applyAlignment="1">
      <alignment vertical="top" wrapText="1"/>
    </xf>
    <xf numFmtId="0" fontId="23" fillId="3" borderId="0" xfId="1" applyFont="1" applyFill="1" applyAlignment="1">
      <alignment vertical="top" wrapText="1"/>
    </xf>
    <xf numFmtId="0" fontId="8" fillId="3" borderId="4" xfId="2" applyFont="1" applyFill="1" applyBorder="1" applyAlignment="1">
      <alignment vertical="center" wrapText="1"/>
    </xf>
    <xf numFmtId="0" fontId="20" fillId="3" borderId="4" xfId="2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0" xfId="0" quotePrefix="1" applyFont="1" applyFill="1"/>
    <xf numFmtId="0" fontId="20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/>
    </xf>
    <xf numFmtId="167" fontId="8" fillId="3" borderId="0" xfId="4" applyNumberFormat="1" applyFont="1" applyFill="1" applyAlignment="1">
      <alignment horizontal="center"/>
    </xf>
    <xf numFmtId="0" fontId="31" fillId="3" borderId="0" xfId="0" applyFont="1" applyFill="1"/>
    <xf numFmtId="3" fontId="20" fillId="3" borderId="0" xfId="0" applyNumberFormat="1" applyFont="1" applyFill="1" applyAlignment="1">
      <alignment horizontal="right"/>
    </xf>
    <xf numFmtId="167" fontId="20" fillId="3" borderId="0" xfId="4" applyNumberFormat="1" applyFont="1" applyFill="1" applyBorder="1" applyAlignment="1">
      <alignment horizontal="center"/>
    </xf>
    <xf numFmtId="3" fontId="8" fillId="3" borderId="4" xfId="0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0" fillId="3" borderId="4" xfId="0" applyFont="1" applyFill="1" applyBorder="1"/>
    <xf numFmtId="0" fontId="20" fillId="3" borderId="4" xfId="0" applyFont="1" applyFill="1" applyBorder="1" applyAlignment="1">
      <alignment horizontal="left"/>
    </xf>
    <xf numFmtId="0" fontId="8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0" fontId="17" fillId="3" borderId="0" xfId="0" quotePrefix="1" applyFont="1" applyFill="1"/>
    <xf numFmtId="0" fontId="17" fillId="3" borderId="0" xfId="0" quotePrefix="1" applyFont="1" applyFill="1" applyAlignment="1">
      <alignment horizontal="center"/>
    </xf>
    <xf numFmtId="0" fontId="18" fillId="3" borderId="0" xfId="0" applyFont="1" applyFill="1" applyAlignment="1">
      <alignment horizontal="center" vertical="center" wrapText="1"/>
    </xf>
    <xf numFmtId="3" fontId="18" fillId="3" borderId="0" xfId="0" applyNumberFormat="1" applyFont="1" applyFill="1" applyAlignment="1">
      <alignment horizontal="center"/>
    </xf>
    <xf numFmtId="0" fontId="18" fillId="3" borderId="10" xfId="0" applyFont="1" applyFill="1" applyBorder="1" applyAlignment="1">
      <alignment horizontal="left"/>
    </xf>
    <xf numFmtId="3" fontId="18" fillId="3" borderId="0" xfId="0" applyNumberFormat="1" applyFont="1" applyFill="1" applyAlignment="1">
      <alignment horizontal="right"/>
    </xf>
    <xf numFmtId="3" fontId="17" fillId="3" borderId="4" xfId="0" applyNumberFormat="1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vertical="center" wrapText="1"/>
    </xf>
    <xf numFmtId="3" fontId="17" fillId="3" borderId="0" xfId="0" applyNumberFormat="1" applyFont="1" applyFill="1" applyAlignment="1">
      <alignment horizontal="right"/>
    </xf>
    <xf numFmtId="167" fontId="17" fillId="3" borderId="0" xfId="4" applyNumberFormat="1" applyFont="1" applyFill="1" applyBorder="1"/>
    <xf numFmtId="0" fontId="18" fillId="3" borderId="4" xfId="1" applyFont="1" applyFill="1" applyBorder="1" applyAlignment="1">
      <alignment horizontal="center" vertical="top" wrapText="1"/>
    </xf>
    <xf numFmtId="0" fontId="17" fillId="3" borderId="4" xfId="2" applyFont="1" applyFill="1" applyBorder="1" applyAlignment="1">
      <alignment vertical="center" wrapText="1"/>
    </xf>
    <xf numFmtId="0" fontId="17" fillId="3" borderId="4" xfId="2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3" borderId="10" xfId="0" applyFont="1" applyFill="1" applyBorder="1" applyAlignment="1">
      <alignment horizontal="left"/>
    </xf>
    <xf numFmtId="0" fontId="24" fillId="3" borderId="4" xfId="1" applyFont="1" applyFill="1" applyBorder="1" applyAlignment="1">
      <alignment vertical="top" wrapText="1"/>
    </xf>
    <xf numFmtId="0" fontId="23" fillId="3" borderId="0" xfId="1" applyFont="1" applyFill="1" applyAlignment="1">
      <alignment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33" fillId="3" borderId="4" xfId="0" applyFont="1" applyFill="1" applyBorder="1" applyAlignment="1">
      <alignment horizontal="left" vertical="center" wrapText="1"/>
    </xf>
    <xf numFmtId="49" fontId="18" fillId="3" borderId="4" xfId="0" applyNumberFormat="1" applyFont="1" applyFill="1" applyBorder="1" applyAlignment="1">
      <alignment horizontal="center" vertical="center"/>
    </xf>
    <xf numFmtId="0" fontId="23" fillId="3" borderId="4" xfId="26" applyFont="1" applyFill="1" applyBorder="1" applyAlignment="1">
      <alignment vertical="center" wrapText="1"/>
    </xf>
    <xf numFmtId="169" fontId="23" fillId="3" borderId="4" xfId="30" applyNumberFormat="1" applyFont="1" applyFill="1" applyBorder="1" applyAlignment="1">
      <alignment horizontal="right" vertical="center" wrapText="1"/>
    </xf>
    <xf numFmtId="0" fontId="18" fillId="3" borderId="4" xfId="1" quotePrefix="1" applyFont="1" applyFill="1" applyBorder="1" applyAlignment="1">
      <alignment horizontal="center" vertical="center" wrapText="1"/>
    </xf>
    <xf numFmtId="170" fontId="18" fillId="3" borderId="4" xfId="3" quotePrefix="1" applyNumberFormat="1" applyFont="1" applyFill="1" applyBorder="1" applyAlignment="1">
      <alignment horizontal="center" vertical="center" wrapText="1"/>
    </xf>
    <xf numFmtId="169" fontId="18" fillId="3" borderId="4" xfId="0" quotePrefix="1" applyNumberFormat="1" applyFont="1" applyFill="1" applyBorder="1" applyAlignment="1">
      <alignment horizontal="center" vertical="center" wrapText="1"/>
    </xf>
    <xf numFmtId="170" fontId="18" fillId="3" borderId="4" xfId="3" quotePrefix="1" applyNumberFormat="1" applyFont="1" applyFill="1" applyBorder="1" applyAlignment="1">
      <alignment horizontal="right" vertical="center"/>
    </xf>
    <xf numFmtId="0" fontId="23" fillId="3" borderId="0" xfId="0" applyFont="1" applyFill="1" applyAlignment="1">
      <alignment horizontal="center" wrapText="1"/>
    </xf>
    <xf numFmtId="169" fontId="23" fillId="3" borderId="4" xfId="62" applyNumberFormat="1" applyFont="1" applyFill="1" applyBorder="1" applyAlignment="1" applyProtection="1">
      <alignment horizontal="center" vertical="center" wrapText="1"/>
    </xf>
    <xf numFmtId="0" fontId="25" fillId="3" borderId="11" xfId="2" applyFont="1" applyFill="1" applyBorder="1" applyAlignment="1">
      <alignment vertical="center" wrapText="1"/>
    </xf>
    <xf numFmtId="0" fontId="25" fillId="3" borderId="9" xfId="2" applyFont="1" applyFill="1" applyBorder="1" applyAlignment="1">
      <alignment vertical="center" wrapText="1"/>
    </xf>
    <xf numFmtId="169" fontId="17" fillId="3" borderId="4" xfId="0" applyNumberFormat="1" applyFont="1" applyFill="1" applyBorder="1" applyAlignment="1">
      <alignment horizontal="center" vertical="center" wrapText="1"/>
    </xf>
    <xf numFmtId="0" fontId="17" fillId="3" borderId="4" xfId="2" applyFont="1" applyFill="1" applyBorder="1" applyAlignment="1">
      <alignment horizontal="left" vertical="center" wrapText="1"/>
    </xf>
    <xf numFmtId="170" fontId="18" fillId="3" borderId="4" xfId="3" quotePrefix="1" applyNumberFormat="1" applyFont="1" applyFill="1" applyBorder="1" applyAlignment="1">
      <alignment horizontal="right" vertical="center" wrapText="1"/>
    </xf>
    <xf numFmtId="3" fontId="18" fillId="3" borderId="4" xfId="0" applyNumberFormat="1" applyFont="1" applyFill="1" applyBorder="1" applyAlignment="1">
      <alignment horizontal="left" vertical="center" wrapText="1"/>
    </xf>
    <xf numFmtId="170" fontId="24" fillId="3" borderId="4" xfId="3" applyNumberFormat="1" applyFont="1" applyFill="1" applyBorder="1" applyAlignment="1">
      <alignment horizontal="right" wrapText="1"/>
    </xf>
    <xf numFmtId="0" fontId="18" fillId="3" borderId="0" xfId="0" applyFont="1" applyFill="1" applyAlignment="1">
      <alignment horizontal="center" wrapText="1"/>
    </xf>
    <xf numFmtId="0" fontId="25" fillId="3" borderId="0" xfId="0" applyFont="1" applyFill="1" applyAlignment="1">
      <alignment horizontal="center" wrapText="1"/>
    </xf>
    <xf numFmtId="0" fontId="25" fillId="3" borderId="0" xfId="0" quotePrefix="1" applyFont="1" applyFill="1" applyAlignment="1">
      <alignment wrapText="1"/>
    </xf>
    <xf numFmtId="0" fontId="25" fillId="3" borderId="0" xfId="0" applyFont="1" applyFill="1" applyAlignment="1">
      <alignment wrapText="1"/>
    </xf>
    <xf numFmtId="0" fontId="23" fillId="3" borderId="0" xfId="0" applyFont="1" applyFill="1" applyAlignment="1">
      <alignment wrapText="1"/>
    </xf>
    <xf numFmtId="0" fontId="23" fillId="3" borderId="4" xfId="0" applyFont="1" applyFill="1" applyBorder="1" applyAlignment="1">
      <alignment horizontal="right" vertical="center" wrapText="1"/>
    </xf>
    <xf numFmtId="169" fontId="23" fillId="3" borderId="4" xfId="62" applyNumberFormat="1" applyFont="1" applyFill="1" applyBorder="1" applyAlignment="1" applyProtection="1">
      <alignment horizontal="right" vertical="center" wrapText="1"/>
    </xf>
    <xf numFmtId="169" fontId="18" fillId="3" borderId="4" xfId="0" quotePrefix="1" applyNumberFormat="1" applyFont="1" applyFill="1" applyBorder="1" applyAlignment="1">
      <alignment horizontal="right" vertical="center" wrapText="1"/>
    </xf>
    <xf numFmtId="169" fontId="23" fillId="3" borderId="4" xfId="0" applyNumberFormat="1" applyFont="1" applyFill="1" applyBorder="1" applyAlignment="1">
      <alignment horizontal="right" vertical="center" wrapText="1"/>
    </xf>
    <xf numFmtId="0" fontId="25" fillId="3" borderId="4" xfId="0" applyFont="1" applyFill="1" applyBorder="1" applyAlignment="1">
      <alignment horizontal="right" vertical="center" wrapText="1"/>
    </xf>
    <xf numFmtId="0" fontId="18" fillId="3" borderId="4" xfId="0" applyFont="1" applyFill="1" applyBorder="1" applyAlignment="1">
      <alignment horizontal="right" vertical="center" wrapText="1"/>
    </xf>
    <xf numFmtId="0" fontId="18" fillId="3" borderId="4" xfId="1" applyFont="1" applyFill="1" applyBorder="1" applyAlignment="1">
      <alignment horizontal="right" vertical="top" wrapText="1"/>
    </xf>
    <xf numFmtId="0" fontId="23" fillId="3" borderId="0" xfId="0" applyFont="1" applyFill="1" applyAlignment="1">
      <alignment horizontal="right" wrapText="1"/>
    </xf>
    <xf numFmtId="0" fontId="25" fillId="3" borderId="0" xfId="0" applyFont="1" applyFill="1" applyAlignment="1">
      <alignment horizontal="right" wrapText="1"/>
    </xf>
    <xf numFmtId="0" fontId="23" fillId="3" borderId="4" xfId="0" applyFont="1" applyFill="1" applyBorder="1" applyAlignment="1">
      <alignment horizontal="right" wrapText="1"/>
    </xf>
    <xf numFmtId="167" fontId="25" fillId="3" borderId="0" xfId="4" applyNumberFormat="1" applyFont="1" applyFill="1" applyBorder="1" applyAlignment="1">
      <alignment horizontal="right" wrapText="1"/>
    </xf>
    <xf numFmtId="0" fontId="18" fillId="3" borderId="0" xfId="0" applyFont="1" applyFill="1" applyAlignment="1">
      <alignment horizontal="right" vertical="center" wrapText="1"/>
    </xf>
    <xf numFmtId="0" fontId="30" fillId="3" borderId="4" xfId="0" applyFont="1" applyFill="1" applyBorder="1" applyAlignment="1">
      <alignment horizontal="right" vertical="center" wrapText="1"/>
    </xf>
    <xf numFmtId="3" fontId="18" fillId="3" borderId="4" xfId="0" applyNumberFormat="1" applyFont="1" applyFill="1" applyBorder="1" applyAlignment="1">
      <alignment horizontal="right" vertical="center" wrapText="1"/>
    </xf>
    <xf numFmtId="0" fontId="18" fillId="3" borderId="4" xfId="0" quotePrefix="1" applyFont="1" applyFill="1" applyBorder="1" applyAlignment="1">
      <alignment horizontal="right" vertical="center" wrapText="1"/>
    </xf>
    <xf numFmtId="0" fontId="18" fillId="3" borderId="4" xfId="1" quotePrefix="1" applyFont="1" applyFill="1" applyBorder="1" applyAlignment="1">
      <alignment horizontal="right" vertical="center" wrapText="1"/>
    </xf>
    <xf numFmtId="0" fontId="18" fillId="3" borderId="0" xfId="0" applyFont="1" applyFill="1" applyAlignment="1">
      <alignment horizontal="right" wrapText="1"/>
    </xf>
    <xf numFmtId="0" fontId="17" fillId="3" borderId="0" xfId="0" applyFont="1" applyFill="1" applyAlignment="1">
      <alignment horizontal="right" wrapText="1"/>
    </xf>
    <xf numFmtId="0" fontId="28" fillId="4" borderId="4" xfId="18" applyFont="1" applyFill="1" applyBorder="1" applyAlignment="1" applyProtection="1">
      <alignment vertical="center" wrapText="1" shrinkToFit="1"/>
      <protection locked="0"/>
    </xf>
    <xf numFmtId="0" fontId="28" fillId="4" borderId="4" xfId="18" applyFont="1" applyFill="1" applyBorder="1" applyAlignment="1" applyProtection="1">
      <alignment horizontal="center" vertical="center" wrapText="1" shrinkToFit="1"/>
      <protection locked="0"/>
    </xf>
    <xf numFmtId="169" fontId="25" fillId="3" borderId="4" xfId="30" applyNumberFormat="1" applyFont="1" applyFill="1" applyBorder="1" applyAlignment="1">
      <alignment horizontal="right" vertical="center" wrapText="1"/>
    </xf>
    <xf numFmtId="0" fontId="17" fillId="3" borderId="4" xfId="0" quotePrefix="1" applyFont="1" applyFill="1" applyBorder="1" applyAlignment="1">
      <alignment horizontal="center" vertical="center" wrapText="1"/>
    </xf>
    <xf numFmtId="169" fontId="17" fillId="3" borderId="4" xfId="33" applyNumberFormat="1" applyFont="1" applyFill="1" applyBorder="1" applyAlignment="1" applyProtection="1">
      <alignment horizontal="right" vertical="center"/>
      <protection locked="0"/>
    </xf>
    <xf numFmtId="3" fontId="23" fillId="3" borderId="0" xfId="0" applyNumberFormat="1" applyFont="1" applyFill="1" applyAlignment="1">
      <alignment vertical="center"/>
    </xf>
    <xf numFmtId="0" fontId="41" fillId="3" borderId="4" xfId="0" applyFont="1" applyFill="1" applyBorder="1" applyAlignment="1">
      <alignment horizontal="center" vertical="center"/>
    </xf>
    <xf numFmtId="0" fontId="41" fillId="4" borderId="4" xfId="19" applyFont="1" applyFill="1" applyBorder="1" applyAlignment="1" applyProtection="1">
      <alignment horizontal="center" vertical="center" wrapText="1" shrinkToFit="1"/>
      <protection locked="0"/>
    </xf>
    <xf numFmtId="0" fontId="41" fillId="3" borderId="4" xfId="0" applyFont="1" applyFill="1" applyBorder="1" applyAlignment="1">
      <alignment horizontal="left" vertical="center"/>
    </xf>
    <xf numFmtId="3" fontId="41" fillId="3" borderId="4" xfId="0" applyNumberFormat="1" applyFont="1" applyFill="1" applyBorder="1" applyAlignment="1">
      <alignment horizontal="right" vertical="center"/>
    </xf>
    <xf numFmtId="3" fontId="41" fillId="3" borderId="4" xfId="0" applyNumberFormat="1" applyFont="1" applyFill="1" applyBorder="1" applyAlignment="1">
      <alignment vertical="center"/>
    </xf>
    <xf numFmtId="3" fontId="41" fillId="3" borderId="4" xfId="0" applyNumberFormat="1" applyFont="1" applyFill="1" applyBorder="1" applyAlignment="1">
      <alignment horizontal="center" vertical="center"/>
    </xf>
    <xf numFmtId="49" fontId="41" fillId="3" borderId="4" xfId="38" applyNumberFormat="1" applyFont="1" applyFill="1" applyBorder="1" applyAlignment="1">
      <alignment vertical="center"/>
    </xf>
    <xf numFmtId="9" fontId="41" fillId="3" borderId="4" xfId="0" applyNumberFormat="1" applyFont="1" applyFill="1" applyBorder="1" applyAlignment="1">
      <alignment horizontal="right" vertical="center"/>
    </xf>
    <xf numFmtId="0" fontId="41" fillId="3" borderId="4" xfId="0" applyFont="1" applyFill="1" applyBorder="1" applyAlignment="1">
      <alignment vertical="center"/>
    </xf>
    <xf numFmtId="3" fontId="28" fillId="3" borderId="4" xfId="0" applyNumberFormat="1" applyFont="1" applyFill="1" applyBorder="1" applyAlignment="1">
      <alignment horizontal="center" vertical="center"/>
    </xf>
    <xf numFmtId="171" fontId="41" fillId="3" borderId="4" xfId="0" applyNumberFormat="1" applyFont="1" applyFill="1" applyBorder="1" applyAlignment="1">
      <alignment horizontal="center" vertical="center"/>
    </xf>
    <xf numFmtId="0" fontId="41" fillId="3" borderId="4" xfId="0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/>
    </xf>
    <xf numFmtId="0" fontId="41" fillId="3" borderId="4" xfId="16" applyFont="1" applyFill="1" applyBorder="1" applyAlignment="1">
      <alignment vertical="center" wrapText="1"/>
    </xf>
    <xf numFmtId="0" fontId="23" fillId="3" borderId="0" xfId="0" applyFont="1" applyFill="1" applyAlignment="1">
      <alignment horizontal="left"/>
    </xf>
    <xf numFmtId="0" fontId="25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25" fillId="3" borderId="4" xfId="0" applyFont="1" applyFill="1" applyBorder="1" applyAlignment="1">
      <alignment horizontal="left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left"/>
    </xf>
    <xf numFmtId="0" fontId="17" fillId="3" borderId="4" xfId="0" applyFont="1" applyFill="1" applyBorder="1" applyAlignment="1">
      <alignment horizontal="left" vertical="center"/>
    </xf>
    <xf numFmtId="0" fontId="25" fillId="3" borderId="7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/>
    </xf>
    <xf numFmtId="3" fontId="25" fillId="3" borderId="7" xfId="0" applyNumberFormat="1" applyFont="1" applyFill="1" applyBorder="1" applyAlignment="1">
      <alignment horizontal="right" vertical="center" wrapText="1"/>
    </xf>
    <xf numFmtId="0" fontId="23" fillId="3" borderId="4" xfId="0" applyFont="1" applyFill="1" applyBorder="1" applyAlignment="1">
      <alignment horizontal="center" vertical="center" wrapText="1"/>
    </xf>
    <xf numFmtId="170" fontId="23" fillId="3" borderId="4" xfId="3" applyNumberFormat="1" applyFont="1" applyFill="1" applyBorder="1" applyAlignment="1">
      <alignment horizontal="right" vertical="center" wrapText="1"/>
    </xf>
    <xf numFmtId="3" fontId="24" fillId="3" borderId="4" xfId="0" applyNumberFormat="1" applyFont="1" applyFill="1" applyBorder="1" applyAlignment="1">
      <alignment horizontal="right" vertical="center"/>
    </xf>
    <xf numFmtId="3" fontId="23" fillId="3" borderId="4" xfId="0" applyNumberFormat="1" applyFont="1" applyFill="1" applyBorder="1" applyAlignment="1">
      <alignment vertical="center" wrapText="1"/>
    </xf>
    <xf numFmtId="170" fontId="18" fillId="3" borderId="4" xfId="3" applyNumberFormat="1" applyFont="1" applyFill="1" applyBorder="1" applyAlignment="1">
      <alignment horizontal="right" vertical="center" wrapText="1"/>
    </xf>
    <xf numFmtId="0" fontId="24" fillId="4" borderId="4" xfId="19" applyFont="1" applyFill="1" applyBorder="1" applyAlignment="1" applyProtection="1">
      <alignment vertical="center" wrapText="1" shrinkToFit="1"/>
      <protection locked="0"/>
    </xf>
    <xf numFmtId="0" fontId="24" fillId="4" borderId="4" xfId="19" applyFont="1" applyFill="1" applyBorder="1" applyAlignment="1" applyProtection="1">
      <alignment horizontal="center" vertical="center" wrapText="1" shrinkToFit="1"/>
      <protection locked="0"/>
    </xf>
    <xf numFmtId="3" fontId="18" fillId="4" borderId="4" xfId="19" applyNumberFormat="1" applyFont="1" applyFill="1" applyBorder="1" applyAlignment="1" applyProtection="1">
      <alignment horizontal="right" vertical="center" wrapText="1" shrinkToFit="1"/>
      <protection locked="0"/>
    </xf>
    <xf numFmtId="0" fontId="24" fillId="3" borderId="4" xfId="29" applyFont="1" applyFill="1" applyBorder="1" applyAlignment="1">
      <alignment vertical="center" wrapText="1"/>
    </xf>
    <xf numFmtId="0" fontId="24" fillId="3" borderId="4" xfId="29" applyFont="1" applyFill="1" applyBorder="1" applyAlignment="1">
      <alignment horizontal="center" vertical="center"/>
    </xf>
    <xf numFmtId="0" fontId="24" fillId="4" borderId="4" xfId="18" applyFont="1" applyFill="1" applyBorder="1" applyAlignment="1" applyProtection="1">
      <alignment horizontal="center" vertical="center" wrapText="1" shrinkToFit="1"/>
      <protection locked="0"/>
    </xf>
    <xf numFmtId="3" fontId="18" fillId="4" borderId="4" xfId="18" applyNumberFormat="1" applyFont="1" applyFill="1" applyBorder="1" applyAlignment="1" applyProtection="1">
      <alignment horizontal="right" vertical="center" wrapText="1" shrinkToFit="1"/>
      <protection locked="0"/>
    </xf>
    <xf numFmtId="0" fontId="24" fillId="4" borderId="4" xfId="18" applyFont="1" applyFill="1" applyBorder="1" applyAlignment="1" applyProtection="1">
      <alignment vertical="center" wrapText="1" shrinkToFit="1"/>
      <protection locked="0"/>
    </xf>
    <xf numFmtId="0" fontId="24" fillId="3" borderId="4" xfId="18" applyNumberFormat="1" applyFont="1" applyFill="1" applyBorder="1" applyAlignment="1" applyProtection="1">
      <alignment horizontal="center" vertical="center" wrapText="1"/>
      <protection locked="0"/>
    </xf>
    <xf numFmtId="3" fontId="18" fillId="3" borderId="4" xfId="18" applyNumberFormat="1" applyFont="1" applyFill="1" applyBorder="1" applyAlignment="1" applyProtection="1">
      <alignment horizontal="right" vertical="center"/>
      <protection locked="0"/>
    </xf>
    <xf numFmtId="169" fontId="18" fillId="3" borderId="4" xfId="33" applyNumberFormat="1" applyFont="1" applyFill="1" applyBorder="1" applyAlignment="1" applyProtection="1">
      <alignment horizontal="right" vertical="center"/>
      <protection locked="0"/>
    </xf>
    <xf numFmtId="0" fontId="18" fillId="3" borderId="6" xfId="0" applyFont="1" applyFill="1" applyBorder="1" applyAlignment="1">
      <alignment horizontal="center" vertical="center" wrapText="1"/>
    </xf>
    <xf numFmtId="0" fontId="23" fillId="3" borderId="4" xfId="26" applyFont="1" applyFill="1" applyBorder="1" applyAlignment="1">
      <alignment horizontal="right" vertical="center" wrapText="1"/>
    </xf>
    <xf numFmtId="0" fontId="23" fillId="3" borderId="4" xfId="26" applyFont="1" applyFill="1" applyBorder="1" applyAlignment="1">
      <alignment horizontal="right" vertical="center"/>
    </xf>
    <xf numFmtId="169" fontId="23" fillId="3" borderId="4" xfId="30" applyNumberFormat="1" applyFont="1" applyFill="1" applyBorder="1" applyAlignment="1">
      <alignment horizontal="right" vertical="center"/>
    </xf>
    <xf numFmtId="0" fontId="23" fillId="3" borderId="4" xfId="29" applyFont="1" applyFill="1" applyBorder="1" applyAlignment="1">
      <alignment horizontal="right" vertical="center" wrapText="1"/>
    </xf>
    <xf numFmtId="3" fontId="23" fillId="3" borderId="4" xfId="29" applyNumberFormat="1" applyFont="1" applyFill="1" applyBorder="1" applyAlignment="1">
      <alignment horizontal="right" vertical="center" wrapText="1"/>
    </xf>
    <xf numFmtId="3" fontId="23" fillId="3" borderId="4" xfId="26" applyNumberFormat="1" applyFont="1" applyFill="1" applyBorder="1" applyAlignment="1">
      <alignment horizontal="right" vertical="center" wrapText="1"/>
    </xf>
    <xf numFmtId="3" fontId="17" fillId="3" borderId="0" xfId="0" applyNumberFormat="1" applyFont="1" applyFill="1" applyAlignment="1">
      <alignment vertical="center" wrapText="1"/>
    </xf>
    <xf numFmtId="0" fontId="23" fillId="3" borderId="0" xfId="0" applyFont="1" applyFill="1" applyAlignment="1">
      <alignment horizontal="left"/>
    </xf>
    <xf numFmtId="0" fontId="25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28" fillId="3" borderId="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left"/>
    </xf>
    <xf numFmtId="0" fontId="20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3" fillId="3" borderId="4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2" fillId="3" borderId="4" xfId="2" applyFont="1" applyFill="1" applyBorder="1" applyAlignment="1">
      <alignment horizontal="left" vertical="center" wrapText="1"/>
    </xf>
    <xf numFmtId="0" fontId="40" fillId="3" borderId="4" xfId="2" applyFont="1" applyFill="1" applyBorder="1" applyAlignment="1">
      <alignment horizontal="left" vertical="center" wrapText="1"/>
    </xf>
    <xf numFmtId="0" fontId="40" fillId="3" borderId="4" xfId="0" applyFont="1" applyFill="1" applyBorder="1" applyAlignment="1">
      <alignment horizontal="left" vertical="center" wrapText="1"/>
    </xf>
    <xf numFmtId="0" fontId="40" fillId="3" borderId="4" xfId="0" applyFont="1" applyFill="1" applyBorder="1" applyAlignment="1">
      <alignment horizontal="center"/>
    </xf>
    <xf numFmtId="0" fontId="40" fillId="3" borderId="4" xfId="0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 wrapText="1"/>
    </xf>
    <xf numFmtId="0" fontId="40" fillId="3" borderId="4" xfId="0" applyFont="1" applyFill="1" applyBorder="1" applyAlignment="1">
      <alignment vertical="center" wrapText="1"/>
    </xf>
    <xf numFmtId="3" fontId="40" fillId="3" borderId="4" xfId="0" applyNumberFormat="1" applyFont="1" applyFill="1" applyBorder="1" applyAlignment="1">
      <alignment horizontal="center" vertical="center" wrapText="1"/>
    </xf>
    <xf numFmtId="0" fontId="40" fillId="3" borderId="4" xfId="0" applyFont="1" applyFill="1" applyBorder="1" applyAlignment="1">
      <alignment vertical="center"/>
    </xf>
    <xf numFmtId="0" fontId="40" fillId="3" borderId="4" xfId="2" applyFont="1" applyFill="1" applyBorder="1" applyAlignment="1">
      <alignment vertical="center" wrapText="1"/>
    </xf>
    <xf numFmtId="3" fontId="42" fillId="3" borderId="4" xfId="0" applyNumberFormat="1" applyFont="1" applyFill="1" applyBorder="1" applyAlignment="1">
      <alignment horizontal="center" vertical="center"/>
    </xf>
    <xf numFmtId="0" fontId="42" fillId="3" borderId="4" xfId="6" applyFont="1" applyFill="1" applyBorder="1" applyAlignment="1">
      <alignment vertical="center" wrapText="1"/>
    </xf>
    <xf numFmtId="0" fontId="40" fillId="3" borderId="4" xfId="7" applyFont="1" applyFill="1" applyBorder="1" applyAlignment="1">
      <alignment vertical="center"/>
    </xf>
    <xf numFmtId="3" fontId="40" fillId="3" borderId="4" xfId="0" applyNumberFormat="1" applyFont="1" applyFill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8" fillId="5" borderId="4" xfId="2" applyFont="1" applyFill="1" applyBorder="1" applyAlignment="1">
      <alignment vertical="center" wrapText="1"/>
    </xf>
    <xf numFmtId="0" fontId="28" fillId="5" borderId="4" xfId="1" applyFont="1" applyFill="1" applyBorder="1" applyAlignment="1">
      <alignment horizontal="center" vertical="center" wrapText="1"/>
    </xf>
    <xf numFmtId="0" fontId="28" fillId="5" borderId="4" xfId="1" applyFont="1" applyFill="1" applyBorder="1" applyAlignment="1">
      <alignment vertical="center" wrapText="1"/>
    </xf>
    <xf numFmtId="0" fontId="24" fillId="5" borderId="4" xfId="0" applyFont="1" applyFill="1" applyBorder="1" applyAlignment="1">
      <alignment horizontal="center" vertical="center"/>
    </xf>
    <xf numFmtId="0" fontId="24" fillId="5" borderId="4" xfId="1" applyFont="1" applyFill="1" applyBorder="1" applyAlignment="1">
      <alignment horizontal="center" vertical="center" wrapText="1"/>
    </xf>
    <xf numFmtId="0" fontId="24" fillId="5" borderId="4" xfId="1" applyFont="1" applyFill="1" applyBorder="1" applyAlignment="1">
      <alignment vertical="center" wrapText="1"/>
    </xf>
    <xf numFmtId="0" fontId="23" fillId="3" borderId="0" xfId="0" applyFont="1" applyFill="1" applyAlignment="1">
      <alignment horizontal="left"/>
    </xf>
    <xf numFmtId="0" fontId="25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20" fillId="3" borderId="0" xfId="0" applyFont="1" applyFill="1" applyAlignment="1">
      <alignment horizontal="left"/>
    </xf>
    <xf numFmtId="0" fontId="20" fillId="3" borderId="0" xfId="0" applyFont="1" applyFill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169" fontId="40" fillId="0" borderId="4" xfId="24" applyNumberFormat="1" applyFont="1" applyFill="1" applyBorder="1" applyAlignment="1">
      <alignment vertical="center"/>
    </xf>
    <xf numFmtId="169" fontId="24" fillId="3" borderId="4" xfId="0" applyNumberFormat="1" applyFont="1" applyFill="1" applyBorder="1" applyAlignment="1">
      <alignment horizontal="center" vertical="center" wrapText="1"/>
    </xf>
    <xf numFmtId="169" fontId="20" fillId="3" borderId="4" xfId="0" applyNumberFormat="1" applyFont="1" applyFill="1" applyBorder="1" applyAlignment="1">
      <alignment horizontal="center" vertical="center"/>
    </xf>
    <xf numFmtId="169" fontId="33" fillId="0" borderId="4" xfId="4" applyNumberFormat="1" applyFont="1" applyFill="1" applyBorder="1" applyAlignment="1">
      <alignment vertical="center"/>
    </xf>
    <xf numFmtId="169" fontId="24" fillId="3" borderId="4" xfId="0" applyNumberFormat="1" applyFont="1" applyFill="1" applyBorder="1" applyAlignment="1">
      <alignment horizontal="center" vertical="center"/>
    </xf>
    <xf numFmtId="169" fontId="24" fillId="3" borderId="4" xfId="1" applyNumberFormat="1" applyFont="1" applyFill="1" applyBorder="1" applyAlignment="1">
      <alignment horizontal="center" vertical="center" wrapText="1"/>
    </xf>
    <xf numFmtId="0" fontId="8" fillId="3" borderId="4" xfId="0" applyFont="1" applyFill="1" applyBorder="1"/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left"/>
    </xf>
    <xf numFmtId="0" fontId="8" fillId="3" borderId="0" xfId="0" applyFont="1" applyFill="1"/>
    <xf numFmtId="170" fontId="8" fillId="3" borderId="4" xfId="3" applyNumberFormat="1" applyFont="1" applyFill="1" applyBorder="1" applyAlignment="1"/>
    <xf numFmtId="170" fontId="8" fillId="3" borderId="4" xfId="3" applyNumberFormat="1" applyFont="1" applyFill="1" applyBorder="1" applyAlignment="1">
      <alignment horizontal="right" wrapText="1"/>
    </xf>
    <xf numFmtId="0" fontId="8" fillId="3" borderId="4" xfId="0" applyFont="1" applyFill="1" applyBorder="1" applyAlignment="1">
      <alignment horizontal="center" vertical="center"/>
    </xf>
    <xf numFmtId="170" fontId="8" fillId="3" borderId="0" xfId="0" applyNumberFormat="1" applyFont="1" applyFill="1"/>
    <xf numFmtId="0" fontId="10" fillId="0" borderId="0" xfId="1" applyFont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0" xfId="1" applyFont="1" applyFill="1" applyAlignment="1">
      <alignment horizontal="center" vertical="top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top" wrapText="1"/>
    </xf>
    <xf numFmtId="0" fontId="9" fillId="0" borderId="0" xfId="0" applyFont="1" applyAlignment="1">
      <alignment horizontal="center"/>
    </xf>
    <xf numFmtId="0" fontId="12" fillId="0" borderId="0" xfId="1" applyFont="1" applyAlignment="1">
      <alignment horizontal="center" vertical="top" wrapText="1"/>
    </xf>
    <xf numFmtId="0" fontId="8" fillId="0" borderId="1" xfId="1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3" fillId="0" borderId="0" xfId="1" applyFont="1" applyAlignment="1">
      <alignment horizontal="center" vertical="top" wrapText="1"/>
    </xf>
    <xf numFmtId="0" fontId="25" fillId="3" borderId="0" xfId="0" quotePrefix="1" applyFont="1" applyFill="1" applyAlignment="1">
      <alignment horizontal="left"/>
    </xf>
    <xf numFmtId="0" fontId="25" fillId="3" borderId="8" xfId="2" applyFont="1" applyFill="1" applyBorder="1" applyAlignment="1">
      <alignment horizontal="left" vertical="center" wrapText="1"/>
    </xf>
    <xf numFmtId="0" fontId="25" fillId="3" borderId="11" xfId="2" applyFont="1" applyFill="1" applyBorder="1" applyAlignment="1">
      <alignment horizontal="left" vertical="center" wrapText="1"/>
    </xf>
    <xf numFmtId="0" fontId="25" fillId="3" borderId="9" xfId="2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/>
    </xf>
    <xf numFmtId="0" fontId="23" fillId="3" borderId="0" xfId="0" quotePrefix="1" applyFont="1" applyFill="1" applyAlignment="1">
      <alignment horizontal="left"/>
    </xf>
    <xf numFmtId="0" fontId="25" fillId="3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17" fillId="3" borderId="4" xfId="1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/>
    </xf>
    <xf numFmtId="3" fontId="25" fillId="3" borderId="6" xfId="0" applyNumberFormat="1" applyFont="1" applyFill="1" applyBorder="1" applyAlignment="1">
      <alignment horizontal="center" vertical="center" wrapText="1"/>
    </xf>
    <xf numFmtId="3" fontId="25" fillId="3" borderId="7" xfId="0" applyNumberFormat="1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left"/>
    </xf>
    <xf numFmtId="0" fontId="25" fillId="3" borderId="4" xfId="0" applyFont="1" applyFill="1" applyBorder="1" applyAlignment="1">
      <alignment horizontal="left" vertical="center" wrapText="1"/>
    </xf>
    <xf numFmtId="0" fontId="30" fillId="3" borderId="4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/>
    </xf>
    <xf numFmtId="3" fontId="25" fillId="3" borderId="6" xfId="0" applyNumberFormat="1" applyFont="1" applyFill="1" applyBorder="1" applyAlignment="1">
      <alignment horizontal="right" vertical="center" wrapText="1"/>
    </xf>
    <xf numFmtId="3" fontId="25" fillId="3" borderId="7" xfId="0" applyNumberFormat="1" applyFont="1" applyFill="1" applyBorder="1" applyAlignment="1">
      <alignment horizontal="right" vertical="center" wrapText="1"/>
    </xf>
    <xf numFmtId="0" fontId="17" fillId="3" borderId="0" xfId="0" applyFont="1" applyFill="1" applyAlignment="1">
      <alignment horizontal="center"/>
    </xf>
    <xf numFmtId="0" fontId="17" fillId="3" borderId="4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17" fillId="3" borderId="4" xfId="1" applyFont="1" applyFill="1" applyBorder="1" applyAlignment="1">
      <alignment horizontal="center" vertical="top" wrapText="1"/>
    </xf>
    <xf numFmtId="0" fontId="17" fillId="3" borderId="4" xfId="0" applyFont="1" applyFill="1" applyBorder="1" applyAlignment="1">
      <alignment horizontal="center" vertical="center"/>
    </xf>
    <xf numFmtId="0" fontId="28" fillId="3" borderId="4" xfId="1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left" vertical="center" wrapText="1"/>
    </xf>
    <xf numFmtId="0" fontId="8" fillId="3" borderId="11" xfId="2" applyFont="1" applyFill="1" applyBorder="1" applyAlignment="1">
      <alignment horizontal="left" vertical="center" wrapText="1"/>
    </xf>
    <xf numFmtId="0" fontId="8" fillId="3" borderId="9" xfId="2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/>
    </xf>
    <xf numFmtId="0" fontId="8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 wrapText="1"/>
    </xf>
    <xf numFmtId="0" fontId="35" fillId="3" borderId="0" xfId="0" quotePrefix="1" applyFont="1" applyFill="1" applyAlignment="1">
      <alignment horizontal="left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3" fontId="28" fillId="3" borderId="6" xfId="0" applyNumberFormat="1" applyFont="1" applyFill="1" applyBorder="1" applyAlignment="1">
      <alignment horizontal="center" vertical="center" wrapText="1"/>
    </xf>
    <xf numFmtId="3" fontId="28" fillId="3" borderId="7" xfId="0" applyNumberFormat="1" applyFont="1" applyFill="1" applyBorder="1" applyAlignment="1">
      <alignment horizontal="center" vertical="center" wrapText="1"/>
    </xf>
    <xf numFmtId="0" fontId="28" fillId="3" borderId="4" xfId="1" applyFont="1" applyFill="1" applyBorder="1" applyAlignment="1">
      <alignment horizontal="center" vertical="top" wrapText="1"/>
    </xf>
  </cellXfs>
  <cellStyles count="63">
    <cellStyle name="Comma" xfId="3" builtinId="3"/>
    <cellStyle name="Comma [0] 2" xfId="32" xr:uid="{00000000-0005-0000-0000-000001000000}"/>
    <cellStyle name="Comma [0] 3" xfId="35" xr:uid="{00000000-0005-0000-0000-000002000000}"/>
    <cellStyle name="Comma [0] 3 2" xfId="39" xr:uid="{00000000-0005-0000-0000-000003000000}"/>
    <cellStyle name="Comma [0] 4" xfId="10" xr:uid="{00000000-0005-0000-0000-000004000000}"/>
    <cellStyle name="Comma 10" xfId="43" xr:uid="{00000000-0005-0000-0000-000005000000}"/>
    <cellStyle name="Comma 11" xfId="53" xr:uid="{00000000-0005-0000-0000-000006000000}"/>
    <cellStyle name="Comma 12" xfId="52" xr:uid="{00000000-0005-0000-0000-000007000000}"/>
    <cellStyle name="Comma 13" xfId="54" xr:uid="{00000000-0005-0000-0000-000008000000}"/>
    <cellStyle name="Comma 14" xfId="56" xr:uid="{00000000-0005-0000-0000-000009000000}"/>
    <cellStyle name="Comma 15" xfId="55" xr:uid="{00000000-0005-0000-0000-00000A000000}"/>
    <cellStyle name="Comma 16" xfId="50" xr:uid="{00000000-0005-0000-0000-00000B000000}"/>
    <cellStyle name="Comma 17" xfId="42" xr:uid="{00000000-0005-0000-0000-00000C000000}"/>
    <cellStyle name="Comma 18" xfId="44" xr:uid="{00000000-0005-0000-0000-00000D000000}"/>
    <cellStyle name="Comma 19" xfId="49" xr:uid="{00000000-0005-0000-0000-00000E000000}"/>
    <cellStyle name="Comma 2" xfId="4" xr:uid="{00000000-0005-0000-0000-00000F000000}"/>
    <cellStyle name="Comma 2 2" xfId="38" xr:uid="{00000000-0005-0000-0000-000010000000}"/>
    <cellStyle name="Comma 2 3" xfId="13" xr:uid="{00000000-0005-0000-0000-000011000000}"/>
    <cellStyle name="Comma 20" xfId="45" xr:uid="{00000000-0005-0000-0000-000012000000}"/>
    <cellStyle name="Comma 21" xfId="47" xr:uid="{00000000-0005-0000-0000-000013000000}"/>
    <cellStyle name="Comma 22" xfId="48" xr:uid="{00000000-0005-0000-0000-000014000000}"/>
    <cellStyle name="Comma 23" xfId="57" xr:uid="{00000000-0005-0000-0000-000015000000}"/>
    <cellStyle name="Comma 24" xfId="58" xr:uid="{00000000-0005-0000-0000-000016000000}"/>
    <cellStyle name="Comma 25" xfId="59" xr:uid="{00000000-0005-0000-0000-000017000000}"/>
    <cellStyle name="Comma 26" xfId="51" xr:uid="{00000000-0005-0000-0000-000018000000}"/>
    <cellStyle name="Comma 27" xfId="61" xr:uid="{00000000-0005-0000-0000-000019000000}"/>
    <cellStyle name="Comma 28" xfId="60" xr:uid="{00000000-0005-0000-0000-00001A000000}"/>
    <cellStyle name="Comma 29" xfId="46" xr:uid="{00000000-0005-0000-0000-00001B000000}"/>
    <cellStyle name="Comma 3" xfId="24" xr:uid="{00000000-0005-0000-0000-00001C000000}"/>
    <cellStyle name="Comma 30" xfId="41" xr:uid="{00000000-0005-0000-0000-00001D000000}"/>
    <cellStyle name="Comma 4" xfId="14" xr:uid="{00000000-0005-0000-0000-00001E000000}"/>
    <cellStyle name="Comma 4 2" xfId="37" xr:uid="{00000000-0005-0000-0000-00001F000000}"/>
    <cellStyle name="Comma 5" xfId="28" xr:uid="{00000000-0005-0000-0000-000020000000}"/>
    <cellStyle name="Comma 6" xfId="30" xr:uid="{00000000-0005-0000-0000-000021000000}"/>
    <cellStyle name="Comma 7" xfId="33" xr:uid="{00000000-0005-0000-0000-000022000000}"/>
    <cellStyle name="Comma 8" xfId="9" xr:uid="{00000000-0005-0000-0000-000023000000}"/>
    <cellStyle name="Comma 9" xfId="40" xr:uid="{00000000-0005-0000-0000-000024000000}"/>
    <cellStyle name="Normal" xfId="0" builtinId="0"/>
    <cellStyle name="Normal 10" xfId="34" xr:uid="{00000000-0005-0000-0000-000026000000}"/>
    <cellStyle name="Normal 11" xfId="8" xr:uid="{00000000-0005-0000-0000-000027000000}"/>
    <cellStyle name="Normal 2" xfId="2" xr:uid="{00000000-0005-0000-0000-000028000000}"/>
    <cellStyle name="Normal 2 2" xfId="6" xr:uid="{00000000-0005-0000-0000-000029000000}"/>
    <cellStyle name="Normal 2 2 2" xfId="12" xr:uid="{00000000-0005-0000-0000-00002A000000}"/>
    <cellStyle name="Normal 2 3" xfId="26" xr:uid="{00000000-0005-0000-0000-00002B000000}"/>
    <cellStyle name="Normal 2 4" xfId="27" xr:uid="{00000000-0005-0000-0000-00002C000000}"/>
    <cellStyle name="Normal 2 5" xfId="11" xr:uid="{00000000-0005-0000-0000-00002D000000}"/>
    <cellStyle name="Normal 3" xfId="15" xr:uid="{00000000-0005-0000-0000-00002E000000}"/>
    <cellStyle name="Normal 3 2" xfId="16" xr:uid="{00000000-0005-0000-0000-00002F000000}"/>
    <cellStyle name="Normal 3 2 2" xfId="21" xr:uid="{00000000-0005-0000-0000-000030000000}"/>
    <cellStyle name="Normal 4" xfId="17" xr:uid="{00000000-0005-0000-0000-000031000000}"/>
    <cellStyle name="Normal 5" xfId="18" xr:uid="{00000000-0005-0000-0000-000032000000}"/>
    <cellStyle name="Normal 5 2" xfId="19" xr:uid="{00000000-0005-0000-0000-000033000000}"/>
    <cellStyle name="Normal 5 2 2" xfId="22" xr:uid="{00000000-0005-0000-0000-000034000000}"/>
    <cellStyle name="Normal 6" xfId="23" xr:uid="{00000000-0005-0000-0000-000035000000}"/>
    <cellStyle name="Normal 7" xfId="25" xr:uid="{00000000-0005-0000-0000-000036000000}"/>
    <cellStyle name="Normal 8" xfId="7" xr:uid="{00000000-0005-0000-0000-000037000000}"/>
    <cellStyle name="Normal 8 2" xfId="29" xr:uid="{00000000-0005-0000-0000-000038000000}"/>
    <cellStyle name="Normal 8 3" xfId="62" xr:uid="{8C6B069E-F112-4817-BC7B-31BB3DAFA16B}"/>
    <cellStyle name="Normal 9" xfId="31" xr:uid="{00000000-0005-0000-0000-000039000000}"/>
    <cellStyle name="Normal 9 2" xfId="36" xr:uid="{00000000-0005-0000-0000-00003A000000}"/>
    <cellStyle name="Normal_Phuluc" xfId="1" xr:uid="{00000000-0005-0000-0000-00003B000000}"/>
    <cellStyle name="Normal_Tai san Du an LGap" xfId="5" xr:uid="{00000000-0005-0000-0000-00003C000000}"/>
    <cellStyle name="Percent 2" xfId="20" xr:uid="{00000000-0005-0000-0000-00003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view="pageBreakPreview" topLeftCell="A46" zoomScaleNormal="100" zoomScaleSheetLayoutView="100" workbookViewId="0">
      <selection activeCell="F112" sqref="F112"/>
    </sheetView>
  </sheetViews>
  <sheetFormatPr defaultColWidth="9.140625" defaultRowHeight="16.5"/>
  <cols>
    <col min="1" max="1" width="5.5703125" style="2" customWidth="1"/>
    <col min="2" max="2" width="47.85546875" style="2" customWidth="1"/>
    <col min="3" max="4" width="9.140625" style="13"/>
    <col min="5" max="5" width="0" style="13" hidden="1" customWidth="1"/>
    <col min="6" max="6" width="18.85546875" style="13" customWidth="1"/>
    <col min="7" max="16384" width="9.140625" style="2"/>
  </cols>
  <sheetData>
    <row r="1" spans="1:6" s="1" customFormat="1" ht="20.25" customHeight="1">
      <c r="A1" s="368" t="s">
        <v>162</v>
      </c>
      <c r="B1" s="368"/>
      <c r="C1" s="368"/>
      <c r="D1" s="368"/>
      <c r="E1" s="368"/>
      <c r="F1" s="368"/>
    </row>
    <row r="2" spans="1:6" s="1" customFormat="1" ht="20.25" customHeight="1">
      <c r="A2" s="369" t="s">
        <v>302</v>
      </c>
      <c r="B2" s="369"/>
      <c r="C2" s="369"/>
      <c r="D2" s="369"/>
      <c r="E2" s="369"/>
      <c r="F2" s="369"/>
    </row>
    <row r="3" spans="1:6" s="1" customFormat="1" ht="15.75" customHeight="1">
      <c r="A3" s="370" t="s">
        <v>2</v>
      </c>
      <c r="B3" s="370"/>
      <c r="C3" s="370"/>
      <c r="D3" s="370"/>
      <c r="E3" s="370"/>
      <c r="F3" s="370"/>
    </row>
    <row r="4" spans="1:6" s="1" customFormat="1" ht="12" customHeight="1">
      <c r="A4" s="18"/>
      <c r="B4" s="18"/>
      <c r="C4" s="18"/>
      <c r="D4" s="18"/>
      <c r="E4" s="18"/>
      <c r="F4" s="18"/>
    </row>
    <row r="5" spans="1:6" s="1" customFormat="1" ht="15.75" customHeight="1">
      <c r="A5" s="371" t="s">
        <v>4</v>
      </c>
      <c r="B5" s="371" t="s">
        <v>5</v>
      </c>
      <c r="C5" s="373" t="s">
        <v>6</v>
      </c>
      <c r="D5" s="373" t="s">
        <v>7</v>
      </c>
      <c r="E5" s="373" t="s">
        <v>8</v>
      </c>
      <c r="F5" s="373" t="s">
        <v>9</v>
      </c>
    </row>
    <row r="6" spans="1:6" s="1" customFormat="1" ht="17.25" customHeight="1">
      <c r="A6" s="372"/>
      <c r="B6" s="372"/>
      <c r="C6" s="374"/>
      <c r="D6" s="374"/>
      <c r="E6" s="374"/>
      <c r="F6" s="374"/>
    </row>
    <row r="7" spans="1:6" s="1" customFormat="1" ht="22.5" customHeight="1">
      <c r="A7" s="3" t="s">
        <v>10</v>
      </c>
      <c r="B7" s="4" t="s">
        <v>11</v>
      </c>
      <c r="C7" s="9"/>
      <c r="D7" s="11"/>
      <c r="E7" s="11"/>
      <c r="F7" s="11"/>
    </row>
    <row r="8" spans="1:6">
      <c r="A8" s="7"/>
      <c r="B8" s="14" t="s">
        <v>159</v>
      </c>
      <c r="C8" s="12"/>
      <c r="D8" s="12"/>
      <c r="E8" s="12"/>
      <c r="F8" s="12"/>
    </row>
    <row r="9" spans="1:6">
      <c r="A9" s="7"/>
      <c r="B9" s="7" t="s">
        <v>127</v>
      </c>
      <c r="C9" s="12" t="s">
        <v>71</v>
      </c>
      <c r="D9" s="12">
        <v>140</v>
      </c>
      <c r="E9" s="12"/>
      <c r="F9" s="12"/>
    </row>
    <row r="10" spans="1:6">
      <c r="A10" s="7"/>
      <c r="B10" s="7" t="s">
        <v>72</v>
      </c>
      <c r="C10" s="12" t="s">
        <v>71</v>
      </c>
      <c r="D10" s="12">
        <f>37-12</f>
        <v>25</v>
      </c>
      <c r="E10" s="12"/>
      <c r="F10" s="12"/>
    </row>
    <row r="11" spans="1:6">
      <c r="A11" s="7"/>
      <c r="B11" s="7" t="s">
        <v>70</v>
      </c>
      <c r="C11" s="12" t="s">
        <v>71</v>
      </c>
      <c r="D11" s="12">
        <v>14</v>
      </c>
      <c r="E11" s="12"/>
      <c r="F11" s="12"/>
    </row>
    <row r="12" spans="1:6">
      <c r="A12" s="7"/>
      <c r="B12" s="7" t="s">
        <v>105</v>
      </c>
      <c r="C12" s="12" t="s">
        <v>71</v>
      </c>
      <c r="D12" s="12">
        <v>10</v>
      </c>
      <c r="E12" s="12"/>
      <c r="F12" s="12"/>
    </row>
    <row r="13" spans="1:6">
      <c r="A13" s="7"/>
      <c r="B13" s="7" t="s">
        <v>152</v>
      </c>
      <c r="C13" s="12" t="s">
        <v>71</v>
      </c>
      <c r="D13" s="12">
        <v>25</v>
      </c>
      <c r="E13" s="12"/>
      <c r="F13" s="12"/>
    </row>
    <row r="14" spans="1:6">
      <c r="A14" s="7"/>
      <c r="B14" s="14" t="s">
        <v>163</v>
      </c>
      <c r="C14" s="12"/>
      <c r="D14" s="12"/>
      <c r="E14" s="12"/>
      <c r="F14" s="12"/>
    </row>
    <row r="15" spans="1:6">
      <c r="A15" s="7"/>
      <c r="B15" s="7" t="s">
        <v>176</v>
      </c>
      <c r="C15" s="12" t="s">
        <v>71</v>
      </c>
      <c r="D15" s="12">
        <v>2</v>
      </c>
      <c r="E15" s="12"/>
      <c r="F15" s="12"/>
    </row>
    <row r="16" spans="1:6">
      <c r="A16" s="7"/>
      <c r="B16" s="7" t="s">
        <v>72</v>
      </c>
      <c r="C16" s="12" t="s">
        <v>71</v>
      </c>
      <c r="D16" s="12">
        <v>1</v>
      </c>
      <c r="E16" s="12"/>
      <c r="F16" s="12"/>
    </row>
    <row r="17" spans="1:6">
      <c r="A17" s="7"/>
      <c r="B17" s="7" t="s">
        <v>70</v>
      </c>
      <c r="C17" s="12" t="s">
        <v>71</v>
      </c>
      <c r="D17" s="12"/>
      <c r="E17" s="12"/>
      <c r="F17" s="12"/>
    </row>
    <row r="18" spans="1:6">
      <c r="A18" s="7"/>
      <c r="B18" s="7" t="s">
        <v>100</v>
      </c>
      <c r="C18" s="12" t="s">
        <v>71</v>
      </c>
      <c r="D18" s="12">
        <v>1</v>
      </c>
      <c r="E18" s="12"/>
      <c r="F18" s="12"/>
    </row>
    <row r="19" spans="1:6">
      <c r="A19" s="7"/>
      <c r="B19" s="7" t="s">
        <v>152</v>
      </c>
      <c r="C19" s="12" t="s">
        <v>71</v>
      </c>
      <c r="D19" s="12">
        <v>1</v>
      </c>
      <c r="E19" s="12"/>
      <c r="F19" s="12"/>
    </row>
    <row r="20" spans="1:6">
      <c r="A20" s="7"/>
      <c r="B20" s="14" t="s">
        <v>166</v>
      </c>
      <c r="C20" s="12"/>
      <c r="D20" s="12"/>
      <c r="E20" s="12"/>
      <c r="F20" s="12"/>
    </row>
    <row r="21" spans="1:6">
      <c r="A21" s="7"/>
      <c r="B21" s="7" t="s">
        <v>176</v>
      </c>
      <c r="C21" s="12" t="s">
        <v>71</v>
      </c>
      <c r="D21" s="12">
        <v>3</v>
      </c>
      <c r="E21" s="12"/>
      <c r="F21" s="12"/>
    </row>
    <row r="22" spans="1:6">
      <c r="A22" s="7"/>
      <c r="B22" s="7" t="s">
        <v>72</v>
      </c>
      <c r="C22" s="12" t="s">
        <v>71</v>
      </c>
      <c r="D22" s="12">
        <v>1</v>
      </c>
      <c r="E22" s="12"/>
      <c r="F22" s="12"/>
    </row>
    <row r="23" spans="1:6">
      <c r="A23" s="7"/>
      <c r="B23" s="7" t="s">
        <v>70</v>
      </c>
      <c r="C23" s="12" t="s">
        <v>71</v>
      </c>
      <c r="D23" s="12">
        <v>1</v>
      </c>
      <c r="E23" s="12"/>
      <c r="F23" s="12"/>
    </row>
    <row r="24" spans="1:6">
      <c r="A24" s="7"/>
      <c r="B24" s="7" t="s">
        <v>100</v>
      </c>
      <c r="C24" s="12" t="s">
        <v>71</v>
      </c>
      <c r="D24" s="12">
        <v>1</v>
      </c>
      <c r="E24" s="12"/>
      <c r="F24" s="12"/>
    </row>
    <row r="25" spans="1:6">
      <c r="A25" s="7"/>
      <c r="B25" s="7" t="s">
        <v>152</v>
      </c>
      <c r="C25" s="12" t="s">
        <v>71</v>
      </c>
      <c r="D25" s="12">
        <v>1</v>
      </c>
      <c r="E25" s="12"/>
      <c r="F25" s="12"/>
    </row>
    <row r="26" spans="1:6">
      <c r="A26" s="7"/>
      <c r="B26" s="14" t="s">
        <v>167</v>
      </c>
      <c r="C26" s="12"/>
      <c r="D26" s="12"/>
      <c r="E26" s="12"/>
      <c r="F26" s="12"/>
    </row>
    <row r="27" spans="1:6">
      <c r="A27" s="7"/>
      <c r="B27" s="7" t="s">
        <v>176</v>
      </c>
      <c r="C27" s="12" t="s">
        <v>71</v>
      </c>
      <c r="D27" s="12">
        <v>3</v>
      </c>
      <c r="E27" s="12"/>
      <c r="F27" s="12"/>
    </row>
    <row r="28" spans="1:6">
      <c r="A28" s="7"/>
      <c r="B28" s="7" t="s">
        <v>72</v>
      </c>
      <c r="C28" s="12" t="s">
        <v>71</v>
      </c>
      <c r="D28" s="12">
        <v>1</v>
      </c>
      <c r="E28" s="12"/>
      <c r="F28" s="12"/>
    </row>
    <row r="29" spans="1:6">
      <c r="A29" s="7"/>
      <c r="B29" s="7" t="s">
        <v>70</v>
      </c>
      <c r="C29" s="12" t="s">
        <v>71</v>
      </c>
      <c r="D29" s="12">
        <v>1</v>
      </c>
      <c r="E29" s="12"/>
      <c r="F29" s="12"/>
    </row>
    <row r="30" spans="1:6">
      <c r="A30" s="7"/>
      <c r="B30" s="7" t="s">
        <v>100</v>
      </c>
      <c r="C30" s="12" t="s">
        <v>71</v>
      </c>
      <c r="D30" s="12">
        <v>1</v>
      </c>
      <c r="E30" s="12"/>
      <c r="F30" s="12"/>
    </row>
    <row r="31" spans="1:6">
      <c r="A31" s="7"/>
      <c r="B31" s="7" t="s">
        <v>152</v>
      </c>
      <c r="C31" s="12" t="s">
        <v>71</v>
      </c>
      <c r="D31" s="12">
        <v>1</v>
      </c>
      <c r="E31" s="12"/>
      <c r="F31" s="12"/>
    </row>
    <row r="32" spans="1:6">
      <c r="A32" s="7"/>
      <c r="B32" s="14" t="s">
        <v>168</v>
      </c>
      <c r="C32" s="12"/>
      <c r="D32" s="12"/>
      <c r="E32" s="12"/>
      <c r="F32" s="12"/>
    </row>
    <row r="33" spans="1:6">
      <c r="A33" s="7"/>
      <c r="B33" s="7" t="s">
        <v>176</v>
      </c>
      <c r="C33" s="12" t="s">
        <v>71</v>
      </c>
      <c r="D33" s="12">
        <v>2</v>
      </c>
      <c r="E33" s="12"/>
      <c r="F33" s="12"/>
    </row>
    <row r="34" spans="1:6">
      <c r="A34" s="7"/>
      <c r="B34" s="7" t="s">
        <v>70</v>
      </c>
      <c r="C34" s="12" t="s">
        <v>71</v>
      </c>
      <c r="D34" s="12">
        <v>1</v>
      </c>
      <c r="E34" s="12"/>
      <c r="F34" s="12"/>
    </row>
    <row r="35" spans="1:6">
      <c r="A35" s="7"/>
      <c r="B35" s="7" t="s">
        <v>100</v>
      </c>
      <c r="C35" s="12" t="s">
        <v>71</v>
      </c>
      <c r="D35" s="12">
        <v>1</v>
      </c>
      <c r="E35" s="12"/>
      <c r="F35" s="12"/>
    </row>
    <row r="36" spans="1:6">
      <c r="A36" s="7"/>
      <c r="B36" s="14" t="s">
        <v>169</v>
      </c>
      <c r="C36" s="12"/>
      <c r="D36" s="12"/>
      <c r="E36" s="12"/>
      <c r="F36" s="12"/>
    </row>
    <row r="37" spans="1:6">
      <c r="A37" s="7"/>
      <c r="B37" s="7" t="s">
        <v>176</v>
      </c>
      <c r="C37" s="12" t="s">
        <v>71</v>
      </c>
      <c r="D37" s="12">
        <v>2</v>
      </c>
      <c r="E37" s="12"/>
      <c r="F37" s="12"/>
    </row>
    <row r="38" spans="1:6">
      <c r="A38" s="7"/>
      <c r="B38" s="7" t="s">
        <v>70</v>
      </c>
      <c r="C38" s="12" t="s">
        <v>71</v>
      </c>
      <c r="D38" s="12">
        <v>1</v>
      </c>
      <c r="E38" s="12"/>
      <c r="F38" s="12"/>
    </row>
    <row r="39" spans="1:6">
      <c r="A39" s="7"/>
      <c r="B39" s="7" t="s">
        <v>100</v>
      </c>
      <c r="C39" s="12" t="s">
        <v>71</v>
      </c>
      <c r="D39" s="12">
        <v>1</v>
      </c>
      <c r="E39" s="12"/>
      <c r="F39" s="12"/>
    </row>
    <row r="40" spans="1:6">
      <c r="A40" s="7"/>
      <c r="B40" s="14" t="s">
        <v>170</v>
      </c>
      <c r="C40" s="12"/>
      <c r="D40" s="12"/>
      <c r="E40" s="12"/>
      <c r="F40" s="12"/>
    </row>
    <row r="41" spans="1:6">
      <c r="A41" s="7"/>
      <c r="B41" s="7" t="s">
        <v>176</v>
      </c>
      <c r="C41" s="12" t="s">
        <v>71</v>
      </c>
      <c r="D41" s="12">
        <v>3</v>
      </c>
      <c r="E41" s="12"/>
      <c r="F41" s="12"/>
    </row>
    <row r="42" spans="1:6">
      <c r="A42" s="7"/>
      <c r="B42" s="7" t="s">
        <v>72</v>
      </c>
      <c r="C42" s="12" t="s">
        <v>71</v>
      </c>
      <c r="D42" s="12">
        <v>1</v>
      </c>
      <c r="E42" s="12"/>
      <c r="F42" s="12"/>
    </row>
    <row r="43" spans="1:6">
      <c r="A43" s="7"/>
      <c r="B43" s="7" t="s">
        <v>70</v>
      </c>
      <c r="C43" s="12" t="s">
        <v>71</v>
      </c>
      <c r="D43" s="12">
        <v>2</v>
      </c>
      <c r="E43" s="12"/>
      <c r="F43" s="12"/>
    </row>
    <row r="44" spans="1:6">
      <c r="A44" s="7"/>
      <c r="B44" s="7" t="s">
        <v>100</v>
      </c>
      <c r="C44" s="12" t="s">
        <v>71</v>
      </c>
      <c r="D44" s="12">
        <v>1</v>
      </c>
      <c r="E44" s="12"/>
      <c r="F44" s="12"/>
    </row>
    <row r="45" spans="1:6">
      <c r="A45" s="7"/>
      <c r="B45" s="7" t="s">
        <v>152</v>
      </c>
      <c r="C45" s="12" t="s">
        <v>71</v>
      </c>
      <c r="D45" s="12">
        <v>1</v>
      </c>
      <c r="E45" s="12"/>
      <c r="F45" s="12"/>
    </row>
    <row r="46" spans="1:6">
      <c r="A46" s="7"/>
      <c r="B46" s="14" t="s">
        <v>172</v>
      </c>
      <c r="C46" s="12"/>
      <c r="D46" s="12"/>
      <c r="E46" s="12"/>
      <c r="F46" s="12"/>
    </row>
    <row r="47" spans="1:6">
      <c r="A47" s="7"/>
      <c r="B47" s="7" t="s">
        <v>176</v>
      </c>
      <c r="C47" s="12" t="s">
        <v>71</v>
      </c>
      <c r="D47" s="12">
        <v>3</v>
      </c>
      <c r="E47" s="12"/>
      <c r="F47" s="12"/>
    </row>
    <row r="48" spans="1:6">
      <c r="A48" s="7"/>
      <c r="B48" s="7" t="s">
        <v>72</v>
      </c>
      <c r="C48" s="12" t="s">
        <v>71</v>
      </c>
      <c r="D48" s="12">
        <v>1</v>
      </c>
      <c r="E48" s="12"/>
      <c r="F48" s="12"/>
    </row>
    <row r="49" spans="1:6">
      <c r="A49" s="7"/>
      <c r="B49" s="7" t="s">
        <v>70</v>
      </c>
      <c r="C49" s="12" t="s">
        <v>71</v>
      </c>
      <c r="D49" s="12">
        <v>2</v>
      </c>
      <c r="E49" s="12"/>
      <c r="F49" s="12"/>
    </row>
    <row r="50" spans="1:6">
      <c r="A50" s="7"/>
      <c r="B50" s="7" t="s">
        <v>100</v>
      </c>
      <c r="C50" s="12" t="s">
        <v>71</v>
      </c>
      <c r="D50" s="12">
        <v>1</v>
      </c>
      <c r="E50" s="12"/>
      <c r="F50" s="12"/>
    </row>
    <row r="51" spans="1:6">
      <c r="A51" s="7"/>
      <c r="B51" s="7" t="s">
        <v>152</v>
      </c>
      <c r="C51" s="12" t="s">
        <v>71</v>
      </c>
      <c r="D51" s="12">
        <v>1</v>
      </c>
      <c r="E51" s="12"/>
      <c r="F51" s="12"/>
    </row>
    <row r="52" spans="1:6">
      <c r="A52" s="7"/>
      <c r="B52" s="14" t="s">
        <v>171</v>
      </c>
      <c r="C52" s="12"/>
      <c r="D52" s="12"/>
      <c r="E52" s="12"/>
      <c r="F52" s="12"/>
    </row>
    <row r="53" spans="1:6">
      <c r="A53" s="7"/>
      <c r="B53" s="7" t="s">
        <v>176</v>
      </c>
      <c r="C53" s="12" t="s">
        <v>71</v>
      </c>
      <c r="D53" s="12">
        <v>4</v>
      </c>
      <c r="E53" s="12"/>
      <c r="F53" s="12"/>
    </row>
    <row r="54" spans="1:6">
      <c r="A54" s="7"/>
      <c r="B54" s="7" t="s">
        <v>72</v>
      </c>
      <c r="C54" s="12" t="s">
        <v>71</v>
      </c>
      <c r="D54" s="12">
        <v>1</v>
      </c>
      <c r="E54" s="12"/>
      <c r="F54" s="12"/>
    </row>
    <row r="55" spans="1:6">
      <c r="A55" s="7"/>
      <c r="B55" s="7" t="s">
        <v>70</v>
      </c>
      <c r="C55" s="12" t="s">
        <v>71</v>
      </c>
      <c r="D55" s="12">
        <v>2</v>
      </c>
      <c r="E55" s="12"/>
      <c r="F55" s="12"/>
    </row>
    <row r="56" spans="1:6">
      <c r="A56" s="7"/>
      <c r="B56" s="7" t="s">
        <v>100</v>
      </c>
      <c r="C56" s="12" t="s">
        <v>71</v>
      </c>
      <c r="D56" s="12">
        <v>1</v>
      </c>
      <c r="E56" s="12"/>
      <c r="F56" s="12"/>
    </row>
    <row r="57" spans="1:6">
      <c r="A57" s="7"/>
      <c r="B57" s="7" t="s">
        <v>152</v>
      </c>
      <c r="C57" s="12" t="s">
        <v>71</v>
      </c>
      <c r="D57" s="12">
        <v>1</v>
      </c>
      <c r="E57" s="12"/>
      <c r="F57" s="12"/>
    </row>
    <row r="58" spans="1:6">
      <c r="A58" s="7"/>
      <c r="B58" s="14" t="s">
        <v>173</v>
      </c>
      <c r="C58" s="12"/>
      <c r="D58" s="12"/>
      <c r="E58" s="12"/>
      <c r="F58" s="12"/>
    </row>
    <row r="59" spans="1:6">
      <c r="A59" s="7"/>
      <c r="B59" s="7" t="s">
        <v>176</v>
      </c>
      <c r="C59" s="12" t="s">
        <v>71</v>
      </c>
      <c r="D59" s="12">
        <v>2</v>
      </c>
      <c r="E59" s="12"/>
      <c r="F59" s="12"/>
    </row>
    <row r="60" spans="1:6">
      <c r="A60" s="7"/>
      <c r="B60" s="7" t="s">
        <v>70</v>
      </c>
      <c r="C60" s="12" t="s">
        <v>71</v>
      </c>
      <c r="D60" s="12">
        <v>1</v>
      </c>
      <c r="E60" s="12"/>
      <c r="F60" s="12"/>
    </row>
    <row r="61" spans="1:6">
      <c r="A61" s="7"/>
      <c r="B61" s="7" t="s">
        <v>100</v>
      </c>
      <c r="C61" s="12" t="s">
        <v>71</v>
      </c>
      <c r="D61" s="12">
        <v>1</v>
      </c>
      <c r="E61" s="12"/>
      <c r="F61" s="12"/>
    </row>
    <row r="62" spans="1:6">
      <c r="A62" s="7"/>
      <c r="B62" s="14" t="s">
        <v>164</v>
      </c>
      <c r="C62" s="12"/>
      <c r="D62" s="12"/>
      <c r="E62" s="12"/>
      <c r="F62" s="12"/>
    </row>
    <row r="63" spans="1:6">
      <c r="A63" s="7"/>
      <c r="B63" s="7" t="s">
        <v>178</v>
      </c>
      <c r="C63" s="12" t="s">
        <v>71</v>
      </c>
      <c r="D63" s="12">
        <v>8</v>
      </c>
      <c r="E63" s="12"/>
      <c r="F63" s="12"/>
    </row>
    <row r="64" spans="1:6">
      <c r="A64" s="7"/>
      <c r="B64" s="7" t="s">
        <v>72</v>
      </c>
      <c r="C64" s="12" t="s">
        <v>71</v>
      </c>
      <c r="D64" s="12">
        <v>1</v>
      </c>
      <c r="E64" s="12"/>
      <c r="F64" s="12"/>
    </row>
    <row r="65" spans="1:6">
      <c r="A65" s="7"/>
      <c r="B65" s="7" t="s">
        <v>70</v>
      </c>
      <c r="C65" s="12" t="s">
        <v>71</v>
      </c>
      <c r="D65" s="12">
        <v>2</v>
      </c>
      <c r="E65" s="12"/>
      <c r="F65" s="12"/>
    </row>
    <row r="66" spans="1:6">
      <c r="A66" s="7"/>
      <c r="B66" s="7" t="s">
        <v>100</v>
      </c>
      <c r="C66" s="12" t="s">
        <v>71</v>
      </c>
      <c r="D66" s="12">
        <v>1</v>
      </c>
      <c r="E66" s="12"/>
      <c r="F66" s="12"/>
    </row>
    <row r="67" spans="1:6">
      <c r="A67" s="7"/>
      <c r="B67" s="7" t="s">
        <v>105</v>
      </c>
      <c r="C67" s="12" t="s">
        <v>71</v>
      </c>
      <c r="D67" s="12">
        <v>2</v>
      </c>
      <c r="E67" s="12"/>
      <c r="F67" s="12"/>
    </row>
    <row r="68" spans="1:6">
      <c r="A68" s="7"/>
      <c r="B68" s="7" t="s">
        <v>152</v>
      </c>
      <c r="C68" s="12" t="s">
        <v>71</v>
      </c>
      <c r="D68" s="12">
        <v>1</v>
      </c>
      <c r="E68" s="12"/>
      <c r="F68" s="12"/>
    </row>
    <row r="69" spans="1:6">
      <c r="A69" s="7"/>
      <c r="B69" s="14" t="s">
        <v>165</v>
      </c>
      <c r="C69" s="12"/>
      <c r="D69" s="12"/>
      <c r="E69" s="12"/>
      <c r="F69" s="12"/>
    </row>
    <row r="70" spans="1:6">
      <c r="A70" s="7"/>
      <c r="B70" s="7" t="s">
        <v>179</v>
      </c>
      <c r="C70" s="12" t="s">
        <v>71</v>
      </c>
      <c r="D70" s="12">
        <v>4</v>
      </c>
      <c r="E70" s="12"/>
      <c r="F70" s="12"/>
    </row>
    <row r="71" spans="1:6">
      <c r="A71" s="7"/>
      <c r="B71" s="7" t="s">
        <v>72</v>
      </c>
      <c r="C71" s="12" t="s">
        <v>71</v>
      </c>
      <c r="D71" s="12">
        <v>1</v>
      </c>
      <c r="E71" s="12"/>
      <c r="F71" s="12"/>
    </row>
    <row r="72" spans="1:6">
      <c r="A72" s="7"/>
      <c r="B72" s="7" t="s">
        <v>70</v>
      </c>
      <c r="C72" s="12" t="s">
        <v>71</v>
      </c>
      <c r="D72" s="12">
        <v>1</v>
      </c>
      <c r="E72" s="12"/>
      <c r="F72" s="12"/>
    </row>
    <row r="73" spans="1:6">
      <c r="A73" s="7"/>
      <c r="B73" s="7" t="s">
        <v>100</v>
      </c>
      <c r="C73" s="12" t="s">
        <v>71</v>
      </c>
      <c r="D73" s="12">
        <v>1</v>
      </c>
      <c r="E73" s="12"/>
      <c r="F73" s="12"/>
    </row>
    <row r="74" spans="1:6">
      <c r="A74" s="7"/>
      <c r="B74" s="7" t="s">
        <v>152</v>
      </c>
      <c r="C74" s="12" t="s">
        <v>71</v>
      </c>
      <c r="D74" s="12">
        <v>1</v>
      </c>
      <c r="E74" s="12"/>
      <c r="F74" s="12"/>
    </row>
    <row r="75" spans="1:6">
      <c r="A75" s="7"/>
      <c r="B75" s="14" t="s">
        <v>175</v>
      </c>
      <c r="C75" s="12"/>
      <c r="D75" s="12"/>
      <c r="E75" s="12"/>
      <c r="F75" s="12"/>
    </row>
    <row r="76" spans="1:6">
      <c r="A76" s="7"/>
      <c r="B76" s="7" t="s">
        <v>177</v>
      </c>
      <c r="C76" s="12" t="s">
        <v>71</v>
      </c>
      <c r="D76" s="12">
        <v>1</v>
      </c>
      <c r="E76" s="12"/>
      <c r="F76" s="12"/>
    </row>
    <row r="77" spans="1:6">
      <c r="A77" s="7"/>
      <c r="B77" s="7" t="s">
        <v>180</v>
      </c>
      <c r="C77" s="12" t="s">
        <v>71</v>
      </c>
      <c r="D77" s="12">
        <v>2</v>
      </c>
      <c r="E77" s="12"/>
      <c r="F77" s="12"/>
    </row>
    <row r="78" spans="1:6">
      <c r="A78" s="7"/>
      <c r="B78" s="7" t="s">
        <v>72</v>
      </c>
      <c r="C78" s="12" t="s">
        <v>71</v>
      </c>
      <c r="D78" s="12">
        <v>1</v>
      </c>
      <c r="E78" s="12"/>
      <c r="F78" s="12"/>
    </row>
    <row r="79" spans="1:6">
      <c r="A79" s="7"/>
      <c r="B79" s="7" t="s">
        <v>100</v>
      </c>
      <c r="C79" s="12" t="s">
        <v>71</v>
      </c>
      <c r="D79" s="12">
        <v>1</v>
      </c>
      <c r="E79" s="12"/>
      <c r="F79" s="12"/>
    </row>
    <row r="80" spans="1:6">
      <c r="A80" s="7"/>
      <c r="B80" s="7" t="s">
        <v>152</v>
      </c>
      <c r="C80" s="12" t="s">
        <v>71</v>
      </c>
      <c r="D80" s="12">
        <v>1</v>
      </c>
      <c r="E80" s="12"/>
      <c r="F80" s="12"/>
    </row>
    <row r="81" spans="1:6">
      <c r="A81" s="7"/>
      <c r="B81" s="7" t="s">
        <v>105</v>
      </c>
      <c r="C81" s="12" t="s">
        <v>71</v>
      </c>
      <c r="D81" s="12">
        <v>1</v>
      </c>
      <c r="E81" s="12"/>
      <c r="F81" s="12"/>
    </row>
    <row r="82" spans="1:6">
      <c r="A82" s="7"/>
      <c r="B82" s="14" t="s">
        <v>174</v>
      </c>
      <c r="C82" s="12"/>
      <c r="D82" s="12"/>
      <c r="E82" s="12"/>
      <c r="F82" s="12"/>
    </row>
    <row r="83" spans="1:6">
      <c r="A83" s="7"/>
      <c r="B83" s="7" t="s">
        <v>177</v>
      </c>
      <c r="C83" s="12" t="s">
        <v>71</v>
      </c>
      <c r="D83" s="12">
        <v>4</v>
      </c>
      <c r="E83" s="12"/>
      <c r="F83" s="12"/>
    </row>
    <row r="84" spans="1:6">
      <c r="A84" s="7"/>
      <c r="B84" s="7" t="s">
        <v>180</v>
      </c>
      <c r="C84" s="12" t="s">
        <v>71</v>
      </c>
      <c r="D84" s="12">
        <v>1</v>
      </c>
      <c r="E84" s="12"/>
      <c r="F84" s="12"/>
    </row>
    <row r="85" spans="1:6">
      <c r="A85" s="7"/>
      <c r="B85" s="7" t="s">
        <v>72</v>
      </c>
      <c r="C85" s="12" t="s">
        <v>71</v>
      </c>
      <c r="D85" s="12">
        <v>1</v>
      </c>
      <c r="E85" s="12"/>
      <c r="F85" s="12"/>
    </row>
    <row r="86" spans="1:6">
      <c r="A86" s="7"/>
      <c r="B86" s="7" t="s">
        <v>100</v>
      </c>
      <c r="C86" s="12" t="s">
        <v>71</v>
      </c>
      <c r="D86" s="12">
        <v>2</v>
      </c>
      <c r="E86" s="12"/>
      <c r="F86" s="12"/>
    </row>
    <row r="87" spans="1:6">
      <c r="A87" s="7"/>
      <c r="B87" s="7" t="s">
        <v>152</v>
      </c>
      <c r="C87" s="12" t="s">
        <v>71</v>
      </c>
      <c r="D87" s="12">
        <v>1</v>
      </c>
      <c r="E87" s="12"/>
      <c r="F87" s="12"/>
    </row>
    <row r="88" spans="1:6">
      <c r="A88" s="7"/>
      <c r="B88" s="7" t="s">
        <v>105</v>
      </c>
      <c r="C88" s="12" t="s">
        <v>71</v>
      </c>
      <c r="D88" s="12">
        <v>2</v>
      </c>
      <c r="E88" s="12"/>
      <c r="F88" s="12"/>
    </row>
    <row r="89" spans="1:6">
      <c r="A89" s="7"/>
      <c r="B89" s="14" t="s">
        <v>160</v>
      </c>
      <c r="C89" s="12"/>
      <c r="D89" s="12"/>
      <c r="E89" s="12"/>
      <c r="F89" s="12"/>
    </row>
    <row r="90" spans="1:6">
      <c r="A90" s="7"/>
      <c r="B90" s="7" t="s">
        <v>177</v>
      </c>
      <c r="C90" s="12" t="s">
        <v>71</v>
      </c>
      <c r="D90" s="12">
        <v>6</v>
      </c>
      <c r="E90" s="12"/>
      <c r="F90" s="12"/>
    </row>
    <row r="91" spans="1:6">
      <c r="A91" s="7"/>
      <c r="B91" s="7" t="s">
        <v>72</v>
      </c>
      <c r="C91" s="12" t="s">
        <v>71</v>
      </c>
      <c r="D91" s="12">
        <v>1</v>
      </c>
      <c r="E91" s="12"/>
      <c r="F91" s="12"/>
    </row>
    <row r="92" spans="1:6">
      <c r="A92" s="7"/>
      <c r="B92" s="7" t="s">
        <v>100</v>
      </c>
      <c r="C92" s="12" t="s">
        <v>71</v>
      </c>
      <c r="D92" s="12">
        <v>1</v>
      </c>
      <c r="E92" s="12"/>
      <c r="F92" s="12"/>
    </row>
    <row r="93" spans="1:6">
      <c r="A93" s="7"/>
      <c r="B93" s="7" t="s">
        <v>152</v>
      </c>
      <c r="C93" s="12" t="s">
        <v>71</v>
      </c>
      <c r="D93" s="12">
        <v>1</v>
      </c>
      <c r="E93" s="12"/>
      <c r="F93" s="12"/>
    </row>
    <row r="94" spans="1:6">
      <c r="A94" s="7"/>
      <c r="B94" s="14" t="s">
        <v>161</v>
      </c>
      <c r="C94" s="12"/>
      <c r="D94" s="12"/>
      <c r="E94" s="12"/>
      <c r="F94" s="12"/>
    </row>
    <row r="95" spans="1:6">
      <c r="A95" s="7"/>
      <c r="B95" s="7" t="s">
        <v>176</v>
      </c>
      <c r="C95" s="12" t="s">
        <v>71</v>
      </c>
      <c r="D95" s="12">
        <v>6</v>
      </c>
      <c r="E95" s="12"/>
      <c r="F95" s="12"/>
    </row>
    <row r="96" spans="1:6">
      <c r="A96" s="7"/>
      <c r="B96" s="7" t="s">
        <v>72</v>
      </c>
      <c r="C96" s="12" t="s">
        <v>71</v>
      </c>
      <c r="D96" s="12">
        <v>1</v>
      </c>
      <c r="E96" s="12"/>
      <c r="F96" s="12"/>
    </row>
    <row r="97" spans="1:6">
      <c r="A97" s="7"/>
      <c r="B97" s="7" t="s">
        <v>70</v>
      </c>
      <c r="C97" s="12" t="s">
        <v>71</v>
      </c>
      <c r="D97" s="12">
        <v>2</v>
      </c>
      <c r="E97" s="12"/>
      <c r="F97" s="12"/>
    </row>
    <row r="98" spans="1:6">
      <c r="A98" s="7"/>
      <c r="B98" s="7" t="s">
        <v>100</v>
      </c>
      <c r="C98" s="12" t="s">
        <v>71</v>
      </c>
      <c r="D98" s="12">
        <v>1</v>
      </c>
      <c r="E98" s="12"/>
      <c r="F98" s="12"/>
    </row>
    <row r="99" spans="1:6">
      <c r="A99" s="7"/>
      <c r="B99" s="7" t="s">
        <v>152</v>
      </c>
      <c r="C99" s="12" t="s">
        <v>71</v>
      </c>
      <c r="D99" s="12">
        <v>1</v>
      </c>
      <c r="E99" s="12"/>
      <c r="F99" s="12"/>
    </row>
    <row r="100" spans="1:6">
      <c r="A100" s="7"/>
      <c r="B100" s="14" t="s">
        <v>494</v>
      </c>
      <c r="C100" s="12"/>
      <c r="D100" s="12"/>
      <c r="E100" s="12"/>
      <c r="F100" s="12"/>
    </row>
    <row r="101" spans="1:6" s="37" customFormat="1">
      <c r="A101" s="29"/>
      <c r="B101" s="29" t="s">
        <v>495</v>
      </c>
      <c r="C101" s="30" t="s">
        <v>71</v>
      </c>
      <c r="D101" s="30">
        <v>36</v>
      </c>
      <c r="E101" s="30"/>
      <c r="F101" s="30"/>
    </row>
    <row r="102" spans="1:6" s="37" customFormat="1">
      <c r="A102" s="29"/>
      <c r="B102" s="29" t="s">
        <v>503</v>
      </c>
      <c r="C102" s="30" t="s">
        <v>71</v>
      </c>
      <c r="D102" s="30">
        <v>3</v>
      </c>
      <c r="E102" s="30"/>
      <c r="F102" s="30"/>
    </row>
    <row r="103" spans="1:6" s="37" customFormat="1">
      <c r="A103" s="29"/>
      <c r="B103" s="29" t="s">
        <v>496</v>
      </c>
      <c r="C103" s="30" t="s">
        <v>71</v>
      </c>
      <c r="D103" s="30">
        <v>3</v>
      </c>
      <c r="E103" s="30"/>
      <c r="F103" s="30" t="s">
        <v>403</v>
      </c>
    </row>
    <row r="104" spans="1:6" s="37" customFormat="1">
      <c r="A104" s="29"/>
      <c r="B104" s="29" t="s">
        <v>496</v>
      </c>
      <c r="C104" s="30" t="s">
        <v>71</v>
      </c>
      <c r="D104" s="30">
        <v>3</v>
      </c>
      <c r="E104" s="30"/>
      <c r="F104" s="30" t="s">
        <v>406</v>
      </c>
    </row>
    <row r="105" spans="1:6" s="37" customFormat="1">
      <c r="A105" s="29"/>
      <c r="B105" s="29" t="s">
        <v>504</v>
      </c>
      <c r="C105" s="30" t="s">
        <v>71</v>
      </c>
      <c r="D105" s="30">
        <v>3</v>
      </c>
      <c r="E105" s="30"/>
      <c r="F105" s="30" t="s">
        <v>403</v>
      </c>
    </row>
    <row r="106" spans="1:6" s="37" customFormat="1">
      <c r="A106" s="29"/>
      <c r="B106" s="29" t="s">
        <v>497</v>
      </c>
      <c r="C106" s="30" t="s">
        <v>71</v>
      </c>
      <c r="D106" s="30">
        <v>2</v>
      </c>
      <c r="E106" s="30"/>
      <c r="F106" s="30" t="s">
        <v>403</v>
      </c>
    </row>
    <row r="107" spans="1:6" s="37" customFormat="1">
      <c r="A107" s="29"/>
      <c r="B107" s="29" t="s">
        <v>498</v>
      </c>
      <c r="C107" s="30" t="s">
        <v>71</v>
      </c>
      <c r="D107" s="30">
        <v>1</v>
      </c>
      <c r="E107" s="30"/>
      <c r="F107" s="30" t="s">
        <v>403</v>
      </c>
    </row>
    <row r="108" spans="1:6" s="37" customFormat="1">
      <c r="A108" s="29"/>
      <c r="B108" s="29" t="s">
        <v>497</v>
      </c>
      <c r="C108" s="30" t="s">
        <v>71</v>
      </c>
      <c r="D108" s="30">
        <v>2</v>
      </c>
      <c r="E108" s="30"/>
      <c r="F108" s="30" t="s">
        <v>499</v>
      </c>
    </row>
    <row r="109" spans="1:6" s="37" customFormat="1">
      <c r="A109" s="29"/>
      <c r="B109" s="29" t="s">
        <v>500</v>
      </c>
      <c r="C109" s="30" t="s">
        <v>71</v>
      </c>
      <c r="D109" s="30">
        <v>2</v>
      </c>
      <c r="E109" s="30"/>
      <c r="F109" s="30" t="s">
        <v>499</v>
      </c>
    </row>
    <row r="110" spans="1:6" s="37" customFormat="1">
      <c r="A110" s="29"/>
      <c r="B110" s="29" t="s">
        <v>497</v>
      </c>
      <c r="C110" s="30" t="s">
        <v>71</v>
      </c>
      <c r="D110" s="30">
        <v>2</v>
      </c>
      <c r="E110" s="30"/>
      <c r="F110" s="30" t="s">
        <v>501</v>
      </c>
    </row>
    <row r="111" spans="1:6" s="37" customFormat="1">
      <c r="A111" s="29"/>
      <c r="B111" s="29" t="s">
        <v>502</v>
      </c>
      <c r="C111" s="30" t="s">
        <v>71</v>
      </c>
      <c r="D111" s="30">
        <v>1</v>
      </c>
      <c r="E111" s="30"/>
      <c r="F111" s="30" t="s">
        <v>406</v>
      </c>
    </row>
    <row r="112" spans="1:6" s="47" customFormat="1" ht="33">
      <c r="A112" s="45"/>
      <c r="B112" s="46" t="s">
        <v>505</v>
      </c>
      <c r="C112" s="42" t="s">
        <v>71</v>
      </c>
      <c r="D112" s="42">
        <v>8</v>
      </c>
      <c r="E112" s="42"/>
      <c r="F112" s="42"/>
    </row>
    <row r="113" spans="1:6">
      <c r="A113" s="7"/>
      <c r="B113" s="7"/>
      <c r="C113" s="12"/>
      <c r="D113" s="12"/>
      <c r="E113" s="12"/>
      <c r="F113" s="12"/>
    </row>
  </sheetData>
  <mergeCells count="9">
    <mergeCell ref="A1:F1"/>
    <mergeCell ref="A2:F2"/>
    <mergeCell ref="A3:F3"/>
    <mergeCell ref="A5:A6"/>
    <mergeCell ref="B5:B6"/>
    <mergeCell ref="C5:C6"/>
    <mergeCell ref="D5:D6"/>
    <mergeCell ref="E5:E6"/>
    <mergeCell ref="F5:F6"/>
  </mergeCells>
  <pageMargins left="0.59055118110236227" right="0.39370078740157483" top="0.47244094488188981" bottom="0.47244094488188981" header="0.31496062992125984" footer="0.31496062992125984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9"/>
  <sheetViews>
    <sheetView view="pageBreakPreview" topLeftCell="A164" zoomScaleNormal="100" zoomScaleSheetLayoutView="100" workbookViewId="0">
      <selection activeCell="B179" sqref="B179"/>
    </sheetView>
  </sheetViews>
  <sheetFormatPr defaultColWidth="9.140625" defaultRowHeight="16.5"/>
  <cols>
    <col min="1" max="1" width="5.5703125" style="2" customWidth="1"/>
    <col min="2" max="2" width="45.140625" style="2" customWidth="1"/>
    <col min="3" max="4" width="9.140625" style="13"/>
    <col min="5" max="5" width="0" style="13" hidden="1" customWidth="1"/>
    <col min="6" max="6" width="17.85546875" style="13" customWidth="1"/>
    <col min="7" max="16384" width="9.140625" style="2"/>
  </cols>
  <sheetData>
    <row r="1" spans="1:6" s="1" customFormat="1" ht="20.25" customHeight="1">
      <c r="A1" s="368" t="s">
        <v>158</v>
      </c>
      <c r="B1" s="368"/>
      <c r="C1" s="368"/>
      <c r="D1" s="368"/>
      <c r="E1" s="368"/>
      <c r="F1" s="368"/>
    </row>
    <row r="2" spans="1:6" s="1" customFormat="1" ht="20.25" customHeight="1">
      <c r="A2" s="369" t="s">
        <v>302</v>
      </c>
      <c r="B2" s="369"/>
      <c r="C2" s="369"/>
      <c r="D2" s="369"/>
      <c r="E2" s="369"/>
      <c r="F2" s="369"/>
    </row>
    <row r="3" spans="1:6" s="1" customFormat="1" ht="15.75" customHeight="1">
      <c r="A3" s="370" t="s">
        <v>2</v>
      </c>
      <c r="B3" s="370"/>
      <c r="C3" s="370"/>
      <c r="D3" s="370"/>
      <c r="E3" s="370"/>
      <c r="F3" s="370"/>
    </row>
    <row r="4" spans="1:6" s="1" customFormat="1" ht="21.75" hidden="1" customHeight="1">
      <c r="A4" s="378" t="s">
        <v>3</v>
      </c>
      <c r="B4" s="378"/>
      <c r="C4" s="378"/>
      <c r="D4" s="378"/>
      <c r="E4" s="10"/>
      <c r="F4" s="10"/>
    </row>
    <row r="5" spans="1:6" s="1" customFormat="1" ht="15.75" customHeight="1">
      <c r="A5" s="371" t="s">
        <v>4</v>
      </c>
      <c r="B5" s="371" t="s">
        <v>5</v>
      </c>
      <c r="C5" s="379" t="s">
        <v>6</v>
      </c>
      <c r="D5" s="373" t="s">
        <v>7</v>
      </c>
      <c r="E5" s="373" t="s">
        <v>8</v>
      </c>
      <c r="F5" s="379" t="s">
        <v>9</v>
      </c>
    </row>
    <row r="6" spans="1:6" s="1" customFormat="1" ht="17.25" customHeight="1">
      <c r="A6" s="372"/>
      <c r="B6" s="372"/>
      <c r="C6" s="380"/>
      <c r="D6" s="374"/>
      <c r="E6" s="374"/>
      <c r="F6" s="380"/>
    </row>
    <row r="7" spans="1:6">
      <c r="A7" s="12"/>
      <c r="B7" s="19" t="s">
        <v>111</v>
      </c>
      <c r="C7" s="12"/>
      <c r="D7" s="12"/>
      <c r="E7" s="12"/>
      <c r="F7" s="12"/>
    </row>
    <row r="8" spans="1:6">
      <c r="A8" s="12"/>
      <c r="B8" s="7" t="s">
        <v>303</v>
      </c>
      <c r="C8" s="12" t="s">
        <v>71</v>
      </c>
      <c r="D8" s="12">
        <v>3</v>
      </c>
      <c r="E8" s="12"/>
      <c r="F8" s="12"/>
    </row>
    <row r="9" spans="1:6">
      <c r="A9" s="12"/>
      <c r="B9" s="7" t="s">
        <v>101</v>
      </c>
      <c r="C9" s="12" t="s">
        <v>71</v>
      </c>
      <c r="D9" s="12">
        <v>1</v>
      </c>
      <c r="E9" s="12"/>
      <c r="F9" s="12"/>
    </row>
    <row r="10" spans="1:6">
      <c r="A10" s="12"/>
      <c r="B10" s="7" t="s">
        <v>70</v>
      </c>
      <c r="C10" s="12" t="s">
        <v>71</v>
      </c>
      <c r="D10" s="12">
        <v>5</v>
      </c>
      <c r="E10" s="12"/>
      <c r="F10" s="12"/>
    </row>
    <row r="11" spans="1:6">
      <c r="A11" s="12"/>
      <c r="B11" s="7" t="s">
        <v>67</v>
      </c>
      <c r="C11" s="12" t="s">
        <v>71</v>
      </c>
      <c r="D11" s="12">
        <v>1</v>
      </c>
      <c r="E11" s="12"/>
      <c r="F11" s="12"/>
    </row>
    <row r="12" spans="1:6">
      <c r="A12" s="12"/>
      <c r="B12" s="7" t="s">
        <v>304</v>
      </c>
      <c r="C12" s="12" t="s">
        <v>71</v>
      </c>
      <c r="D12" s="12">
        <v>1</v>
      </c>
      <c r="E12" s="12"/>
      <c r="F12" s="12"/>
    </row>
    <row r="13" spans="1:6">
      <c r="A13" s="12"/>
      <c r="B13" s="7" t="s">
        <v>305</v>
      </c>
      <c r="C13" s="12" t="s">
        <v>191</v>
      </c>
      <c r="D13" s="12"/>
      <c r="E13" s="12"/>
      <c r="F13" s="12"/>
    </row>
    <row r="14" spans="1:6" s="37" customFormat="1">
      <c r="A14" s="12"/>
      <c r="B14" s="29" t="s">
        <v>381</v>
      </c>
      <c r="C14" s="30" t="s">
        <v>71</v>
      </c>
      <c r="D14" s="30">
        <v>1</v>
      </c>
      <c r="E14" s="30"/>
      <c r="F14" s="30"/>
    </row>
    <row r="15" spans="1:6">
      <c r="A15" s="12"/>
      <c r="B15" s="19" t="s">
        <v>112</v>
      </c>
      <c r="C15" s="12"/>
      <c r="D15" s="12"/>
      <c r="E15" s="12"/>
      <c r="F15" s="12"/>
    </row>
    <row r="16" spans="1:6">
      <c r="A16" s="12"/>
      <c r="B16" s="7" t="s">
        <v>303</v>
      </c>
      <c r="C16" s="12" t="s">
        <v>71</v>
      </c>
      <c r="D16" s="12">
        <v>9</v>
      </c>
      <c r="E16" s="12"/>
      <c r="F16" s="12"/>
    </row>
    <row r="17" spans="1:6">
      <c r="A17" s="12"/>
      <c r="B17" s="7" t="s">
        <v>101</v>
      </c>
      <c r="C17" s="12" t="s">
        <v>71</v>
      </c>
      <c r="D17" s="12">
        <v>1</v>
      </c>
      <c r="E17" s="12"/>
      <c r="F17" s="12"/>
    </row>
    <row r="18" spans="1:6">
      <c r="A18" s="12"/>
      <c r="B18" s="7" t="s">
        <v>70</v>
      </c>
      <c r="C18" s="12" t="s">
        <v>71</v>
      </c>
      <c r="D18" s="12">
        <v>5</v>
      </c>
      <c r="E18" s="12"/>
      <c r="F18" s="12"/>
    </row>
    <row r="19" spans="1:6">
      <c r="A19" s="12"/>
      <c r="B19" s="7" t="s">
        <v>67</v>
      </c>
      <c r="C19" s="12" t="s">
        <v>71</v>
      </c>
      <c r="D19" s="12">
        <v>1</v>
      </c>
      <c r="E19" s="12"/>
      <c r="F19" s="12"/>
    </row>
    <row r="20" spans="1:6" s="37" customFormat="1">
      <c r="A20" s="12"/>
      <c r="B20" s="29" t="s">
        <v>381</v>
      </c>
      <c r="C20" s="30" t="s">
        <v>71</v>
      </c>
      <c r="D20" s="30">
        <v>2</v>
      </c>
      <c r="E20" s="30"/>
      <c r="F20" s="30"/>
    </row>
    <row r="21" spans="1:6">
      <c r="A21" s="12"/>
      <c r="B21" s="19" t="s">
        <v>306</v>
      </c>
      <c r="C21" s="12"/>
      <c r="D21" s="12"/>
      <c r="E21" s="12"/>
      <c r="F21" s="12"/>
    </row>
    <row r="22" spans="1:6">
      <c r="A22" s="12"/>
      <c r="B22" s="7" t="s">
        <v>303</v>
      </c>
      <c r="C22" s="12" t="s">
        <v>71</v>
      </c>
      <c r="D22" s="12">
        <v>12</v>
      </c>
      <c r="E22" s="12"/>
      <c r="F22" s="12"/>
    </row>
    <row r="23" spans="1:6">
      <c r="A23" s="12"/>
      <c r="B23" s="7" t="s">
        <v>127</v>
      </c>
      <c r="C23" s="12" t="s">
        <v>71</v>
      </c>
      <c r="D23" s="12">
        <v>3</v>
      </c>
      <c r="E23" s="12"/>
      <c r="F23" s="12"/>
    </row>
    <row r="24" spans="1:6">
      <c r="A24" s="12"/>
      <c r="B24" s="7" t="s">
        <v>100</v>
      </c>
      <c r="C24" s="12" t="s">
        <v>71</v>
      </c>
      <c r="D24" s="12">
        <v>1</v>
      </c>
      <c r="E24" s="12"/>
      <c r="F24" s="12"/>
    </row>
    <row r="25" spans="1:6">
      <c r="A25" s="12"/>
      <c r="B25" s="7" t="s">
        <v>101</v>
      </c>
      <c r="C25" s="12" t="s">
        <v>71</v>
      </c>
      <c r="D25" s="12">
        <v>2</v>
      </c>
      <c r="E25" s="12"/>
      <c r="F25" s="12"/>
    </row>
    <row r="26" spans="1:6">
      <c r="A26" s="12"/>
      <c r="B26" s="7" t="s">
        <v>70</v>
      </c>
      <c r="C26" s="12" t="s">
        <v>71</v>
      </c>
      <c r="D26" s="12">
        <v>10</v>
      </c>
      <c r="E26" s="12"/>
      <c r="F26" s="12"/>
    </row>
    <row r="27" spans="1:6">
      <c r="A27" s="12"/>
      <c r="B27" s="7" t="s">
        <v>67</v>
      </c>
      <c r="C27" s="12" t="s">
        <v>71</v>
      </c>
      <c r="D27" s="12">
        <v>1</v>
      </c>
      <c r="E27" s="12"/>
      <c r="F27" s="12"/>
    </row>
    <row r="28" spans="1:6">
      <c r="A28" s="12"/>
      <c r="B28" s="7" t="s">
        <v>307</v>
      </c>
      <c r="C28" s="12" t="s">
        <v>308</v>
      </c>
      <c r="D28" s="12">
        <v>1</v>
      </c>
      <c r="E28" s="12"/>
      <c r="F28" s="12"/>
    </row>
    <row r="29" spans="1:6" s="37" customFormat="1">
      <c r="A29" s="12"/>
      <c r="B29" s="29" t="s">
        <v>381</v>
      </c>
      <c r="C29" s="30" t="s">
        <v>71</v>
      </c>
      <c r="D29" s="30">
        <v>1</v>
      </c>
      <c r="E29" s="30"/>
      <c r="F29" s="30" t="s">
        <v>490</v>
      </c>
    </row>
    <row r="30" spans="1:6" s="37" customFormat="1">
      <c r="A30" s="12"/>
      <c r="B30" s="29" t="s">
        <v>381</v>
      </c>
      <c r="C30" s="30" t="s">
        <v>71</v>
      </c>
      <c r="D30" s="30">
        <v>3</v>
      </c>
      <c r="E30" s="30"/>
      <c r="F30" s="30"/>
    </row>
    <row r="31" spans="1:6" s="37" customFormat="1">
      <c r="A31" s="12"/>
      <c r="B31" s="29" t="s">
        <v>382</v>
      </c>
      <c r="C31" s="30" t="s">
        <v>71</v>
      </c>
      <c r="D31" s="30">
        <v>4</v>
      </c>
      <c r="E31" s="30"/>
      <c r="F31" s="30"/>
    </row>
    <row r="32" spans="1:6">
      <c r="A32" s="12"/>
      <c r="B32" s="19" t="s">
        <v>113</v>
      </c>
      <c r="C32" s="12"/>
      <c r="D32" s="12"/>
      <c r="E32" s="12"/>
      <c r="F32" s="12"/>
    </row>
    <row r="33" spans="1:6">
      <c r="A33" s="12"/>
      <c r="B33" s="7" t="s">
        <v>303</v>
      </c>
      <c r="C33" s="12" t="s">
        <v>71</v>
      </c>
      <c r="D33" s="12">
        <v>9</v>
      </c>
      <c r="E33" s="12"/>
      <c r="F33" s="12"/>
    </row>
    <row r="34" spans="1:6">
      <c r="A34" s="12"/>
      <c r="B34" s="7" t="s">
        <v>128</v>
      </c>
      <c r="C34" s="12" t="s">
        <v>71</v>
      </c>
      <c r="D34" s="12">
        <v>3</v>
      </c>
      <c r="E34" s="12"/>
      <c r="F34" s="12"/>
    </row>
    <row r="35" spans="1:6">
      <c r="A35" s="12"/>
      <c r="B35" s="7" t="s">
        <v>100</v>
      </c>
      <c r="C35" s="12" t="s">
        <v>71</v>
      </c>
      <c r="D35" s="12">
        <v>1</v>
      </c>
      <c r="E35" s="12"/>
      <c r="F35" s="12"/>
    </row>
    <row r="36" spans="1:6">
      <c r="A36" s="12"/>
      <c r="B36" s="7" t="s">
        <v>77</v>
      </c>
      <c r="C36" s="12" t="s">
        <v>71</v>
      </c>
      <c r="D36" s="12">
        <v>1</v>
      </c>
      <c r="E36" s="12"/>
      <c r="F36" s="12"/>
    </row>
    <row r="37" spans="1:6">
      <c r="A37" s="12"/>
      <c r="B37" s="7" t="s">
        <v>70</v>
      </c>
      <c r="C37" s="12" t="s">
        <v>71</v>
      </c>
      <c r="D37" s="12">
        <v>7</v>
      </c>
      <c r="E37" s="12"/>
      <c r="F37" s="12"/>
    </row>
    <row r="38" spans="1:6">
      <c r="A38" s="12"/>
      <c r="B38" s="7" t="s">
        <v>67</v>
      </c>
      <c r="C38" s="12" t="s">
        <v>71</v>
      </c>
      <c r="D38" s="12">
        <v>1</v>
      </c>
      <c r="E38" s="12"/>
      <c r="F38" s="12"/>
    </row>
    <row r="39" spans="1:6" s="37" customFormat="1">
      <c r="A39" s="12"/>
      <c r="B39" s="29" t="s">
        <v>482</v>
      </c>
      <c r="C39" s="30" t="s">
        <v>71</v>
      </c>
      <c r="D39" s="30">
        <v>1</v>
      </c>
      <c r="E39" s="30"/>
      <c r="F39" s="30"/>
    </row>
    <row r="40" spans="1:6" s="37" customFormat="1">
      <c r="A40" s="12"/>
      <c r="B40" s="29" t="s">
        <v>381</v>
      </c>
      <c r="C40" s="30" t="s">
        <v>71</v>
      </c>
      <c r="D40" s="30">
        <v>3</v>
      </c>
      <c r="E40" s="30"/>
      <c r="F40" s="30"/>
    </row>
    <row r="41" spans="1:6" s="37" customFormat="1">
      <c r="A41" s="12"/>
      <c r="B41" s="29" t="s">
        <v>382</v>
      </c>
      <c r="C41" s="30" t="s">
        <v>71</v>
      </c>
      <c r="D41" s="30">
        <v>4</v>
      </c>
      <c r="E41" s="30"/>
      <c r="F41" s="30"/>
    </row>
    <row r="42" spans="1:6">
      <c r="A42" s="12"/>
      <c r="B42" s="19" t="s">
        <v>114</v>
      </c>
      <c r="C42" s="12"/>
      <c r="D42" s="12"/>
      <c r="E42" s="12"/>
      <c r="F42" s="12"/>
    </row>
    <row r="43" spans="1:6">
      <c r="A43" s="12"/>
      <c r="B43" s="7" t="s">
        <v>303</v>
      </c>
      <c r="C43" s="12" t="s">
        <v>71</v>
      </c>
      <c r="D43" s="12">
        <v>6</v>
      </c>
      <c r="E43" s="12"/>
      <c r="F43" s="12"/>
    </row>
    <row r="44" spans="1:6">
      <c r="A44" s="12"/>
      <c r="B44" s="7" t="s">
        <v>101</v>
      </c>
      <c r="C44" s="12" t="s">
        <v>71</v>
      </c>
      <c r="D44" s="12">
        <v>1</v>
      </c>
      <c r="E44" s="12"/>
      <c r="F44" s="12"/>
    </row>
    <row r="45" spans="1:6">
      <c r="A45" s="12"/>
      <c r="B45" s="7" t="s">
        <v>70</v>
      </c>
      <c r="C45" s="12" t="s">
        <v>71</v>
      </c>
      <c r="D45" s="12">
        <v>5</v>
      </c>
      <c r="E45" s="12"/>
      <c r="F45" s="12"/>
    </row>
    <row r="46" spans="1:6">
      <c r="A46" s="12"/>
      <c r="B46" s="7" t="s">
        <v>67</v>
      </c>
      <c r="C46" s="12" t="s">
        <v>71</v>
      </c>
      <c r="D46" s="12">
        <v>1</v>
      </c>
      <c r="E46" s="12"/>
      <c r="F46" s="12"/>
    </row>
    <row r="47" spans="1:6" s="37" customFormat="1">
      <c r="A47" s="12"/>
      <c r="B47" s="29" t="s">
        <v>471</v>
      </c>
      <c r="C47" s="30" t="s">
        <v>71</v>
      </c>
      <c r="D47" s="30">
        <v>1</v>
      </c>
      <c r="E47" s="30"/>
      <c r="F47" s="30"/>
    </row>
    <row r="48" spans="1:6" s="37" customFormat="1">
      <c r="A48" s="12"/>
      <c r="B48" s="29" t="s">
        <v>388</v>
      </c>
      <c r="C48" s="30" t="s">
        <v>71</v>
      </c>
      <c r="D48" s="30">
        <v>2</v>
      </c>
      <c r="E48" s="30"/>
      <c r="F48" s="30"/>
    </row>
    <row r="49" spans="1:6" s="37" customFormat="1">
      <c r="A49" s="12"/>
      <c r="B49" s="29" t="s">
        <v>382</v>
      </c>
      <c r="C49" s="30" t="s">
        <v>71</v>
      </c>
      <c r="D49" s="30">
        <v>2</v>
      </c>
      <c r="E49" s="30"/>
      <c r="F49" s="30"/>
    </row>
    <row r="50" spans="1:6">
      <c r="A50" s="12"/>
      <c r="B50" s="19" t="s">
        <v>115</v>
      </c>
      <c r="C50" s="12"/>
      <c r="D50" s="12"/>
      <c r="E50" s="12"/>
      <c r="F50" s="12"/>
    </row>
    <row r="51" spans="1:6">
      <c r="A51" s="12"/>
      <c r="B51" s="7" t="s">
        <v>303</v>
      </c>
      <c r="C51" s="12" t="s">
        <v>71</v>
      </c>
      <c r="D51" s="12">
        <v>10</v>
      </c>
      <c r="E51" s="12"/>
      <c r="F51" s="12"/>
    </row>
    <row r="52" spans="1:6">
      <c r="A52" s="12"/>
      <c r="B52" s="7" t="s">
        <v>79</v>
      </c>
      <c r="C52" s="12" t="s">
        <v>71</v>
      </c>
      <c r="D52" s="12">
        <v>1</v>
      </c>
      <c r="E52" s="12"/>
      <c r="F52" s="12"/>
    </row>
    <row r="53" spans="1:6">
      <c r="A53" s="12"/>
      <c r="B53" s="7" t="s">
        <v>70</v>
      </c>
      <c r="C53" s="12" t="s">
        <v>71</v>
      </c>
      <c r="D53" s="12">
        <v>6</v>
      </c>
      <c r="E53" s="12"/>
      <c r="F53" s="12"/>
    </row>
    <row r="54" spans="1:6">
      <c r="A54" s="12"/>
      <c r="B54" s="7" t="s">
        <v>67</v>
      </c>
      <c r="C54" s="12" t="s">
        <v>71</v>
      </c>
      <c r="D54" s="12">
        <v>1</v>
      </c>
      <c r="E54" s="12"/>
      <c r="F54" s="12"/>
    </row>
    <row r="55" spans="1:6" s="37" customFormat="1">
      <c r="A55" s="12"/>
      <c r="B55" s="29" t="s">
        <v>482</v>
      </c>
      <c r="C55" s="30" t="s">
        <v>71</v>
      </c>
      <c r="D55" s="30">
        <v>1</v>
      </c>
      <c r="E55" s="30"/>
      <c r="F55" s="30"/>
    </row>
    <row r="56" spans="1:6" s="37" customFormat="1">
      <c r="A56" s="12"/>
      <c r="B56" s="29" t="s">
        <v>388</v>
      </c>
      <c r="C56" s="30" t="s">
        <v>71</v>
      </c>
      <c r="D56" s="30">
        <v>3</v>
      </c>
      <c r="E56" s="30"/>
      <c r="F56" s="30"/>
    </row>
    <row r="57" spans="1:6" s="37" customFormat="1">
      <c r="A57" s="12"/>
      <c r="B57" s="29" t="s">
        <v>382</v>
      </c>
      <c r="C57" s="30" t="s">
        <v>71</v>
      </c>
      <c r="D57" s="30">
        <v>3</v>
      </c>
      <c r="E57" s="30"/>
      <c r="F57" s="30"/>
    </row>
    <row r="58" spans="1:6">
      <c r="A58" s="12"/>
      <c r="B58" s="19" t="s">
        <v>116</v>
      </c>
      <c r="C58" s="12"/>
      <c r="D58" s="12"/>
      <c r="E58" s="12"/>
      <c r="F58" s="12"/>
    </row>
    <row r="59" spans="1:6">
      <c r="A59" s="12"/>
      <c r="B59" s="7" t="s">
        <v>75</v>
      </c>
      <c r="C59" s="12" t="s">
        <v>71</v>
      </c>
      <c r="D59" s="12">
        <v>6</v>
      </c>
      <c r="E59" s="12"/>
      <c r="F59" s="12"/>
    </row>
    <row r="60" spans="1:6">
      <c r="A60" s="12"/>
      <c r="B60" s="7" t="s">
        <v>101</v>
      </c>
      <c r="C60" s="12" t="s">
        <v>71</v>
      </c>
      <c r="D60" s="12">
        <v>1</v>
      </c>
      <c r="E60" s="12"/>
      <c r="F60" s="12"/>
    </row>
    <row r="61" spans="1:6">
      <c r="A61" s="12"/>
      <c r="B61" s="7" t="s">
        <v>70</v>
      </c>
      <c r="C61" s="12" t="s">
        <v>71</v>
      </c>
      <c r="D61" s="12">
        <v>4</v>
      </c>
      <c r="E61" s="12"/>
      <c r="F61" s="12"/>
    </row>
    <row r="62" spans="1:6">
      <c r="A62" s="12"/>
      <c r="B62" s="7" t="s">
        <v>67</v>
      </c>
      <c r="C62" s="12" t="s">
        <v>71</v>
      </c>
      <c r="D62" s="12">
        <v>1</v>
      </c>
      <c r="E62" s="12"/>
      <c r="F62" s="12"/>
    </row>
    <row r="63" spans="1:6" s="37" customFormat="1">
      <c r="A63" s="12"/>
      <c r="B63" s="29" t="s">
        <v>464</v>
      </c>
      <c r="C63" s="30" t="s">
        <v>71</v>
      </c>
      <c r="D63" s="30">
        <v>1</v>
      </c>
      <c r="E63" s="30"/>
      <c r="F63" s="30"/>
    </row>
    <row r="64" spans="1:6" s="37" customFormat="1">
      <c r="A64" s="12"/>
      <c r="B64" s="29" t="s">
        <v>388</v>
      </c>
      <c r="C64" s="30" t="s">
        <v>71</v>
      </c>
      <c r="D64" s="30">
        <v>1</v>
      </c>
      <c r="E64" s="30"/>
      <c r="F64" s="30"/>
    </row>
    <row r="65" spans="1:6" s="37" customFormat="1">
      <c r="A65" s="12"/>
      <c r="B65" s="29" t="s">
        <v>382</v>
      </c>
      <c r="C65" s="30" t="s">
        <v>71</v>
      </c>
      <c r="D65" s="30">
        <v>1</v>
      </c>
      <c r="E65" s="30"/>
      <c r="F65" s="30"/>
    </row>
    <row r="66" spans="1:6">
      <c r="A66" s="12"/>
      <c r="B66" s="19" t="s">
        <v>117</v>
      </c>
      <c r="C66" s="12"/>
      <c r="D66" s="12"/>
      <c r="E66" s="12"/>
      <c r="F66" s="12"/>
    </row>
    <row r="67" spans="1:6">
      <c r="A67" s="12"/>
      <c r="B67" s="7" t="s">
        <v>303</v>
      </c>
      <c r="C67" s="12" t="s">
        <v>71</v>
      </c>
      <c r="D67" s="12">
        <v>6</v>
      </c>
      <c r="E67" s="12"/>
      <c r="F67" s="12"/>
    </row>
    <row r="68" spans="1:6">
      <c r="A68" s="12"/>
      <c r="B68" s="7" t="s">
        <v>100</v>
      </c>
      <c r="C68" s="12" t="s">
        <v>71</v>
      </c>
      <c r="D68" s="12">
        <v>2</v>
      </c>
      <c r="E68" s="12"/>
      <c r="F68" s="12"/>
    </row>
    <row r="69" spans="1:6">
      <c r="A69" s="12"/>
      <c r="B69" s="7" t="s">
        <v>101</v>
      </c>
      <c r="C69" s="12" t="s">
        <v>71</v>
      </c>
      <c r="D69" s="12">
        <v>1</v>
      </c>
      <c r="E69" s="12"/>
      <c r="F69" s="12"/>
    </row>
    <row r="70" spans="1:6">
      <c r="A70" s="12"/>
      <c r="B70" s="7" t="s">
        <v>70</v>
      </c>
      <c r="C70" s="12" t="s">
        <v>71</v>
      </c>
      <c r="D70" s="12">
        <v>8</v>
      </c>
      <c r="E70" s="12"/>
      <c r="F70" s="12"/>
    </row>
    <row r="71" spans="1:6">
      <c r="A71" s="12"/>
      <c r="B71" s="7" t="s">
        <v>67</v>
      </c>
      <c r="C71" s="12" t="s">
        <v>71</v>
      </c>
      <c r="D71" s="12">
        <v>1</v>
      </c>
      <c r="E71" s="12"/>
      <c r="F71" s="12"/>
    </row>
    <row r="72" spans="1:6" s="37" customFormat="1">
      <c r="A72" s="12"/>
      <c r="B72" s="29" t="s">
        <v>464</v>
      </c>
      <c r="C72" s="30" t="s">
        <v>71</v>
      </c>
      <c r="D72" s="30">
        <v>1</v>
      </c>
      <c r="E72" s="30"/>
      <c r="F72" s="30"/>
    </row>
    <row r="73" spans="1:6" s="37" customFormat="1">
      <c r="A73" s="12"/>
      <c r="B73" s="29" t="s">
        <v>388</v>
      </c>
      <c r="C73" s="30" t="s">
        <v>71</v>
      </c>
      <c r="D73" s="30">
        <v>1</v>
      </c>
      <c r="E73" s="30"/>
      <c r="F73" s="30"/>
    </row>
    <row r="74" spans="1:6" s="37" customFormat="1">
      <c r="A74" s="12"/>
      <c r="B74" s="29" t="s">
        <v>455</v>
      </c>
      <c r="C74" s="30" t="s">
        <v>71</v>
      </c>
      <c r="D74" s="30">
        <v>1</v>
      </c>
      <c r="E74" s="30"/>
      <c r="F74" s="30" t="s">
        <v>491</v>
      </c>
    </row>
    <row r="75" spans="1:6" s="37" customFormat="1">
      <c r="A75" s="12"/>
      <c r="B75" s="29" t="s">
        <v>455</v>
      </c>
      <c r="C75" s="30" t="s">
        <v>71</v>
      </c>
      <c r="D75" s="30">
        <v>1</v>
      </c>
      <c r="E75" s="30"/>
      <c r="F75" s="30" t="s">
        <v>492</v>
      </c>
    </row>
    <row r="76" spans="1:6" s="37" customFormat="1">
      <c r="A76" s="12"/>
      <c r="B76" s="29" t="s">
        <v>382</v>
      </c>
      <c r="C76" s="30" t="s">
        <v>71</v>
      </c>
      <c r="D76" s="30">
        <v>1</v>
      </c>
      <c r="E76" s="30"/>
      <c r="F76" s="30"/>
    </row>
    <row r="77" spans="1:6">
      <c r="A77" s="12"/>
      <c r="B77" s="19" t="s">
        <v>118</v>
      </c>
      <c r="C77" s="12"/>
      <c r="D77" s="12"/>
      <c r="E77" s="12"/>
      <c r="F77" s="12"/>
    </row>
    <row r="78" spans="1:6">
      <c r="A78" s="12"/>
      <c r="B78" s="7" t="s">
        <v>303</v>
      </c>
      <c r="C78" s="12" t="s">
        <v>71</v>
      </c>
      <c r="D78" s="12">
        <v>4</v>
      </c>
      <c r="E78" s="12"/>
      <c r="F78" s="12"/>
    </row>
    <row r="79" spans="1:6">
      <c r="A79" s="12"/>
      <c r="B79" s="7" t="s">
        <v>101</v>
      </c>
      <c r="C79" s="12" t="s">
        <v>71</v>
      </c>
      <c r="D79" s="12">
        <v>1</v>
      </c>
      <c r="E79" s="12"/>
      <c r="F79" s="12"/>
    </row>
    <row r="80" spans="1:6">
      <c r="A80" s="12"/>
      <c r="B80" s="7" t="s">
        <v>70</v>
      </c>
      <c r="C80" s="12" t="s">
        <v>71</v>
      </c>
      <c r="D80" s="12">
        <v>4</v>
      </c>
      <c r="E80" s="12"/>
      <c r="F80" s="12"/>
    </row>
    <row r="81" spans="1:6">
      <c r="A81" s="12"/>
      <c r="B81" s="7" t="s">
        <v>67</v>
      </c>
      <c r="C81" s="12" t="s">
        <v>71</v>
      </c>
      <c r="D81" s="12">
        <v>1</v>
      </c>
      <c r="E81" s="12"/>
      <c r="F81" s="12"/>
    </row>
    <row r="82" spans="1:6" s="37" customFormat="1">
      <c r="A82" s="12"/>
      <c r="B82" s="29" t="s">
        <v>381</v>
      </c>
      <c r="C82" s="30" t="s">
        <v>71</v>
      </c>
      <c r="D82" s="30">
        <v>1</v>
      </c>
      <c r="E82" s="30"/>
      <c r="F82" s="30"/>
    </row>
    <row r="83" spans="1:6">
      <c r="A83" s="12"/>
      <c r="B83" s="19" t="s">
        <v>119</v>
      </c>
      <c r="C83" s="12"/>
      <c r="D83" s="12"/>
      <c r="E83" s="12"/>
      <c r="F83" s="12"/>
    </row>
    <row r="84" spans="1:6">
      <c r="A84" s="12"/>
      <c r="B84" s="7" t="s">
        <v>75</v>
      </c>
      <c r="C84" s="12" t="s">
        <v>71</v>
      </c>
      <c r="D84" s="12">
        <v>6</v>
      </c>
      <c r="E84" s="12"/>
      <c r="F84" s="12"/>
    </row>
    <row r="85" spans="1:6">
      <c r="A85" s="12"/>
      <c r="B85" s="7" t="s">
        <v>101</v>
      </c>
      <c r="C85" s="12" t="s">
        <v>71</v>
      </c>
      <c r="D85" s="12">
        <v>1</v>
      </c>
      <c r="E85" s="12"/>
      <c r="F85" s="12"/>
    </row>
    <row r="86" spans="1:6">
      <c r="A86" s="12"/>
      <c r="B86" s="7" t="s">
        <v>70</v>
      </c>
      <c r="C86" s="12" t="s">
        <v>71</v>
      </c>
      <c r="D86" s="12">
        <v>3</v>
      </c>
      <c r="E86" s="12"/>
      <c r="F86" s="12"/>
    </row>
    <row r="87" spans="1:6">
      <c r="A87" s="12"/>
      <c r="B87" s="7" t="s">
        <v>67</v>
      </c>
      <c r="C87" s="12" t="s">
        <v>71</v>
      </c>
      <c r="D87" s="12">
        <v>1</v>
      </c>
      <c r="E87" s="12"/>
      <c r="F87" s="12"/>
    </row>
    <row r="88" spans="1:6" s="37" customFormat="1">
      <c r="A88" s="12"/>
      <c r="B88" s="29" t="s">
        <v>471</v>
      </c>
      <c r="C88" s="30" t="s">
        <v>71</v>
      </c>
      <c r="D88" s="30">
        <v>1</v>
      </c>
      <c r="E88" s="30"/>
      <c r="F88" s="30"/>
    </row>
    <row r="89" spans="1:6" s="37" customFormat="1">
      <c r="A89" s="12"/>
      <c r="B89" s="29" t="s">
        <v>388</v>
      </c>
      <c r="C89" s="30" t="s">
        <v>71</v>
      </c>
      <c r="D89" s="30">
        <v>1</v>
      </c>
      <c r="E89" s="30"/>
      <c r="F89" s="30"/>
    </row>
    <row r="90" spans="1:6" s="37" customFormat="1">
      <c r="A90" s="12"/>
      <c r="B90" s="29" t="s">
        <v>382</v>
      </c>
      <c r="C90" s="30" t="s">
        <v>71</v>
      </c>
      <c r="D90" s="30">
        <v>1</v>
      </c>
      <c r="E90" s="30"/>
      <c r="F90" s="30"/>
    </row>
    <row r="91" spans="1:6">
      <c r="A91" s="12"/>
      <c r="B91" s="19" t="s">
        <v>120</v>
      </c>
      <c r="C91" s="12"/>
      <c r="D91" s="12"/>
      <c r="E91" s="12"/>
      <c r="F91" s="12"/>
    </row>
    <row r="92" spans="1:6">
      <c r="A92" s="12"/>
      <c r="B92" s="7" t="s">
        <v>303</v>
      </c>
      <c r="C92" s="12" t="s">
        <v>71</v>
      </c>
      <c r="D92" s="12">
        <v>6</v>
      </c>
      <c r="E92" s="12"/>
      <c r="F92" s="12"/>
    </row>
    <row r="93" spans="1:6">
      <c r="A93" s="12"/>
      <c r="B93" s="7" t="s">
        <v>101</v>
      </c>
      <c r="C93" s="12" t="s">
        <v>71</v>
      </c>
      <c r="D93" s="12">
        <v>1</v>
      </c>
      <c r="E93" s="12"/>
      <c r="F93" s="12"/>
    </row>
    <row r="94" spans="1:6">
      <c r="A94" s="12"/>
      <c r="B94" s="7" t="s">
        <v>70</v>
      </c>
      <c r="C94" s="12" t="s">
        <v>71</v>
      </c>
      <c r="D94" s="12">
        <v>5</v>
      </c>
      <c r="E94" s="12"/>
      <c r="F94" s="12"/>
    </row>
    <row r="95" spans="1:6">
      <c r="A95" s="12"/>
      <c r="B95" s="7" t="s">
        <v>67</v>
      </c>
      <c r="C95" s="12" t="s">
        <v>71</v>
      </c>
      <c r="D95" s="12">
        <v>1</v>
      </c>
      <c r="E95" s="12"/>
      <c r="F95" s="12"/>
    </row>
    <row r="96" spans="1:6" s="37" customFormat="1">
      <c r="A96" s="12"/>
      <c r="B96" s="29" t="s">
        <v>464</v>
      </c>
      <c r="C96" s="30" t="s">
        <v>71</v>
      </c>
      <c r="D96" s="30">
        <v>1</v>
      </c>
      <c r="E96" s="30"/>
      <c r="F96" s="30"/>
    </row>
    <row r="97" spans="1:6" s="37" customFormat="1">
      <c r="A97" s="12"/>
      <c r="B97" s="29" t="s">
        <v>388</v>
      </c>
      <c r="C97" s="30" t="s">
        <v>71</v>
      </c>
      <c r="D97" s="30">
        <v>1</v>
      </c>
      <c r="E97" s="30"/>
      <c r="F97" s="30"/>
    </row>
    <row r="98" spans="1:6" s="37" customFormat="1">
      <c r="A98" s="12"/>
      <c r="B98" s="29" t="s">
        <v>382</v>
      </c>
      <c r="C98" s="30" t="s">
        <v>71</v>
      </c>
      <c r="D98" s="30">
        <v>2</v>
      </c>
      <c r="E98" s="30"/>
      <c r="F98" s="30"/>
    </row>
    <row r="99" spans="1:6">
      <c r="A99" s="12"/>
      <c r="B99" s="19" t="s">
        <v>121</v>
      </c>
      <c r="C99" s="12"/>
      <c r="D99" s="12"/>
      <c r="E99" s="12"/>
      <c r="F99" s="12"/>
    </row>
    <row r="100" spans="1:6">
      <c r="A100" s="12"/>
      <c r="B100" s="7" t="s">
        <v>303</v>
      </c>
      <c r="C100" s="12" t="s">
        <v>71</v>
      </c>
      <c r="D100" s="12">
        <v>6</v>
      </c>
      <c r="E100" s="12"/>
      <c r="F100" s="12"/>
    </row>
    <row r="101" spans="1:6">
      <c r="A101" s="12"/>
      <c r="B101" s="7" t="s">
        <v>74</v>
      </c>
      <c r="C101" s="12" t="s">
        <v>71</v>
      </c>
      <c r="D101" s="12">
        <v>2</v>
      </c>
      <c r="E101" s="12"/>
      <c r="F101" s="12"/>
    </row>
    <row r="102" spans="1:6">
      <c r="A102" s="12"/>
      <c r="B102" s="7" t="s">
        <v>100</v>
      </c>
      <c r="C102" s="12" t="s">
        <v>71</v>
      </c>
      <c r="D102" s="12">
        <v>1</v>
      </c>
      <c r="E102" s="12"/>
      <c r="F102" s="12"/>
    </row>
    <row r="103" spans="1:6">
      <c r="A103" s="12"/>
      <c r="B103" s="7" t="s">
        <v>101</v>
      </c>
      <c r="C103" s="12" t="s">
        <v>71</v>
      </c>
      <c r="D103" s="12">
        <v>1</v>
      </c>
      <c r="E103" s="12"/>
      <c r="F103" s="12"/>
    </row>
    <row r="104" spans="1:6">
      <c r="A104" s="12"/>
      <c r="B104" s="7" t="s">
        <v>70</v>
      </c>
      <c r="C104" s="12" t="s">
        <v>71</v>
      </c>
      <c r="D104" s="12">
        <v>8</v>
      </c>
      <c r="E104" s="12"/>
      <c r="F104" s="12"/>
    </row>
    <row r="105" spans="1:6">
      <c r="A105" s="12"/>
      <c r="B105" s="7" t="s">
        <v>67</v>
      </c>
      <c r="C105" s="12" t="s">
        <v>71</v>
      </c>
      <c r="D105" s="12">
        <v>1</v>
      </c>
      <c r="E105" s="12"/>
      <c r="F105" s="12"/>
    </row>
    <row r="106" spans="1:6" s="37" customFormat="1">
      <c r="A106" s="12"/>
      <c r="B106" s="29" t="s">
        <v>471</v>
      </c>
      <c r="C106" s="30" t="s">
        <v>71</v>
      </c>
      <c r="D106" s="30">
        <v>1</v>
      </c>
      <c r="E106" s="30"/>
      <c r="F106" s="30"/>
    </row>
    <row r="107" spans="1:6" s="37" customFormat="1">
      <c r="A107" s="12"/>
      <c r="B107" s="29" t="s">
        <v>489</v>
      </c>
      <c r="C107" s="30" t="s">
        <v>71</v>
      </c>
      <c r="D107" s="30">
        <v>1</v>
      </c>
      <c r="E107" s="30"/>
      <c r="F107" s="30"/>
    </row>
    <row r="108" spans="1:6" s="37" customFormat="1">
      <c r="A108" s="12"/>
      <c r="B108" s="29" t="s">
        <v>449</v>
      </c>
      <c r="C108" s="30" t="s">
        <v>71</v>
      </c>
      <c r="D108" s="30">
        <v>1</v>
      </c>
      <c r="E108" s="30"/>
      <c r="F108" s="30"/>
    </row>
    <row r="109" spans="1:6" s="37" customFormat="1">
      <c r="A109" s="12"/>
      <c r="B109" s="29" t="s">
        <v>408</v>
      </c>
      <c r="C109" s="30" t="s">
        <v>71</v>
      </c>
      <c r="D109" s="30">
        <v>1</v>
      </c>
      <c r="E109" s="30"/>
      <c r="F109" s="30"/>
    </row>
    <row r="110" spans="1:6" s="37" customFormat="1">
      <c r="A110" s="12"/>
      <c r="B110" s="29" t="s">
        <v>388</v>
      </c>
      <c r="C110" s="30" t="s">
        <v>71</v>
      </c>
      <c r="D110" s="30">
        <v>2</v>
      </c>
      <c r="E110" s="30"/>
      <c r="F110" s="30"/>
    </row>
    <row r="111" spans="1:6" s="37" customFormat="1">
      <c r="A111" s="12"/>
      <c r="B111" s="29" t="s">
        <v>382</v>
      </c>
      <c r="C111" s="30" t="s">
        <v>71</v>
      </c>
      <c r="D111" s="30">
        <v>2</v>
      </c>
      <c r="E111" s="30"/>
      <c r="F111" s="30"/>
    </row>
    <row r="112" spans="1:6">
      <c r="A112" s="12"/>
      <c r="B112" s="19" t="s">
        <v>122</v>
      </c>
      <c r="C112" s="12"/>
      <c r="D112" s="12"/>
      <c r="E112" s="12"/>
      <c r="F112" s="12"/>
    </row>
    <row r="113" spans="1:6">
      <c r="A113" s="12"/>
      <c r="B113" s="7" t="s">
        <v>303</v>
      </c>
      <c r="C113" s="12" t="s">
        <v>71</v>
      </c>
      <c r="D113" s="12">
        <v>3</v>
      </c>
      <c r="E113" s="12"/>
      <c r="F113" s="12"/>
    </row>
    <row r="114" spans="1:6">
      <c r="A114" s="12"/>
      <c r="B114" s="7" t="s">
        <v>75</v>
      </c>
      <c r="C114" s="12" t="s">
        <v>71</v>
      </c>
      <c r="D114" s="12">
        <v>4</v>
      </c>
      <c r="E114" s="12"/>
      <c r="F114" s="12"/>
    </row>
    <row r="115" spans="1:6">
      <c r="A115" s="12"/>
      <c r="B115" s="7" t="s">
        <v>100</v>
      </c>
      <c r="C115" s="12" t="s">
        <v>71</v>
      </c>
      <c r="D115" s="12">
        <v>3</v>
      </c>
      <c r="E115" s="12"/>
      <c r="F115" s="12"/>
    </row>
    <row r="116" spans="1:6">
      <c r="A116" s="12"/>
      <c r="B116" s="7" t="s">
        <v>70</v>
      </c>
      <c r="C116" s="12" t="s">
        <v>71</v>
      </c>
      <c r="D116" s="12">
        <v>8</v>
      </c>
      <c r="E116" s="12"/>
      <c r="F116" s="12"/>
    </row>
    <row r="117" spans="1:6">
      <c r="A117" s="12"/>
      <c r="B117" s="7" t="s">
        <v>67</v>
      </c>
      <c r="C117" s="12" t="s">
        <v>71</v>
      </c>
      <c r="D117" s="12">
        <v>1</v>
      </c>
      <c r="E117" s="12"/>
      <c r="F117" s="12"/>
    </row>
    <row r="118" spans="1:6" s="37" customFormat="1">
      <c r="A118" s="12"/>
      <c r="B118" s="29" t="s">
        <v>464</v>
      </c>
      <c r="C118" s="30" t="s">
        <v>71</v>
      </c>
      <c r="D118" s="30">
        <v>1</v>
      </c>
      <c r="E118" s="30"/>
      <c r="F118" s="30"/>
    </row>
    <row r="119" spans="1:6" s="37" customFormat="1">
      <c r="A119" s="12"/>
      <c r="B119" s="29" t="s">
        <v>464</v>
      </c>
      <c r="C119" s="30" t="s">
        <v>71</v>
      </c>
      <c r="D119" s="30">
        <v>1</v>
      </c>
      <c r="E119" s="30"/>
      <c r="F119" s="30" t="s">
        <v>483</v>
      </c>
    </row>
    <row r="120" spans="1:6" s="37" customFormat="1">
      <c r="A120" s="12"/>
      <c r="B120" s="29" t="s">
        <v>388</v>
      </c>
      <c r="C120" s="30" t="s">
        <v>71</v>
      </c>
      <c r="D120" s="30">
        <v>1</v>
      </c>
      <c r="E120" s="30"/>
      <c r="F120" s="30" t="s">
        <v>483</v>
      </c>
    </row>
    <row r="121" spans="1:6" s="37" customFormat="1">
      <c r="A121" s="12"/>
      <c r="B121" s="29" t="s">
        <v>388</v>
      </c>
      <c r="C121" s="30" t="s">
        <v>71</v>
      </c>
      <c r="D121" s="30">
        <v>1</v>
      </c>
      <c r="E121" s="30"/>
      <c r="F121" s="30"/>
    </row>
    <row r="122" spans="1:6">
      <c r="A122" s="12"/>
      <c r="B122" s="19" t="s">
        <v>123</v>
      </c>
      <c r="C122" s="12"/>
      <c r="D122" s="12"/>
      <c r="E122" s="12"/>
      <c r="F122" s="12"/>
    </row>
    <row r="123" spans="1:6">
      <c r="A123" s="12"/>
      <c r="B123" s="7" t="s">
        <v>303</v>
      </c>
      <c r="C123" s="12" t="s">
        <v>71</v>
      </c>
      <c r="D123" s="12">
        <v>4</v>
      </c>
      <c r="E123" s="12"/>
      <c r="F123" s="12"/>
    </row>
    <row r="124" spans="1:6">
      <c r="A124" s="12"/>
      <c r="B124" s="7" t="s">
        <v>101</v>
      </c>
      <c r="C124" s="12" t="s">
        <v>71</v>
      </c>
      <c r="D124" s="12">
        <v>1</v>
      </c>
      <c r="E124" s="12"/>
      <c r="F124" s="12"/>
    </row>
    <row r="125" spans="1:6">
      <c r="A125" s="12"/>
      <c r="B125" s="7" t="s">
        <v>70</v>
      </c>
      <c r="C125" s="12" t="s">
        <v>71</v>
      </c>
      <c r="D125" s="12">
        <v>4</v>
      </c>
      <c r="E125" s="12"/>
      <c r="F125" s="12"/>
    </row>
    <row r="126" spans="1:6">
      <c r="A126" s="12"/>
      <c r="B126" s="7" t="s">
        <v>67</v>
      </c>
      <c r="C126" s="12" t="s">
        <v>71</v>
      </c>
      <c r="D126" s="12">
        <v>1</v>
      </c>
      <c r="E126" s="12"/>
      <c r="F126" s="12"/>
    </row>
    <row r="127" spans="1:6" s="37" customFormat="1">
      <c r="A127" s="12"/>
      <c r="B127" s="29" t="s">
        <v>464</v>
      </c>
      <c r="C127" s="30" t="s">
        <v>71</v>
      </c>
      <c r="D127" s="30">
        <v>1</v>
      </c>
      <c r="E127" s="30"/>
      <c r="F127" s="30"/>
    </row>
    <row r="128" spans="1:6" s="37" customFormat="1">
      <c r="A128" s="12"/>
      <c r="B128" s="29" t="s">
        <v>388</v>
      </c>
      <c r="C128" s="30" t="s">
        <v>71</v>
      </c>
      <c r="D128" s="30">
        <v>1</v>
      </c>
      <c r="E128" s="30"/>
      <c r="F128" s="30"/>
    </row>
    <row r="129" spans="1:6" s="37" customFormat="1">
      <c r="A129" s="12"/>
      <c r="B129" s="29" t="s">
        <v>382</v>
      </c>
      <c r="C129" s="30" t="s">
        <v>71</v>
      </c>
      <c r="D129" s="30">
        <v>1</v>
      </c>
      <c r="E129" s="30"/>
      <c r="F129" s="30"/>
    </row>
    <row r="130" spans="1:6">
      <c r="A130" s="12"/>
      <c r="B130" s="19" t="s">
        <v>124</v>
      </c>
      <c r="C130" s="12"/>
      <c r="D130" s="12"/>
      <c r="E130" s="12"/>
      <c r="F130" s="12"/>
    </row>
    <row r="131" spans="1:6">
      <c r="A131" s="12"/>
      <c r="B131" s="7" t="s">
        <v>303</v>
      </c>
      <c r="C131" s="12" t="s">
        <v>71</v>
      </c>
      <c r="D131" s="12">
        <v>4</v>
      </c>
      <c r="E131" s="12"/>
      <c r="F131" s="12"/>
    </row>
    <row r="132" spans="1:6">
      <c r="A132" s="12"/>
      <c r="B132" s="7" t="s">
        <v>101</v>
      </c>
      <c r="C132" s="12" t="s">
        <v>71</v>
      </c>
      <c r="D132" s="12">
        <v>1</v>
      </c>
      <c r="E132" s="12"/>
      <c r="F132" s="12"/>
    </row>
    <row r="133" spans="1:6">
      <c r="A133" s="12"/>
      <c r="B133" s="7" t="s">
        <v>70</v>
      </c>
      <c r="C133" s="12" t="s">
        <v>71</v>
      </c>
      <c r="D133" s="12">
        <v>5</v>
      </c>
      <c r="E133" s="12"/>
      <c r="F133" s="12"/>
    </row>
    <row r="134" spans="1:6">
      <c r="A134" s="12"/>
      <c r="B134" s="7" t="s">
        <v>67</v>
      </c>
      <c r="C134" s="12" t="s">
        <v>71</v>
      </c>
      <c r="D134" s="12">
        <v>1</v>
      </c>
      <c r="E134" s="12"/>
      <c r="F134" s="12"/>
    </row>
    <row r="135" spans="1:6" s="37" customFormat="1">
      <c r="A135" s="12"/>
      <c r="B135" s="29" t="s">
        <v>464</v>
      </c>
      <c r="C135" s="30" t="s">
        <v>71</v>
      </c>
      <c r="D135" s="30">
        <v>1</v>
      </c>
      <c r="E135" s="30"/>
      <c r="F135" s="30"/>
    </row>
    <row r="136" spans="1:6" s="37" customFormat="1">
      <c r="A136" s="12"/>
      <c r="B136" s="29" t="s">
        <v>388</v>
      </c>
      <c r="C136" s="30" t="s">
        <v>71</v>
      </c>
      <c r="D136" s="30">
        <v>1</v>
      </c>
      <c r="E136" s="30"/>
      <c r="F136" s="30"/>
    </row>
    <row r="137" spans="1:6" s="37" customFormat="1">
      <c r="A137" s="12"/>
      <c r="B137" s="29" t="s">
        <v>382</v>
      </c>
      <c r="C137" s="30" t="s">
        <v>71</v>
      </c>
      <c r="D137" s="30">
        <v>1</v>
      </c>
      <c r="E137" s="30"/>
      <c r="F137" s="30"/>
    </row>
    <row r="138" spans="1:6">
      <c r="A138" s="12"/>
      <c r="B138" s="19" t="s">
        <v>125</v>
      </c>
      <c r="C138" s="12"/>
      <c r="D138" s="12"/>
      <c r="E138" s="12"/>
      <c r="F138" s="12"/>
    </row>
    <row r="139" spans="1:6">
      <c r="A139" s="12"/>
      <c r="B139" s="7" t="s">
        <v>303</v>
      </c>
      <c r="C139" s="12" t="s">
        <v>71</v>
      </c>
      <c r="D139" s="12">
        <v>4</v>
      </c>
      <c r="E139" s="12"/>
      <c r="F139" s="12"/>
    </row>
    <row r="140" spans="1:6">
      <c r="A140" s="12"/>
      <c r="B140" s="7" t="s">
        <v>101</v>
      </c>
      <c r="C140" s="12" t="s">
        <v>71</v>
      </c>
      <c r="D140" s="12">
        <v>1</v>
      </c>
      <c r="E140" s="12"/>
      <c r="F140" s="12"/>
    </row>
    <row r="141" spans="1:6">
      <c r="A141" s="12"/>
      <c r="B141" s="7" t="s">
        <v>70</v>
      </c>
      <c r="C141" s="12" t="s">
        <v>71</v>
      </c>
      <c r="D141" s="12">
        <v>4</v>
      </c>
      <c r="E141" s="12"/>
      <c r="F141" s="12"/>
    </row>
    <row r="142" spans="1:6">
      <c r="A142" s="12"/>
      <c r="B142" s="7" t="s">
        <v>67</v>
      </c>
      <c r="C142" s="12" t="s">
        <v>71</v>
      </c>
      <c r="D142" s="12">
        <v>1</v>
      </c>
      <c r="E142" s="12"/>
      <c r="F142" s="12"/>
    </row>
    <row r="143" spans="1:6" s="37" customFormat="1">
      <c r="A143" s="12"/>
      <c r="B143" s="29" t="s">
        <v>464</v>
      </c>
      <c r="C143" s="30" t="s">
        <v>71</v>
      </c>
      <c r="D143" s="30">
        <v>1</v>
      </c>
      <c r="E143" s="30"/>
      <c r="F143" s="30"/>
    </row>
    <row r="144" spans="1:6" s="37" customFormat="1">
      <c r="A144" s="12"/>
      <c r="B144" s="29" t="s">
        <v>388</v>
      </c>
      <c r="C144" s="30" t="s">
        <v>71</v>
      </c>
      <c r="D144" s="30">
        <v>1</v>
      </c>
      <c r="E144" s="30"/>
      <c r="F144" s="30"/>
    </row>
    <row r="145" spans="1:6" s="37" customFormat="1">
      <c r="A145" s="12"/>
      <c r="B145" s="29" t="s">
        <v>382</v>
      </c>
      <c r="C145" s="30" t="s">
        <v>71</v>
      </c>
      <c r="D145" s="30">
        <v>1</v>
      </c>
      <c r="E145" s="30"/>
      <c r="F145" s="30"/>
    </row>
    <row r="146" spans="1:6">
      <c r="A146" s="12"/>
      <c r="B146" s="19" t="s">
        <v>309</v>
      </c>
      <c r="C146" s="12"/>
      <c r="D146" s="12"/>
      <c r="E146" s="12"/>
      <c r="F146" s="12"/>
    </row>
    <row r="147" spans="1:6">
      <c r="A147" s="12"/>
      <c r="B147" s="7" t="s">
        <v>303</v>
      </c>
      <c r="C147" s="12" t="s">
        <v>71</v>
      </c>
      <c r="D147" s="12">
        <v>6</v>
      </c>
      <c r="E147" s="12"/>
      <c r="F147" s="12"/>
    </row>
    <row r="148" spans="1:6">
      <c r="A148" s="12"/>
      <c r="B148" s="7" t="s">
        <v>101</v>
      </c>
      <c r="C148" s="12" t="s">
        <v>71</v>
      </c>
      <c r="D148" s="12">
        <v>1</v>
      </c>
      <c r="E148" s="12"/>
      <c r="F148" s="12"/>
    </row>
    <row r="149" spans="1:6">
      <c r="A149" s="12"/>
      <c r="B149" s="7" t="s">
        <v>70</v>
      </c>
      <c r="C149" s="12" t="s">
        <v>71</v>
      </c>
      <c r="D149" s="12">
        <v>6</v>
      </c>
      <c r="E149" s="12"/>
      <c r="F149" s="12"/>
    </row>
    <row r="150" spans="1:6">
      <c r="A150" s="12"/>
      <c r="B150" s="7" t="s">
        <v>67</v>
      </c>
      <c r="C150" s="12" t="s">
        <v>71</v>
      </c>
      <c r="D150" s="12">
        <v>1</v>
      </c>
      <c r="E150" s="12"/>
      <c r="F150" s="12"/>
    </row>
    <row r="151" spans="1:6" s="37" customFormat="1">
      <c r="A151" s="12"/>
      <c r="B151" s="29" t="s">
        <v>471</v>
      </c>
      <c r="C151" s="30" t="s">
        <v>71</v>
      </c>
      <c r="D151" s="30">
        <v>1</v>
      </c>
      <c r="E151" s="30"/>
      <c r="F151" s="30"/>
    </row>
    <row r="152" spans="1:6" s="37" customFormat="1">
      <c r="A152" s="12"/>
      <c r="B152" s="29" t="s">
        <v>388</v>
      </c>
      <c r="C152" s="30" t="s">
        <v>71</v>
      </c>
      <c r="D152" s="30">
        <v>2</v>
      </c>
      <c r="E152" s="30"/>
      <c r="F152" s="30"/>
    </row>
    <row r="153" spans="1:6" s="37" customFormat="1">
      <c r="A153" s="12"/>
      <c r="B153" s="29" t="s">
        <v>382</v>
      </c>
      <c r="C153" s="30" t="s">
        <v>71</v>
      </c>
      <c r="D153" s="30">
        <v>2</v>
      </c>
      <c r="E153" s="30"/>
      <c r="F153" s="30"/>
    </row>
    <row r="154" spans="1:6">
      <c r="A154" s="12"/>
      <c r="B154" s="19" t="s">
        <v>126</v>
      </c>
      <c r="C154" s="12"/>
      <c r="D154" s="12"/>
      <c r="E154" s="12"/>
      <c r="F154" s="12"/>
    </row>
    <row r="155" spans="1:6">
      <c r="A155" s="12"/>
      <c r="B155" s="7" t="s">
        <v>303</v>
      </c>
      <c r="C155" s="12" t="s">
        <v>71</v>
      </c>
      <c r="D155" s="12">
        <v>4</v>
      </c>
      <c r="E155" s="12"/>
      <c r="F155" s="12"/>
    </row>
    <row r="156" spans="1:6">
      <c r="A156" s="12"/>
      <c r="B156" s="7" t="s">
        <v>101</v>
      </c>
      <c r="C156" s="12" t="s">
        <v>71</v>
      </c>
      <c r="D156" s="12">
        <v>1</v>
      </c>
      <c r="E156" s="12"/>
      <c r="F156" s="12"/>
    </row>
    <row r="157" spans="1:6">
      <c r="A157" s="12"/>
      <c r="B157" s="7" t="s">
        <v>70</v>
      </c>
      <c r="C157" s="12" t="s">
        <v>71</v>
      </c>
      <c r="D157" s="12">
        <v>4</v>
      </c>
      <c r="E157" s="12"/>
      <c r="F157" s="12"/>
    </row>
    <row r="158" spans="1:6">
      <c r="A158" s="12"/>
      <c r="B158" s="7" t="s">
        <v>67</v>
      </c>
      <c r="C158" s="12" t="s">
        <v>71</v>
      </c>
      <c r="D158" s="12">
        <v>1</v>
      </c>
      <c r="E158" s="12"/>
      <c r="F158" s="12"/>
    </row>
    <row r="159" spans="1:6" s="37" customFormat="1">
      <c r="A159" s="12"/>
      <c r="B159" s="29" t="s">
        <v>382</v>
      </c>
      <c r="C159" s="30" t="s">
        <v>71</v>
      </c>
      <c r="D159" s="30">
        <v>1</v>
      </c>
      <c r="E159" s="30"/>
      <c r="F159" s="30"/>
    </row>
    <row r="160" spans="1:6" s="44" customFormat="1">
      <c r="A160" s="22"/>
      <c r="B160" s="43" t="s">
        <v>310</v>
      </c>
      <c r="C160" s="22"/>
      <c r="D160" s="22"/>
      <c r="E160" s="22"/>
      <c r="F160" s="22"/>
    </row>
    <row r="161" spans="1:6">
      <c r="A161" s="12"/>
      <c r="B161" s="7" t="s">
        <v>108</v>
      </c>
      <c r="C161" s="12" t="s">
        <v>71</v>
      </c>
      <c r="D161" s="12">
        <v>1</v>
      </c>
      <c r="E161" s="12"/>
      <c r="F161" s="12"/>
    </row>
    <row r="162" spans="1:6">
      <c r="A162" s="12"/>
      <c r="B162" s="7" t="s">
        <v>100</v>
      </c>
      <c r="C162" s="12" t="s">
        <v>71</v>
      </c>
      <c r="D162" s="12">
        <v>1</v>
      </c>
      <c r="E162" s="12"/>
      <c r="F162" s="12"/>
    </row>
    <row r="163" spans="1:6">
      <c r="A163" s="12"/>
      <c r="B163" s="20" t="s">
        <v>107</v>
      </c>
      <c r="C163" s="12"/>
      <c r="D163" s="12"/>
      <c r="E163" s="12"/>
      <c r="F163" s="12"/>
    </row>
    <row r="164" spans="1:6">
      <c r="A164" s="12"/>
      <c r="B164" s="7" t="s">
        <v>75</v>
      </c>
      <c r="C164" s="12" t="s">
        <v>71</v>
      </c>
      <c r="D164" s="12">
        <v>168</v>
      </c>
      <c r="E164" s="12"/>
      <c r="F164" s="12"/>
    </row>
    <row r="165" spans="1:6">
      <c r="A165" s="12"/>
      <c r="B165" s="7" t="s">
        <v>108</v>
      </c>
      <c r="C165" s="12" t="s">
        <v>71</v>
      </c>
      <c r="D165" s="12">
        <v>47</v>
      </c>
      <c r="E165" s="12"/>
      <c r="F165" s="12"/>
    </row>
    <row r="166" spans="1:6">
      <c r="A166" s="12"/>
      <c r="B166" s="7" t="s">
        <v>76</v>
      </c>
      <c r="C166" s="12" t="s">
        <v>71</v>
      </c>
      <c r="D166" s="12">
        <v>3</v>
      </c>
      <c r="E166" s="12"/>
      <c r="F166" s="12"/>
    </row>
    <row r="167" spans="1:6">
      <c r="A167" s="12"/>
      <c r="B167" s="7" t="s">
        <v>69</v>
      </c>
      <c r="C167" s="12" t="s">
        <v>71</v>
      </c>
      <c r="D167" s="12">
        <v>4</v>
      </c>
      <c r="E167" s="12"/>
      <c r="F167" s="12"/>
    </row>
    <row r="168" spans="1:6">
      <c r="A168" s="12"/>
      <c r="B168" s="7" t="s">
        <v>181</v>
      </c>
      <c r="C168" s="12" t="s">
        <v>71</v>
      </c>
      <c r="D168" s="12">
        <v>1</v>
      </c>
      <c r="E168" s="12"/>
      <c r="F168" s="12"/>
    </row>
    <row r="169" spans="1:6">
      <c r="A169" s="12"/>
      <c r="B169" s="7" t="s">
        <v>186</v>
      </c>
      <c r="C169" s="12" t="s">
        <v>71</v>
      </c>
      <c r="D169" s="12">
        <v>1</v>
      </c>
      <c r="E169" s="12"/>
      <c r="F169" s="12"/>
    </row>
    <row r="170" spans="1:6">
      <c r="A170" s="12"/>
      <c r="B170" s="7" t="s">
        <v>72</v>
      </c>
      <c r="C170" s="12" t="s">
        <v>71</v>
      </c>
      <c r="D170" s="12">
        <v>13</v>
      </c>
      <c r="E170" s="12"/>
      <c r="F170" s="12"/>
    </row>
    <row r="171" spans="1:6">
      <c r="A171" s="12"/>
      <c r="B171" s="7" t="s">
        <v>70</v>
      </c>
      <c r="C171" s="12" t="s">
        <v>71</v>
      </c>
      <c r="D171" s="12">
        <v>3</v>
      </c>
      <c r="E171" s="12"/>
      <c r="F171" s="12"/>
    </row>
    <row r="172" spans="1:6">
      <c r="A172" s="12"/>
      <c r="B172" s="7" t="s">
        <v>81</v>
      </c>
      <c r="C172" s="12" t="s">
        <v>71</v>
      </c>
      <c r="D172" s="12">
        <v>3</v>
      </c>
      <c r="E172" s="12"/>
      <c r="F172" s="12"/>
    </row>
    <row r="173" spans="1:6">
      <c r="A173" s="12"/>
      <c r="B173" s="7" t="s">
        <v>67</v>
      </c>
      <c r="C173" s="12" t="s">
        <v>71</v>
      </c>
      <c r="D173" s="12">
        <v>1</v>
      </c>
      <c r="E173" s="12"/>
      <c r="F173" s="12"/>
    </row>
    <row r="174" spans="1:6">
      <c r="A174" s="12"/>
      <c r="B174" s="7" t="s">
        <v>78</v>
      </c>
      <c r="C174" s="12" t="s">
        <v>71</v>
      </c>
      <c r="D174" s="12">
        <v>1</v>
      </c>
      <c r="E174" s="12"/>
      <c r="F174" s="12"/>
    </row>
    <row r="175" spans="1:6">
      <c r="A175" s="12"/>
      <c r="B175" s="7" t="s">
        <v>73</v>
      </c>
      <c r="C175" s="12" t="s">
        <v>71</v>
      </c>
      <c r="D175" s="12">
        <v>4</v>
      </c>
      <c r="E175" s="12"/>
      <c r="F175" s="12"/>
    </row>
    <row r="176" spans="1:6">
      <c r="A176" s="12"/>
      <c r="B176" s="7" t="s">
        <v>105</v>
      </c>
      <c r="C176" s="12" t="s">
        <v>71</v>
      </c>
      <c r="D176" s="12">
        <v>11</v>
      </c>
      <c r="E176" s="12"/>
      <c r="F176" s="12"/>
    </row>
    <row r="177" spans="1:6">
      <c r="A177" s="12"/>
      <c r="B177" s="7" t="s">
        <v>106</v>
      </c>
      <c r="C177" s="12" t="s">
        <v>71</v>
      </c>
      <c r="D177" s="12">
        <v>13</v>
      </c>
      <c r="E177" s="12"/>
      <c r="F177" s="12"/>
    </row>
    <row r="178" spans="1:6" s="40" customFormat="1">
      <c r="A178" s="32"/>
      <c r="B178" s="31" t="s">
        <v>382</v>
      </c>
      <c r="C178" s="32" t="s">
        <v>71</v>
      </c>
      <c r="D178" s="32">
        <v>12</v>
      </c>
      <c r="E178" s="32"/>
      <c r="F178" s="32" t="s">
        <v>493</v>
      </c>
    </row>
    <row r="179" spans="1:6" s="40" customFormat="1">
      <c r="A179" s="32"/>
      <c r="B179" s="31" t="s">
        <v>382</v>
      </c>
      <c r="C179" s="32" t="s">
        <v>71</v>
      </c>
      <c r="D179" s="32">
        <v>2</v>
      </c>
      <c r="E179" s="32"/>
      <c r="F179" s="32" t="s">
        <v>406</v>
      </c>
    </row>
    <row r="180" spans="1:6" s="37" customFormat="1">
      <c r="A180" s="42"/>
      <c r="B180" s="29" t="s">
        <v>459</v>
      </c>
      <c r="C180" s="30" t="s">
        <v>71</v>
      </c>
      <c r="D180" s="30">
        <v>4</v>
      </c>
      <c r="E180" s="30"/>
      <c r="F180" s="30"/>
    </row>
    <row r="181" spans="1:6" s="37" customFormat="1">
      <c r="A181" s="42"/>
      <c r="B181" s="29" t="s">
        <v>401</v>
      </c>
      <c r="C181" s="30" t="s">
        <v>71</v>
      </c>
      <c r="D181" s="30">
        <v>2</v>
      </c>
      <c r="E181" s="30"/>
      <c r="F181" s="375" t="s">
        <v>403</v>
      </c>
    </row>
    <row r="182" spans="1:6" s="37" customFormat="1">
      <c r="A182" s="42"/>
      <c r="B182" s="29" t="s">
        <v>405</v>
      </c>
      <c r="C182" s="30" t="s">
        <v>71</v>
      </c>
      <c r="D182" s="30">
        <v>2</v>
      </c>
      <c r="E182" s="30"/>
      <c r="F182" s="376"/>
    </row>
    <row r="183" spans="1:6" s="37" customFormat="1">
      <c r="A183" s="42"/>
      <c r="B183" s="29" t="s">
        <v>484</v>
      </c>
      <c r="C183" s="30" t="s">
        <v>71</v>
      </c>
      <c r="D183" s="30">
        <v>1</v>
      </c>
      <c r="E183" s="30"/>
      <c r="F183" s="375" t="s">
        <v>406</v>
      </c>
    </row>
    <row r="184" spans="1:6" s="37" customFormat="1">
      <c r="A184" s="42"/>
      <c r="B184" s="29" t="s">
        <v>486</v>
      </c>
      <c r="C184" s="30" t="s">
        <v>71</v>
      </c>
      <c r="D184" s="30">
        <v>1</v>
      </c>
      <c r="E184" s="30"/>
      <c r="F184" s="377"/>
    </row>
    <row r="185" spans="1:6" s="37" customFormat="1">
      <c r="A185" s="42"/>
      <c r="B185" s="29" t="s">
        <v>485</v>
      </c>
      <c r="C185" s="30" t="s">
        <v>71</v>
      </c>
      <c r="D185" s="30">
        <v>2</v>
      </c>
      <c r="E185" s="30"/>
      <c r="F185" s="377"/>
    </row>
    <row r="186" spans="1:6" s="37" customFormat="1">
      <c r="A186" s="42"/>
      <c r="B186" s="29" t="s">
        <v>487</v>
      </c>
      <c r="C186" s="30" t="s">
        <v>71</v>
      </c>
      <c r="D186" s="30">
        <v>1</v>
      </c>
      <c r="E186" s="30"/>
      <c r="F186" s="377"/>
    </row>
    <row r="187" spans="1:6" s="37" customFormat="1">
      <c r="A187" s="42"/>
      <c r="B187" s="29" t="s">
        <v>488</v>
      </c>
      <c r="C187" s="30" t="s">
        <v>71</v>
      </c>
      <c r="D187" s="30">
        <v>1</v>
      </c>
      <c r="E187" s="30"/>
      <c r="F187" s="377"/>
    </row>
    <row r="188" spans="1:6" s="37" customFormat="1">
      <c r="A188" s="42"/>
      <c r="B188" s="29" t="s">
        <v>405</v>
      </c>
      <c r="C188" s="30" t="s">
        <v>71</v>
      </c>
      <c r="D188" s="30">
        <v>2</v>
      </c>
      <c r="E188" s="30"/>
      <c r="F188" s="376"/>
    </row>
    <row r="189" spans="1:6">
      <c r="A189" s="12"/>
      <c r="B189" s="20" t="s">
        <v>311</v>
      </c>
      <c r="C189" s="12"/>
      <c r="D189" s="12"/>
      <c r="E189" s="12"/>
      <c r="F189" s="12"/>
    </row>
    <row r="190" spans="1:6">
      <c r="A190" s="12"/>
      <c r="B190" s="7" t="s">
        <v>232</v>
      </c>
      <c r="C190" s="12" t="s">
        <v>71</v>
      </c>
      <c r="D190" s="12">
        <v>4</v>
      </c>
      <c r="E190" s="12"/>
      <c r="F190" s="12"/>
    </row>
    <row r="191" spans="1:6">
      <c r="A191" s="12"/>
      <c r="B191" s="7" t="s">
        <v>314</v>
      </c>
      <c r="C191" s="12" t="s">
        <v>71</v>
      </c>
      <c r="D191" s="12">
        <v>4</v>
      </c>
      <c r="E191" s="12"/>
      <c r="F191" s="12"/>
    </row>
    <row r="192" spans="1:6">
      <c r="A192" s="12"/>
      <c r="B192" s="7" t="s">
        <v>315</v>
      </c>
      <c r="C192" s="12" t="s">
        <v>71</v>
      </c>
      <c r="D192" s="12">
        <v>1</v>
      </c>
      <c r="E192" s="12"/>
      <c r="F192" s="12"/>
    </row>
    <row r="193" spans="1:6">
      <c r="A193" s="12"/>
      <c r="B193" s="7" t="s">
        <v>313</v>
      </c>
      <c r="C193" s="12" t="s">
        <v>71</v>
      </c>
      <c r="D193" s="12">
        <v>3</v>
      </c>
      <c r="E193" s="12"/>
      <c r="F193" s="12"/>
    </row>
    <row r="194" spans="1:6">
      <c r="A194" s="12"/>
      <c r="B194" s="7" t="s">
        <v>231</v>
      </c>
      <c r="C194" s="12" t="s">
        <v>71</v>
      </c>
      <c r="D194" s="12">
        <v>7</v>
      </c>
      <c r="E194" s="12"/>
      <c r="F194" s="12"/>
    </row>
    <row r="195" spans="1:6">
      <c r="A195" s="12"/>
      <c r="B195" s="7" t="s">
        <v>74</v>
      </c>
      <c r="C195" s="12" t="s">
        <v>71</v>
      </c>
      <c r="D195" s="12"/>
      <c r="E195" s="12"/>
      <c r="F195" s="12"/>
    </row>
    <row r="196" spans="1:6">
      <c r="A196" s="12"/>
      <c r="B196" s="7" t="s">
        <v>70</v>
      </c>
      <c r="C196" s="12" t="s">
        <v>71</v>
      </c>
      <c r="D196" s="12">
        <v>2</v>
      </c>
      <c r="E196" s="12"/>
      <c r="F196" s="12"/>
    </row>
    <row r="197" spans="1:6" s="37" customFormat="1">
      <c r="A197" s="42"/>
      <c r="B197" s="29" t="s">
        <v>479</v>
      </c>
      <c r="C197" s="30" t="s">
        <v>71</v>
      </c>
      <c r="D197" s="30">
        <v>6</v>
      </c>
      <c r="E197" s="30"/>
      <c r="F197" s="12"/>
    </row>
    <row r="198" spans="1:6" s="37" customFormat="1">
      <c r="A198" s="42"/>
      <c r="B198" s="29" t="s">
        <v>395</v>
      </c>
      <c r="C198" s="30" t="s">
        <v>71</v>
      </c>
      <c r="D198" s="30">
        <v>1</v>
      </c>
      <c r="E198" s="30"/>
      <c r="F198" s="12"/>
    </row>
    <row r="199" spans="1:6">
      <c r="A199" s="12"/>
      <c r="B199" s="20" t="s">
        <v>312</v>
      </c>
      <c r="C199" s="12"/>
      <c r="D199" s="12"/>
      <c r="E199" s="12"/>
      <c r="F199" s="12"/>
    </row>
    <row r="200" spans="1:6">
      <c r="A200" s="12"/>
      <c r="B200" s="7" t="s">
        <v>232</v>
      </c>
      <c r="C200" s="12" t="s">
        <v>71</v>
      </c>
      <c r="D200" s="12">
        <v>12</v>
      </c>
      <c r="E200" s="12"/>
      <c r="F200" s="12"/>
    </row>
    <row r="201" spans="1:6">
      <c r="A201" s="12"/>
      <c r="B201" s="7" t="s">
        <v>315</v>
      </c>
      <c r="C201" s="12" t="s">
        <v>71</v>
      </c>
      <c r="D201" s="12">
        <v>10</v>
      </c>
      <c r="E201" s="12"/>
      <c r="F201" s="12"/>
    </row>
    <row r="202" spans="1:6">
      <c r="A202" s="12"/>
      <c r="B202" s="7" t="s">
        <v>313</v>
      </c>
      <c r="C202" s="12" t="s">
        <v>71</v>
      </c>
      <c r="D202" s="12">
        <v>6</v>
      </c>
      <c r="E202" s="12"/>
      <c r="F202" s="12"/>
    </row>
    <row r="203" spans="1:6">
      <c r="A203" s="12"/>
      <c r="B203" s="7" t="s">
        <v>231</v>
      </c>
      <c r="C203" s="12" t="s">
        <v>71</v>
      </c>
      <c r="D203" s="12">
        <v>8</v>
      </c>
      <c r="E203" s="12"/>
      <c r="F203" s="12"/>
    </row>
    <row r="204" spans="1:6">
      <c r="A204" s="12"/>
      <c r="B204" s="7" t="s">
        <v>74</v>
      </c>
      <c r="C204" s="12" t="s">
        <v>71</v>
      </c>
      <c r="D204" s="12"/>
      <c r="E204" s="12"/>
      <c r="F204" s="12"/>
    </row>
    <row r="205" spans="1:6">
      <c r="A205" s="12"/>
      <c r="B205" s="7" t="s">
        <v>70</v>
      </c>
      <c r="C205" s="12" t="s">
        <v>71</v>
      </c>
      <c r="D205" s="12">
        <v>2</v>
      </c>
      <c r="E205" s="12"/>
      <c r="F205" s="12"/>
    </row>
    <row r="206" spans="1:6" s="37" customFormat="1">
      <c r="A206" s="42"/>
      <c r="B206" s="29" t="s">
        <v>478</v>
      </c>
      <c r="C206" s="30" t="s">
        <v>71</v>
      </c>
      <c r="D206" s="30">
        <v>9</v>
      </c>
      <c r="E206" s="30"/>
      <c r="F206" s="12"/>
    </row>
    <row r="207" spans="1:6" s="37" customFormat="1">
      <c r="A207" s="42"/>
      <c r="B207" s="29" t="s">
        <v>395</v>
      </c>
      <c r="C207" s="30" t="s">
        <v>71</v>
      </c>
      <c r="D207" s="30">
        <v>1</v>
      </c>
      <c r="E207" s="30"/>
      <c r="F207" s="12"/>
    </row>
    <row r="208" spans="1:6" s="37" customFormat="1">
      <c r="A208" s="42"/>
      <c r="B208" s="29" t="s">
        <v>396</v>
      </c>
      <c r="C208" s="30" t="s">
        <v>71</v>
      </c>
      <c r="D208" s="30">
        <v>1</v>
      </c>
      <c r="E208" s="30"/>
      <c r="F208" s="12"/>
    </row>
    <row r="209" spans="1:1">
      <c r="A209" s="13"/>
    </row>
  </sheetData>
  <mergeCells count="12">
    <mergeCell ref="F181:F182"/>
    <mergeCell ref="F183:F188"/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150" verticalDpi="15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6"/>
  <sheetViews>
    <sheetView view="pageBreakPreview" topLeftCell="A19" zoomScaleNormal="100" zoomScaleSheetLayoutView="100" workbookViewId="0">
      <selection activeCell="A333" sqref="A333:XFD350"/>
    </sheetView>
  </sheetViews>
  <sheetFormatPr defaultColWidth="9.140625" defaultRowHeight="16.5"/>
  <cols>
    <col min="1" max="1" width="5.5703125" style="2" customWidth="1"/>
    <col min="2" max="2" width="52.5703125" style="2" customWidth="1"/>
    <col min="3" max="3" width="6.5703125" style="13" customWidth="1"/>
    <col min="4" max="4" width="8.42578125" style="13" customWidth="1"/>
    <col min="5" max="5" width="0" style="13" hidden="1" customWidth="1"/>
    <col min="6" max="6" width="17.85546875" style="13" customWidth="1"/>
    <col min="7" max="16384" width="9.140625" style="2"/>
  </cols>
  <sheetData>
    <row r="1" spans="1:6" s="1" customFormat="1" ht="20.25" customHeight="1">
      <c r="A1" s="381" t="s">
        <v>157</v>
      </c>
      <c r="B1" s="381"/>
      <c r="C1" s="381"/>
      <c r="D1" s="381"/>
      <c r="E1" s="381"/>
      <c r="F1" s="381"/>
    </row>
    <row r="2" spans="1:6" s="1" customFormat="1" ht="17.25">
      <c r="A2" s="369" t="s">
        <v>302</v>
      </c>
      <c r="B2" s="369"/>
      <c r="C2" s="369"/>
      <c r="D2" s="369"/>
      <c r="E2" s="369"/>
      <c r="F2" s="369"/>
    </row>
    <row r="3" spans="1:6" s="1" customFormat="1" ht="15.75" customHeight="1">
      <c r="A3" s="370" t="s">
        <v>2</v>
      </c>
      <c r="B3" s="370"/>
      <c r="C3" s="370"/>
      <c r="D3" s="370"/>
      <c r="E3" s="370"/>
      <c r="F3" s="370"/>
    </row>
    <row r="4" spans="1:6" s="1" customFormat="1" ht="21.75" hidden="1" customHeight="1">
      <c r="A4" s="378" t="s">
        <v>3</v>
      </c>
      <c r="B4" s="378"/>
      <c r="C4" s="378"/>
      <c r="D4" s="378"/>
      <c r="E4" s="10"/>
      <c r="F4" s="10"/>
    </row>
    <row r="5" spans="1:6" s="1" customFormat="1" ht="15.75" customHeight="1">
      <c r="A5" s="371" t="s">
        <v>4</v>
      </c>
      <c r="B5" s="371" t="s">
        <v>5</v>
      </c>
      <c r="C5" s="373" t="s">
        <v>6</v>
      </c>
      <c r="D5" s="373" t="s">
        <v>7</v>
      </c>
      <c r="E5" s="373" t="s">
        <v>8</v>
      </c>
      <c r="F5" s="373" t="s">
        <v>9</v>
      </c>
    </row>
    <row r="6" spans="1:6" s="1" customFormat="1" ht="17.25" customHeight="1">
      <c r="A6" s="372"/>
      <c r="B6" s="372"/>
      <c r="C6" s="374"/>
      <c r="D6" s="374"/>
      <c r="E6" s="374"/>
      <c r="F6" s="374"/>
    </row>
    <row r="7" spans="1:6" s="1" customFormat="1">
      <c r="A7" s="3" t="s">
        <v>10</v>
      </c>
      <c r="B7" s="4" t="s">
        <v>11</v>
      </c>
      <c r="C7" s="9"/>
      <c r="D7" s="11"/>
      <c r="E7" s="11"/>
      <c r="F7" s="11"/>
    </row>
    <row r="8" spans="1:6">
      <c r="A8" s="32">
        <v>1</v>
      </c>
      <c r="B8" s="14" t="s">
        <v>84</v>
      </c>
      <c r="C8" s="32"/>
      <c r="D8" s="32"/>
      <c r="E8" s="32"/>
      <c r="F8" s="32" t="s">
        <v>512</v>
      </c>
    </row>
    <row r="9" spans="1:6">
      <c r="A9" s="32">
        <f>A8+1</f>
        <v>2</v>
      </c>
      <c r="B9" s="31" t="s">
        <v>506</v>
      </c>
      <c r="C9" s="32" t="s">
        <v>71</v>
      </c>
      <c r="D9" s="32">
        <v>21</v>
      </c>
      <c r="E9" s="32"/>
      <c r="F9" s="32"/>
    </row>
    <row r="10" spans="1:6">
      <c r="A10" s="32">
        <f t="shared" ref="A10:A90" si="0">A9+1</f>
        <v>3</v>
      </c>
      <c r="B10" s="31" t="s">
        <v>100</v>
      </c>
      <c r="C10" s="32" t="s">
        <v>71</v>
      </c>
      <c r="D10" s="32">
        <v>2</v>
      </c>
      <c r="E10" s="32"/>
      <c r="F10" s="32"/>
    </row>
    <row r="11" spans="1:6">
      <c r="A11" s="32">
        <f t="shared" si="0"/>
        <v>4</v>
      </c>
      <c r="B11" s="31" t="s">
        <v>101</v>
      </c>
      <c r="C11" s="32" t="s">
        <v>71</v>
      </c>
      <c r="D11" s="32">
        <v>3</v>
      </c>
      <c r="E11" s="32"/>
      <c r="F11" s="32"/>
    </row>
    <row r="12" spans="1:6">
      <c r="A12" s="32">
        <f t="shared" si="0"/>
        <v>5</v>
      </c>
      <c r="B12" s="31" t="s">
        <v>70</v>
      </c>
      <c r="C12" s="32" t="s">
        <v>71</v>
      </c>
      <c r="D12" s="32">
        <v>13</v>
      </c>
      <c r="E12" s="32"/>
      <c r="F12" s="32"/>
    </row>
    <row r="13" spans="1:6">
      <c r="A13" s="32">
        <f t="shared" si="0"/>
        <v>6</v>
      </c>
      <c r="B13" s="31" t="s">
        <v>81</v>
      </c>
      <c r="C13" s="32" t="s">
        <v>71</v>
      </c>
      <c r="D13" s="32">
        <v>8</v>
      </c>
      <c r="E13" s="32"/>
      <c r="F13" s="32"/>
    </row>
    <row r="14" spans="1:6">
      <c r="A14" s="32">
        <f t="shared" si="0"/>
        <v>7</v>
      </c>
      <c r="B14" s="31" t="s">
        <v>67</v>
      </c>
      <c r="C14" s="32" t="s">
        <v>71</v>
      </c>
      <c r="D14" s="32">
        <v>1</v>
      </c>
      <c r="E14" s="32"/>
      <c r="F14" s="32"/>
    </row>
    <row r="15" spans="1:6" s="37" customFormat="1">
      <c r="A15" s="32">
        <f t="shared" si="0"/>
        <v>8</v>
      </c>
      <c r="B15" s="31" t="s">
        <v>381</v>
      </c>
      <c r="C15" s="32" t="s">
        <v>71</v>
      </c>
      <c r="D15" s="32">
        <v>1</v>
      </c>
      <c r="E15" s="32"/>
      <c r="F15" s="32"/>
    </row>
    <row r="16" spans="1:6" s="37" customFormat="1">
      <c r="A16" s="32">
        <f t="shared" si="0"/>
        <v>9</v>
      </c>
      <c r="B16" s="31" t="s">
        <v>388</v>
      </c>
      <c r="C16" s="32" t="s">
        <v>71</v>
      </c>
      <c r="D16" s="32">
        <v>2</v>
      </c>
      <c r="E16" s="32"/>
      <c r="F16" s="32"/>
    </row>
    <row r="17" spans="1:6" s="37" customFormat="1">
      <c r="A17" s="32">
        <f t="shared" si="0"/>
        <v>10</v>
      </c>
      <c r="B17" s="31" t="s">
        <v>455</v>
      </c>
      <c r="C17" s="32" t="s">
        <v>71</v>
      </c>
      <c r="D17" s="32">
        <v>3</v>
      </c>
      <c r="E17" s="32"/>
      <c r="F17" s="32"/>
    </row>
    <row r="18" spans="1:6" s="37" customFormat="1">
      <c r="A18" s="32">
        <f t="shared" si="0"/>
        <v>11</v>
      </c>
      <c r="B18" s="31" t="s">
        <v>454</v>
      </c>
      <c r="C18" s="32" t="s">
        <v>71</v>
      </c>
      <c r="D18" s="32">
        <v>1</v>
      </c>
      <c r="E18" s="32"/>
      <c r="F18" s="32"/>
    </row>
    <row r="19" spans="1:6" s="37" customFormat="1">
      <c r="A19" s="32">
        <f t="shared" si="0"/>
        <v>12</v>
      </c>
      <c r="B19" s="31" t="s">
        <v>469</v>
      </c>
      <c r="C19" s="32" t="s">
        <v>71</v>
      </c>
      <c r="D19" s="32">
        <v>2</v>
      </c>
      <c r="E19" s="32"/>
      <c r="F19" s="32"/>
    </row>
    <row r="20" spans="1:6" s="37" customFormat="1">
      <c r="A20" s="32">
        <f t="shared" si="0"/>
        <v>13</v>
      </c>
      <c r="B20" s="31" t="s">
        <v>471</v>
      </c>
      <c r="C20" s="32" t="s">
        <v>71</v>
      </c>
      <c r="D20" s="32">
        <v>1</v>
      </c>
      <c r="E20" s="32"/>
      <c r="F20" s="32"/>
    </row>
    <row r="21" spans="1:6" s="37" customFormat="1">
      <c r="A21" s="32">
        <f t="shared" si="0"/>
        <v>14</v>
      </c>
      <c r="B21" s="31" t="s">
        <v>464</v>
      </c>
      <c r="C21" s="32" t="s">
        <v>71</v>
      </c>
      <c r="D21" s="32">
        <v>1</v>
      </c>
      <c r="E21" s="32"/>
      <c r="F21" s="32"/>
    </row>
    <row r="22" spans="1:6" s="37" customFormat="1">
      <c r="A22" s="32">
        <f t="shared" si="0"/>
        <v>15</v>
      </c>
      <c r="B22" s="31" t="s">
        <v>513</v>
      </c>
      <c r="C22" s="32" t="s">
        <v>71</v>
      </c>
      <c r="D22" s="32">
        <v>2</v>
      </c>
      <c r="E22" s="32"/>
      <c r="F22" s="32"/>
    </row>
    <row r="23" spans="1:6">
      <c r="A23" s="32">
        <f t="shared" si="0"/>
        <v>16</v>
      </c>
      <c r="B23" s="49" t="s">
        <v>319</v>
      </c>
      <c r="C23" s="34" t="s">
        <v>191</v>
      </c>
      <c r="D23" s="34"/>
      <c r="E23" s="31"/>
      <c r="F23" s="31"/>
    </row>
    <row r="24" spans="1:6">
      <c r="A24" s="32">
        <f t="shared" si="0"/>
        <v>17</v>
      </c>
      <c r="B24" s="35" t="s">
        <v>342</v>
      </c>
      <c r="C24" s="34" t="s">
        <v>191</v>
      </c>
      <c r="D24" s="34"/>
      <c r="E24" s="31"/>
      <c r="F24" s="31"/>
    </row>
    <row r="25" spans="1:6">
      <c r="A25" s="32">
        <f t="shared" si="0"/>
        <v>18</v>
      </c>
      <c r="B25" s="29" t="s">
        <v>230</v>
      </c>
      <c r="C25" s="30" t="s">
        <v>71</v>
      </c>
      <c r="D25" s="30">
        <v>2</v>
      </c>
      <c r="E25" s="31"/>
      <c r="F25" s="31"/>
    </row>
    <row r="26" spans="1:6">
      <c r="A26" s="32">
        <f t="shared" si="0"/>
        <v>19</v>
      </c>
      <c r="B26" s="29" t="s">
        <v>274</v>
      </c>
      <c r="C26" s="30" t="s">
        <v>71</v>
      </c>
      <c r="D26" s="30">
        <v>1</v>
      </c>
      <c r="E26" s="31"/>
      <c r="F26" s="31"/>
    </row>
    <row r="27" spans="1:6">
      <c r="A27" s="32">
        <f t="shared" si="0"/>
        <v>20</v>
      </c>
      <c r="B27" s="35"/>
      <c r="C27" s="34"/>
      <c r="D27" s="34"/>
      <c r="E27" s="31"/>
      <c r="F27" s="31"/>
    </row>
    <row r="28" spans="1:6">
      <c r="A28" s="32">
        <f t="shared" si="0"/>
        <v>21</v>
      </c>
      <c r="B28" s="14" t="s">
        <v>85</v>
      </c>
      <c r="C28" s="32"/>
      <c r="D28" s="32"/>
      <c r="E28" s="32"/>
      <c r="F28" s="32"/>
    </row>
    <row r="29" spans="1:6">
      <c r="A29" s="32">
        <f t="shared" si="0"/>
        <v>22</v>
      </c>
      <c r="B29" s="31" t="s">
        <v>80</v>
      </c>
      <c r="C29" s="32" t="s">
        <v>71</v>
      </c>
      <c r="D29" s="32">
        <v>4</v>
      </c>
      <c r="E29" s="32"/>
      <c r="F29" s="32"/>
    </row>
    <row r="30" spans="1:6">
      <c r="A30" s="32">
        <f t="shared" si="0"/>
        <v>23</v>
      </c>
      <c r="B30" s="31" t="s">
        <v>101</v>
      </c>
      <c r="C30" s="32" t="s">
        <v>71</v>
      </c>
      <c r="D30" s="32">
        <v>1</v>
      </c>
      <c r="E30" s="32"/>
      <c r="F30" s="32"/>
    </row>
    <row r="31" spans="1:6" s="37" customFormat="1">
      <c r="A31" s="32">
        <f t="shared" si="0"/>
        <v>24</v>
      </c>
      <c r="B31" s="31" t="s">
        <v>70</v>
      </c>
      <c r="C31" s="32" t="s">
        <v>71</v>
      </c>
      <c r="D31" s="32">
        <v>7</v>
      </c>
      <c r="E31" s="32"/>
      <c r="F31" s="32"/>
    </row>
    <row r="32" spans="1:6" s="37" customFormat="1">
      <c r="A32" s="32">
        <f t="shared" si="0"/>
        <v>25</v>
      </c>
      <c r="B32" s="31" t="s">
        <v>102</v>
      </c>
      <c r="C32" s="32" t="s">
        <v>71</v>
      </c>
      <c r="D32" s="32">
        <v>1</v>
      </c>
      <c r="E32" s="32"/>
      <c r="F32" s="32"/>
    </row>
    <row r="33" spans="1:6">
      <c r="A33" s="32">
        <f t="shared" si="0"/>
        <v>26</v>
      </c>
      <c r="B33" s="31" t="s">
        <v>381</v>
      </c>
      <c r="C33" s="32" t="s">
        <v>71</v>
      </c>
      <c r="D33" s="32">
        <v>1</v>
      </c>
      <c r="E33" s="32"/>
      <c r="F33" s="32"/>
    </row>
    <row r="34" spans="1:6">
      <c r="A34" s="32">
        <f t="shared" si="0"/>
        <v>27</v>
      </c>
      <c r="B34" s="31" t="s">
        <v>464</v>
      </c>
      <c r="C34" s="32" t="s">
        <v>71</v>
      </c>
      <c r="D34" s="32">
        <v>1</v>
      </c>
      <c r="E34" s="32"/>
      <c r="F34" s="32"/>
    </row>
    <row r="35" spans="1:6">
      <c r="A35" s="32">
        <f t="shared" si="0"/>
        <v>28</v>
      </c>
      <c r="B35" s="49" t="s">
        <v>319</v>
      </c>
      <c r="C35" s="34" t="s">
        <v>191</v>
      </c>
      <c r="D35" s="34">
        <v>4</v>
      </c>
      <c r="E35" s="31"/>
      <c r="F35" s="31"/>
    </row>
    <row r="36" spans="1:6">
      <c r="A36" s="32">
        <f t="shared" si="0"/>
        <v>29</v>
      </c>
      <c r="B36" s="35" t="s">
        <v>342</v>
      </c>
      <c r="C36" s="34" t="s">
        <v>191</v>
      </c>
      <c r="D36" s="34">
        <v>5</v>
      </c>
      <c r="E36" s="31"/>
      <c r="F36" s="31"/>
    </row>
    <row r="37" spans="1:6">
      <c r="A37" s="32">
        <f t="shared" si="0"/>
        <v>30</v>
      </c>
      <c r="B37" s="14" t="s">
        <v>514</v>
      </c>
      <c r="C37" s="32"/>
      <c r="D37" s="32"/>
      <c r="E37" s="32"/>
      <c r="F37" s="32"/>
    </row>
    <row r="38" spans="1:6">
      <c r="A38" s="32">
        <f t="shared" si="0"/>
        <v>31</v>
      </c>
      <c r="B38" s="31" t="s">
        <v>80</v>
      </c>
      <c r="C38" s="32" t="s">
        <v>71</v>
      </c>
      <c r="D38" s="32">
        <v>6</v>
      </c>
      <c r="E38" s="32"/>
      <c r="F38" s="32"/>
    </row>
    <row r="39" spans="1:6" s="37" customFormat="1">
      <c r="A39" s="32">
        <f t="shared" si="0"/>
        <v>32</v>
      </c>
      <c r="B39" s="31" t="s">
        <v>75</v>
      </c>
      <c r="C39" s="32" t="s">
        <v>71</v>
      </c>
      <c r="D39" s="32">
        <v>2</v>
      </c>
      <c r="E39" s="32"/>
      <c r="F39" s="32"/>
    </row>
    <row r="40" spans="1:6" s="37" customFormat="1">
      <c r="A40" s="32">
        <f t="shared" si="0"/>
        <v>33</v>
      </c>
      <c r="B40" s="31" t="s">
        <v>101</v>
      </c>
      <c r="C40" s="32" t="s">
        <v>71</v>
      </c>
      <c r="D40" s="32">
        <v>2</v>
      </c>
      <c r="E40" s="32"/>
      <c r="F40" s="32"/>
    </row>
    <row r="41" spans="1:6">
      <c r="A41" s="32">
        <f t="shared" si="0"/>
        <v>34</v>
      </c>
      <c r="B41" s="31" t="s">
        <v>70</v>
      </c>
      <c r="C41" s="32" t="s">
        <v>71</v>
      </c>
      <c r="D41" s="32">
        <v>7</v>
      </c>
      <c r="E41" s="32"/>
      <c r="F41" s="32"/>
    </row>
    <row r="42" spans="1:6">
      <c r="A42" s="32">
        <f t="shared" si="0"/>
        <v>35</v>
      </c>
      <c r="B42" s="31" t="s">
        <v>102</v>
      </c>
      <c r="C42" s="32" t="s">
        <v>71</v>
      </c>
      <c r="D42" s="32">
        <v>1</v>
      </c>
      <c r="E42" s="32"/>
      <c r="F42" s="32"/>
    </row>
    <row r="43" spans="1:6">
      <c r="A43" s="32">
        <f t="shared" si="0"/>
        <v>36</v>
      </c>
      <c r="B43" s="31" t="s">
        <v>464</v>
      </c>
      <c r="C43" s="32" t="s">
        <v>71</v>
      </c>
      <c r="D43" s="32">
        <v>1</v>
      </c>
      <c r="E43" s="32"/>
      <c r="F43" s="32"/>
    </row>
    <row r="44" spans="1:6">
      <c r="A44" s="32">
        <f t="shared" si="0"/>
        <v>37</v>
      </c>
      <c r="B44" s="31" t="s">
        <v>381</v>
      </c>
      <c r="C44" s="32" t="s">
        <v>71</v>
      </c>
      <c r="D44" s="32">
        <v>1</v>
      </c>
      <c r="E44" s="32"/>
      <c r="F44" s="32"/>
    </row>
    <row r="45" spans="1:6">
      <c r="A45" s="32">
        <f t="shared" si="0"/>
        <v>38</v>
      </c>
      <c r="B45" s="49" t="s">
        <v>319</v>
      </c>
      <c r="C45" s="34" t="s">
        <v>191</v>
      </c>
      <c r="D45" s="34"/>
      <c r="E45" s="31"/>
      <c r="F45" s="31"/>
    </row>
    <row r="46" spans="1:6">
      <c r="A46" s="32">
        <f t="shared" si="0"/>
        <v>39</v>
      </c>
      <c r="B46" s="35" t="s">
        <v>342</v>
      </c>
      <c r="C46" s="34" t="s">
        <v>191</v>
      </c>
      <c r="D46" s="34"/>
      <c r="E46" s="31"/>
      <c r="F46" s="31"/>
    </row>
    <row r="47" spans="1:6">
      <c r="A47" s="32">
        <f t="shared" si="0"/>
        <v>40</v>
      </c>
      <c r="B47" s="31" t="s">
        <v>456</v>
      </c>
      <c r="C47" s="32" t="s">
        <v>71</v>
      </c>
      <c r="D47" s="32">
        <v>1</v>
      </c>
      <c r="E47" s="31"/>
      <c r="F47" s="31"/>
    </row>
    <row r="48" spans="1:6">
      <c r="A48" s="32">
        <f t="shared" si="0"/>
        <v>41</v>
      </c>
      <c r="B48" s="31" t="s">
        <v>467</v>
      </c>
      <c r="C48" s="32" t="s">
        <v>71</v>
      </c>
      <c r="D48" s="32">
        <v>1</v>
      </c>
      <c r="E48" s="31"/>
      <c r="F48" s="31"/>
    </row>
    <row r="49" spans="1:6">
      <c r="A49" s="32">
        <f t="shared" si="0"/>
        <v>42</v>
      </c>
      <c r="B49" s="31" t="s">
        <v>463</v>
      </c>
      <c r="C49" s="32" t="s">
        <v>71</v>
      </c>
      <c r="D49" s="32">
        <v>2</v>
      </c>
      <c r="E49" s="31"/>
      <c r="F49" s="31"/>
    </row>
    <row r="50" spans="1:6">
      <c r="A50" s="32">
        <f t="shared" si="0"/>
        <v>43</v>
      </c>
      <c r="B50" s="31" t="s">
        <v>515</v>
      </c>
      <c r="C50" s="32" t="s">
        <v>71</v>
      </c>
      <c r="D50" s="32">
        <v>1</v>
      </c>
      <c r="E50" s="31"/>
      <c r="F50" s="31"/>
    </row>
    <row r="51" spans="1:6">
      <c r="A51" s="32">
        <f t="shared" si="0"/>
        <v>44</v>
      </c>
      <c r="B51" s="31" t="s">
        <v>516</v>
      </c>
      <c r="C51" s="32" t="s">
        <v>71</v>
      </c>
      <c r="D51" s="34">
        <v>2</v>
      </c>
      <c r="E51" s="31"/>
      <c r="F51" s="31"/>
    </row>
    <row r="52" spans="1:6">
      <c r="A52" s="32">
        <f t="shared" si="0"/>
        <v>45</v>
      </c>
      <c r="B52" s="35"/>
      <c r="C52" s="34"/>
      <c r="D52" s="34"/>
      <c r="E52" s="31"/>
      <c r="F52" s="31"/>
    </row>
    <row r="53" spans="1:6" s="39" customFormat="1">
      <c r="A53" s="32">
        <f t="shared" si="0"/>
        <v>46</v>
      </c>
      <c r="B53" s="14" t="s">
        <v>86</v>
      </c>
      <c r="C53" s="32"/>
      <c r="D53" s="32"/>
      <c r="E53" s="32"/>
      <c r="F53" s="32"/>
    </row>
    <row r="54" spans="1:6" s="39" customFormat="1">
      <c r="A54" s="32">
        <f t="shared" si="0"/>
        <v>47</v>
      </c>
      <c r="B54" s="31" t="s">
        <v>75</v>
      </c>
      <c r="C54" s="32" t="s">
        <v>71</v>
      </c>
      <c r="D54" s="32">
        <v>6</v>
      </c>
      <c r="E54" s="32"/>
      <c r="F54" s="32"/>
    </row>
    <row r="55" spans="1:6" s="39" customFormat="1">
      <c r="A55" s="32">
        <f t="shared" si="0"/>
        <v>48</v>
      </c>
      <c r="B55" s="31" t="s">
        <v>101</v>
      </c>
      <c r="C55" s="32" t="s">
        <v>71</v>
      </c>
      <c r="D55" s="32">
        <v>1</v>
      </c>
      <c r="E55" s="32"/>
      <c r="F55" s="32"/>
    </row>
    <row r="56" spans="1:6" s="39" customFormat="1">
      <c r="A56" s="32">
        <f t="shared" si="0"/>
        <v>49</v>
      </c>
      <c r="B56" s="31" t="s">
        <v>70</v>
      </c>
      <c r="C56" s="32" t="s">
        <v>71</v>
      </c>
      <c r="D56" s="32">
        <v>4</v>
      </c>
      <c r="E56" s="32"/>
      <c r="F56" s="32"/>
    </row>
    <row r="57" spans="1:6" s="39" customFormat="1">
      <c r="A57" s="32">
        <f t="shared" si="0"/>
        <v>50</v>
      </c>
      <c r="B57" s="31" t="s">
        <v>67</v>
      </c>
      <c r="C57" s="32" t="s">
        <v>71</v>
      </c>
      <c r="D57" s="32">
        <v>1</v>
      </c>
      <c r="E57" s="32"/>
      <c r="F57" s="32"/>
    </row>
    <row r="58" spans="1:6" s="39" customFormat="1">
      <c r="A58" s="32">
        <f t="shared" si="0"/>
        <v>51</v>
      </c>
      <c r="B58" s="31" t="s">
        <v>382</v>
      </c>
      <c r="C58" s="32" t="s">
        <v>71</v>
      </c>
      <c r="D58" s="32">
        <v>2</v>
      </c>
      <c r="E58" s="32"/>
      <c r="F58" s="32"/>
    </row>
    <row r="59" spans="1:6" s="39" customFormat="1">
      <c r="A59" s="32">
        <f t="shared" si="0"/>
        <v>52</v>
      </c>
      <c r="B59" s="49" t="s">
        <v>319</v>
      </c>
      <c r="C59" s="34" t="s">
        <v>191</v>
      </c>
      <c r="D59" s="34">
        <v>1</v>
      </c>
      <c r="E59" s="31"/>
      <c r="F59" s="31"/>
    </row>
    <row r="60" spans="1:6" s="39" customFormat="1">
      <c r="A60" s="32">
        <f t="shared" si="0"/>
        <v>53</v>
      </c>
      <c r="B60" s="35" t="s">
        <v>342</v>
      </c>
      <c r="C60" s="34" t="s">
        <v>191</v>
      </c>
      <c r="D60" s="34">
        <v>1</v>
      </c>
      <c r="E60" s="31"/>
      <c r="F60" s="31"/>
    </row>
    <row r="61" spans="1:6" s="39" customFormat="1">
      <c r="A61" s="32">
        <f t="shared" si="0"/>
        <v>54</v>
      </c>
      <c r="B61" s="50" t="s">
        <v>87</v>
      </c>
      <c r="C61" s="51"/>
      <c r="D61" s="51"/>
      <c r="E61" s="51"/>
      <c r="F61" s="51"/>
    </row>
    <row r="62" spans="1:6" s="39" customFormat="1">
      <c r="A62" s="32">
        <f t="shared" si="0"/>
        <v>55</v>
      </c>
      <c r="B62" s="52" t="s">
        <v>68</v>
      </c>
      <c r="C62" s="51" t="s">
        <v>71</v>
      </c>
      <c r="D62" s="51">
        <v>17</v>
      </c>
      <c r="E62" s="51"/>
      <c r="F62" s="51"/>
    </row>
    <row r="63" spans="1:6" s="39" customFormat="1">
      <c r="A63" s="32">
        <f t="shared" si="0"/>
        <v>56</v>
      </c>
      <c r="B63" s="52" t="s">
        <v>75</v>
      </c>
      <c r="C63" s="51" t="s">
        <v>71</v>
      </c>
      <c r="D63" s="51">
        <v>7</v>
      </c>
      <c r="E63" s="51"/>
      <c r="F63" s="51"/>
    </row>
    <row r="64" spans="1:6" s="37" customFormat="1">
      <c r="A64" s="32">
        <f t="shared" si="0"/>
        <v>57</v>
      </c>
      <c r="B64" s="52" t="s">
        <v>105</v>
      </c>
      <c r="C64" s="51" t="s">
        <v>71</v>
      </c>
      <c r="D64" s="51">
        <v>1</v>
      </c>
      <c r="E64" s="51"/>
      <c r="F64" s="51"/>
    </row>
    <row r="65" spans="1:6" s="37" customFormat="1">
      <c r="A65" s="32">
        <f t="shared" si="0"/>
        <v>58</v>
      </c>
      <c r="B65" s="52" t="s">
        <v>185</v>
      </c>
      <c r="C65" s="51" t="s">
        <v>71</v>
      </c>
      <c r="D65" s="51">
        <v>1</v>
      </c>
      <c r="E65" s="51"/>
      <c r="F65" s="51"/>
    </row>
    <row r="66" spans="1:6" s="37" customFormat="1">
      <c r="A66" s="32">
        <f t="shared" si="0"/>
        <v>59</v>
      </c>
      <c r="B66" s="52" t="s">
        <v>100</v>
      </c>
      <c r="C66" s="51" t="s">
        <v>71</v>
      </c>
      <c r="D66" s="51">
        <v>4</v>
      </c>
      <c r="E66" s="51"/>
      <c r="F66" s="51"/>
    </row>
    <row r="67" spans="1:6" s="37" customFormat="1">
      <c r="A67" s="32">
        <f t="shared" si="0"/>
        <v>60</v>
      </c>
      <c r="B67" s="52" t="s">
        <v>101</v>
      </c>
      <c r="C67" s="51" t="s">
        <v>71</v>
      </c>
      <c r="D67" s="51">
        <v>3</v>
      </c>
      <c r="E67" s="51"/>
      <c r="F67" s="51"/>
    </row>
    <row r="68" spans="1:6" s="37" customFormat="1">
      <c r="A68" s="32">
        <f t="shared" si="0"/>
        <v>61</v>
      </c>
      <c r="B68" s="52" t="s">
        <v>72</v>
      </c>
      <c r="C68" s="51" t="s">
        <v>71</v>
      </c>
      <c r="D68" s="51">
        <v>1</v>
      </c>
      <c r="E68" s="51"/>
      <c r="F68" s="51"/>
    </row>
    <row r="69" spans="1:6" s="37" customFormat="1">
      <c r="A69" s="32">
        <f t="shared" si="0"/>
        <v>62</v>
      </c>
      <c r="B69" s="52" t="s">
        <v>70</v>
      </c>
      <c r="C69" s="51" t="s">
        <v>71</v>
      </c>
      <c r="D69" s="51">
        <v>14</v>
      </c>
      <c r="E69" s="51"/>
      <c r="F69" s="51"/>
    </row>
    <row r="70" spans="1:6" s="37" customFormat="1">
      <c r="A70" s="32">
        <f t="shared" si="0"/>
        <v>63</v>
      </c>
      <c r="B70" s="52" t="s">
        <v>81</v>
      </c>
      <c r="C70" s="51" t="s">
        <v>71</v>
      </c>
      <c r="D70" s="51">
        <v>13</v>
      </c>
      <c r="E70" s="51"/>
      <c r="F70" s="51"/>
    </row>
    <row r="71" spans="1:6" s="37" customFormat="1">
      <c r="A71" s="32">
        <f t="shared" si="0"/>
        <v>64</v>
      </c>
      <c r="B71" s="52" t="s">
        <v>67</v>
      </c>
      <c r="C71" s="51" t="s">
        <v>71</v>
      </c>
      <c r="D71" s="51">
        <v>1</v>
      </c>
      <c r="E71" s="51"/>
      <c r="F71" s="51"/>
    </row>
    <row r="72" spans="1:6" s="37" customFormat="1">
      <c r="A72" s="32">
        <f t="shared" si="0"/>
        <v>65</v>
      </c>
      <c r="B72" s="31" t="s">
        <v>454</v>
      </c>
      <c r="C72" s="32" t="s">
        <v>71</v>
      </c>
      <c r="D72" s="32">
        <v>1</v>
      </c>
      <c r="E72" s="32"/>
      <c r="F72" s="32"/>
    </row>
    <row r="73" spans="1:6" s="37" customFormat="1">
      <c r="A73" s="32">
        <f t="shared" si="0"/>
        <v>66</v>
      </c>
      <c r="B73" s="31" t="s">
        <v>458</v>
      </c>
      <c r="C73" s="32" t="s">
        <v>71</v>
      </c>
      <c r="D73" s="32">
        <v>1</v>
      </c>
      <c r="E73" s="32"/>
      <c r="F73" s="32"/>
    </row>
    <row r="74" spans="1:6" s="39" customFormat="1">
      <c r="A74" s="32">
        <f t="shared" si="0"/>
        <v>67</v>
      </c>
      <c r="B74" s="31" t="s">
        <v>455</v>
      </c>
      <c r="C74" s="32" t="s">
        <v>71</v>
      </c>
      <c r="D74" s="32">
        <v>1</v>
      </c>
      <c r="E74" s="32"/>
      <c r="F74" s="32"/>
    </row>
    <row r="75" spans="1:6" s="39" customFormat="1">
      <c r="A75" s="32">
        <f t="shared" si="0"/>
        <v>68</v>
      </c>
      <c r="B75" s="31" t="s">
        <v>381</v>
      </c>
      <c r="C75" s="32" t="s">
        <v>71</v>
      </c>
      <c r="D75" s="32">
        <v>1</v>
      </c>
      <c r="E75" s="32"/>
      <c r="F75" s="32"/>
    </row>
    <row r="76" spans="1:6" s="39" customFormat="1">
      <c r="A76" s="32">
        <f t="shared" si="0"/>
        <v>69</v>
      </c>
      <c r="B76" s="31" t="s">
        <v>466</v>
      </c>
      <c r="C76" s="32" t="s">
        <v>71</v>
      </c>
      <c r="D76" s="32">
        <v>6</v>
      </c>
      <c r="E76" s="32"/>
      <c r="F76" s="32"/>
    </row>
    <row r="77" spans="1:6" s="39" customFormat="1">
      <c r="A77" s="32">
        <f t="shared" si="0"/>
        <v>70</v>
      </c>
      <c r="B77" s="31" t="s">
        <v>468</v>
      </c>
      <c r="C77" s="32" t="s">
        <v>71</v>
      </c>
      <c r="D77" s="32">
        <v>1</v>
      </c>
      <c r="E77" s="32"/>
      <c r="F77" s="32"/>
    </row>
    <row r="78" spans="1:6" s="39" customFormat="1">
      <c r="A78" s="32">
        <f t="shared" si="0"/>
        <v>71</v>
      </c>
      <c r="B78" s="31" t="s">
        <v>472</v>
      </c>
      <c r="C78" s="32" t="s">
        <v>71</v>
      </c>
      <c r="D78" s="32">
        <v>1</v>
      </c>
      <c r="E78" s="32"/>
      <c r="F78" s="32"/>
    </row>
    <row r="79" spans="1:6" s="39" customFormat="1">
      <c r="A79" s="32">
        <f t="shared" si="0"/>
        <v>72</v>
      </c>
      <c r="B79" s="31" t="s">
        <v>467</v>
      </c>
      <c r="C79" s="32" t="s">
        <v>71</v>
      </c>
      <c r="D79" s="32">
        <v>6</v>
      </c>
      <c r="E79" s="32"/>
      <c r="F79" s="32"/>
    </row>
    <row r="80" spans="1:6" s="39" customFormat="1">
      <c r="A80" s="32">
        <f t="shared" si="0"/>
        <v>73</v>
      </c>
      <c r="B80" s="31" t="s">
        <v>469</v>
      </c>
      <c r="C80" s="32" t="s">
        <v>71</v>
      </c>
      <c r="D80" s="32">
        <v>1</v>
      </c>
      <c r="E80" s="32"/>
      <c r="F80" s="32"/>
    </row>
    <row r="81" spans="1:6" s="39" customFormat="1">
      <c r="A81" s="32">
        <f t="shared" si="0"/>
        <v>74</v>
      </c>
      <c r="B81" s="31" t="s">
        <v>473</v>
      </c>
      <c r="C81" s="32" t="s">
        <v>71</v>
      </c>
      <c r="D81" s="32">
        <v>1</v>
      </c>
      <c r="E81" s="32"/>
      <c r="F81" s="32"/>
    </row>
    <row r="82" spans="1:6" s="37" customFormat="1">
      <c r="A82" s="32">
        <f t="shared" si="0"/>
        <v>75</v>
      </c>
      <c r="B82" s="49" t="s">
        <v>319</v>
      </c>
      <c r="C82" s="34" t="s">
        <v>191</v>
      </c>
      <c r="D82" s="34">
        <v>13</v>
      </c>
      <c r="E82" s="31"/>
      <c r="F82" s="31"/>
    </row>
    <row r="83" spans="1:6" s="37" customFormat="1">
      <c r="A83" s="32">
        <f t="shared" si="0"/>
        <v>76</v>
      </c>
      <c r="B83" s="35" t="s">
        <v>342</v>
      </c>
      <c r="C83" s="34" t="s">
        <v>191</v>
      </c>
      <c r="D83" s="34">
        <v>16</v>
      </c>
      <c r="E83" s="31"/>
      <c r="F83" s="31"/>
    </row>
    <row r="84" spans="1:6" s="37" customFormat="1">
      <c r="A84" s="32">
        <f t="shared" si="0"/>
        <v>77</v>
      </c>
      <c r="B84" s="26" t="s">
        <v>357</v>
      </c>
      <c r="C84" s="34" t="s">
        <v>191</v>
      </c>
      <c r="D84" s="34">
        <v>1</v>
      </c>
      <c r="E84" s="32"/>
      <c r="F84" s="32"/>
    </row>
    <row r="85" spans="1:6" s="37" customFormat="1">
      <c r="A85" s="32">
        <f t="shared" si="0"/>
        <v>78</v>
      </c>
      <c r="B85" s="26" t="s">
        <v>359</v>
      </c>
      <c r="C85" s="34" t="s">
        <v>191</v>
      </c>
      <c r="D85" s="34">
        <v>1</v>
      </c>
      <c r="E85" s="32"/>
      <c r="F85" s="32"/>
    </row>
    <row r="86" spans="1:6" s="37" customFormat="1">
      <c r="A86" s="32">
        <f t="shared" si="0"/>
        <v>79</v>
      </c>
      <c r="B86" s="29" t="s">
        <v>230</v>
      </c>
      <c r="C86" s="30" t="s">
        <v>71</v>
      </c>
      <c r="D86" s="30">
        <v>2</v>
      </c>
      <c r="E86" s="32"/>
      <c r="F86" s="32"/>
    </row>
    <row r="87" spans="1:6" s="37" customFormat="1">
      <c r="A87" s="32">
        <f t="shared" si="0"/>
        <v>80</v>
      </c>
      <c r="B87" s="29" t="s">
        <v>274</v>
      </c>
      <c r="C87" s="30" t="s">
        <v>71</v>
      </c>
      <c r="D87" s="30">
        <v>1</v>
      </c>
      <c r="E87" s="32"/>
      <c r="F87" s="32"/>
    </row>
    <row r="88" spans="1:6" s="37" customFormat="1">
      <c r="A88" s="32">
        <f t="shared" si="0"/>
        <v>81</v>
      </c>
      <c r="B88" s="26"/>
      <c r="C88" s="34"/>
      <c r="D88" s="34"/>
      <c r="E88" s="32"/>
      <c r="F88" s="32"/>
    </row>
    <row r="89" spans="1:6" s="37" customFormat="1">
      <c r="A89" s="32">
        <f t="shared" si="0"/>
        <v>82</v>
      </c>
      <c r="B89" s="50" t="s">
        <v>88</v>
      </c>
      <c r="C89" s="51"/>
      <c r="D89" s="51"/>
      <c r="E89" s="51"/>
      <c r="F89" s="51"/>
    </row>
    <row r="90" spans="1:6" s="39" customFormat="1">
      <c r="A90" s="32">
        <f t="shared" si="0"/>
        <v>83</v>
      </c>
      <c r="B90" s="52" t="s">
        <v>68</v>
      </c>
      <c r="C90" s="51" t="s">
        <v>71</v>
      </c>
      <c r="D90" s="51">
        <v>12</v>
      </c>
      <c r="E90" s="51"/>
      <c r="F90" s="51"/>
    </row>
    <row r="91" spans="1:6" s="39" customFormat="1">
      <c r="A91" s="32">
        <f t="shared" ref="A91:A155" si="1">A90+1</f>
        <v>84</v>
      </c>
      <c r="B91" s="52" t="s">
        <v>80</v>
      </c>
      <c r="C91" s="51" t="s">
        <v>71</v>
      </c>
      <c r="D91" s="51">
        <v>6</v>
      </c>
      <c r="E91" s="51"/>
      <c r="F91" s="51"/>
    </row>
    <row r="92" spans="1:6" s="39" customFormat="1">
      <c r="A92" s="32">
        <f t="shared" si="1"/>
        <v>85</v>
      </c>
      <c r="B92" s="52" t="s">
        <v>100</v>
      </c>
      <c r="C92" s="51" t="s">
        <v>71</v>
      </c>
      <c r="D92" s="51">
        <v>4</v>
      </c>
      <c r="E92" s="51"/>
      <c r="F92" s="51"/>
    </row>
    <row r="93" spans="1:6" s="39" customFormat="1">
      <c r="A93" s="32">
        <f t="shared" si="1"/>
        <v>86</v>
      </c>
      <c r="B93" s="52" t="s">
        <v>77</v>
      </c>
      <c r="C93" s="51" t="s">
        <v>71</v>
      </c>
      <c r="D93" s="51">
        <v>1</v>
      </c>
      <c r="E93" s="51"/>
      <c r="F93" s="51"/>
    </row>
    <row r="94" spans="1:6" s="39" customFormat="1">
      <c r="A94" s="32">
        <f t="shared" si="1"/>
        <v>87</v>
      </c>
      <c r="B94" s="52" t="s">
        <v>81</v>
      </c>
      <c r="C94" s="51" t="s">
        <v>71</v>
      </c>
      <c r="D94" s="51">
        <v>7</v>
      </c>
      <c r="E94" s="51"/>
      <c r="F94" s="51"/>
    </row>
    <row r="95" spans="1:6" s="39" customFormat="1">
      <c r="A95" s="32">
        <f t="shared" si="1"/>
        <v>88</v>
      </c>
      <c r="B95" s="52" t="s">
        <v>70</v>
      </c>
      <c r="C95" s="51" t="s">
        <v>71</v>
      </c>
      <c r="D95" s="51">
        <v>10</v>
      </c>
      <c r="E95" s="51"/>
      <c r="F95" s="51"/>
    </row>
    <row r="96" spans="1:6" s="39" customFormat="1">
      <c r="A96" s="32">
        <f t="shared" si="1"/>
        <v>89</v>
      </c>
      <c r="B96" s="52" t="s">
        <v>67</v>
      </c>
      <c r="C96" s="51" t="s">
        <v>71</v>
      </c>
      <c r="D96" s="51">
        <v>1</v>
      </c>
      <c r="E96" s="51"/>
      <c r="F96" s="51"/>
    </row>
    <row r="97" spans="1:6" s="39" customFormat="1">
      <c r="A97" s="32">
        <f t="shared" si="1"/>
        <v>90</v>
      </c>
      <c r="B97" s="31" t="s">
        <v>448</v>
      </c>
      <c r="C97" s="32" t="s">
        <v>71</v>
      </c>
      <c r="D97" s="32">
        <v>2</v>
      </c>
      <c r="E97" s="32"/>
      <c r="F97" s="32"/>
    </row>
    <row r="98" spans="1:6" s="39" customFormat="1">
      <c r="A98" s="32">
        <f t="shared" si="1"/>
        <v>91</v>
      </c>
      <c r="B98" s="31" t="s">
        <v>474</v>
      </c>
      <c r="C98" s="32" t="s">
        <v>71</v>
      </c>
      <c r="D98" s="32">
        <v>1</v>
      </c>
      <c r="E98" s="32"/>
      <c r="F98" s="32"/>
    </row>
    <row r="99" spans="1:6" s="39" customFormat="1">
      <c r="A99" s="32">
        <f t="shared" si="1"/>
        <v>92</v>
      </c>
      <c r="B99" s="31" t="s">
        <v>475</v>
      </c>
      <c r="C99" s="32" t="s">
        <v>71</v>
      </c>
      <c r="D99" s="32">
        <v>2</v>
      </c>
      <c r="E99" s="32"/>
      <c r="F99" s="32"/>
    </row>
    <row r="100" spans="1:6" s="39" customFormat="1">
      <c r="A100" s="32">
        <f t="shared" si="1"/>
        <v>93</v>
      </c>
      <c r="B100" s="31" t="s">
        <v>476</v>
      </c>
      <c r="C100" s="32" t="s">
        <v>71</v>
      </c>
      <c r="D100" s="32">
        <v>1</v>
      </c>
      <c r="E100" s="32"/>
      <c r="F100" s="32"/>
    </row>
    <row r="101" spans="1:6" s="41" customFormat="1">
      <c r="A101" s="32">
        <f t="shared" si="1"/>
        <v>94</v>
      </c>
      <c r="B101" s="31" t="s">
        <v>477</v>
      </c>
      <c r="C101" s="32" t="s">
        <v>71</v>
      </c>
      <c r="D101" s="32">
        <v>1</v>
      </c>
      <c r="E101" s="32"/>
      <c r="F101" s="32"/>
    </row>
    <row r="102" spans="1:6" s="41" customFormat="1">
      <c r="A102" s="32">
        <f t="shared" si="1"/>
        <v>95</v>
      </c>
      <c r="B102" s="31" t="s">
        <v>471</v>
      </c>
      <c r="C102" s="32" t="s">
        <v>71</v>
      </c>
      <c r="D102" s="32">
        <v>1</v>
      </c>
      <c r="E102" s="32"/>
      <c r="F102" s="32"/>
    </row>
    <row r="103" spans="1:6" s="41" customFormat="1">
      <c r="A103" s="32">
        <f t="shared" si="1"/>
        <v>96</v>
      </c>
      <c r="B103" s="49" t="s">
        <v>319</v>
      </c>
      <c r="C103" s="34" t="s">
        <v>191</v>
      </c>
      <c r="D103" s="34">
        <v>5</v>
      </c>
      <c r="E103" s="31"/>
      <c r="F103" s="31"/>
    </row>
    <row r="104" spans="1:6" s="41" customFormat="1">
      <c r="A104" s="32">
        <f t="shared" si="1"/>
        <v>97</v>
      </c>
      <c r="B104" s="35" t="s">
        <v>342</v>
      </c>
      <c r="C104" s="34" t="s">
        <v>191</v>
      </c>
      <c r="D104" s="34">
        <v>10</v>
      </c>
      <c r="E104" s="31"/>
      <c r="F104" s="31"/>
    </row>
    <row r="105" spans="1:6" s="41" customFormat="1">
      <c r="A105" s="32">
        <f t="shared" si="1"/>
        <v>98</v>
      </c>
      <c r="B105" s="31" t="s">
        <v>274</v>
      </c>
      <c r="C105" s="32" t="s">
        <v>71</v>
      </c>
      <c r="D105" s="32">
        <v>1</v>
      </c>
      <c r="E105" s="31"/>
      <c r="F105" s="31"/>
    </row>
    <row r="106" spans="1:6" s="37" customFormat="1">
      <c r="A106" s="32">
        <f t="shared" si="1"/>
        <v>99</v>
      </c>
      <c r="B106" s="50" t="s">
        <v>89</v>
      </c>
      <c r="C106" s="51"/>
      <c r="D106" s="51"/>
      <c r="E106" s="51"/>
      <c r="F106" s="51"/>
    </row>
    <row r="107" spans="1:6" s="37" customFormat="1">
      <c r="A107" s="32">
        <f t="shared" si="1"/>
        <v>100</v>
      </c>
      <c r="B107" s="52" t="s">
        <v>80</v>
      </c>
      <c r="C107" s="51" t="s">
        <v>71</v>
      </c>
      <c r="D107" s="51">
        <v>6</v>
      </c>
      <c r="E107" s="51"/>
      <c r="F107" s="51"/>
    </row>
    <row r="108" spans="1:6" s="37" customFormat="1">
      <c r="A108" s="32">
        <f t="shared" si="1"/>
        <v>101</v>
      </c>
      <c r="B108" s="52" t="s">
        <v>75</v>
      </c>
      <c r="C108" s="51" t="s">
        <v>71</v>
      </c>
      <c r="D108" s="51">
        <v>8</v>
      </c>
      <c r="E108" s="51"/>
      <c r="F108" s="51"/>
    </row>
    <row r="109" spans="1:6" s="37" customFormat="1">
      <c r="A109" s="32">
        <f t="shared" si="1"/>
        <v>102</v>
      </c>
      <c r="B109" s="52" t="s">
        <v>105</v>
      </c>
      <c r="C109" s="51" t="s">
        <v>71</v>
      </c>
      <c r="D109" s="51">
        <v>1</v>
      </c>
      <c r="E109" s="51"/>
      <c r="F109" s="51"/>
    </row>
    <row r="110" spans="1:6">
      <c r="A110" s="32">
        <f t="shared" si="1"/>
        <v>103</v>
      </c>
      <c r="B110" s="52" t="s">
        <v>185</v>
      </c>
      <c r="C110" s="51" t="s">
        <v>71</v>
      </c>
      <c r="D110" s="51">
        <v>1</v>
      </c>
      <c r="E110" s="51"/>
      <c r="F110" s="51"/>
    </row>
    <row r="111" spans="1:6">
      <c r="A111" s="32">
        <f t="shared" si="1"/>
        <v>104</v>
      </c>
      <c r="B111" s="52" t="s">
        <v>100</v>
      </c>
      <c r="C111" s="51" t="s">
        <v>71</v>
      </c>
      <c r="D111" s="51">
        <v>1</v>
      </c>
      <c r="E111" s="51"/>
      <c r="F111" s="51"/>
    </row>
    <row r="112" spans="1:6">
      <c r="A112" s="32">
        <f t="shared" si="1"/>
        <v>105</v>
      </c>
      <c r="B112" s="52" t="s">
        <v>101</v>
      </c>
      <c r="C112" s="51" t="s">
        <v>71</v>
      </c>
      <c r="D112" s="51">
        <v>4</v>
      </c>
      <c r="E112" s="51"/>
      <c r="F112" s="51"/>
    </row>
    <row r="113" spans="1:6">
      <c r="A113" s="32">
        <f t="shared" si="1"/>
        <v>106</v>
      </c>
      <c r="B113" s="52" t="s">
        <v>72</v>
      </c>
      <c r="C113" s="51" t="s">
        <v>71</v>
      </c>
      <c r="D113" s="51">
        <v>1</v>
      </c>
      <c r="E113" s="51"/>
      <c r="F113" s="51"/>
    </row>
    <row r="114" spans="1:6">
      <c r="A114" s="32">
        <f t="shared" si="1"/>
        <v>107</v>
      </c>
      <c r="B114" s="52" t="s">
        <v>70</v>
      </c>
      <c r="C114" s="51" t="s">
        <v>71</v>
      </c>
      <c r="D114" s="51">
        <v>9</v>
      </c>
      <c r="E114" s="51"/>
      <c r="F114" s="51"/>
    </row>
    <row r="115" spans="1:6">
      <c r="A115" s="32">
        <f t="shared" si="1"/>
        <v>108</v>
      </c>
      <c r="B115" s="52" t="s">
        <v>81</v>
      </c>
      <c r="C115" s="51" t="s">
        <v>71</v>
      </c>
      <c r="D115" s="51">
        <v>4</v>
      </c>
      <c r="E115" s="51"/>
      <c r="F115" s="51"/>
    </row>
    <row r="116" spans="1:6">
      <c r="A116" s="32">
        <f t="shared" si="1"/>
        <v>109</v>
      </c>
      <c r="B116" s="52" t="s">
        <v>67</v>
      </c>
      <c r="C116" s="51" t="s">
        <v>71</v>
      </c>
      <c r="D116" s="51">
        <v>1</v>
      </c>
      <c r="E116" s="51"/>
      <c r="F116" s="51"/>
    </row>
    <row r="117" spans="1:6">
      <c r="A117" s="32">
        <f t="shared" si="1"/>
        <v>110</v>
      </c>
      <c r="B117" s="52" t="s">
        <v>456</v>
      </c>
      <c r="C117" s="51" t="s">
        <v>71</v>
      </c>
      <c r="D117" s="51">
        <v>1</v>
      </c>
      <c r="E117" s="51"/>
      <c r="F117" s="51"/>
    </row>
    <row r="118" spans="1:6" s="37" customFormat="1">
      <c r="A118" s="32">
        <f t="shared" si="1"/>
        <v>111</v>
      </c>
      <c r="B118" s="52" t="s">
        <v>457</v>
      </c>
      <c r="C118" s="51" t="s">
        <v>71</v>
      </c>
      <c r="D118" s="51">
        <v>2</v>
      </c>
      <c r="E118" s="51"/>
      <c r="F118" s="51"/>
    </row>
    <row r="119" spans="1:6" s="37" customFormat="1">
      <c r="A119" s="32">
        <f t="shared" si="1"/>
        <v>112</v>
      </c>
      <c r="B119" s="52" t="s">
        <v>455</v>
      </c>
      <c r="C119" s="51" t="s">
        <v>71</v>
      </c>
      <c r="D119" s="51">
        <v>3</v>
      </c>
      <c r="E119" s="51"/>
      <c r="F119" s="51"/>
    </row>
    <row r="120" spans="1:6" s="37" customFormat="1">
      <c r="A120" s="32">
        <f t="shared" si="1"/>
        <v>113</v>
      </c>
      <c r="B120" s="52" t="s">
        <v>381</v>
      </c>
      <c r="C120" s="51" t="s">
        <v>71</v>
      </c>
      <c r="D120" s="51">
        <v>1</v>
      </c>
      <c r="E120" s="51"/>
      <c r="F120" s="51"/>
    </row>
    <row r="121" spans="1:6" s="37" customFormat="1">
      <c r="A121" s="32">
        <f t="shared" si="1"/>
        <v>114</v>
      </c>
      <c r="B121" s="31" t="s">
        <v>466</v>
      </c>
      <c r="C121" s="32" t="s">
        <v>71</v>
      </c>
      <c r="D121" s="32">
        <v>2</v>
      </c>
      <c r="E121" s="32"/>
      <c r="F121" s="32"/>
    </row>
    <row r="122" spans="1:6" s="37" customFormat="1">
      <c r="A122" s="32">
        <f t="shared" si="1"/>
        <v>115</v>
      </c>
      <c r="B122" s="31" t="s">
        <v>467</v>
      </c>
      <c r="C122" s="32" t="s">
        <v>71</v>
      </c>
      <c r="D122" s="32">
        <v>2</v>
      </c>
      <c r="E122" s="32"/>
      <c r="F122" s="32"/>
    </row>
    <row r="123" spans="1:6" s="37" customFormat="1">
      <c r="A123" s="32">
        <f t="shared" si="1"/>
        <v>116</v>
      </c>
      <c r="B123" s="31" t="s">
        <v>471</v>
      </c>
      <c r="C123" s="32" t="s">
        <v>71</v>
      </c>
      <c r="D123" s="32">
        <v>1</v>
      </c>
      <c r="E123" s="32"/>
      <c r="F123" s="32"/>
    </row>
    <row r="124" spans="1:6" s="37" customFormat="1">
      <c r="A124" s="32">
        <f t="shared" si="1"/>
        <v>117</v>
      </c>
      <c r="B124" s="31" t="s">
        <v>465</v>
      </c>
      <c r="C124" s="32" t="s">
        <v>71</v>
      </c>
      <c r="D124" s="32">
        <v>4</v>
      </c>
      <c r="E124" s="32"/>
      <c r="F124" s="32"/>
    </row>
    <row r="125" spans="1:6" s="37" customFormat="1">
      <c r="A125" s="32">
        <f t="shared" si="1"/>
        <v>118</v>
      </c>
      <c r="B125" s="49" t="s">
        <v>319</v>
      </c>
      <c r="C125" s="34" t="s">
        <v>191</v>
      </c>
      <c r="D125" s="34">
        <v>8</v>
      </c>
      <c r="E125" s="31"/>
      <c r="F125" s="31"/>
    </row>
    <row r="126" spans="1:6" s="37" customFormat="1">
      <c r="A126" s="32">
        <f t="shared" si="1"/>
        <v>119</v>
      </c>
      <c r="B126" s="35" t="s">
        <v>342</v>
      </c>
      <c r="C126" s="34" t="s">
        <v>191</v>
      </c>
      <c r="D126" s="34">
        <v>9</v>
      </c>
      <c r="E126" s="31"/>
      <c r="F126" s="31"/>
    </row>
    <row r="127" spans="1:6" s="37" customFormat="1">
      <c r="A127" s="32"/>
      <c r="B127" s="29" t="s">
        <v>274</v>
      </c>
      <c r="C127" s="30" t="s">
        <v>71</v>
      </c>
      <c r="D127" s="30">
        <v>1</v>
      </c>
      <c r="E127" s="31"/>
      <c r="F127" s="31"/>
    </row>
    <row r="128" spans="1:6">
      <c r="A128" s="32">
        <f>A126+1</f>
        <v>120</v>
      </c>
      <c r="B128" s="14" t="s">
        <v>90</v>
      </c>
      <c r="C128" s="32"/>
      <c r="D128" s="32"/>
      <c r="E128" s="32"/>
      <c r="F128" s="32"/>
    </row>
    <row r="129" spans="1:6">
      <c r="A129" s="32">
        <f t="shared" si="1"/>
        <v>121</v>
      </c>
      <c r="B129" s="31" t="s">
        <v>80</v>
      </c>
      <c r="C129" s="32" t="s">
        <v>71</v>
      </c>
      <c r="D129" s="32">
        <v>7</v>
      </c>
      <c r="E129" s="32"/>
      <c r="F129" s="32"/>
    </row>
    <row r="130" spans="1:6">
      <c r="A130" s="32">
        <f t="shared" si="1"/>
        <v>122</v>
      </c>
      <c r="B130" s="31" t="s">
        <v>68</v>
      </c>
      <c r="C130" s="32" t="s">
        <v>71</v>
      </c>
      <c r="D130" s="32">
        <v>8</v>
      </c>
      <c r="E130" s="32"/>
      <c r="F130" s="32"/>
    </row>
    <row r="131" spans="1:6">
      <c r="A131" s="32">
        <f t="shared" si="1"/>
        <v>123</v>
      </c>
      <c r="B131" s="31" t="s">
        <v>100</v>
      </c>
      <c r="C131" s="32" t="s">
        <v>71</v>
      </c>
      <c r="D131" s="32">
        <v>3</v>
      </c>
      <c r="E131" s="32"/>
      <c r="F131" s="32"/>
    </row>
    <row r="132" spans="1:6">
      <c r="A132" s="32">
        <f t="shared" si="1"/>
        <v>124</v>
      </c>
      <c r="B132" s="31" t="s">
        <v>101</v>
      </c>
      <c r="C132" s="32" t="s">
        <v>71</v>
      </c>
      <c r="D132" s="32">
        <v>1</v>
      </c>
      <c r="E132" s="32"/>
      <c r="F132" s="32"/>
    </row>
    <row r="133" spans="1:6">
      <c r="A133" s="32">
        <f t="shared" si="1"/>
        <v>125</v>
      </c>
      <c r="B133" s="31" t="s">
        <v>70</v>
      </c>
      <c r="C133" s="32" t="s">
        <v>71</v>
      </c>
      <c r="D133" s="32">
        <v>11</v>
      </c>
      <c r="E133" s="32"/>
      <c r="F133" s="32"/>
    </row>
    <row r="134" spans="1:6">
      <c r="A134" s="32">
        <f t="shared" si="1"/>
        <v>126</v>
      </c>
      <c r="B134" s="31" t="s">
        <v>81</v>
      </c>
      <c r="C134" s="32" t="s">
        <v>71</v>
      </c>
      <c r="D134" s="32">
        <v>8</v>
      </c>
      <c r="E134" s="32"/>
      <c r="F134" s="32"/>
    </row>
    <row r="135" spans="1:6" s="37" customFormat="1">
      <c r="A135" s="32">
        <f t="shared" si="1"/>
        <v>127</v>
      </c>
      <c r="B135" s="31" t="s">
        <v>67</v>
      </c>
      <c r="C135" s="32" t="s">
        <v>71</v>
      </c>
      <c r="D135" s="32">
        <v>1</v>
      </c>
      <c r="E135" s="32"/>
      <c r="F135" s="32"/>
    </row>
    <row r="136" spans="1:6" s="37" customFormat="1">
      <c r="A136" s="32">
        <f t="shared" si="1"/>
        <v>128</v>
      </c>
      <c r="B136" s="31" t="s">
        <v>454</v>
      </c>
      <c r="C136" s="32" t="s">
        <v>71</v>
      </c>
      <c r="D136" s="32">
        <v>2</v>
      </c>
      <c r="E136" s="32"/>
      <c r="F136" s="32"/>
    </row>
    <row r="137" spans="1:6" s="37" customFormat="1">
      <c r="A137" s="32">
        <f t="shared" si="1"/>
        <v>129</v>
      </c>
      <c r="B137" s="31" t="s">
        <v>455</v>
      </c>
      <c r="C137" s="32" t="s">
        <v>71</v>
      </c>
      <c r="D137" s="32">
        <v>1</v>
      </c>
      <c r="E137" s="32"/>
      <c r="F137" s="32"/>
    </row>
    <row r="138" spans="1:6" s="37" customFormat="1">
      <c r="A138" s="32">
        <f t="shared" si="1"/>
        <v>130</v>
      </c>
      <c r="B138" s="31" t="s">
        <v>381</v>
      </c>
      <c r="C138" s="32" t="s">
        <v>71</v>
      </c>
      <c r="D138" s="32">
        <v>1</v>
      </c>
      <c r="E138" s="32"/>
      <c r="F138" s="32"/>
    </row>
    <row r="139" spans="1:6" s="37" customFormat="1">
      <c r="A139" s="32">
        <f t="shared" si="1"/>
        <v>131</v>
      </c>
      <c r="B139" s="31" t="s">
        <v>468</v>
      </c>
      <c r="C139" s="32" t="s">
        <v>71</v>
      </c>
      <c r="D139" s="32">
        <v>4</v>
      </c>
      <c r="E139" s="32"/>
      <c r="F139" s="32"/>
    </row>
    <row r="140" spans="1:6" s="37" customFormat="1">
      <c r="A140" s="32">
        <f t="shared" si="1"/>
        <v>132</v>
      </c>
      <c r="B140" s="31" t="s">
        <v>469</v>
      </c>
      <c r="C140" s="32" t="s">
        <v>71</v>
      </c>
      <c r="D140" s="32">
        <v>4</v>
      </c>
      <c r="E140" s="32"/>
      <c r="F140" s="32"/>
    </row>
    <row r="141" spans="1:6" s="37" customFormat="1">
      <c r="A141" s="32">
        <f t="shared" si="1"/>
        <v>133</v>
      </c>
      <c r="B141" s="31" t="s">
        <v>465</v>
      </c>
      <c r="C141" s="32" t="s">
        <v>71</v>
      </c>
      <c r="D141" s="32">
        <v>1</v>
      </c>
      <c r="E141" s="32"/>
      <c r="F141" s="32"/>
    </row>
    <row r="142" spans="1:6" s="37" customFormat="1">
      <c r="A142" s="32">
        <f t="shared" si="1"/>
        <v>134</v>
      </c>
      <c r="B142" s="31" t="s">
        <v>464</v>
      </c>
      <c r="C142" s="32" t="s">
        <v>71</v>
      </c>
      <c r="D142" s="32">
        <v>1</v>
      </c>
      <c r="E142" s="32"/>
      <c r="F142" s="32"/>
    </row>
    <row r="143" spans="1:6">
      <c r="A143" s="32">
        <f t="shared" si="1"/>
        <v>135</v>
      </c>
      <c r="B143" s="31" t="s">
        <v>438</v>
      </c>
      <c r="C143" s="32" t="s">
        <v>71</v>
      </c>
      <c r="D143" s="32">
        <v>1</v>
      </c>
      <c r="E143" s="32"/>
      <c r="F143" s="32"/>
    </row>
    <row r="144" spans="1:6">
      <c r="A144" s="32">
        <f t="shared" si="1"/>
        <v>136</v>
      </c>
      <c r="B144" s="31" t="s">
        <v>470</v>
      </c>
      <c r="C144" s="32" t="s">
        <v>71</v>
      </c>
      <c r="D144" s="32">
        <v>1</v>
      </c>
      <c r="E144" s="32"/>
      <c r="F144" s="32"/>
    </row>
    <row r="145" spans="1:6">
      <c r="A145" s="32">
        <f t="shared" si="1"/>
        <v>137</v>
      </c>
      <c r="B145" s="49" t="s">
        <v>319</v>
      </c>
      <c r="C145" s="34" t="s">
        <v>191</v>
      </c>
      <c r="D145" s="34">
        <v>5</v>
      </c>
      <c r="E145" s="31"/>
      <c r="F145" s="31"/>
    </row>
    <row r="146" spans="1:6">
      <c r="A146" s="32">
        <f t="shared" si="1"/>
        <v>138</v>
      </c>
      <c r="B146" s="35" t="s">
        <v>342</v>
      </c>
      <c r="C146" s="34" t="s">
        <v>191</v>
      </c>
      <c r="D146" s="34">
        <v>9</v>
      </c>
      <c r="E146" s="31"/>
      <c r="F146" s="31"/>
    </row>
    <row r="147" spans="1:6">
      <c r="A147" s="32">
        <f t="shared" si="1"/>
        <v>139</v>
      </c>
      <c r="B147" s="29" t="s">
        <v>274</v>
      </c>
      <c r="C147" s="30" t="s">
        <v>71</v>
      </c>
      <c r="D147" s="30">
        <v>1</v>
      </c>
      <c r="E147" s="31"/>
      <c r="F147" s="31"/>
    </row>
    <row r="148" spans="1:6">
      <c r="A148" s="32">
        <f t="shared" si="1"/>
        <v>140</v>
      </c>
      <c r="B148" s="14" t="s">
        <v>91</v>
      </c>
      <c r="C148" s="32"/>
      <c r="D148" s="32"/>
      <c r="E148" s="32"/>
      <c r="F148" s="32"/>
    </row>
    <row r="149" spans="1:6">
      <c r="A149" s="32">
        <f t="shared" si="1"/>
        <v>141</v>
      </c>
      <c r="B149" s="31" t="s">
        <v>80</v>
      </c>
      <c r="C149" s="32" t="s">
        <v>71</v>
      </c>
      <c r="D149" s="32">
        <v>10</v>
      </c>
      <c r="E149" s="32"/>
      <c r="F149" s="32"/>
    </row>
    <row r="150" spans="1:6">
      <c r="A150" s="32">
        <f t="shared" si="1"/>
        <v>142</v>
      </c>
      <c r="B150" s="31" t="s">
        <v>100</v>
      </c>
      <c r="C150" s="32" t="s">
        <v>71</v>
      </c>
      <c r="D150" s="32">
        <v>4</v>
      </c>
      <c r="E150" s="32"/>
      <c r="F150" s="32"/>
    </row>
    <row r="151" spans="1:6">
      <c r="A151" s="32">
        <f t="shared" si="1"/>
        <v>143</v>
      </c>
      <c r="B151" s="31" t="s">
        <v>101</v>
      </c>
      <c r="C151" s="32" t="s">
        <v>71</v>
      </c>
      <c r="D151" s="32">
        <v>1</v>
      </c>
      <c r="E151" s="32"/>
      <c r="F151" s="32"/>
    </row>
    <row r="152" spans="1:6">
      <c r="A152" s="32">
        <f t="shared" si="1"/>
        <v>144</v>
      </c>
      <c r="B152" s="31" t="s">
        <v>70</v>
      </c>
      <c r="C152" s="32" t="s">
        <v>71</v>
      </c>
      <c r="D152" s="32">
        <v>8</v>
      </c>
      <c r="E152" s="32"/>
      <c r="F152" s="32"/>
    </row>
    <row r="153" spans="1:6" s="37" customFormat="1">
      <c r="A153" s="32">
        <f t="shared" si="1"/>
        <v>145</v>
      </c>
      <c r="B153" s="31" t="s">
        <v>81</v>
      </c>
      <c r="C153" s="32" t="s">
        <v>71</v>
      </c>
      <c r="D153" s="32">
        <v>1</v>
      </c>
      <c r="E153" s="32"/>
      <c r="F153" s="32"/>
    </row>
    <row r="154" spans="1:6" s="37" customFormat="1">
      <c r="A154" s="32">
        <f t="shared" si="1"/>
        <v>146</v>
      </c>
      <c r="B154" s="31" t="s">
        <v>67</v>
      </c>
      <c r="C154" s="32" t="s">
        <v>71</v>
      </c>
      <c r="D154" s="32">
        <v>1</v>
      </c>
      <c r="E154" s="32"/>
      <c r="F154" s="32"/>
    </row>
    <row r="155" spans="1:6" s="37" customFormat="1">
      <c r="A155" s="32">
        <f t="shared" si="1"/>
        <v>147</v>
      </c>
      <c r="B155" s="31" t="s">
        <v>456</v>
      </c>
      <c r="C155" s="32" t="s">
        <v>71</v>
      </c>
      <c r="D155" s="32">
        <v>1</v>
      </c>
      <c r="E155" s="32"/>
      <c r="F155" s="32"/>
    </row>
    <row r="156" spans="1:6" s="37" customFormat="1">
      <c r="A156" s="32">
        <f t="shared" ref="A156:A219" si="2">A155+1</f>
        <v>148</v>
      </c>
      <c r="B156" s="31" t="s">
        <v>455</v>
      </c>
      <c r="C156" s="32" t="s">
        <v>71</v>
      </c>
      <c r="D156" s="32">
        <v>1</v>
      </c>
      <c r="E156" s="32"/>
      <c r="F156" s="32"/>
    </row>
    <row r="157" spans="1:6" s="37" customFormat="1">
      <c r="A157" s="32">
        <f t="shared" si="2"/>
        <v>149</v>
      </c>
      <c r="B157" s="31" t="s">
        <v>388</v>
      </c>
      <c r="C157" s="32" t="s">
        <v>71</v>
      </c>
      <c r="D157" s="32">
        <v>1</v>
      </c>
      <c r="E157" s="32"/>
      <c r="F157" s="32"/>
    </row>
    <row r="158" spans="1:6" s="37" customFormat="1">
      <c r="A158" s="32">
        <f t="shared" si="2"/>
        <v>150</v>
      </c>
      <c r="B158" s="31" t="s">
        <v>381</v>
      </c>
      <c r="C158" s="32" t="s">
        <v>71</v>
      </c>
      <c r="D158" s="32">
        <v>1</v>
      </c>
      <c r="E158" s="32"/>
      <c r="F158" s="32"/>
    </row>
    <row r="159" spans="1:6" s="37" customFormat="1">
      <c r="A159" s="32">
        <f t="shared" si="2"/>
        <v>151</v>
      </c>
      <c r="B159" s="31" t="s">
        <v>466</v>
      </c>
      <c r="C159" s="32" t="s">
        <v>71</v>
      </c>
      <c r="D159" s="32">
        <v>2</v>
      </c>
      <c r="E159" s="32"/>
      <c r="F159" s="32"/>
    </row>
    <row r="160" spans="1:6" s="37" customFormat="1">
      <c r="A160" s="32">
        <f t="shared" si="2"/>
        <v>152</v>
      </c>
      <c r="B160" s="31" t="s">
        <v>467</v>
      </c>
      <c r="C160" s="32" t="s">
        <v>71</v>
      </c>
      <c r="D160" s="32">
        <v>2</v>
      </c>
      <c r="E160" s="32"/>
      <c r="F160" s="32"/>
    </row>
    <row r="161" spans="1:6">
      <c r="A161" s="32">
        <f t="shared" si="2"/>
        <v>153</v>
      </c>
      <c r="B161" s="31" t="s">
        <v>464</v>
      </c>
      <c r="C161" s="32" t="s">
        <v>71</v>
      </c>
      <c r="D161" s="32">
        <v>1</v>
      </c>
      <c r="E161" s="32"/>
      <c r="F161" s="32"/>
    </row>
    <row r="162" spans="1:6">
      <c r="A162" s="32">
        <f t="shared" si="2"/>
        <v>154</v>
      </c>
      <c r="B162" s="31" t="s">
        <v>465</v>
      </c>
      <c r="C162" s="32" t="s">
        <v>71</v>
      </c>
      <c r="D162" s="32">
        <v>2</v>
      </c>
      <c r="E162" s="32"/>
      <c r="F162" s="32"/>
    </row>
    <row r="163" spans="1:6">
      <c r="A163" s="32">
        <f t="shared" si="2"/>
        <v>155</v>
      </c>
      <c r="B163" s="49" t="s">
        <v>319</v>
      </c>
      <c r="C163" s="34" t="s">
        <v>191</v>
      </c>
      <c r="D163" s="34">
        <v>5</v>
      </c>
      <c r="E163" s="31"/>
      <c r="F163" s="31"/>
    </row>
    <row r="164" spans="1:6">
      <c r="A164" s="32">
        <f t="shared" si="2"/>
        <v>156</v>
      </c>
      <c r="B164" s="35" t="s">
        <v>342</v>
      </c>
      <c r="C164" s="34" t="s">
        <v>191</v>
      </c>
      <c r="D164" s="34">
        <v>7</v>
      </c>
      <c r="E164" s="31"/>
      <c r="F164" s="31"/>
    </row>
    <row r="165" spans="1:6">
      <c r="A165" s="32">
        <f t="shared" si="2"/>
        <v>157</v>
      </c>
      <c r="B165" s="31" t="s">
        <v>274</v>
      </c>
      <c r="C165" s="32" t="s">
        <v>71</v>
      </c>
      <c r="D165" s="32">
        <v>1</v>
      </c>
      <c r="E165" s="31"/>
      <c r="F165" s="31"/>
    </row>
    <row r="166" spans="1:6">
      <c r="A166" s="32">
        <f t="shared" si="2"/>
        <v>158</v>
      </c>
      <c r="B166" s="14" t="s">
        <v>92</v>
      </c>
      <c r="C166" s="32"/>
      <c r="D166" s="32"/>
      <c r="E166" s="32"/>
      <c r="F166" s="32"/>
    </row>
    <row r="167" spans="1:6" s="37" customFormat="1">
      <c r="A167" s="32">
        <f t="shared" si="2"/>
        <v>159</v>
      </c>
      <c r="B167" s="31" t="s">
        <v>68</v>
      </c>
      <c r="C167" s="32" t="s">
        <v>71</v>
      </c>
      <c r="D167" s="32">
        <v>11</v>
      </c>
      <c r="E167" s="32"/>
      <c r="F167" s="32"/>
    </row>
    <row r="168" spans="1:6" s="37" customFormat="1">
      <c r="A168" s="32">
        <f t="shared" si="2"/>
        <v>160</v>
      </c>
      <c r="B168" s="31" t="s">
        <v>75</v>
      </c>
      <c r="C168" s="32" t="s">
        <v>71</v>
      </c>
      <c r="D168" s="32">
        <v>4</v>
      </c>
      <c r="E168" s="32"/>
      <c r="F168" s="32"/>
    </row>
    <row r="169" spans="1:6" s="37" customFormat="1">
      <c r="A169" s="32">
        <f t="shared" si="2"/>
        <v>161</v>
      </c>
      <c r="B169" s="31" t="s">
        <v>74</v>
      </c>
      <c r="C169" s="32" t="s">
        <v>71</v>
      </c>
      <c r="D169" s="32">
        <v>1</v>
      </c>
      <c r="E169" s="32"/>
      <c r="F169" s="32"/>
    </row>
    <row r="170" spans="1:6" s="37" customFormat="1">
      <c r="A170" s="32">
        <f t="shared" si="2"/>
        <v>162</v>
      </c>
      <c r="B170" s="31" t="s">
        <v>100</v>
      </c>
      <c r="C170" s="32" t="s">
        <v>71</v>
      </c>
      <c r="D170" s="32">
        <v>7</v>
      </c>
      <c r="E170" s="32"/>
      <c r="F170" s="32"/>
    </row>
    <row r="171" spans="1:6">
      <c r="A171" s="32">
        <f t="shared" si="2"/>
        <v>163</v>
      </c>
      <c r="B171" s="31" t="s">
        <v>77</v>
      </c>
      <c r="C171" s="32" t="s">
        <v>71</v>
      </c>
      <c r="D171" s="32">
        <v>1</v>
      </c>
      <c r="E171" s="32"/>
      <c r="F171" s="32"/>
    </row>
    <row r="172" spans="1:6">
      <c r="A172" s="32">
        <f t="shared" si="2"/>
        <v>164</v>
      </c>
      <c r="B172" s="31" t="s">
        <v>70</v>
      </c>
      <c r="C172" s="32" t="s">
        <v>71</v>
      </c>
      <c r="D172" s="32">
        <v>10</v>
      </c>
      <c r="E172" s="32"/>
      <c r="F172" s="32"/>
    </row>
    <row r="173" spans="1:6">
      <c r="A173" s="32">
        <f t="shared" si="2"/>
        <v>165</v>
      </c>
      <c r="B173" s="31" t="s">
        <v>81</v>
      </c>
      <c r="C173" s="32" t="s">
        <v>71</v>
      </c>
      <c r="D173" s="32">
        <v>15</v>
      </c>
      <c r="E173" s="32"/>
      <c r="F173" s="32"/>
    </row>
    <row r="174" spans="1:6">
      <c r="A174" s="32">
        <f t="shared" si="2"/>
        <v>166</v>
      </c>
      <c r="B174" s="31" t="s">
        <v>67</v>
      </c>
      <c r="C174" s="32" t="s">
        <v>71</v>
      </c>
      <c r="D174" s="32"/>
      <c r="E174" s="32"/>
      <c r="F174" s="32"/>
    </row>
    <row r="175" spans="1:6">
      <c r="A175" s="32">
        <f t="shared" si="2"/>
        <v>167</v>
      </c>
      <c r="B175" s="31" t="s">
        <v>454</v>
      </c>
      <c r="C175" s="32" t="s">
        <v>71</v>
      </c>
      <c r="D175" s="32">
        <v>1</v>
      </c>
      <c r="E175" s="32"/>
      <c r="F175" s="32"/>
    </row>
    <row r="176" spans="1:6" s="37" customFormat="1">
      <c r="A176" s="32">
        <f t="shared" si="2"/>
        <v>168</v>
      </c>
      <c r="B176" s="31" t="s">
        <v>448</v>
      </c>
      <c r="C176" s="32" t="s">
        <v>71</v>
      </c>
      <c r="D176" s="32">
        <v>1</v>
      </c>
      <c r="E176" s="32"/>
      <c r="F176" s="32"/>
    </row>
    <row r="177" spans="1:6" s="37" customFormat="1">
      <c r="A177" s="32">
        <f t="shared" si="2"/>
        <v>169</v>
      </c>
      <c r="B177" s="31" t="s">
        <v>455</v>
      </c>
      <c r="C177" s="32" t="s">
        <v>71</v>
      </c>
      <c r="D177" s="32">
        <v>1</v>
      </c>
      <c r="E177" s="32"/>
      <c r="F177" s="32"/>
    </row>
    <row r="178" spans="1:6" s="37" customFormat="1">
      <c r="A178" s="32">
        <f t="shared" si="2"/>
        <v>170</v>
      </c>
      <c r="B178" s="31" t="s">
        <v>388</v>
      </c>
      <c r="C178" s="32" t="s">
        <v>71</v>
      </c>
      <c r="D178" s="32">
        <v>2</v>
      </c>
      <c r="E178" s="32"/>
      <c r="F178" s="32"/>
    </row>
    <row r="179" spans="1:6">
      <c r="A179" s="32">
        <f t="shared" si="2"/>
        <v>171</v>
      </c>
      <c r="B179" s="31" t="s">
        <v>462</v>
      </c>
      <c r="C179" s="32" t="s">
        <v>71</v>
      </c>
      <c r="D179" s="32">
        <v>5</v>
      </c>
      <c r="E179" s="32"/>
      <c r="F179" s="32"/>
    </row>
    <row r="180" spans="1:6">
      <c r="A180" s="32">
        <f t="shared" si="2"/>
        <v>172</v>
      </c>
      <c r="B180" s="31" t="s">
        <v>463</v>
      </c>
      <c r="C180" s="32" t="s">
        <v>71</v>
      </c>
      <c r="D180" s="32">
        <v>5</v>
      </c>
      <c r="E180" s="32"/>
      <c r="F180" s="32"/>
    </row>
    <row r="181" spans="1:6">
      <c r="A181" s="32">
        <f t="shared" si="2"/>
        <v>173</v>
      </c>
      <c r="B181" s="31" t="s">
        <v>464</v>
      </c>
      <c r="C181" s="32" t="s">
        <v>71</v>
      </c>
      <c r="D181" s="32">
        <v>1</v>
      </c>
      <c r="E181" s="32"/>
      <c r="F181" s="32"/>
    </row>
    <row r="182" spans="1:6">
      <c r="A182" s="32">
        <f t="shared" si="2"/>
        <v>174</v>
      </c>
      <c r="B182" s="31" t="s">
        <v>465</v>
      </c>
      <c r="C182" s="32" t="s">
        <v>71</v>
      </c>
      <c r="D182" s="32">
        <v>2</v>
      </c>
      <c r="E182" s="32"/>
      <c r="F182" s="32"/>
    </row>
    <row r="183" spans="1:6">
      <c r="A183" s="32">
        <f t="shared" si="2"/>
        <v>175</v>
      </c>
      <c r="B183" s="49" t="s">
        <v>319</v>
      </c>
      <c r="C183" s="34" t="s">
        <v>191</v>
      </c>
      <c r="D183" s="34">
        <v>10</v>
      </c>
      <c r="E183" s="31"/>
      <c r="F183" s="31"/>
    </row>
    <row r="184" spans="1:6" s="37" customFormat="1">
      <c r="A184" s="32">
        <f t="shared" si="2"/>
        <v>176</v>
      </c>
      <c r="B184" s="35" t="s">
        <v>342</v>
      </c>
      <c r="C184" s="34" t="s">
        <v>191</v>
      </c>
      <c r="D184" s="34">
        <v>10</v>
      </c>
      <c r="E184" s="31"/>
      <c r="F184" s="31"/>
    </row>
    <row r="185" spans="1:6" s="37" customFormat="1">
      <c r="A185" s="32">
        <f t="shared" si="2"/>
        <v>177</v>
      </c>
      <c r="B185" s="31" t="s">
        <v>230</v>
      </c>
      <c r="C185" s="32" t="s">
        <v>71</v>
      </c>
      <c r="D185" s="32">
        <v>3</v>
      </c>
      <c r="E185" s="31"/>
      <c r="F185" s="31"/>
    </row>
    <row r="186" spans="1:6" s="37" customFormat="1">
      <c r="A186" s="32">
        <f t="shared" si="2"/>
        <v>178</v>
      </c>
      <c r="B186" s="31" t="s">
        <v>274</v>
      </c>
      <c r="C186" s="32" t="s">
        <v>71</v>
      </c>
      <c r="D186" s="32">
        <v>1</v>
      </c>
      <c r="E186" s="31"/>
      <c r="F186" s="31"/>
    </row>
    <row r="187" spans="1:6" s="37" customFormat="1">
      <c r="A187" s="32">
        <f t="shared" si="2"/>
        <v>179</v>
      </c>
      <c r="B187" s="35"/>
      <c r="C187" s="34"/>
      <c r="D187" s="34"/>
      <c r="E187" s="31"/>
      <c r="F187" s="31"/>
    </row>
    <row r="188" spans="1:6" s="37" customFormat="1">
      <c r="A188" s="32">
        <f t="shared" si="2"/>
        <v>180</v>
      </c>
      <c r="B188" s="60" t="s">
        <v>510</v>
      </c>
      <c r="C188" s="34"/>
      <c r="D188" s="34"/>
      <c r="E188" s="31"/>
      <c r="F188" s="31"/>
    </row>
    <row r="189" spans="1:6" s="37" customFormat="1">
      <c r="A189" s="32">
        <f t="shared" si="2"/>
        <v>181</v>
      </c>
      <c r="B189" s="31" t="s">
        <v>230</v>
      </c>
      <c r="C189" s="32" t="s">
        <v>71</v>
      </c>
      <c r="D189" s="32">
        <v>1</v>
      </c>
      <c r="E189" s="31"/>
      <c r="F189" s="31"/>
    </row>
    <row r="190" spans="1:6" s="37" customFormat="1">
      <c r="A190" s="32">
        <f t="shared" si="2"/>
        <v>182</v>
      </c>
      <c r="B190" s="31" t="s">
        <v>231</v>
      </c>
      <c r="C190" s="32" t="s">
        <v>71</v>
      </c>
      <c r="D190" s="32">
        <v>1</v>
      </c>
      <c r="E190" s="31"/>
      <c r="F190" s="31"/>
    </row>
    <row r="191" spans="1:6" s="37" customFormat="1">
      <c r="A191" s="32">
        <f t="shared" si="2"/>
        <v>183</v>
      </c>
      <c r="B191" s="14" t="s">
        <v>93</v>
      </c>
      <c r="C191" s="32"/>
      <c r="D191" s="32"/>
      <c r="E191" s="32"/>
      <c r="F191" s="32"/>
    </row>
    <row r="192" spans="1:6" s="37" customFormat="1">
      <c r="A192" s="32">
        <f t="shared" si="2"/>
        <v>184</v>
      </c>
      <c r="B192" s="31" t="s">
        <v>80</v>
      </c>
      <c r="C192" s="32" t="s">
        <v>71</v>
      </c>
      <c r="D192" s="32">
        <v>9</v>
      </c>
      <c r="E192" s="32"/>
      <c r="F192" s="32"/>
    </row>
    <row r="193" spans="1:6">
      <c r="A193" s="32">
        <f t="shared" si="2"/>
        <v>185</v>
      </c>
      <c r="B193" s="31" t="s">
        <v>101</v>
      </c>
      <c r="C193" s="32" t="s">
        <v>71</v>
      </c>
      <c r="D193" s="32">
        <v>1</v>
      </c>
      <c r="E193" s="32"/>
      <c r="F193" s="32"/>
    </row>
    <row r="194" spans="1:6">
      <c r="A194" s="32">
        <f t="shared" si="2"/>
        <v>186</v>
      </c>
      <c r="B194" s="31" t="s">
        <v>70</v>
      </c>
      <c r="C194" s="32" t="s">
        <v>71</v>
      </c>
      <c r="D194" s="32">
        <v>7</v>
      </c>
      <c r="E194" s="32"/>
      <c r="F194" s="32"/>
    </row>
    <row r="195" spans="1:6">
      <c r="A195" s="32">
        <f t="shared" si="2"/>
        <v>187</v>
      </c>
      <c r="B195" s="31" t="s">
        <v>67</v>
      </c>
      <c r="C195" s="32" t="s">
        <v>71</v>
      </c>
      <c r="D195" s="32">
        <v>1</v>
      </c>
      <c r="E195" s="32"/>
      <c r="F195" s="32"/>
    </row>
    <row r="196" spans="1:6">
      <c r="A196" s="32">
        <f t="shared" si="2"/>
        <v>188</v>
      </c>
      <c r="B196" s="31" t="s">
        <v>381</v>
      </c>
      <c r="C196" s="32" t="s">
        <v>71</v>
      </c>
      <c r="D196" s="32">
        <v>1</v>
      </c>
      <c r="E196" s="32"/>
      <c r="F196" s="32"/>
    </row>
    <row r="197" spans="1:6">
      <c r="A197" s="32">
        <f t="shared" si="2"/>
        <v>189</v>
      </c>
      <c r="B197" s="31" t="s">
        <v>388</v>
      </c>
      <c r="C197" s="32" t="s">
        <v>71</v>
      </c>
      <c r="D197" s="32">
        <v>1</v>
      </c>
      <c r="E197" s="32"/>
      <c r="F197" s="32"/>
    </row>
    <row r="198" spans="1:6" s="37" customFormat="1">
      <c r="A198" s="32">
        <f t="shared" si="2"/>
        <v>190</v>
      </c>
      <c r="B198" s="31" t="s">
        <v>382</v>
      </c>
      <c r="C198" s="32" t="s">
        <v>71</v>
      </c>
      <c r="D198" s="32">
        <v>4</v>
      </c>
      <c r="E198" s="32"/>
      <c r="F198" s="32"/>
    </row>
    <row r="199" spans="1:6" s="37" customFormat="1">
      <c r="A199" s="32">
        <f t="shared" si="2"/>
        <v>191</v>
      </c>
      <c r="B199" s="31" t="s">
        <v>387</v>
      </c>
      <c r="C199" s="32" t="s">
        <v>71</v>
      </c>
      <c r="D199" s="32">
        <v>1</v>
      </c>
      <c r="E199" s="32"/>
      <c r="F199" s="32"/>
    </row>
    <row r="200" spans="1:6" s="37" customFormat="1">
      <c r="A200" s="32">
        <f t="shared" si="2"/>
        <v>192</v>
      </c>
      <c r="B200" s="49" t="s">
        <v>319</v>
      </c>
      <c r="C200" s="34" t="s">
        <v>191</v>
      </c>
      <c r="D200" s="34">
        <v>1</v>
      </c>
      <c r="E200" s="31"/>
      <c r="F200" s="31"/>
    </row>
    <row r="201" spans="1:6">
      <c r="A201" s="32">
        <f t="shared" si="2"/>
        <v>193</v>
      </c>
      <c r="B201" s="35" t="s">
        <v>342</v>
      </c>
      <c r="C201" s="34" t="s">
        <v>191</v>
      </c>
      <c r="D201" s="34">
        <v>4</v>
      </c>
      <c r="E201" s="31"/>
      <c r="F201" s="31"/>
    </row>
    <row r="202" spans="1:6">
      <c r="A202" s="32">
        <f t="shared" si="2"/>
        <v>194</v>
      </c>
      <c r="B202" s="14" t="s">
        <v>94</v>
      </c>
      <c r="C202" s="32"/>
      <c r="D202" s="32"/>
      <c r="E202" s="32"/>
      <c r="F202" s="32"/>
    </row>
    <row r="203" spans="1:6">
      <c r="A203" s="32">
        <f t="shared" si="2"/>
        <v>195</v>
      </c>
      <c r="B203" s="31" t="s">
        <v>80</v>
      </c>
      <c r="C203" s="32" t="s">
        <v>71</v>
      </c>
      <c r="D203" s="32">
        <v>3</v>
      </c>
      <c r="E203" s="32"/>
      <c r="F203" s="32"/>
    </row>
    <row r="204" spans="1:6">
      <c r="A204" s="32">
        <f t="shared" si="2"/>
        <v>196</v>
      </c>
      <c r="B204" s="31" t="s">
        <v>101</v>
      </c>
      <c r="C204" s="32" t="s">
        <v>71</v>
      </c>
      <c r="D204" s="32">
        <v>1</v>
      </c>
      <c r="E204" s="32"/>
      <c r="F204" s="32"/>
    </row>
    <row r="205" spans="1:6">
      <c r="A205" s="32">
        <f t="shared" si="2"/>
        <v>197</v>
      </c>
      <c r="B205" s="31" t="s">
        <v>70</v>
      </c>
      <c r="C205" s="32" t="s">
        <v>71</v>
      </c>
      <c r="D205" s="32">
        <v>6</v>
      </c>
      <c r="E205" s="32"/>
      <c r="F205" s="32"/>
    </row>
    <row r="206" spans="1:6" s="37" customFormat="1">
      <c r="A206" s="32">
        <f t="shared" si="2"/>
        <v>198</v>
      </c>
      <c r="B206" s="31" t="s">
        <v>67</v>
      </c>
      <c r="C206" s="32" t="s">
        <v>71</v>
      </c>
      <c r="D206" s="32">
        <v>1</v>
      </c>
      <c r="E206" s="32"/>
      <c r="F206" s="32"/>
    </row>
    <row r="207" spans="1:6" s="37" customFormat="1">
      <c r="A207" s="32">
        <f t="shared" si="2"/>
        <v>199</v>
      </c>
      <c r="B207" s="31" t="s">
        <v>381</v>
      </c>
      <c r="C207" s="32" t="s">
        <v>71</v>
      </c>
      <c r="D207" s="32">
        <v>1</v>
      </c>
      <c r="E207" s="32"/>
      <c r="F207" s="32"/>
    </row>
    <row r="208" spans="1:6">
      <c r="A208" s="32">
        <f t="shared" si="2"/>
        <v>200</v>
      </c>
      <c r="B208" s="31" t="s">
        <v>382</v>
      </c>
      <c r="C208" s="32" t="s">
        <v>71</v>
      </c>
      <c r="D208" s="32">
        <v>2</v>
      </c>
      <c r="E208" s="32"/>
      <c r="F208" s="32"/>
    </row>
    <row r="209" spans="1:6">
      <c r="A209" s="32">
        <f t="shared" si="2"/>
        <v>201</v>
      </c>
      <c r="B209" s="31" t="s">
        <v>387</v>
      </c>
      <c r="C209" s="32" t="s">
        <v>71</v>
      </c>
      <c r="D209" s="32">
        <v>1</v>
      </c>
      <c r="E209" s="32"/>
      <c r="F209" s="32"/>
    </row>
    <row r="210" spans="1:6">
      <c r="A210" s="32">
        <f t="shared" si="2"/>
        <v>202</v>
      </c>
      <c r="B210" s="49" t="s">
        <v>319</v>
      </c>
      <c r="C210" s="34" t="s">
        <v>191</v>
      </c>
      <c r="D210" s="34">
        <v>1</v>
      </c>
      <c r="E210" s="31"/>
      <c r="F210" s="31"/>
    </row>
    <row r="211" spans="1:6">
      <c r="A211" s="32">
        <f t="shared" si="2"/>
        <v>203</v>
      </c>
      <c r="B211" s="35" t="s">
        <v>342</v>
      </c>
      <c r="C211" s="34" t="s">
        <v>191</v>
      </c>
      <c r="D211" s="34">
        <v>2</v>
      </c>
      <c r="E211" s="31"/>
      <c r="F211" s="31"/>
    </row>
    <row r="212" spans="1:6">
      <c r="A212" s="32">
        <f t="shared" si="2"/>
        <v>204</v>
      </c>
      <c r="B212" s="14" t="s">
        <v>95</v>
      </c>
      <c r="C212" s="32"/>
      <c r="D212" s="32"/>
      <c r="E212" s="32"/>
      <c r="F212" s="32"/>
    </row>
    <row r="213" spans="1:6">
      <c r="A213" s="32">
        <f t="shared" si="2"/>
        <v>205</v>
      </c>
      <c r="B213" s="31" t="s">
        <v>80</v>
      </c>
      <c r="C213" s="32" t="s">
        <v>71</v>
      </c>
      <c r="D213" s="32">
        <v>3</v>
      </c>
      <c r="E213" s="32"/>
      <c r="F213" s="32"/>
    </row>
    <row r="214" spans="1:6">
      <c r="A214" s="32">
        <f t="shared" si="2"/>
        <v>206</v>
      </c>
      <c r="B214" s="31" t="s">
        <v>101</v>
      </c>
      <c r="C214" s="32" t="s">
        <v>71</v>
      </c>
      <c r="D214" s="32">
        <v>1</v>
      </c>
      <c r="E214" s="32"/>
      <c r="F214" s="32"/>
    </row>
    <row r="215" spans="1:6">
      <c r="A215" s="32">
        <f t="shared" si="2"/>
        <v>207</v>
      </c>
      <c r="B215" s="31" t="s">
        <v>70</v>
      </c>
      <c r="C215" s="32" t="s">
        <v>71</v>
      </c>
      <c r="D215" s="32">
        <v>6</v>
      </c>
      <c r="E215" s="32"/>
      <c r="F215" s="32"/>
    </row>
    <row r="216" spans="1:6" s="37" customFormat="1">
      <c r="A216" s="32">
        <f t="shared" si="2"/>
        <v>208</v>
      </c>
      <c r="B216" s="31" t="s">
        <v>67</v>
      </c>
      <c r="C216" s="32" t="s">
        <v>71</v>
      </c>
      <c r="D216" s="32">
        <v>1</v>
      </c>
      <c r="E216" s="32"/>
      <c r="F216" s="32"/>
    </row>
    <row r="217" spans="1:6" s="37" customFormat="1">
      <c r="A217" s="32">
        <f t="shared" si="2"/>
        <v>209</v>
      </c>
      <c r="B217" s="31" t="s">
        <v>381</v>
      </c>
      <c r="C217" s="32" t="s">
        <v>71</v>
      </c>
      <c r="D217" s="32">
        <v>1</v>
      </c>
      <c r="E217" s="32"/>
      <c r="F217" s="32"/>
    </row>
    <row r="218" spans="1:6" s="37" customFormat="1">
      <c r="A218" s="32">
        <f t="shared" si="2"/>
        <v>210</v>
      </c>
      <c r="B218" s="31" t="s">
        <v>382</v>
      </c>
      <c r="C218" s="32" t="s">
        <v>71</v>
      </c>
      <c r="D218" s="32">
        <v>2</v>
      </c>
      <c r="E218" s="32"/>
      <c r="F218" s="32"/>
    </row>
    <row r="219" spans="1:6" s="37" customFormat="1">
      <c r="A219" s="32">
        <f t="shared" si="2"/>
        <v>211</v>
      </c>
      <c r="B219" s="31" t="s">
        <v>387</v>
      </c>
      <c r="C219" s="32" t="s">
        <v>71</v>
      </c>
      <c r="D219" s="32">
        <v>1</v>
      </c>
      <c r="E219" s="32"/>
      <c r="F219" s="32"/>
    </row>
    <row r="220" spans="1:6">
      <c r="A220" s="32">
        <f t="shared" ref="A220:A283" si="3">A219+1</f>
        <v>212</v>
      </c>
      <c r="B220" s="49" t="s">
        <v>319</v>
      </c>
      <c r="C220" s="34" t="s">
        <v>191</v>
      </c>
      <c r="D220" s="34">
        <v>1</v>
      </c>
      <c r="E220" s="31"/>
      <c r="F220" s="31"/>
    </row>
    <row r="221" spans="1:6">
      <c r="A221" s="32">
        <f t="shared" si="3"/>
        <v>213</v>
      </c>
      <c r="B221" s="35" t="s">
        <v>342</v>
      </c>
      <c r="C221" s="34" t="s">
        <v>191</v>
      </c>
      <c r="D221" s="34">
        <v>2</v>
      </c>
      <c r="E221" s="31"/>
      <c r="F221" s="31"/>
    </row>
    <row r="222" spans="1:6">
      <c r="A222" s="32">
        <f t="shared" si="3"/>
        <v>214</v>
      </c>
      <c r="B222" s="14" t="s">
        <v>96</v>
      </c>
      <c r="C222" s="32"/>
      <c r="D222" s="32"/>
      <c r="E222" s="32"/>
      <c r="F222" s="32"/>
    </row>
    <row r="223" spans="1:6">
      <c r="A223" s="32">
        <f t="shared" si="3"/>
        <v>215</v>
      </c>
      <c r="B223" s="31" t="s">
        <v>80</v>
      </c>
      <c r="C223" s="32" t="s">
        <v>71</v>
      </c>
      <c r="D223" s="32">
        <v>3</v>
      </c>
      <c r="E223" s="32"/>
      <c r="F223" s="32"/>
    </row>
    <row r="224" spans="1:6">
      <c r="A224" s="32">
        <f t="shared" si="3"/>
        <v>216</v>
      </c>
      <c r="B224" s="31" t="s">
        <v>101</v>
      </c>
      <c r="C224" s="32" t="s">
        <v>71</v>
      </c>
      <c r="D224" s="32">
        <v>1</v>
      </c>
      <c r="E224" s="32"/>
      <c r="F224" s="32"/>
    </row>
    <row r="225" spans="1:6" s="37" customFormat="1">
      <c r="A225" s="32">
        <f t="shared" si="3"/>
        <v>217</v>
      </c>
      <c r="B225" s="31" t="s">
        <v>70</v>
      </c>
      <c r="C225" s="32" t="s">
        <v>71</v>
      </c>
      <c r="D225" s="32">
        <v>6</v>
      </c>
      <c r="E225" s="32"/>
      <c r="F225" s="32"/>
    </row>
    <row r="226" spans="1:6" s="37" customFormat="1">
      <c r="A226" s="32">
        <f t="shared" si="3"/>
        <v>218</v>
      </c>
      <c r="B226" s="31" t="s">
        <v>67</v>
      </c>
      <c r="C226" s="32" t="s">
        <v>71</v>
      </c>
      <c r="D226" s="32">
        <v>1</v>
      </c>
      <c r="E226" s="32"/>
      <c r="F226" s="32"/>
    </row>
    <row r="227" spans="1:6">
      <c r="A227" s="32">
        <f t="shared" si="3"/>
        <v>219</v>
      </c>
      <c r="B227" s="31" t="s">
        <v>381</v>
      </c>
      <c r="C227" s="32" t="s">
        <v>71</v>
      </c>
      <c r="D227" s="32">
        <v>1</v>
      </c>
      <c r="E227" s="32"/>
      <c r="F227" s="32"/>
    </row>
    <row r="228" spans="1:6">
      <c r="A228" s="32">
        <f t="shared" si="3"/>
        <v>220</v>
      </c>
      <c r="B228" s="31" t="s">
        <v>382</v>
      </c>
      <c r="C228" s="32" t="s">
        <v>71</v>
      </c>
      <c r="D228" s="32">
        <v>2</v>
      </c>
      <c r="E228" s="32"/>
      <c r="F228" s="32"/>
    </row>
    <row r="229" spans="1:6">
      <c r="A229" s="32">
        <f t="shared" si="3"/>
        <v>221</v>
      </c>
      <c r="B229" s="31" t="s">
        <v>387</v>
      </c>
      <c r="C229" s="32" t="s">
        <v>71</v>
      </c>
      <c r="D229" s="32">
        <v>1</v>
      </c>
      <c r="E229" s="32"/>
      <c r="F229" s="32"/>
    </row>
    <row r="230" spans="1:6">
      <c r="A230" s="32">
        <f t="shared" si="3"/>
        <v>222</v>
      </c>
      <c r="B230" s="49" t="s">
        <v>319</v>
      </c>
      <c r="C230" s="34" t="s">
        <v>191</v>
      </c>
      <c r="D230" s="34">
        <v>1</v>
      </c>
      <c r="E230" s="31"/>
      <c r="F230" s="31"/>
    </row>
    <row r="231" spans="1:6">
      <c r="A231" s="32">
        <f t="shared" si="3"/>
        <v>223</v>
      </c>
      <c r="B231" s="35" t="s">
        <v>342</v>
      </c>
      <c r="C231" s="34" t="s">
        <v>191</v>
      </c>
      <c r="D231" s="34">
        <v>2</v>
      </c>
      <c r="E231" s="31"/>
      <c r="F231" s="31"/>
    </row>
    <row r="232" spans="1:6">
      <c r="A232" s="32">
        <f t="shared" si="3"/>
        <v>224</v>
      </c>
      <c r="B232" s="14" t="s">
        <v>97</v>
      </c>
      <c r="C232" s="32"/>
      <c r="D232" s="32"/>
      <c r="E232" s="32"/>
      <c r="F232" s="32"/>
    </row>
    <row r="233" spans="1:6">
      <c r="A233" s="32">
        <f t="shared" si="3"/>
        <v>225</v>
      </c>
      <c r="B233" s="31" t="s">
        <v>80</v>
      </c>
      <c r="C233" s="32" t="s">
        <v>71</v>
      </c>
      <c r="D233" s="32">
        <v>3</v>
      </c>
      <c r="E233" s="32"/>
      <c r="F233" s="32"/>
    </row>
    <row r="234" spans="1:6">
      <c r="A234" s="32">
        <f t="shared" si="3"/>
        <v>226</v>
      </c>
      <c r="B234" s="31" t="s">
        <v>101</v>
      </c>
      <c r="C234" s="32" t="s">
        <v>71</v>
      </c>
      <c r="D234" s="32">
        <v>1</v>
      </c>
      <c r="E234" s="32"/>
      <c r="F234" s="32"/>
    </row>
    <row r="235" spans="1:6" s="37" customFormat="1">
      <c r="A235" s="32">
        <f t="shared" si="3"/>
        <v>227</v>
      </c>
      <c r="B235" s="31" t="s">
        <v>70</v>
      </c>
      <c r="C235" s="32" t="s">
        <v>71</v>
      </c>
      <c r="D235" s="32">
        <v>5</v>
      </c>
      <c r="E235" s="32"/>
      <c r="F235" s="32"/>
    </row>
    <row r="236" spans="1:6" s="37" customFormat="1">
      <c r="A236" s="32">
        <f t="shared" si="3"/>
        <v>228</v>
      </c>
      <c r="B236" s="31" t="s">
        <v>67</v>
      </c>
      <c r="C236" s="32" t="s">
        <v>71</v>
      </c>
      <c r="D236" s="32">
        <v>1</v>
      </c>
      <c r="E236" s="32"/>
      <c r="F236" s="32"/>
    </row>
    <row r="237" spans="1:6" s="37" customFormat="1">
      <c r="A237" s="32">
        <f t="shared" si="3"/>
        <v>229</v>
      </c>
      <c r="B237" s="31" t="s">
        <v>388</v>
      </c>
      <c r="C237" s="32" t="s">
        <v>71</v>
      </c>
      <c r="D237" s="32">
        <v>1</v>
      </c>
      <c r="E237" s="32"/>
      <c r="F237" s="32"/>
    </row>
    <row r="238" spans="1:6" s="37" customFormat="1">
      <c r="A238" s="32">
        <f t="shared" si="3"/>
        <v>230</v>
      </c>
      <c r="B238" s="31" t="s">
        <v>389</v>
      </c>
      <c r="C238" s="32" t="s">
        <v>71</v>
      </c>
      <c r="D238" s="32">
        <v>1</v>
      </c>
      <c r="E238" s="32"/>
      <c r="F238" s="32"/>
    </row>
    <row r="239" spans="1:6">
      <c r="A239" s="32">
        <f t="shared" si="3"/>
        <v>231</v>
      </c>
      <c r="B239" s="49" t="s">
        <v>319</v>
      </c>
      <c r="C239" s="34" t="s">
        <v>191</v>
      </c>
      <c r="D239" s="34">
        <v>1</v>
      </c>
      <c r="E239" s="31"/>
      <c r="F239" s="31"/>
    </row>
    <row r="240" spans="1:6">
      <c r="A240" s="32">
        <f t="shared" si="3"/>
        <v>232</v>
      </c>
      <c r="B240" s="35" t="s">
        <v>342</v>
      </c>
      <c r="C240" s="34" t="s">
        <v>191</v>
      </c>
      <c r="D240" s="34">
        <v>2</v>
      </c>
      <c r="E240" s="31"/>
      <c r="F240" s="31"/>
    </row>
    <row r="241" spans="1:6">
      <c r="A241" s="32">
        <f t="shared" si="3"/>
        <v>233</v>
      </c>
      <c r="B241" s="31" t="s">
        <v>230</v>
      </c>
      <c r="C241" s="32" t="s">
        <v>71</v>
      </c>
      <c r="D241" s="32">
        <v>1</v>
      </c>
      <c r="E241" s="31"/>
      <c r="F241" s="31"/>
    </row>
    <row r="242" spans="1:6">
      <c r="A242" s="32">
        <f t="shared" si="3"/>
        <v>234</v>
      </c>
      <c r="B242" s="14" t="s">
        <v>98</v>
      </c>
      <c r="C242" s="32"/>
      <c r="D242" s="32"/>
      <c r="E242" s="32"/>
      <c r="F242" s="32"/>
    </row>
    <row r="243" spans="1:6">
      <c r="A243" s="32">
        <f t="shared" si="3"/>
        <v>235</v>
      </c>
      <c r="B243" s="31" t="s">
        <v>80</v>
      </c>
      <c r="C243" s="32" t="s">
        <v>71</v>
      </c>
      <c r="D243" s="32">
        <v>3</v>
      </c>
      <c r="E243" s="32"/>
      <c r="F243" s="32"/>
    </row>
    <row r="244" spans="1:6">
      <c r="A244" s="32">
        <f t="shared" si="3"/>
        <v>236</v>
      </c>
      <c r="B244" s="31" t="s">
        <v>75</v>
      </c>
      <c r="C244" s="32" t="s">
        <v>71</v>
      </c>
      <c r="D244" s="32">
        <v>1</v>
      </c>
      <c r="E244" s="32"/>
      <c r="F244" s="32"/>
    </row>
    <row r="245" spans="1:6">
      <c r="A245" s="32">
        <f t="shared" si="3"/>
        <v>237</v>
      </c>
      <c r="B245" s="31" t="s">
        <v>74</v>
      </c>
      <c r="C245" s="32" t="s">
        <v>71</v>
      </c>
      <c r="D245" s="32">
        <v>1</v>
      </c>
      <c r="E245" s="32"/>
      <c r="F245" s="32"/>
    </row>
    <row r="246" spans="1:6">
      <c r="A246" s="32">
        <f t="shared" si="3"/>
        <v>238</v>
      </c>
      <c r="B246" s="31" t="s">
        <v>100</v>
      </c>
      <c r="C246" s="32" t="s">
        <v>71</v>
      </c>
      <c r="D246" s="32">
        <v>1</v>
      </c>
      <c r="E246" s="32"/>
      <c r="F246" s="32"/>
    </row>
    <row r="247" spans="1:6">
      <c r="A247" s="32">
        <f t="shared" si="3"/>
        <v>239</v>
      </c>
      <c r="B247" s="31" t="s">
        <v>77</v>
      </c>
      <c r="C247" s="32" t="s">
        <v>71</v>
      </c>
      <c r="D247" s="32">
        <v>1</v>
      </c>
      <c r="E247" s="32"/>
      <c r="F247" s="32"/>
    </row>
    <row r="248" spans="1:6">
      <c r="A248" s="32">
        <f t="shared" si="3"/>
        <v>240</v>
      </c>
      <c r="B248" s="31" t="s">
        <v>70</v>
      </c>
      <c r="C248" s="32" t="s">
        <v>71</v>
      </c>
      <c r="D248" s="32">
        <v>6</v>
      </c>
      <c r="E248" s="32"/>
      <c r="F248" s="32"/>
    </row>
    <row r="249" spans="1:6">
      <c r="A249" s="32">
        <f t="shared" si="3"/>
        <v>241</v>
      </c>
      <c r="B249" s="31" t="s">
        <v>67</v>
      </c>
      <c r="C249" s="32" t="s">
        <v>71</v>
      </c>
      <c r="D249" s="32">
        <v>1</v>
      </c>
      <c r="E249" s="32"/>
      <c r="F249" s="32"/>
    </row>
    <row r="250" spans="1:6">
      <c r="A250" s="32">
        <f t="shared" si="3"/>
        <v>242</v>
      </c>
      <c r="B250" s="31" t="s">
        <v>388</v>
      </c>
      <c r="C250" s="32" t="s">
        <v>71</v>
      </c>
      <c r="D250" s="32">
        <v>1</v>
      </c>
      <c r="E250" s="32"/>
      <c r="F250" s="32" t="s">
        <v>453</v>
      </c>
    </row>
    <row r="251" spans="1:6">
      <c r="A251" s="32">
        <f t="shared" si="3"/>
        <v>243</v>
      </c>
      <c r="B251" s="31" t="s">
        <v>465</v>
      </c>
      <c r="C251" s="32" t="s">
        <v>71</v>
      </c>
      <c r="D251" s="32">
        <v>1</v>
      </c>
      <c r="E251" s="32"/>
      <c r="F251" s="32" t="s">
        <v>453</v>
      </c>
    </row>
    <row r="252" spans="1:6">
      <c r="A252" s="32">
        <f t="shared" si="3"/>
        <v>244</v>
      </c>
      <c r="B252" s="31" t="s">
        <v>460</v>
      </c>
      <c r="C252" s="32" t="s">
        <v>71</v>
      </c>
      <c r="D252" s="32">
        <v>1</v>
      </c>
      <c r="E252" s="32"/>
      <c r="F252" s="32"/>
    </row>
    <row r="253" spans="1:6">
      <c r="A253" s="32">
        <f t="shared" si="3"/>
        <v>245</v>
      </c>
      <c r="B253" s="31" t="s">
        <v>446</v>
      </c>
      <c r="C253" s="32" t="s">
        <v>71</v>
      </c>
      <c r="D253" s="32">
        <v>1</v>
      </c>
      <c r="E253" s="32"/>
      <c r="F253" s="32"/>
    </row>
    <row r="254" spans="1:6">
      <c r="A254" s="32">
        <f t="shared" si="3"/>
        <v>246</v>
      </c>
      <c r="B254" s="49" t="s">
        <v>319</v>
      </c>
      <c r="C254" s="34" t="s">
        <v>191</v>
      </c>
      <c r="D254" s="34">
        <v>2</v>
      </c>
      <c r="E254" s="31"/>
      <c r="F254" s="31"/>
    </row>
    <row r="255" spans="1:6">
      <c r="A255" s="32">
        <f t="shared" si="3"/>
        <v>247</v>
      </c>
      <c r="B255" s="35" t="s">
        <v>342</v>
      </c>
      <c r="C255" s="34" t="s">
        <v>191</v>
      </c>
      <c r="D255" s="34">
        <v>2</v>
      </c>
      <c r="E255" s="31"/>
      <c r="F255" s="31"/>
    </row>
    <row r="256" spans="1:6">
      <c r="A256" s="32">
        <f t="shared" si="3"/>
        <v>248</v>
      </c>
      <c r="B256" s="31" t="s">
        <v>232</v>
      </c>
      <c r="C256" s="32" t="s">
        <v>71</v>
      </c>
      <c r="D256" s="32">
        <v>1</v>
      </c>
      <c r="E256" s="32"/>
      <c r="F256" s="32"/>
    </row>
    <row r="257" spans="1:6">
      <c r="A257" s="32">
        <f t="shared" si="3"/>
        <v>249</v>
      </c>
      <c r="B257" s="31" t="s">
        <v>230</v>
      </c>
      <c r="C257" s="32" t="s">
        <v>71</v>
      </c>
      <c r="D257" s="32">
        <v>1</v>
      </c>
      <c r="E257" s="32"/>
      <c r="F257" s="32"/>
    </row>
    <row r="258" spans="1:6">
      <c r="A258" s="32">
        <f t="shared" si="3"/>
        <v>250</v>
      </c>
      <c r="B258" s="31" t="s">
        <v>237</v>
      </c>
      <c r="C258" s="32" t="s">
        <v>71</v>
      </c>
      <c r="D258" s="32">
        <v>1</v>
      </c>
      <c r="E258" s="32"/>
      <c r="F258" s="32"/>
    </row>
    <row r="259" spans="1:6">
      <c r="A259" s="32">
        <f t="shared" si="3"/>
        <v>251</v>
      </c>
      <c r="B259" s="31" t="s">
        <v>231</v>
      </c>
      <c r="C259" s="32" t="s">
        <v>71</v>
      </c>
      <c r="D259" s="32">
        <v>1</v>
      </c>
      <c r="E259" s="32"/>
      <c r="F259" s="32"/>
    </row>
    <row r="260" spans="1:6">
      <c r="A260" s="32">
        <f t="shared" si="3"/>
        <v>252</v>
      </c>
      <c r="B260" s="14" t="s">
        <v>99</v>
      </c>
      <c r="C260" s="32"/>
      <c r="D260" s="32"/>
      <c r="E260" s="32"/>
      <c r="F260" s="32"/>
    </row>
    <row r="261" spans="1:6">
      <c r="A261" s="32">
        <f t="shared" si="3"/>
        <v>253</v>
      </c>
      <c r="B261" s="31" t="s">
        <v>80</v>
      </c>
      <c r="C261" s="32" t="s">
        <v>71</v>
      </c>
      <c r="D261" s="32">
        <v>3</v>
      </c>
      <c r="E261" s="32"/>
      <c r="F261" s="32"/>
    </row>
    <row r="262" spans="1:6">
      <c r="A262" s="32">
        <f t="shared" si="3"/>
        <v>254</v>
      </c>
      <c r="B262" s="31" t="s">
        <v>101</v>
      </c>
      <c r="C262" s="32" t="s">
        <v>71</v>
      </c>
      <c r="D262" s="32">
        <v>1</v>
      </c>
      <c r="E262" s="32"/>
      <c r="F262" s="32"/>
    </row>
    <row r="263" spans="1:6">
      <c r="A263" s="32">
        <f t="shared" si="3"/>
        <v>255</v>
      </c>
      <c r="B263" s="31" t="s">
        <v>70</v>
      </c>
      <c r="C263" s="32" t="s">
        <v>71</v>
      </c>
      <c r="D263" s="32">
        <v>4</v>
      </c>
      <c r="E263" s="32"/>
      <c r="F263" s="32"/>
    </row>
    <row r="264" spans="1:6" s="37" customFormat="1">
      <c r="A264" s="32">
        <f t="shared" si="3"/>
        <v>256</v>
      </c>
      <c r="B264" s="31" t="s">
        <v>67</v>
      </c>
      <c r="C264" s="32" t="s">
        <v>71</v>
      </c>
      <c r="D264" s="32">
        <v>1</v>
      </c>
      <c r="E264" s="32"/>
      <c r="F264" s="32"/>
    </row>
    <row r="265" spans="1:6" s="37" customFormat="1">
      <c r="A265" s="32">
        <f t="shared" si="3"/>
        <v>257</v>
      </c>
      <c r="B265" s="31" t="s">
        <v>381</v>
      </c>
      <c r="C265" s="32" t="s">
        <v>71</v>
      </c>
      <c r="D265" s="32">
        <v>1</v>
      </c>
      <c r="E265" s="32"/>
      <c r="F265" s="32"/>
    </row>
    <row r="266" spans="1:6" s="37" customFormat="1">
      <c r="A266" s="32">
        <f t="shared" si="3"/>
        <v>258</v>
      </c>
      <c r="B266" s="31" t="s">
        <v>464</v>
      </c>
      <c r="C266" s="32" t="s">
        <v>71</v>
      </c>
      <c r="D266" s="32">
        <v>1</v>
      </c>
      <c r="E266" s="32"/>
      <c r="F266" s="32"/>
    </row>
    <row r="267" spans="1:6" s="37" customFormat="1">
      <c r="A267" s="32">
        <f t="shared" si="3"/>
        <v>259</v>
      </c>
      <c r="B267" s="49" t="s">
        <v>319</v>
      </c>
      <c r="C267" s="34" t="s">
        <v>191</v>
      </c>
      <c r="D267" s="34">
        <v>1</v>
      </c>
      <c r="E267" s="31"/>
      <c r="F267" s="31"/>
    </row>
    <row r="268" spans="1:6" s="37" customFormat="1">
      <c r="A268" s="32">
        <f t="shared" si="3"/>
        <v>260</v>
      </c>
      <c r="B268" s="35" t="s">
        <v>342</v>
      </c>
      <c r="C268" s="34" t="s">
        <v>191</v>
      </c>
      <c r="D268" s="34">
        <v>2</v>
      </c>
      <c r="E268" s="31"/>
      <c r="F268" s="31"/>
    </row>
    <row r="269" spans="1:6" s="37" customFormat="1">
      <c r="A269" s="32">
        <f t="shared" si="3"/>
        <v>261</v>
      </c>
      <c r="B269" s="14" t="s">
        <v>507</v>
      </c>
      <c r="C269" s="32"/>
      <c r="D269" s="32"/>
      <c r="E269" s="32"/>
      <c r="F269" s="32"/>
    </row>
    <row r="270" spans="1:6" s="37" customFormat="1">
      <c r="A270" s="32">
        <f t="shared" si="3"/>
        <v>262</v>
      </c>
      <c r="B270" s="31" t="s">
        <v>80</v>
      </c>
      <c r="C270" s="32" t="s">
        <v>71</v>
      </c>
      <c r="D270" s="32">
        <v>2</v>
      </c>
      <c r="E270" s="32"/>
      <c r="F270" s="32"/>
    </row>
    <row r="271" spans="1:6" s="37" customFormat="1">
      <c r="A271" s="32">
        <f t="shared" si="3"/>
        <v>263</v>
      </c>
      <c r="B271" s="31" t="s">
        <v>75</v>
      </c>
      <c r="C271" s="32" t="s">
        <v>71</v>
      </c>
      <c r="D271" s="32">
        <v>4</v>
      </c>
      <c r="E271" s="32"/>
      <c r="F271" s="32"/>
    </row>
    <row r="272" spans="1:6" s="37" customFormat="1">
      <c r="A272" s="32">
        <f t="shared" si="3"/>
        <v>264</v>
      </c>
      <c r="B272" s="31" t="s">
        <v>74</v>
      </c>
      <c r="C272" s="32" t="s">
        <v>71</v>
      </c>
      <c r="D272" s="32">
        <v>1</v>
      </c>
      <c r="E272" s="32"/>
      <c r="F272" s="32"/>
    </row>
    <row r="273" spans="1:6" s="37" customFormat="1">
      <c r="A273" s="32">
        <f t="shared" si="3"/>
        <v>265</v>
      </c>
      <c r="B273" s="31" t="s">
        <v>100</v>
      </c>
      <c r="C273" s="32" t="s">
        <v>71</v>
      </c>
      <c r="D273" s="32">
        <v>1</v>
      </c>
      <c r="E273" s="32"/>
      <c r="F273" s="32"/>
    </row>
    <row r="274" spans="1:6" s="37" customFormat="1">
      <c r="A274" s="32">
        <f t="shared" si="3"/>
        <v>266</v>
      </c>
      <c r="B274" s="31" t="s">
        <v>101</v>
      </c>
      <c r="C274" s="32" t="s">
        <v>71</v>
      </c>
      <c r="D274" s="32">
        <v>1</v>
      </c>
      <c r="E274" s="32"/>
      <c r="F274" s="32"/>
    </row>
    <row r="275" spans="1:6" s="37" customFormat="1">
      <c r="A275" s="32">
        <f t="shared" si="3"/>
        <v>267</v>
      </c>
      <c r="B275" s="31" t="s">
        <v>70</v>
      </c>
      <c r="C275" s="32" t="s">
        <v>71</v>
      </c>
      <c r="D275" s="32">
        <v>4</v>
      </c>
      <c r="E275" s="32"/>
      <c r="F275" s="32"/>
    </row>
    <row r="276" spans="1:6" s="37" customFormat="1">
      <c r="A276" s="32">
        <f t="shared" si="3"/>
        <v>268</v>
      </c>
      <c r="B276" s="31" t="s">
        <v>67</v>
      </c>
      <c r="C276" s="32" t="s">
        <v>71</v>
      </c>
      <c r="D276" s="32">
        <v>1</v>
      </c>
      <c r="E276" s="32"/>
      <c r="F276" s="32"/>
    </row>
    <row r="277" spans="1:6">
      <c r="A277" s="32">
        <f t="shared" si="3"/>
        <v>269</v>
      </c>
      <c r="B277" s="31" t="s">
        <v>381</v>
      </c>
      <c r="C277" s="32" t="s">
        <v>71</v>
      </c>
      <c r="D277" s="32">
        <v>1</v>
      </c>
      <c r="E277" s="32"/>
      <c r="F277" s="32"/>
    </row>
    <row r="278" spans="1:6">
      <c r="A278" s="32">
        <f t="shared" si="3"/>
        <v>270</v>
      </c>
      <c r="B278" s="31" t="s">
        <v>382</v>
      </c>
      <c r="C278" s="32" t="s">
        <v>71</v>
      </c>
      <c r="D278" s="32">
        <v>2</v>
      </c>
      <c r="E278" s="32"/>
      <c r="F278" s="32"/>
    </row>
    <row r="279" spans="1:6" s="37" customFormat="1">
      <c r="A279" s="32">
        <f t="shared" si="3"/>
        <v>271</v>
      </c>
      <c r="B279" s="31" t="s">
        <v>461</v>
      </c>
      <c r="C279" s="32" t="s">
        <v>71</v>
      </c>
      <c r="D279" s="32">
        <v>1</v>
      </c>
      <c r="E279" s="32"/>
      <c r="F279" s="32"/>
    </row>
    <row r="280" spans="1:6" s="37" customFormat="1">
      <c r="A280" s="32">
        <f t="shared" si="3"/>
        <v>272</v>
      </c>
      <c r="B280" s="31" t="s">
        <v>464</v>
      </c>
      <c r="C280" s="32" t="s">
        <v>71</v>
      </c>
      <c r="D280" s="32">
        <v>1</v>
      </c>
      <c r="E280" s="32"/>
      <c r="F280" s="32"/>
    </row>
    <row r="281" spans="1:6" s="37" customFormat="1">
      <c r="A281" s="32">
        <f t="shared" si="3"/>
        <v>273</v>
      </c>
      <c r="B281" s="49" t="s">
        <v>319</v>
      </c>
      <c r="C281" s="34" t="s">
        <v>191</v>
      </c>
      <c r="D281" s="34">
        <v>1</v>
      </c>
      <c r="E281" s="31"/>
      <c r="F281" s="31"/>
    </row>
    <row r="282" spans="1:6" s="37" customFormat="1">
      <c r="A282" s="32">
        <f t="shared" si="3"/>
        <v>274</v>
      </c>
      <c r="B282" s="35" t="s">
        <v>342</v>
      </c>
      <c r="C282" s="34" t="s">
        <v>191</v>
      </c>
      <c r="D282" s="34">
        <v>2</v>
      </c>
      <c r="E282" s="31"/>
      <c r="F282" s="31"/>
    </row>
    <row r="283" spans="1:6" s="37" customFormat="1">
      <c r="A283" s="32">
        <f t="shared" si="3"/>
        <v>275</v>
      </c>
      <c r="B283" s="31" t="s">
        <v>232</v>
      </c>
      <c r="C283" s="32" t="s">
        <v>71</v>
      </c>
      <c r="D283" s="32">
        <v>1</v>
      </c>
      <c r="E283" s="32"/>
      <c r="F283" s="32"/>
    </row>
    <row r="284" spans="1:6" s="37" customFormat="1">
      <c r="A284" s="32">
        <f t="shared" ref="A284:A347" si="4">A283+1</f>
        <v>276</v>
      </c>
      <c r="B284" s="31" t="s">
        <v>230</v>
      </c>
      <c r="C284" s="32" t="s">
        <v>71</v>
      </c>
      <c r="D284" s="32">
        <v>1</v>
      </c>
      <c r="E284" s="32"/>
      <c r="F284" s="32"/>
    </row>
    <row r="285" spans="1:6" s="37" customFormat="1">
      <c r="A285" s="32">
        <f t="shared" si="4"/>
        <v>277</v>
      </c>
      <c r="B285" s="31" t="s">
        <v>237</v>
      </c>
      <c r="C285" s="32" t="s">
        <v>71</v>
      </c>
      <c r="D285" s="32">
        <v>1</v>
      </c>
      <c r="E285" s="32"/>
      <c r="F285" s="32"/>
    </row>
    <row r="286" spans="1:6" s="37" customFormat="1">
      <c r="A286" s="32">
        <f t="shared" si="4"/>
        <v>278</v>
      </c>
      <c r="B286" s="31" t="s">
        <v>231</v>
      </c>
      <c r="C286" s="32" t="s">
        <v>71</v>
      </c>
      <c r="D286" s="32">
        <v>1</v>
      </c>
      <c r="E286" s="32"/>
      <c r="F286" s="32"/>
    </row>
    <row r="287" spans="1:6" s="37" customFormat="1">
      <c r="A287" s="32">
        <f t="shared" si="4"/>
        <v>279</v>
      </c>
      <c r="B287" s="14" t="s">
        <v>103</v>
      </c>
      <c r="C287" s="32"/>
      <c r="D287" s="32"/>
      <c r="E287" s="32"/>
      <c r="F287" s="32"/>
    </row>
    <row r="288" spans="1:6" s="37" customFormat="1">
      <c r="A288" s="32">
        <f t="shared" si="4"/>
        <v>280</v>
      </c>
      <c r="B288" s="31" t="s">
        <v>104</v>
      </c>
      <c r="C288" s="32" t="s">
        <v>71</v>
      </c>
      <c r="D288" s="32">
        <v>1</v>
      </c>
      <c r="E288" s="32"/>
      <c r="F288" s="32"/>
    </row>
    <row r="289" spans="1:6">
      <c r="A289" s="32">
        <f t="shared" si="4"/>
        <v>281</v>
      </c>
      <c r="B289" s="31" t="s">
        <v>100</v>
      </c>
      <c r="C289" s="32" t="s">
        <v>71</v>
      </c>
      <c r="D289" s="32">
        <v>1</v>
      </c>
      <c r="E289" s="32"/>
      <c r="F289" s="32"/>
    </row>
    <row r="290" spans="1:6">
      <c r="A290" s="32">
        <f t="shared" si="4"/>
        <v>282</v>
      </c>
      <c r="B290" s="49" t="s">
        <v>319</v>
      </c>
      <c r="C290" s="34" t="s">
        <v>191</v>
      </c>
      <c r="D290" s="34">
        <v>1</v>
      </c>
      <c r="E290" s="31"/>
      <c r="F290" s="31"/>
    </row>
    <row r="291" spans="1:6" s="37" customFormat="1">
      <c r="A291" s="32">
        <f t="shared" si="4"/>
        <v>283</v>
      </c>
      <c r="B291" s="35" t="s">
        <v>342</v>
      </c>
      <c r="C291" s="34" t="s">
        <v>191</v>
      </c>
      <c r="D291" s="34">
        <v>1</v>
      </c>
      <c r="E291" s="31"/>
      <c r="F291" s="31"/>
    </row>
    <row r="292" spans="1:6" s="37" customFormat="1">
      <c r="A292" s="32">
        <f t="shared" si="4"/>
        <v>284</v>
      </c>
      <c r="B292" s="14" t="s">
        <v>110</v>
      </c>
      <c r="C292" s="32"/>
      <c r="D292" s="32"/>
      <c r="E292" s="32"/>
      <c r="F292" s="32"/>
    </row>
    <row r="293" spans="1:6">
      <c r="A293" s="32">
        <f t="shared" si="4"/>
        <v>285</v>
      </c>
      <c r="B293" s="31" t="s">
        <v>108</v>
      </c>
      <c r="C293" s="32" t="s">
        <v>71</v>
      </c>
      <c r="D293" s="32">
        <v>4</v>
      </c>
      <c r="E293" s="32"/>
      <c r="F293" s="32"/>
    </row>
    <row r="294" spans="1:6">
      <c r="A294" s="32">
        <f t="shared" si="4"/>
        <v>286</v>
      </c>
      <c r="B294" s="31" t="s">
        <v>100</v>
      </c>
      <c r="C294" s="32" t="s">
        <v>71</v>
      </c>
      <c r="D294" s="32">
        <v>2</v>
      </c>
      <c r="E294" s="32"/>
      <c r="F294" s="32"/>
    </row>
    <row r="295" spans="1:6">
      <c r="A295" s="32">
        <f t="shared" si="4"/>
        <v>287</v>
      </c>
      <c r="B295" s="33" t="s">
        <v>325</v>
      </c>
      <c r="C295" s="32" t="s">
        <v>326</v>
      </c>
      <c r="D295" s="32">
        <v>2</v>
      </c>
      <c r="E295" s="32"/>
      <c r="F295" s="32"/>
    </row>
    <row r="296" spans="1:6">
      <c r="A296" s="32">
        <f t="shared" si="4"/>
        <v>288</v>
      </c>
      <c r="B296" s="49" t="s">
        <v>327</v>
      </c>
      <c r="C296" s="34" t="s">
        <v>328</v>
      </c>
      <c r="D296" s="34">
        <v>2</v>
      </c>
      <c r="E296" s="32"/>
      <c r="F296" s="32"/>
    </row>
    <row r="297" spans="1:6">
      <c r="A297" s="32">
        <f t="shared" si="4"/>
        <v>289</v>
      </c>
      <c r="B297" s="33" t="s">
        <v>329</v>
      </c>
      <c r="C297" s="34" t="s">
        <v>326</v>
      </c>
      <c r="D297" s="34">
        <v>4</v>
      </c>
      <c r="E297" s="32"/>
      <c r="F297" s="32"/>
    </row>
    <row r="298" spans="1:6">
      <c r="A298" s="32">
        <f t="shared" si="4"/>
        <v>290</v>
      </c>
      <c r="B298" s="33" t="s">
        <v>348</v>
      </c>
      <c r="C298" s="34" t="s">
        <v>191</v>
      </c>
      <c r="D298" s="34">
        <v>2</v>
      </c>
      <c r="E298" s="32"/>
      <c r="F298" s="32"/>
    </row>
    <row r="299" spans="1:6">
      <c r="A299" s="32">
        <f t="shared" si="4"/>
        <v>291</v>
      </c>
      <c r="B299" s="33" t="s">
        <v>349</v>
      </c>
      <c r="C299" s="34" t="s">
        <v>191</v>
      </c>
      <c r="D299" s="34">
        <v>2</v>
      </c>
      <c r="E299" s="32"/>
      <c r="F299" s="32"/>
    </row>
    <row r="300" spans="1:6">
      <c r="A300" s="32">
        <f t="shared" si="4"/>
        <v>292</v>
      </c>
      <c r="B300" s="33" t="s">
        <v>350</v>
      </c>
      <c r="C300" s="34" t="s">
        <v>191</v>
      </c>
      <c r="D300" s="34">
        <v>2</v>
      </c>
      <c r="E300" s="32"/>
      <c r="F300" s="32"/>
    </row>
    <row r="301" spans="1:6">
      <c r="A301" s="32">
        <f t="shared" si="4"/>
        <v>293</v>
      </c>
      <c r="B301" s="33" t="s">
        <v>351</v>
      </c>
      <c r="C301" s="34" t="s">
        <v>191</v>
      </c>
      <c r="D301" s="34">
        <v>2</v>
      </c>
      <c r="E301" s="32"/>
      <c r="F301" s="32"/>
    </row>
    <row r="302" spans="1:6">
      <c r="A302" s="32">
        <f t="shared" si="4"/>
        <v>294</v>
      </c>
      <c r="B302" s="33" t="s">
        <v>352</v>
      </c>
      <c r="C302" s="34" t="s">
        <v>191</v>
      </c>
      <c r="D302" s="34">
        <v>2</v>
      </c>
      <c r="E302" s="32"/>
      <c r="F302" s="32"/>
    </row>
    <row r="303" spans="1:6">
      <c r="A303" s="32">
        <f t="shared" si="4"/>
        <v>295</v>
      </c>
      <c r="B303" s="33" t="s">
        <v>353</v>
      </c>
      <c r="C303" s="34" t="s">
        <v>191</v>
      </c>
      <c r="D303" s="34">
        <v>2</v>
      </c>
      <c r="E303" s="32"/>
      <c r="F303" s="32"/>
    </row>
    <row r="304" spans="1:6">
      <c r="A304" s="32">
        <f t="shared" si="4"/>
        <v>296</v>
      </c>
      <c r="B304" s="36" t="s">
        <v>354</v>
      </c>
      <c r="C304" s="34" t="s">
        <v>191</v>
      </c>
      <c r="D304" s="34">
        <v>2</v>
      </c>
      <c r="E304" s="32"/>
      <c r="F304" s="32"/>
    </row>
    <row r="305" spans="1:6">
      <c r="A305" s="32">
        <f t="shared" si="4"/>
        <v>297</v>
      </c>
      <c r="B305" s="31" t="s">
        <v>231</v>
      </c>
      <c r="C305" s="32" t="s">
        <v>71</v>
      </c>
      <c r="D305" s="32">
        <v>2</v>
      </c>
      <c r="E305" s="32"/>
      <c r="F305" s="32"/>
    </row>
    <row r="306" spans="1:6" s="37" customFormat="1">
      <c r="A306" s="32">
        <f t="shared" si="4"/>
        <v>298</v>
      </c>
      <c r="B306" s="14" t="s">
        <v>109</v>
      </c>
      <c r="C306" s="32"/>
      <c r="D306" s="32"/>
      <c r="E306" s="32"/>
      <c r="F306" s="32"/>
    </row>
    <row r="307" spans="1:6" s="37" customFormat="1">
      <c r="A307" s="32">
        <f t="shared" si="4"/>
        <v>299</v>
      </c>
      <c r="B307" s="31" t="s">
        <v>108</v>
      </c>
      <c r="C307" s="32" t="s">
        <v>71</v>
      </c>
      <c r="D307" s="32">
        <v>2</v>
      </c>
      <c r="E307" s="32"/>
      <c r="F307" s="32"/>
    </row>
    <row r="308" spans="1:6">
      <c r="A308" s="32">
        <f t="shared" si="4"/>
        <v>300</v>
      </c>
      <c r="B308" s="31" t="s">
        <v>100</v>
      </c>
      <c r="C308" s="32" t="s">
        <v>71</v>
      </c>
      <c r="D308" s="32">
        <v>1</v>
      </c>
      <c r="E308" s="32"/>
      <c r="F308" s="32"/>
    </row>
    <row r="309" spans="1:6">
      <c r="A309" s="32">
        <f t="shared" si="4"/>
        <v>301</v>
      </c>
      <c r="B309" s="14" t="s">
        <v>107</v>
      </c>
      <c r="C309" s="32"/>
      <c r="D309" s="32"/>
      <c r="E309" s="32"/>
      <c r="F309" s="32"/>
    </row>
    <row r="310" spans="1:6">
      <c r="A310" s="32">
        <f t="shared" si="4"/>
        <v>302</v>
      </c>
      <c r="B310" s="31" t="s">
        <v>75</v>
      </c>
      <c r="C310" s="32" t="s">
        <v>71</v>
      </c>
      <c r="D310" s="32">
        <v>121</v>
      </c>
      <c r="E310" s="32"/>
      <c r="F310" s="32"/>
    </row>
    <row r="311" spans="1:6">
      <c r="A311" s="32">
        <f t="shared" si="4"/>
        <v>303</v>
      </c>
      <c r="B311" s="31" t="s">
        <v>76</v>
      </c>
      <c r="C311" s="32" t="s">
        <v>71</v>
      </c>
      <c r="D311" s="32">
        <v>2</v>
      </c>
      <c r="E311" s="32"/>
      <c r="F311" s="32"/>
    </row>
    <row r="312" spans="1:6">
      <c r="A312" s="32">
        <f t="shared" si="4"/>
        <v>304</v>
      </c>
      <c r="B312" s="31" t="s">
        <v>69</v>
      </c>
      <c r="C312" s="32" t="s">
        <v>71</v>
      </c>
      <c r="D312" s="32">
        <v>10</v>
      </c>
      <c r="E312" s="32"/>
      <c r="F312" s="32"/>
    </row>
    <row r="313" spans="1:6">
      <c r="A313" s="32">
        <f t="shared" si="4"/>
        <v>305</v>
      </c>
      <c r="B313" s="31" t="s">
        <v>72</v>
      </c>
      <c r="C313" s="32" t="s">
        <v>71</v>
      </c>
      <c r="D313" s="32">
        <v>11</v>
      </c>
      <c r="E313" s="32"/>
      <c r="F313" s="32"/>
    </row>
    <row r="314" spans="1:6">
      <c r="A314" s="32">
        <f t="shared" si="4"/>
        <v>306</v>
      </c>
      <c r="B314" s="31" t="s">
        <v>70</v>
      </c>
      <c r="C314" s="32" t="s">
        <v>71</v>
      </c>
      <c r="D314" s="32">
        <v>2</v>
      </c>
      <c r="E314" s="32"/>
      <c r="F314" s="32"/>
    </row>
    <row r="315" spans="1:6">
      <c r="A315" s="32">
        <f t="shared" si="4"/>
        <v>307</v>
      </c>
      <c r="B315" s="31" t="s">
        <v>67</v>
      </c>
      <c r="C315" s="32" t="s">
        <v>71</v>
      </c>
      <c r="D315" s="32">
        <v>1</v>
      </c>
      <c r="E315" s="32"/>
      <c r="F315" s="32"/>
    </row>
    <row r="316" spans="1:6">
      <c r="A316" s="32">
        <f t="shared" si="4"/>
        <v>308</v>
      </c>
      <c r="B316" s="31" t="s">
        <v>511</v>
      </c>
      <c r="C316" s="32" t="s">
        <v>71</v>
      </c>
      <c r="D316" s="32">
        <v>1</v>
      </c>
      <c r="E316" s="32"/>
      <c r="F316" s="32"/>
    </row>
    <row r="317" spans="1:6">
      <c r="A317" s="32">
        <f t="shared" si="4"/>
        <v>309</v>
      </c>
      <c r="B317" s="31" t="s">
        <v>73</v>
      </c>
      <c r="C317" s="32" t="s">
        <v>71</v>
      </c>
      <c r="D317" s="32">
        <v>7</v>
      </c>
      <c r="E317" s="32"/>
      <c r="F317" s="32"/>
    </row>
    <row r="318" spans="1:6">
      <c r="A318" s="32">
        <f t="shared" si="4"/>
        <v>310</v>
      </c>
      <c r="B318" s="31" t="s">
        <v>105</v>
      </c>
      <c r="C318" s="32" t="s">
        <v>71</v>
      </c>
      <c r="D318" s="32">
        <v>10</v>
      </c>
      <c r="E318" s="32"/>
      <c r="F318" s="32"/>
    </row>
    <row r="319" spans="1:6">
      <c r="A319" s="32">
        <f t="shared" si="4"/>
        <v>311</v>
      </c>
      <c r="B319" s="31" t="s">
        <v>106</v>
      </c>
      <c r="C319" s="32" t="s">
        <v>71</v>
      </c>
      <c r="D319" s="32">
        <v>11</v>
      </c>
      <c r="E319" s="32"/>
      <c r="F319" s="32"/>
    </row>
    <row r="320" spans="1:6">
      <c r="A320" s="32">
        <f t="shared" si="4"/>
        <v>312</v>
      </c>
      <c r="B320" s="31" t="s">
        <v>382</v>
      </c>
      <c r="C320" s="32" t="s">
        <v>71</v>
      </c>
      <c r="D320" s="32">
        <v>6</v>
      </c>
      <c r="E320" s="32"/>
      <c r="F320" s="32"/>
    </row>
    <row r="321" spans="1:6">
      <c r="A321" s="32">
        <f t="shared" si="4"/>
        <v>313</v>
      </c>
      <c r="B321" s="31" t="s">
        <v>459</v>
      </c>
      <c r="C321" s="32" t="s">
        <v>71</v>
      </c>
      <c r="D321" s="32">
        <v>4</v>
      </c>
      <c r="E321" s="32"/>
      <c r="F321" s="32"/>
    </row>
    <row r="322" spans="1:6">
      <c r="A322" s="32">
        <f t="shared" si="4"/>
        <v>314</v>
      </c>
      <c r="B322" s="31" t="s">
        <v>400</v>
      </c>
      <c r="C322" s="32" t="s">
        <v>71</v>
      </c>
      <c r="D322" s="32">
        <v>1</v>
      </c>
      <c r="E322" s="32"/>
      <c r="F322" s="32"/>
    </row>
    <row r="323" spans="1:6">
      <c r="A323" s="32">
        <f t="shared" si="4"/>
        <v>315</v>
      </c>
      <c r="B323" s="31" t="s">
        <v>401</v>
      </c>
      <c r="C323" s="32" t="s">
        <v>71</v>
      </c>
      <c r="D323" s="32">
        <v>1</v>
      </c>
      <c r="E323" s="32"/>
      <c r="F323" s="375" t="s">
        <v>403</v>
      </c>
    </row>
    <row r="324" spans="1:6">
      <c r="A324" s="32">
        <f t="shared" si="4"/>
        <v>316</v>
      </c>
      <c r="B324" s="31" t="s">
        <v>402</v>
      </c>
      <c r="C324" s="32" t="s">
        <v>71</v>
      </c>
      <c r="D324" s="32">
        <v>3</v>
      </c>
      <c r="E324" s="32"/>
      <c r="F324" s="377"/>
    </row>
    <row r="325" spans="1:6">
      <c r="A325" s="32">
        <f t="shared" si="4"/>
        <v>317</v>
      </c>
      <c r="B325" s="31" t="s">
        <v>404</v>
      </c>
      <c r="C325" s="32" t="s">
        <v>71</v>
      </c>
      <c r="D325" s="32">
        <v>2</v>
      </c>
      <c r="E325" s="32"/>
      <c r="F325" s="377"/>
    </row>
    <row r="326" spans="1:6">
      <c r="A326" s="32">
        <f t="shared" si="4"/>
        <v>318</v>
      </c>
      <c r="B326" s="31" t="s">
        <v>396</v>
      </c>
      <c r="C326" s="32" t="s">
        <v>71</v>
      </c>
      <c r="D326" s="32">
        <v>1</v>
      </c>
      <c r="E326" s="32"/>
      <c r="F326" s="377"/>
    </row>
    <row r="327" spans="1:6">
      <c r="A327" s="32">
        <f t="shared" si="4"/>
        <v>319</v>
      </c>
      <c r="B327" s="31" t="s">
        <v>405</v>
      </c>
      <c r="C327" s="32" t="s">
        <v>71</v>
      </c>
      <c r="D327" s="32">
        <v>1</v>
      </c>
      <c r="E327" s="32"/>
      <c r="F327" s="376"/>
    </row>
    <row r="328" spans="1:6">
      <c r="A328" s="32">
        <f t="shared" si="4"/>
        <v>320</v>
      </c>
      <c r="B328" s="31" t="s">
        <v>401</v>
      </c>
      <c r="C328" s="32" t="s">
        <v>71</v>
      </c>
      <c r="D328" s="32">
        <v>4</v>
      </c>
      <c r="E328" s="32"/>
      <c r="F328" s="375" t="s">
        <v>406</v>
      </c>
    </row>
    <row r="329" spans="1:6">
      <c r="A329" s="32">
        <f t="shared" si="4"/>
        <v>321</v>
      </c>
      <c r="B329" s="31" t="s">
        <v>452</v>
      </c>
      <c r="C329" s="32" t="s">
        <v>71</v>
      </c>
      <c r="D329" s="32">
        <v>2</v>
      </c>
      <c r="E329" s="32"/>
      <c r="F329" s="377"/>
    </row>
    <row r="330" spans="1:6">
      <c r="A330" s="32">
        <f t="shared" si="4"/>
        <v>322</v>
      </c>
      <c r="B330" s="31" t="s">
        <v>405</v>
      </c>
      <c r="C330" s="32" t="s">
        <v>71</v>
      </c>
      <c r="D330" s="32">
        <v>2</v>
      </c>
      <c r="E330" s="32"/>
      <c r="F330" s="376"/>
    </row>
    <row r="331" spans="1:6">
      <c r="A331" s="32">
        <f t="shared" si="4"/>
        <v>323</v>
      </c>
      <c r="B331" s="31" t="s">
        <v>405</v>
      </c>
      <c r="C331" s="32" t="s">
        <v>71</v>
      </c>
      <c r="D331" s="32">
        <v>1</v>
      </c>
      <c r="E331" s="32"/>
      <c r="F331" s="375" t="s">
        <v>517</v>
      </c>
    </row>
    <row r="332" spans="1:6">
      <c r="A332" s="32">
        <f t="shared" si="4"/>
        <v>324</v>
      </c>
      <c r="B332" s="31" t="s">
        <v>452</v>
      </c>
      <c r="C332" s="32" t="s">
        <v>71</v>
      </c>
      <c r="D332" s="32">
        <v>1</v>
      </c>
      <c r="E332" s="32"/>
      <c r="F332" s="376"/>
    </row>
    <row r="333" spans="1:6">
      <c r="A333" s="32">
        <f t="shared" si="4"/>
        <v>325</v>
      </c>
      <c r="B333" s="33" t="s">
        <v>355</v>
      </c>
      <c r="C333" s="34" t="s">
        <v>191</v>
      </c>
      <c r="D333" s="34">
        <v>3</v>
      </c>
      <c r="E333" s="32"/>
      <c r="F333" s="32"/>
    </row>
    <row r="334" spans="1:6">
      <c r="A334" s="32">
        <f t="shared" si="4"/>
        <v>326</v>
      </c>
      <c r="B334" s="26" t="s">
        <v>356</v>
      </c>
      <c r="C334" s="34" t="s">
        <v>191</v>
      </c>
      <c r="D334" s="34">
        <v>3</v>
      </c>
      <c r="E334" s="32"/>
      <c r="F334" s="32"/>
    </row>
    <row r="335" spans="1:6">
      <c r="A335" s="32">
        <f t="shared" si="4"/>
        <v>327</v>
      </c>
      <c r="B335" s="26" t="s">
        <v>357</v>
      </c>
      <c r="C335" s="34" t="s">
        <v>191</v>
      </c>
      <c r="D335" s="34">
        <v>1</v>
      </c>
      <c r="E335" s="32"/>
      <c r="F335" s="32"/>
    </row>
    <row r="336" spans="1:6">
      <c r="A336" s="32">
        <f t="shared" si="4"/>
        <v>328</v>
      </c>
      <c r="B336" s="26" t="s">
        <v>358</v>
      </c>
      <c r="C336" s="34" t="s">
        <v>191</v>
      </c>
      <c r="D336" s="34">
        <v>3</v>
      </c>
      <c r="E336" s="32"/>
      <c r="F336" s="32"/>
    </row>
    <row r="337" spans="1:6">
      <c r="A337" s="32">
        <f t="shared" si="4"/>
        <v>329</v>
      </c>
      <c r="B337" s="26" t="s">
        <v>359</v>
      </c>
      <c r="C337" s="34" t="s">
        <v>191</v>
      </c>
      <c r="D337" s="34">
        <v>1</v>
      </c>
      <c r="E337" s="32"/>
      <c r="F337" s="32"/>
    </row>
    <row r="338" spans="1:6">
      <c r="A338" s="32">
        <f t="shared" si="4"/>
        <v>330</v>
      </c>
      <c r="B338" s="36" t="s">
        <v>331</v>
      </c>
      <c r="C338" s="34" t="s">
        <v>191</v>
      </c>
      <c r="D338" s="34">
        <v>1</v>
      </c>
      <c r="E338" s="32"/>
      <c r="F338" s="32"/>
    </row>
    <row r="339" spans="1:6">
      <c r="A339" s="32">
        <f t="shared" si="4"/>
        <v>331</v>
      </c>
      <c r="B339" s="33" t="s">
        <v>332</v>
      </c>
      <c r="C339" s="34" t="s">
        <v>191</v>
      </c>
      <c r="D339" s="34">
        <v>1</v>
      </c>
      <c r="E339" s="32"/>
      <c r="F339" s="32"/>
    </row>
    <row r="340" spans="1:6">
      <c r="A340" s="32">
        <f t="shared" si="4"/>
        <v>332</v>
      </c>
      <c r="B340" s="33" t="s">
        <v>333</v>
      </c>
      <c r="C340" s="34" t="s">
        <v>191</v>
      </c>
      <c r="D340" s="34">
        <v>2</v>
      </c>
      <c r="E340" s="32"/>
      <c r="F340" s="32"/>
    </row>
    <row r="341" spans="1:6">
      <c r="A341" s="32">
        <f t="shared" si="4"/>
        <v>333</v>
      </c>
      <c r="B341" s="33" t="s">
        <v>334</v>
      </c>
      <c r="C341" s="34" t="s">
        <v>191</v>
      </c>
      <c r="D341" s="34">
        <v>18</v>
      </c>
      <c r="E341" s="32"/>
      <c r="F341" s="32"/>
    </row>
    <row r="342" spans="1:6">
      <c r="A342" s="32">
        <f t="shared" si="4"/>
        <v>334</v>
      </c>
      <c r="B342" s="33" t="s">
        <v>335</v>
      </c>
      <c r="C342" s="34" t="s">
        <v>191</v>
      </c>
      <c r="D342" s="34">
        <v>3</v>
      </c>
      <c r="E342" s="32"/>
      <c r="F342" s="32"/>
    </row>
    <row r="343" spans="1:6">
      <c r="A343" s="32">
        <f t="shared" si="4"/>
        <v>335</v>
      </c>
      <c r="B343" s="33" t="s">
        <v>336</v>
      </c>
      <c r="C343" s="34" t="s">
        <v>191</v>
      </c>
      <c r="D343" s="34">
        <v>1</v>
      </c>
      <c r="E343" s="32"/>
      <c r="F343" s="53"/>
    </row>
    <row r="344" spans="1:6" ht="33">
      <c r="A344" s="32">
        <f t="shared" si="4"/>
        <v>336</v>
      </c>
      <c r="B344" s="54" t="s">
        <v>360</v>
      </c>
      <c r="C344" s="34" t="s">
        <v>191</v>
      </c>
      <c r="D344" s="34">
        <v>3</v>
      </c>
      <c r="E344" s="32"/>
      <c r="F344" s="32"/>
    </row>
    <row r="345" spans="1:6" ht="33">
      <c r="A345" s="32">
        <f t="shared" si="4"/>
        <v>337</v>
      </c>
      <c r="B345" s="54" t="s">
        <v>361</v>
      </c>
      <c r="C345" s="34" t="s">
        <v>71</v>
      </c>
      <c r="D345" s="34">
        <v>3</v>
      </c>
      <c r="E345" s="32"/>
      <c r="F345" s="32"/>
    </row>
    <row r="346" spans="1:6">
      <c r="A346" s="32">
        <f t="shared" si="4"/>
        <v>338</v>
      </c>
      <c r="B346" s="33" t="s">
        <v>338</v>
      </c>
      <c r="C346" s="34" t="s">
        <v>326</v>
      </c>
      <c r="D346" s="34">
        <v>3</v>
      </c>
      <c r="E346" s="32"/>
      <c r="F346" s="32"/>
    </row>
    <row r="347" spans="1:6">
      <c r="A347" s="32">
        <f t="shared" si="4"/>
        <v>339</v>
      </c>
      <c r="B347" s="33" t="s">
        <v>339</v>
      </c>
      <c r="C347" s="34" t="s">
        <v>326</v>
      </c>
      <c r="D347" s="34">
        <v>3</v>
      </c>
      <c r="E347" s="32"/>
      <c r="F347" s="32"/>
    </row>
    <row r="348" spans="1:6">
      <c r="A348" s="32">
        <f t="shared" ref="A348:A385" si="5">A347+1</f>
        <v>340</v>
      </c>
      <c r="B348" s="33" t="s">
        <v>340</v>
      </c>
      <c r="C348" s="34" t="s">
        <v>71</v>
      </c>
      <c r="D348" s="34">
        <v>3</v>
      </c>
      <c r="E348" s="32"/>
      <c r="F348" s="32"/>
    </row>
    <row r="349" spans="1:6">
      <c r="A349" s="32">
        <f t="shared" si="5"/>
        <v>341</v>
      </c>
      <c r="B349" s="33" t="s">
        <v>341</v>
      </c>
      <c r="C349" s="34" t="s">
        <v>191</v>
      </c>
      <c r="D349" s="34">
        <v>6</v>
      </c>
      <c r="E349" s="32"/>
      <c r="F349" s="32"/>
    </row>
    <row r="350" spans="1:6">
      <c r="A350" s="32">
        <f t="shared" si="5"/>
        <v>342</v>
      </c>
      <c r="B350" s="36" t="s">
        <v>342</v>
      </c>
      <c r="C350" s="34" t="s">
        <v>191</v>
      </c>
      <c r="D350" s="34">
        <v>47</v>
      </c>
      <c r="E350" s="32"/>
      <c r="F350" s="32"/>
    </row>
    <row r="351" spans="1:6">
      <c r="A351" s="32">
        <f t="shared" si="5"/>
        <v>343</v>
      </c>
      <c r="B351" s="56" t="s">
        <v>239</v>
      </c>
      <c r="C351" s="32"/>
      <c r="D351" s="32"/>
      <c r="E351" s="32"/>
      <c r="F351" s="32"/>
    </row>
    <row r="352" spans="1:6">
      <c r="A352" s="32">
        <f t="shared" si="5"/>
        <v>344</v>
      </c>
      <c r="B352" s="31" t="s">
        <v>74</v>
      </c>
      <c r="C352" s="32" t="s">
        <v>71</v>
      </c>
      <c r="D352" s="32">
        <v>24</v>
      </c>
      <c r="E352" s="32"/>
      <c r="F352" s="58"/>
    </row>
    <row r="353" spans="1:6">
      <c r="A353" s="32">
        <f t="shared" si="5"/>
        <v>345</v>
      </c>
      <c r="B353" s="31" t="s">
        <v>70</v>
      </c>
      <c r="C353" s="32" t="s">
        <v>71</v>
      </c>
      <c r="D353" s="32">
        <v>2</v>
      </c>
      <c r="E353" s="32"/>
      <c r="F353" s="48"/>
    </row>
    <row r="354" spans="1:6">
      <c r="A354" s="32">
        <f t="shared" si="5"/>
        <v>346</v>
      </c>
      <c r="B354" s="31" t="s">
        <v>232</v>
      </c>
      <c r="C354" s="32" t="s">
        <v>71</v>
      </c>
      <c r="D354" s="32">
        <v>12</v>
      </c>
      <c r="E354" s="32"/>
      <c r="F354" s="55"/>
    </row>
    <row r="355" spans="1:6">
      <c r="A355" s="32">
        <f t="shared" si="5"/>
        <v>347</v>
      </c>
      <c r="B355" s="31" t="s">
        <v>230</v>
      </c>
      <c r="C355" s="32" t="s">
        <v>71</v>
      </c>
      <c r="D355" s="32">
        <v>10</v>
      </c>
      <c r="E355" s="32"/>
      <c r="F355" s="55"/>
    </row>
    <row r="356" spans="1:6">
      <c r="A356" s="32">
        <f t="shared" si="5"/>
        <v>348</v>
      </c>
      <c r="B356" s="31" t="s">
        <v>233</v>
      </c>
      <c r="C356" s="32" t="s">
        <v>71</v>
      </c>
      <c r="D356" s="32">
        <v>7</v>
      </c>
      <c r="E356" s="32"/>
      <c r="F356" s="55"/>
    </row>
    <row r="357" spans="1:6">
      <c r="A357" s="32">
        <f t="shared" si="5"/>
        <v>349</v>
      </c>
      <c r="B357" s="31" t="s">
        <v>231</v>
      </c>
      <c r="C357" s="32" t="s">
        <v>71</v>
      </c>
      <c r="D357" s="32">
        <v>8</v>
      </c>
      <c r="E357" s="32"/>
      <c r="F357" s="55"/>
    </row>
    <row r="358" spans="1:6">
      <c r="A358" s="32">
        <f t="shared" si="5"/>
        <v>350</v>
      </c>
      <c r="B358" s="31" t="s">
        <v>478</v>
      </c>
      <c r="C358" s="32" t="s">
        <v>71</v>
      </c>
      <c r="D358" s="32">
        <v>9</v>
      </c>
      <c r="E358" s="32"/>
      <c r="F358" s="375" t="s">
        <v>403</v>
      </c>
    </row>
    <row r="359" spans="1:6">
      <c r="A359" s="32">
        <f t="shared" si="5"/>
        <v>351</v>
      </c>
      <c r="B359" s="31" t="s">
        <v>395</v>
      </c>
      <c r="C359" s="32" t="s">
        <v>71</v>
      </c>
      <c r="D359" s="32">
        <v>2</v>
      </c>
      <c r="E359" s="32"/>
      <c r="F359" s="377"/>
    </row>
    <row r="360" spans="1:6">
      <c r="A360" s="32">
        <f t="shared" si="5"/>
        <v>352</v>
      </c>
      <c r="B360" s="31" t="s">
        <v>396</v>
      </c>
      <c r="C360" s="32" t="s">
        <v>71</v>
      </c>
      <c r="D360" s="32">
        <v>1</v>
      </c>
      <c r="E360" s="32"/>
      <c r="F360" s="376"/>
    </row>
    <row r="361" spans="1:6">
      <c r="A361" s="32">
        <f t="shared" si="5"/>
        <v>353</v>
      </c>
      <c r="B361" s="56" t="s">
        <v>240</v>
      </c>
      <c r="C361" s="32"/>
      <c r="D361" s="32"/>
      <c r="E361" s="32"/>
      <c r="F361" s="55"/>
    </row>
    <row r="362" spans="1:6">
      <c r="A362" s="32">
        <f t="shared" si="5"/>
        <v>354</v>
      </c>
      <c r="B362" s="31" t="s">
        <v>74</v>
      </c>
      <c r="C362" s="32" t="s">
        <v>71</v>
      </c>
      <c r="D362" s="32">
        <v>24</v>
      </c>
      <c r="E362" s="32"/>
      <c r="F362" s="55"/>
    </row>
    <row r="363" spans="1:6">
      <c r="A363" s="32">
        <f t="shared" si="5"/>
        <v>355</v>
      </c>
      <c r="B363" s="31" t="s">
        <v>232</v>
      </c>
      <c r="C363" s="32" t="s">
        <v>71</v>
      </c>
      <c r="D363" s="32">
        <v>12</v>
      </c>
      <c r="E363" s="32"/>
      <c r="F363" s="55"/>
    </row>
    <row r="364" spans="1:6">
      <c r="A364" s="32">
        <f t="shared" si="5"/>
        <v>356</v>
      </c>
      <c r="B364" s="31" t="s">
        <v>230</v>
      </c>
      <c r="C364" s="32" t="s">
        <v>71</v>
      </c>
      <c r="D364" s="32">
        <v>10</v>
      </c>
      <c r="E364" s="32"/>
      <c r="F364" s="55"/>
    </row>
    <row r="365" spans="1:6">
      <c r="A365" s="32">
        <f t="shared" si="5"/>
        <v>357</v>
      </c>
      <c r="B365" s="31" t="s">
        <v>233</v>
      </c>
      <c r="C365" s="32" t="s">
        <v>71</v>
      </c>
      <c r="D365" s="32">
        <v>7</v>
      </c>
      <c r="E365" s="32"/>
      <c r="F365" s="55"/>
    </row>
    <row r="366" spans="1:6">
      <c r="A366" s="32">
        <f t="shared" si="5"/>
        <v>358</v>
      </c>
      <c r="B366" s="31" t="s">
        <v>231</v>
      </c>
      <c r="C366" s="32" t="s">
        <v>71</v>
      </c>
      <c r="D366" s="32">
        <v>8</v>
      </c>
      <c r="E366" s="32"/>
      <c r="F366" s="55"/>
    </row>
    <row r="367" spans="1:6">
      <c r="A367" s="32">
        <f t="shared" si="5"/>
        <v>359</v>
      </c>
      <c r="B367" s="31" t="s">
        <v>70</v>
      </c>
      <c r="C367" s="32" t="s">
        <v>71</v>
      </c>
      <c r="D367" s="32">
        <v>2</v>
      </c>
      <c r="E367" s="32"/>
      <c r="F367" s="55"/>
    </row>
    <row r="368" spans="1:6">
      <c r="A368" s="32">
        <f t="shared" si="5"/>
        <v>360</v>
      </c>
      <c r="B368" s="31" t="s">
        <v>478</v>
      </c>
      <c r="C368" s="32" t="s">
        <v>71</v>
      </c>
      <c r="D368" s="32">
        <v>9</v>
      </c>
      <c r="E368" s="32"/>
      <c r="F368" s="375" t="s">
        <v>406</v>
      </c>
    </row>
    <row r="369" spans="1:6">
      <c r="A369" s="32">
        <f t="shared" si="5"/>
        <v>361</v>
      </c>
      <c r="B369" s="31" t="s">
        <v>395</v>
      </c>
      <c r="C369" s="32" t="s">
        <v>71</v>
      </c>
      <c r="D369" s="32">
        <v>2</v>
      </c>
      <c r="E369" s="32"/>
      <c r="F369" s="377"/>
    </row>
    <row r="370" spans="1:6">
      <c r="A370" s="32">
        <f t="shared" si="5"/>
        <v>362</v>
      </c>
      <c r="B370" s="31" t="s">
        <v>396</v>
      </c>
      <c r="C370" s="32" t="s">
        <v>71</v>
      </c>
      <c r="D370" s="32">
        <v>1</v>
      </c>
      <c r="E370" s="32"/>
      <c r="F370" s="376"/>
    </row>
    <row r="371" spans="1:6">
      <c r="A371" s="32">
        <f t="shared" si="5"/>
        <v>363</v>
      </c>
      <c r="B371" s="14" t="s">
        <v>508</v>
      </c>
      <c r="C371" s="32"/>
      <c r="D371" s="32"/>
      <c r="E371" s="32"/>
      <c r="F371" s="32"/>
    </row>
    <row r="372" spans="1:6">
      <c r="A372" s="32">
        <f t="shared" si="5"/>
        <v>364</v>
      </c>
      <c r="B372" s="31" t="s">
        <v>74</v>
      </c>
      <c r="C372" s="32" t="s">
        <v>71</v>
      </c>
      <c r="D372" s="32">
        <v>8</v>
      </c>
      <c r="E372" s="32"/>
      <c r="F372" s="32"/>
    </row>
    <row r="373" spans="1:6">
      <c r="A373" s="32">
        <f t="shared" si="5"/>
        <v>365</v>
      </c>
      <c r="B373" s="31" t="s">
        <v>230</v>
      </c>
      <c r="C373" s="32" t="s">
        <v>71</v>
      </c>
      <c r="D373" s="32">
        <v>2</v>
      </c>
      <c r="E373" s="32"/>
      <c r="F373" s="55"/>
    </row>
    <row r="374" spans="1:6">
      <c r="A374" s="32">
        <f t="shared" si="5"/>
        <v>366</v>
      </c>
      <c r="B374" s="31" t="s">
        <v>237</v>
      </c>
      <c r="C374" s="32" t="s">
        <v>71</v>
      </c>
      <c r="D374" s="32">
        <v>4</v>
      </c>
      <c r="E374" s="32"/>
      <c r="F374" s="55"/>
    </row>
    <row r="375" spans="1:6">
      <c r="A375" s="32">
        <f t="shared" si="5"/>
        <v>367</v>
      </c>
      <c r="B375" s="31" t="s">
        <v>231</v>
      </c>
      <c r="C375" s="32" t="s">
        <v>71</v>
      </c>
      <c r="D375" s="32">
        <v>6</v>
      </c>
      <c r="E375" s="32"/>
      <c r="F375" s="55"/>
    </row>
    <row r="376" spans="1:6">
      <c r="A376" s="32">
        <f t="shared" si="5"/>
        <v>368</v>
      </c>
      <c r="B376" s="31" t="s">
        <v>478</v>
      </c>
      <c r="C376" s="32" t="s">
        <v>71</v>
      </c>
      <c r="D376" s="32">
        <v>2</v>
      </c>
      <c r="E376" s="32"/>
      <c r="F376" s="375" t="s">
        <v>480</v>
      </c>
    </row>
    <row r="377" spans="1:6">
      <c r="A377" s="32">
        <f t="shared" si="5"/>
        <v>369</v>
      </c>
      <c r="B377" s="31" t="s">
        <v>479</v>
      </c>
      <c r="C377" s="32" t="s">
        <v>71</v>
      </c>
      <c r="D377" s="32">
        <v>4</v>
      </c>
      <c r="E377" s="32"/>
      <c r="F377" s="376"/>
    </row>
    <row r="378" spans="1:6">
      <c r="A378" s="32">
        <f t="shared" si="5"/>
        <v>370</v>
      </c>
      <c r="B378" s="14" t="s">
        <v>509</v>
      </c>
      <c r="C378" s="32"/>
      <c r="D378" s="32"/>
      <c r="E378" s="32"/>
      <c r="F378" s="32"/>
    </row>
    <row r="379" spans="1:6">
      <c r="A379" s="32">
        <f t="shared" si="5"/>
        <v>371</v>
      </c>
      <c r="B379" s="31" t="s">
        <v>74</v>
      </c>
      <c r="C379" s="32" t="s">
        <v>71</v>
      </c>
      <c r="D379" s="32">
        <v>8</v>
      </c>
      <c r="E379" s="32"/>
      <c r="F379" s="32"/>
    </row>
    <row r="380" spans="1:6">
      <c r="A380" s="32">
        <f t="shared" si="5"/>
        <v>372</v>
      </c>
      <c r="B380" s="31" t="s">
        <v>232</v>
      </c>
      <c r="C380" s="32" t="s">
        <v>71</v>
      </c>
      <c r="D380" s="32">
        <v>2</v>
      </c>
      <c r="E380" s="32"/>
      <c r="F380" s="55"/>
    </row>
    <row r="381" spans="1:6">
      <c r="A381" s="32">
        <f t="shared" si="5"/>
        <v>373</v>
      </c>
      <c r="B381" s="31" t="s">
        <v>229</v>
      </c>
      <c r="C381" s="32" t="s">
        <v>71</v>
      </c>
      <c r="D381" s="32">
        <v>2</v>
      </c>
      <c r="E381" s="32"/>
      <c r="F381" s="55"/>
    </row>
    <row r="382" spans="1:6">
      <c r="A382" s="32">
        <f t="shared" si="5"/>
        <v>374</v>
      </c>
      <c r="B382" s="31" t="s">
        <v>237</v>
      </c>
      <c r="C382" s="32" t="s">
        <v>71</v>
      </c>
      <c r="D382" s="32">
        <v>2</v>
      </c>
      <c r="E382" s="32"/>
      <c r="F382" s="55"/>
    </row>
    <row r="383" spans="1:6">
      <c r="A383" s="32">
        <f t="shared" si="5"/>
        <v>375</v>
      </c>
      <c r="B383" s="31" t="s">
        <v>231</v>
      </c>
      <c r="C383" s="32" t="s">
        <v>71</v>
      </c>
      <c r="D383" s="32">
        <v>6</v>
      </c>
      <c r="E383" s="32"/>
      <c r="F383" s="55"/>
    </row>
    <row r="384" spans="1:6">
      <c r="A384" s="32">
        <f t="shared" si="5"/>
        <v>376</v>
      </c>
      <c r="B384" s="31" t="s">
        <v>478</v>
      </c>
      <c r="C384" s="32" t="s">
        <v>71</v>
      </c>
      <c r="D384" s="32">
        <v>2</v>
      </c>
      <c r="E384" s="32"/>
      <c r="F384" s="375" t="s">
        <v>481</v>
      </c>
    </row>
    <row r="385" spans="1:6">
      <c r="A385" s="32">
        <f t="shared" si="5"/>
        <v>377</v>
      </c>
      <c r="B385" s="31" t="s">
        <v>479</v>
      </c>
      <c r="C385" s="32" t="s">
        <v>71</v>
      </c>
      <c r="D385" s="32">
        <v>4</v>
      </c>
      <c r="E385" s="32"/>
      <c r="F385" s="376"/>
    </row>
    <row r="386" spans="1:6">
      <c r="A386" s="31"/>
      <c r="B386" s="31"/>
      <c r="C386" s="32"/>
      <c r="D386" s="32"/>
      <c r="E386" s="32"/>
      <c r="F386" s="32"/>
    </row>
  </sheetData>
  <mergeCells count="17">
    <mergeCell ref="F328:F330"/>
    <mergeCell ref="F323:F327"/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  <mergeCell ref="F331:F332"/>
    <mergeCell ref="F376:F377"/>
    <mergeCell ref="F384:F385"/>
    <mergeCell ref="F358:F360"/>
    <mergeCell ref="F368:F370"/>
  </mergeCells>
  <pageMargins left="0.55118110236220474" right="0.31496062992125984" top="0.47244094488188981" bottom="0.47244094488188981" header="0.31496062992125984" footer="0.31496062992125984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0"/>
  <sheetViews>
    <sheetView view="pageBreakPreview" topLeftCell="A345" zoomScaleNormal="100" zoomScaleSheetLayoutView="100" workbookViewId="0">
      <selection activeCell="B352" sqref="B352:D352"/>
    </sheetView>
  </sheetViews>
  <sheetFormatPr defaultColWidth="9.140625" defaultRowHeight="16.5"/>
  <cols>
    <col min="1" max="1" width="5.5703125" style="2" customWidth="1"/>
    <col min="2" max="2" width="52.5703125" style="2" customWidth="1"/>
    <col min="3" max="4" width="9.140625" style="13"/>
    <col min="5" max="5" width="0" style="13" hidden="1" customWidth="1"/>
    <col min="6" max="6" width="15.140625" style="13" customWidth="1"/>
    <col min="7" max="16384" width="9.140625" style="2"/>
  </cols>
  <sheetData>
    <row r="1" spans="1:6" s="1" customFormat="1" ht="18.75">
      <c r="A1" s="368" t="s">
        <v>0</v>
      </c>
      <c r="B1" s="368"/>
      <c r="C1" s="368"/>
      <c r="D1" s="368"/>
      <c r="E1" s="368"/>
      <c r="F1" s="368"/>
    </row>
    <row r="2" spans="1:6" s="1" customFormat="1">
      <c r="A2" s="383" t="s">
        <v>302</v>
      </c>
      <c r="B2" s="383"/>
      <c r="C2" s="383"/>
      <c r="D2" s="383"/>
      <c r="E2" s="383"/>
      <c r="F2" s="383"/>
    </row>
    <row r="3" spans="1:6" s="1" customFormat="1" ht="15.75" customHeight="1">
      <c r="A3" s="384" t="s">
        <v>2</v>
      </c>
      <c r="B3" s="384"/>
      <c r="C3" s="384"/>
      <c r="D3" s="384"/>
      <c r="E3" s="384"/>
      <c r="F3" s="384"/>
    </row>
    <row r="4" spans="1:6" s="1" customFormat="1" ht="21.75" hidden="1" customHeight="1">
      <c r="A4" s="378" t="s">
        <v>3</v>
      </c>
      <c r="B4" s="378"/>
      <c r="C4" s="378"/>
      <c r="D4" s="378"/>
      <c r="E4" s="10"/>
      <c r="F4" s="10"/>
    </row>
    <row r="5" spans="1:6" s="1" customFormat="1" ht="15.75" customHeight="1">
      <c r="A5" s="371" t="s">
        <v>4</v>
      </c>
      <c r="B5" s="371" t="s">
        <v>5</v>
      </c>
      <c r="C5" s="379" t="s">
        <v>6</v>
      </c>
      <c r="D5" s="373" t="s">
        <v>7</v>
      </c>
      <c r="E5" s="373" t="s">
        <v>8</v>
      </c>
      <c r="F5" s="379" t="s">
        <v>9</v>
      </c>
    </row>
    <row r="6" spans="1:6" s="1" customFormat="1" ht="17.25" customHeight="1">
      <c r="A6" s="372"/>
      <c r="B6" s="372"/>
      <c r="C6" s="380"/>
      <c r="D6" s="374"/>
      <c r="E6" s="374"/>
      <c r="F6" s="380"/>
    </row>
    <row r="7" spans="1:6" s="1" customFormat="1">
      <c r="A7" s="3" t="s">
        <v>10</v>
      </c>
      <c r="B7" s="4" t="s">
        <v>11</v>
      </c>
      <c r="C7" s="9"/>
      <c r="D7" s="11"/>
      <c r="E7" s="11"/>
      <c r="F7" s="11"/>
    </row>
    <row r="8" spans="1:6">
      <c r="A8" s="12"/>
      <c r="B8" s="8" t="s">
        <v>12</v>
      </c>
      <c r="C8" s="12"/>
      <c r="D8" s="12"/>
      <c r="E8" s="12"/>
      <c r="F8" s="12"/>
    </row>
    <row r="9" spans="1:6">
      <c r="A9" s="12"/>
      <c r="B9" s="7" t="s">
        <v>68</v>
      </c>
      <c r="C9" s="12" t="s">
        <v>71</v>
      </c>
      <c r="D9" s="12">
        <v>8</v>
      </c>
      <c r="E9" s="12"/>
      <c r="F9" s="12"/>
    </row>
    <row r="10" spans="1:6">
      <c r="A10" s="12"/>
      <c r="B10" s="7" t="s">
        <v>69</v>
      </c>
      <c r="C10" s="12" t="s">
        <v>71</v>
      </c>
      <c r="D10" s="12">
        <v>1</v>
      </c>
      <c r="E10" s="12"/>
      <c r="F10" s="12"/>
    </row>
    <row r="11" spans="1:6">
      <c r="A11" s="12"/>
      <c r="B11" s="7" t="s">
        <v>70</v>
      </c>
      <c r="C11" s="12" t="s">
        <v>71</v>
      </c>
      <c r="D11" s="12">
        <v>5</v>
      </c>
      <c r="E11" s="12"/>
      <c r="F11" s="12"/>
    </row>
    <row r="12" spans="1:6">
      <c r="A12" s="12"/>
      <c r="B12" s="7" t="s">
        <v>67</v>
      </c>
      <c r="C12" s="12" t="s">
        <v>71</v>
      </c>
      <c r="D12" s="12">
        <v>1</v>
      </c>
      <c r="E12" s="12"/>
      <c r="F12" s="12"/>
    </row>
    <row r="13" spans="1:6">
      <c r="A13" s="12"/>
      <c r="B13" s="25" t="s">
        <v>327</v>
      </c>
      <c r="C13" s="22" t="s">
        <v>328</v>
      </c>
      <c r="D13" s="22">
        <v>1</v>
      </c>
      <c r="E13" s="12"/>
      <c r="F13" s="12"/>
    </row>
    <row r="14" spans="1:6">
      <c r="A14" s="12"/>
      <c r="B14" s="21" t="s">
        <v>329</v>
      </c>
      <c r="C14" s="22" t="s">
        <v>326</v>
      </c>
      <c r="D14" s="22">
        <v>2</v>
      </c>
      <c r="E14" s="12"/>
      <c r="F14" s="12"/>
    </row>
    <row r="15" spans="1:6">
      <c r="A15" s="12"/>
      <c r="B15" s="21" t="s">
        <v>319</v>
      </c>
      <c r="C15" s="22" t="s">
        <v>191</v>
      </c>
      <c r="D15" s="22">
        <v>1</v>
      </c>
      <c r="E15" s="12"/>
      <c r="F15" s="12"/>
    </row>
    <row r="16" spans="1:6">
      <c r="A16" s="12"/>
      <c r="B16" s="21" t="s">
        <v>348</v>
      </c>
      <c r="C16" s="22" t="s">
        <v>191</v>
      </c>
      <c r="D16" s="22">
        <v>1</v>
      </c>
      <c r="E16" s="12"/>
      <c r="F16" s="12"/>
    </row>
    <row r="17" spans="1:6">
      <c r="A17" s="12"/>
      <c r="B17" s="21" t="s">
        <v>370</v>
      </c>
      <c r="C17" s="22" t="s">
        <v>191</v>
      </c>
      <c r="D17" s="22">
        <v>2</v>
      </c>
      <c r="E17" s="12"/>
      <c r="F17" s="12"/>
    </row>
    <row r="18" spans="1:6">
      <c r="A18" s="12"/>
      <c r="B18" s="21" t="s">
        <v>371</v>
      </c>
      <c r="C18" s="22" t="s">
        <v>191</v>
      </c>
      <c r="D18" s="22">
        <v>1</v>
      </c>
      <c r="E18" s="12"/>
      <c r="F18" s="12"/>
    </row>
    <row r="19" spans="1:6">
      <c r="A19" s="12"/>
      <c r="B19" s="21" t="s">
        <v>349</v>
      </c>
      <c r="C19" s="22" t="s">
        <v>191</v>
      </c>
      <c r="D19" s="22">
        <v>1</v>
      </c>
      <c r="E19" s="12"/>
      <c r="F19" s="12"/>
    </row>
    <row r="20" spans="1:6">
      <c r="A20" s="12"/>
      <c r="B20" s="21" t="s">
        <v>350</v>
      </c>
      <c r="C20" s="22" t="s">
        <v>191</v>
      </c>
      <c r="D20" s="22">
        <v>1</v>
      </c>
      <c r="E20" s="12"/>
      <c r="F20" s="12"/>
    </row>
    <row r="21" spans="1:6">
      <c r="A21" s="12"/>
      <c r="B21" s="21" t="s">
        <v>351</v>
      </c>
      <c r="C21" s="22" t="s">
        <v>191</v>
      </c>
      <c r="D21" s="22">
        <v>1</v>
      </c>
      <c r="E21" s="12"/>
      <c r="F21" s="12"/>
    </row>
    <row r="22" spans="1:6">
      <c r="A22" s="12"/>
      <c r="B22" s="21" t="s">
        <v>352</v>
      </c>
      <c r="C22" s="22" t="s">
        <v>191</v>
      </c>
      <c r="D22" s="22">
        <v>1</v>
      </c>
      <c r="E22" s="12"/>
      <c r="F22" s="12"/>
    </row>
    <row r="23" spans="1:6">
      <c r="A23" s="12"/>
      <c r="B23" s="21" t="s">
        <v>353</v>
      </c>
      <c r="C23" s="22" t="s">
        <v>191</v>
      </c>
      <c r="D23" s="22">
        <v>1</v>
      </c>
      <c r="E23" s="12"/>
      <c r="F23" s="12"/>
    </row>
    <row r="24" spans="1:6">
      <c r="A24" s="12"/>
      <c r="B24" s="21" t="s">
        <v>354</v>
      </c>
      <c r="C24" s="22" t="s">
        <v>191</v>
      </c>
      <c r="D24" s="22">
        <v>1</v>
      </c>
      <c r="E24" s="12"/>
      <c r="F24" s="12"/>
    </row>
    <row r="25" spans="1:6" ht="33">
      <c r="A25" s="12"/>
      <c r="B25" s="24" t="s">
        <v>372</v>
      </c>
      <c r="C25" s="22" t="s">
        <v>326</v>
      </c>
      <c r="D25" s="22">
        <v>1</v>
      </c>
      <c r="E25" s="12"/>
      <c r="F25" s="12"/>
    </row>
    <row r="26" spans="1:6" s="37" customFormat="1">
      <c r="A26" s="12"/>
      <c r="B26" s="29" t="s">
        <v>381</v>
      </c>
      <c r="C26" s="30" t="s">
        <v>71</v>
      </c>
      <c r="D26" s="30">
        <v>2</v>
      </c>
      <c r="E26" s="30"/>
      <c r="F26" s="30"/>
    </row>
    <row r="27" spans="1:6">
      <c r="A27" s="12"/>
      <c r="B27" s="8" t="s">
        <v>13</v>
      </c>
      <c r="C27" s="12"/>
      <c r="D27" s="12"/>
      <c r="E27" s="12"/>
      <c r="F27" s="12"/>
    </row>
    <row r="28" spans="1:6">
      <c r="A28" s="12"/>
      <c r="B28" s="7" t="s">
        <v>68</v>
      </c>
      <c r="C28" s="12" t="s">
        <v>71</v>
      </c>
      <c r="D28" s="12">
        <v>12</v>
      </c>
      <c r="E28" s="12"/>
      <c r="F28" s="12"/>
    </row>
    <row r="29" spans="1:6">
      <c r="A29" s="12"/>
      <c r="B29" s="7" t="s">
        <v>77</v>
      </c>
      <c r="C29" s="12" t="s">
        <v>71</v>
      </c>
      <c r="D29" s="12">
        <v>1</v>
      </c>
      <c r="E29" s="12"/>
      <c r="F29" s="12"/>
    </row>
    <row r="30" spans="1:6">
      <c r="A30" s="12"/>
      <c r="B30" s="7" t="s">
        <v>70</v>
      </c>
      <c r="C30" s="12" t="s">
        <v>71</v>
      </c>
      <c r="D30" s="12">
        <v>6</v>
      </c>
      <c r="E30" s="12"/>
      <c r="F30" s="12"/>
    </row>
    <row r="31" spans="1:6">
      <c r="A31" s="12"/>
      <c r="B31" s="7" t="s">
        <v>67</v>
      </c>
      <c r="C31" s="12" t="s">
        <v>71</v>
      </c>
      <c r="D31" s="12">
        <v>1</v>
      </c>
      <c r="E31" s="12"/>
      <c r="F31" s="12"/>
    </row>
    <row r="32" spans="1:6">
      <c r="A32" s="12"/>
      <c r="B32" s="25" t="s">
        <v>327</v>
      </c>
      <c r="C32" s="22" t="s">
        <v>328</v>
      </c>
      <c r="D32" s="22">
        <v>1</v>
      </c>
      <c r="E32" s="12"/>
      <c r="F32" s="12"/>
    </row>
    <row r="33" spans="1:6">
      <c r="A33" s="12"/>
      <c r="B33" s="21" t="s">
        <v>329</v>
      </c>
      <c r="C33" s="22" t="s">
        <v>326</v>
      </c>
      <c r="D33" s="12">
        <v>2</v>
      </c>
      <c r="E33" s="12"/>
      <c r="F33" s="12"/>
    </row>
    <row r="34" spans="1:6">
      <c r="A34" s="12"/>
      <c r="B34" s="21" t="s">
        <v>319</v>
      </c>
      <c r="C34" s="22" t="s">
        <v>191</v>
      </c>
      <c r="D34" s="12">
        <v>1</v>
      </c>
      <c r="E34" s="12"/>
      <c r="F34" s="12"/>
    </row>
    <row r="35" spans="1:6">
      <c r="A35" s="12"/>
      <c r="B35" s="21" t="s">
        <v>348</v>
      </c>
      <c r="C35" s="22" t="s">
        <v>191</v>
      </c>
      <c r="D35" s="12">
        <v>1</v>
      </c>
      <c r="E35" s="12"/>
      <c r="F35" s="12"/>
    </row>
    <row r="36" spans="1:6">
      <c r="A36" s="12"/>
      <c r="B36" s="21" t="s">
        <v>370</v>
      </c>
      <c r="C36" s="22" t="s">
        <v>191</v>
      </c>
      <c r="D36" s="12">
        <v>2</v>
      </c>
      <c r="E36" s="12"/>
      <c r="F36" s="12"/>
    </row>
    <row r="37" spans="1:6">
      <c r="A37" s="12"/>
      <c r="B37" s="21" t="s">
        <v>371</v>
      </c>
      <c r="C37" s="22" t="s">
        <v>191</v>
      </c>
      <c r="D37" s="12">
        <v>1</v>
      </c>
      <c r="E37" s="12"/>
      <c r="F37" s="12"/>
    </row>
    <row r="38" spans="1:6">
      <c r="A38" s="12"/>
      <c r="B38" s="21" t="s">
        <v>349</v>
      </c>
      <c r="C38" s="22" t="s">
        <v>191</v>
      </c>
      <c r="D38" s="12">
        <v>1</v>
      </c>
      <c r="E38" s="12"/>
      <c r="F38" s="12"/>
    </row>
    <row r="39" spans="1:6">
      <c r="A39" s="12"/>
      <c r="B39" s="21" t="s">
        <v>350</v>
      </c>
      <c r="C39" s="22" t="s">
        <v>191</v>
      </c>
      <c r="D39" s="12">
        <v>1</v>
      </c>
      <c r="E39" s="12"/>
      <c r="F39" s="12"/>
    </row>
    <row r="40" spans="1:6">
      <c r="A40" s="12"/>
      <c r="B40" s="21" t="s">
        <v>351</v>
      </c>
      <c r="C40" s="22" t="s">
        <v>191</v>
      </c>
      <c r="D40" s="12">
        <v>1</v>
      </c>
      <c r="E40" s="12"/>
      <c r="F40" s="12"/>
    </row>
    <row r="41" spans="1:6">
      <c r="A41" s="12"/>
      <c r="B41" s="21" t="s">
        <v>352</v>
      </c>
      <c r="C41" s="22" t="s">
        <v>191</v>
      </c>
      <c r="D41" s="12">
        <v>1</v>
      </c>
      <c r="E41" s="12"/>
      <c r="F41" s="12"/>
    </row>
    <row r="42" spans="1:6">
      <c r="A42" s="12"/>
      <c r="B42" s="21" t="s">
        <v>353</v>
      </c>
      <c r="C42" s="22" t="s">
        <v>191</v>
      </c>
      <c r="D42" s="12">
        <v>1</v>
      </c>
      <c r="E42" s="12"/>
      <c r="F42" s="12"/>
    </row>
    <row r="43" spans="1:6">
      <c r="A43" s="12"/>
      <c r="B43" s="21" t="s">
        <v>354</v>
      </c>
      <c r="C43" s="22" t="s">
        <v>191</v>
      </c>
      <c r="D43" s="12">
        <v>1</v>
      </c>
      <c r="E43" s="12"/>
      <c r="F43" s="12"/>
    </row>
    <row r="44" spans="1:6" ht="33">
      <c r="A44" s="12"/>
      <c r="B44" s="24" t="s">
        <v>372</v>
      </c>
      <c r="C44" s="22" t="s">
        <v>326</v>
      </c>
      <c r="D44" s="22">
        <v>1</v>
      </c>
      <c r="E44" s="12"/>
      <c r="F44" s="12"/>
    </row>
    <row r="45" spans="1:6" s="37" customFormat="1">
      <c r="A45" s="12"/>
      <c r="B45" s="29" t="s">
        <v>444</v>
      </c>
      <c r="C45" s="30" t="s">
        <v>71</v>
      </c>
      <c r="D45" s="30">
        <v>2</v>
      </c>
      <c r="E45" s="30"/>
      <c r="F45" s="30"/>
    </row>
    <row r="46" spans="1:6">
      <c r="A46" s="12"/>
      <c r="B46" s="8" t="s">
        <v>14</v>
      </c>
      <c r="C46" s="12"/>
      <c r="D46" s="12"/>
      <c r="E46" s="12"/>
      <c r="F46" s="12"/>
    </row>
    <row r="47" spans="1:6">
      <c r="A47" s="12"/>
      <c r="B47" s="7" t="s">
        <v>68</v>
      </c>
      <c r="C47" s="12" t="s">
        <v>71</v>
      </c>
      <c r="D47" s="12">
        <v>15</v>
      </c>
      <c r="E47" s="12"/>
      <c r="F47" s="12"/>
    </row>
    <row r="48" spans="1:6">
      <c r="A48" s="12"/>
      <c r="B48" s="7" t="s">
        <v>79</v>
      </c>
      <c r="C48" s="12" t="s">
        <v>71</v>
      </c>
      <c r="D48" s="12">
        <v>1</v>
      </c>
      <c r="E48" s="12"/>
      <c r="F48" s="12"/>
    </row>
    <row r="49" spans="1:6">
      <c r="A49" s="12"/>
      <c r="B49" s="7" t="s">
        <v>70</v>
      </c>
      <c r="C49" s="12" t="s">
        <v>71</v>
      </c>
      <c r="D49" s="12">
        <v>7</v>
      </c>
      <c r="E49" s="12"/>
      <c r="F49" s="12"/>
    </row>
    <row r="50" spans="1:6">
      <c r="A50" s="12"/>
      <c r="B50" s="7" t="s">
        <v>67</v>
      </c>
      <c r="C50" s="12" t="s">
        <v>71</v>
      </c>
      <c r="D50" s="12">
        <v>1</v>
      </c>
      <c r="E50" s="12"/>
      <c r="F50" s="12"/>
    </row>
    <row r="51" spans="1:6">
      <c r="A51" s="12"/>
      <c r="B51" s="25" t="s">
        <v>327</v>
      </c>
      <c r="C51" s="22" t="s">
        <v>328</v>
      </c>
      <c r="D51" s="22">
        <v>1</v>
      </c>
      <c r="E51" s="12"/>
      <c r="F51" s="12"/>
    </row>
    <row r="52" spans="1:6">
      <c r="A52" s="12"/>
      <c r="B52" s="21" t="s">
        <v>329</v>
      </c>
      <c r="C52" s="22" t="s">
        <v>326</v>
      </c>
      <c r="D52" s="22">
        <v>2</v>
      </c>
      <c r="E52" s="12"/>
      <c r="F52" s="12"/>
    </row>
    <row r="53" spans="1:6">
      <c r="A53" s="12"/>
      <c r="B53" s="21" t="s">
        <v>319</v>
      </c>
      <c r="C53" s="22" t="s">
        <v>191</v>
      </c>
      <c r="D53" s="22">
        <v>1</v>
      </c>
      <c r="E53" s="12"/>
      <c r="F53" s="12"/>
    </row>
    <row r="54" spans="1:6">
      <c r="A54" s="12"/>
      <c r="B54" s="21" t="s">
        <v>348</v>
      </c>
      <c r="C54" s="22" t="s">
        <v>191</v>
      </c>
      <c r="D54" s="22">
        <v>1</v>
      </c>
      <c r="E54" s="12"/>
      <c r="F54" s="12"/>
    </row>
    <row r="55" spans="1:6">
      <c r="A55" s="12"/>
      <c r="B55" s="21" t="s">
        <v>370</v>
      </c>
      <c r="C55" s="22" t="s">
        <v>191</v>
      </c>
      <c r="D55" s="22">
        <v>2</v>
      </c>
      <c r="E55" s="12"/>
      <c r="F55" s="12"/>
    </row>
    <row r="56" spans="1:6">
      <c r="A56" s="12"/>
      <c r="B56" s="21" t="s">
        <v>371</v>
      </c>
      <c r="C56" s="22" t="s">
        <v>191</v>
      </c>
      <c r="D56" s="22">
        <v>1</v>
      </c>
      <c r="E56" s="12"/>
      <c r="F56" s="12"/>
    </row>
    <row r="57" spans="1:6">
      <c r="A57" s="12"/>
      <c r="B57" s="21" t="s">
        <v>349</v>
      </c>
      <c r="C57" s="22" t="s">
        <v>191</v>
      </c>
      <c r="D57" s="22">
        <v>1</v>
      </c>
      <c r="E57" s="12"/>
      <c r="F57" s="12"/>
    </row>
    <row r="58" spans="1:6">
      <c r="A58" s="12"/>
      <c r="B58" s="21" t="s">
        <v>350</v>
      </c>
      <c r="C58" s="22" t="s">
        <v>191</v>
      </c>
      <c r="D58" s="22">
        <v>1</v>
      </c>
      <c r="E58" s="12"/>
      <c r="F58" s="12"/>
    </row>
    <row r="59" spans="1:6">
      <c r="A59" s="12"/>
      <c r="B59" s="21" t="s">
        <v>351</v>
      </c>
      <c r="C59" s="22" t="s">
        <v>191</v>
      </c>
      <c r="D59" s="22">
        <v>1</v>
      </c>
      <c r="E59" s="12"/>
      <c r="F59" s="12"/>
    </row>
    <row r="60" spans="1:6">
      <c r="A60" s="12"/>
      <c r="B60" s="21" t="s">
        <v>352</v>
      </c>
      <c r="C60" s="22" t="s">
        <v>191</v>
      </c>
      <c r="D60" s="22">
        <v>1</v>
      </c>
      <c r="E60" s="12"/>
      <c r="F60" s="12"/>
    </row>
    <row r="61" spans="1:6">
      <c r="A61" s="12"/>
      <c r="B61" s="21" t="s">
        <v>353</v>
      </c>
      <c r="C61" s="22" t="s">
        <v>191</v>
      </c>
      <c r="D61" s="22">
        <v>1</v>
      </c>
      <c r="E61" s="12"/>
      <c r="F61" s="12"/>
    </row>
    <row r="62" spans="1:6">
      <c r="A62" s="12"/>
      <c r="B62" s="21" t="s">
        <v>354</v>
      </c>
      <c r="C62" s="22" t="s">
        <v>191</v>
      </c>
      <c r="D62" s="22">
        <v>1</v>
      </c>
      <c r="E62" s="12"/>
      <c r="F62" s="12"/>
    </row>
    <row r="63" spans="1:6" ht="37.15" customHeight="1">
      <c r="A63" s="12"/>
      <c r="B63" s="28" t="s">
        <v>369</v>
      </c>
      <c r="C63" s="22" t="s">
        <v>326</v>
      </c>
      <c r="D63" s="22">
        <v>2</v>
      </c>
      <c r="E63" s="12"/>
      <c r="F63" s="12"/>
    </row>
    <row r="64" spans="1:6" s="37" customFormat="1">
      <c r="A64" s="12"/>
      <c r="B64" s="29" t="s">
        <v>444</v>
      </c>
      <c r="C64" s="30" t="s">
        <v>71</v>
      </c>
      <c r="D64" s="30">
        <v>2</v>
      </c>
      <c r="E64" s="30"/>
      <c r="F64" s="30"/>
    </row>
    <row r="65" spans="1:6">
      <c r="A65" s="12"/>
      <c r="B65" s="8" t="s">
        <v>15</v>
      </c>
      <c r="C65" s="12"/>
      <c r="D65" s="12"/>
      <c r="E65" s="12"/>
      <c r="F65" s="12"/>
    </row>
    <row r="66" spans="1:6">
      <c r="A66" s="12"/>
      <c r="B66" s="7" t="s">
        <v>68</v>
      </c>
      <c r="C66" s="12" t="s">
        <v>71</v>
      </c>
      <c r="D66" s="12">
        <v>7</v>
      </c>
      <c r="E66" s="12"/>
      <c r="F66" s="12"/>
    </row>
    <row r="67" spans="1:6">
      <c r="A67" s="12"/>
      <c r="B67" s="7" t="s">
        <v>69</v>
      </c>
      <c r="C67" s="12" t="s">
        <v>71</v>
      </c>
      <c r="D67" s="12">
        <v>1</v>
      </c>
      <c r="E67" s="12"/>
      <c r="F67" s="12"/>
    </row>
    <row r="68" spans="1:6">
      <c r="A68" s="12"/>
      <c r="B68" s="7" t="s">
        <v>70</v>
      </c>
      <c r="C68" s="12" t="s">
        <v>71</v>
      </c>
      <c r="D68" s="12">
        <v>6</v>
      </c>
      <c r="E68" s="12"/>
      <c r="F68" s="12"/>
    </row>
    <row r="69" spans="1:6">
      <c r="A69" s="12"/>
      <c r="B69" s="7" t="s">
        <v>67</v>
      </c>
      <c r="C69" s="12" t="s">
        <v>71</v>
      </c>
      <c r="D69" s="12">
        <v>1</v>
      </c>
      <c r="E69" s="12"/>
      <c r="F69" s="12"/>
    </row>
    <row r="70" spans="1:6">
      <c r="A70" s="12"/>
      <c r="B70" s="21" t="s">
        <v>319</v>
      </c>
      <c r="C70" s="12" t="s">
        <v>191</v>
      </c>
      <c r="D70" s="12">
        <v>1</v>
      </c>
      <c r="E70" s="12"/>
      <c r="F70" s="12"/>
    </row>
    <row r="71" spans="1:6">
      <c r="A71" s="12"/>
      <c r="B71" s="24" t="s">
        <v>373</v>
      </c>
      <c r="C71" s="12" t="s">
        <v>191</v>
      </c>
      <c r="D71" s="12">
        <v>2</v>
      </c>
      <c r="E71" s="12"/>
      <c r="F71" s="12"/>
    </row>
    <row r="72" spans="1:6">
      <c r="A72" s="12"/>
      <c r="B72" s="21" t="s">
        <v>343</v>
      </c>
      <c r="C72" s="12" t="s">
        <v>191</v>
      </c>
      <c r="D72" s="12">
        <v>1</v>
      </c>
      <c r="E72" s="12"/>
      <c r="F72" s="12"/>
    </row>
    <row r="73" spans="1:6">
      <c r="A73" s="12"/>
      <c r="B73" s="21" t="s">
        <v>321</v>
      </c>
      <c r="C73" s="12" t="s">
        <v>191</v>
      </c>
      <c r="D73" s="12">
        <v>1</v>
      </c>
      <c r="E73" s="12"/>
      <c r="F73" s="12"/>
    </row>
    <row r="74" spans="1:6">
      <c r="A74" s="12"/>
      <c r="B74" s="21" t="s">
        <v>322</v>
      </c>
      <c r="C74" s="12" t="s">
        <v>191</v>
      </c>
      <c r="D74" s="12">
        <v>1</v>
      </c>
      <c r="E74" s="12"/>
      <c r="F74" s="12"/>
    </row>
    <row r="75" spans="1:6">
      <c r="A75" s="12"/>
      <c r="B75" s="21" t="s">
        <v>323</v>
      </c>
      <c r="C75" s="12" t="s">
        <v>191</v>
      </c>
      <c r="D75" s="12">
        <v>1</v>
      </c>
      <c r="E75" s="12"/>
      <c r="F75" s="12"/>
    </row>
    <row r="76" spans="1:6">
      <c r="A76" s="12"/>
      <c r="B76" s="21" t="s">
        <v>324</v>
      </c>
      <c r="C76" s="12" t="s">
        <v>191</v>
      </c>
      <c r="D76" s="12">
        <v>1</v>
      </c>
      <c r="E76" s="12"/>
      <c r="F76" s="12"/>
    </row>
    <row r="77" spans="1:6" s="37" customFormat="1">
      <c r="A77" s="12"/>
      <c r="B77" s="29" t="s">
        <v>381</v>
      </c>
      <c r="C77" s="30" t="s">
        <v>71</v>
      </c>
      <c r="D77" s="30">
        <v>1</v>
      </c>
      <c r="E77" s="30"/>
      <c r="F77" s="30"/>
    </row>
    <row r="78" spans="1:6" s="37" customFormat="1">
      <c r="A78" s="12"/>
      <c r="B78" s="29" t="s">
        <v>388</v>
      </c>
      <c r="C78" s="30" t="s">
        <v>71</v>
      </c>
      <c r="D78" s="30">
        <v>1</v>
      </c>
      <c r="E78" s="30"/>
      <c r="F78" s="30"/>
    </row>
    <row r="79" spans="1:6" s="37" customFormat="1">
      <c r="A79" s="12"/>
      <c r="B79" s="29" t="s">
        <v>382</v>
      </c>
      <c r="C79" s="30" t="s">
        <v>71</v>
      </c>
      <c r="D79" s="30">
        <v>2</v>
      </c>
      <c r="E79" s="30"/>
      <c r="F79" s="30"/>
    </row>
    <row r="80" spans="1:6" s="37" customFormat="1">
      <c r="A80" s="12"/>
      <c r="B80" s="29" t="s">
        <v>387</v>
      </c>
      <c r="C80" s="30" t="s">
        <v>71</v>
      </c>
      <c r="D80" s="30">
        <v>1</v>
      </c>
      <c r="E80" s="30"/>
      <c r="F80" s="30"/>
    </row>
    <row r="81" spans="1:6">
      <c r="A81" s="12"/>
      <c r="B81" s="8" t="s">
        <v>375</v>
      </c>
      <c r="C81" s="12"/>
      <c r="D81" s="12"/>
      <c r="E81" s="12"/>
      <c r="F81" s="12"/>
    </row>
    <row r="82" spans="1:6">
      <c r="A82" s="12"/>
      <c r="B82" s="7" t="s">
        <v>68</v>
      </c>
      <c r="C82" s="12" t="s">
        <v>71</v>
      </c>
      <c r="D82" s="12">
        <v>6</v>
      </c>
      <c r="E82" s="12"/>
      <c r="F82" s="12"/>
    </row>
    <row r="83" spans="1:6">
      <c r="A83" s="12"/>
      <c r="B83" s="7" t="s">
        <v>75</v>
      </c>
      <c r="C83" s="12" t="s">
        <v>71</v>
      </c>
      <c r="D83" s="12">
        <v>1</v>
      </c>
      <c r="E83" s="12"/>
      <c r="F83" s="12"/>
    </row>
    <row r="84" spans="1:6">
      <c r="A84" s="12"/>
      <c r="B84" s="7" t="s">
        <v>74</v>
      </c>
      <c r="C84" s="12" t="s">
        <v>71</v>
      </c>
      <c r="D84" s="12">
        <v>2</v>
      </c>
      <c r="E84" s="12"/>
      <c r="F84" s="12"/>
    </row>
    <row r="85" spans="1:6">
      <c r="A85" s="12"/>
      <c r="B85" s="7" t="s">
        <v>77</v>
      </c>
      <c r="C85" s="12" t="s">
        <v>71</v>
      </c>
      <c r="D85" s="12">
        <v>1</v>
      </c>
      <c r="E85" s="12"/>
      <c r="F85" s="12"/>
    </row>
    <row r="86" spans="1:6">
      <c r="A86" s="12"/>
      <c r="B86" s="7" t="s">
        <v>70</v>
      </c>
      <c r="C86" s="12" t="s">
        <v>71</v>
      </c>
      <c r="D86" s="12">
        <v>5</v>
      </c>
      <c r="E86" s="12"/>
      <c r="F86" s="12"/>
    </row>
    <row r="87" spans="1:6">
      <c r="A87" s="12"/>
      <c r="B87" s="7" t="s">
        <v>67</v>
      </c>
      <c r="C87" s="12" t="s">
        <v>71</v>
      </c>
      <c r="D87" s="12">
        <v>1</v>
      </c>
      <c r="E87" s="12"/>
      <c r="F87" s="12"/>
    </row>
    <row r="88" spans="1:6">
      <c r="A88" s="12"/>
      <c r="B88" s="7" t="s">
        <v>366</v>
      </c>
      <c r="C88" s="12" t="s">
        <v>71</v>
      </c>
      <c r="D88" s="12">
        <v>1</v>
      </c>
      <c r="E88" s="12"/>
      <c r="F88" s="12"/>
    </row>
    <row r="89" spans="1:6">
      <c r="A89" s="12"/>
      <c r="B89" s="7" t="s">
        <v>230</v>
      </c>
      <c r="C89" s="12" t="s">
        <v>71</v>
      </c>
      <c r="D89" s="12">
        <v>1</v>
      </c>
      <c r="E89" s="12"/>
      <c r="F89" s="12"/>
    </row>
    <row r="90" spans="1:6">
      <c r="A90" s="12"/>
      <c r="B90" s="7" t="s">
        <v>237</v>
      </c>
      <c r="C90" s="12" t="s">
        <v>71</v>
      </c>
      <c r="D90" s="12">
        <v>1</v>
      </c>
      <c r="E90" s="12"/>
      <c r="F90" s="12"/>
    </row>
    <row r="91" spans="1:6">
      <c r="A91" s="12"/>
      <c r="B91" s="7" t="s">
        <v>231</v>
      </c>
      <c r="C91" s="12" t="s">
        <v>71</v>
      </c>
      <c r="D91" s="12">
        <v>1</v>
      </c>
      <c r="E91" s="12"/>
      <c r="F91" s="12"/>
    </row>
    <row r="92" spans="1:6">
      <c r="A92" s="12"/>
      <c r="B92" s="21" t="s">
        <v>319</v>
      </c>
      <c r="C92" s="22" t="s">
        <v>191</v>
      </c>
      <c r="D92" s="12">
        <v>1</v>
      </c>
      <c r="E92" s="12"/>
      <c r="F92" s="12"/>
    </row>
    <row r="93" spans="1:6">
      <c r="A93" s="12"/>
      <c r="B93" s="24" t="s">
        <v>344</v>
      </c>
      <c r="C93" s="22" t="s">
        <v>191</v>
      </c>
      <c r="D93" s="12">
        <v>2</v>
      </c>
      <c r="E93" s="12"/>
      <c r="F93" s="12"/>
    </row>
    <row r="94" spans="1:6" s="37" customFormat="1">
      <c r="A94" s="12"/>
      <c r="B94" s="29" t="s">
        <v>388</v>
      </c>
      <c r="C94" s="30" t="s">
        <v>71</v>
      </c>
      <c r="D94" s="30">
        <v>2</v>
      </c>
      <c r="E94" s="30"/>
      <c r="F94" s="30"/>
    </row>
    <row r="95" spans="1:6" s="37" customFormat="1">
      <c r="A95" s="12"/>
      <c r="B95" s="29" t="s">
        <v>382</v>
      </c>
      <c r="C95" s="30" t="s">
        <v>71</v>
      </c>
      <c r="D95" s="30">
        <v>2</v>
      </c>
      <c r="E95" s="30"/>
      <c r="F95" s="30"/>
    </row>
    <row r="96" spans="1:6" s="37" customFormat="1">
      <c r="A96" s="12"/>
      <c r="B96" s="29" t="s">
        <v>387</v>
      </c>
      <c r="C96" s="30" t="s">
        <v>71</v>
      </c>
      <c r="D96" s="30">
        <v>1</v>
      </c>
      <c r="E96" s="30"/>
      <c r="F96" s="30"/>
    </row>
    <row r="97" spans="1:6" s="37" customFormat="1">
      <c r="A97" s="12"/>
      <c r="B97" s="29" t="s">
        <v>449</v>
      </c>
      <c r="C97" s="30" t="s">
        <v>71</v>
      </c>
      <c r="D97" s="30">
        <v>1</v>
      </c>
      <c r="E97" s="30"/>
      <c r="F97" s="30"/>
    </row>
    <row r="98" spans="1:6">
      <c r="A98" s="12"/>
      <c r="B98" s="8" t="s">
        <v>374</v>
      </c>
      <c r="C98" s="12"/>
      <c r="D98" s="12"/>
      <c r="E98" s="12"/>
      <c r="F98" s="12"/>
    </row>
    <row r="99" spans="1:6">
      <c r="A99" s="12"/>
      <c r="B99" s="7" t="s">
        <v>68</v>
      </c>
      <c r="C99" s="12" t="s">
        <v>71</v>
      </c>
      <c r="D99" s="12">
        <v>6</v>
      </c>
      <c r="E99" s="12"/>
      <c r="F99" s="12"/>
    </row>
    <row r="100" spans="1:6">
      <c r="A100" s="12"/>
      <c r="B100" s="7" t="s">
        <v>75</v>
      </c>
      <c r="C100" s="12" t="s">
        <v>71</v>
      </c>
      <c r="D100" s="12">
        <v>1</v>
      </c>
      <c r="E100" s="12"/>
      <c r="F100" s="12"/>
    </row>
    <row r="101" spans="1:6">
      <c r="A101" s="12"/>
      <c r="B101" s="7" t="s">
        <v>74</v>
      </c>
      <c r="C101" s="12" t="s">
        <v>71</v>
      </c>
      <c r="D101" s="12">
        <v>2</v>
      </c>
      <c r="E101" s="12"/>
      <c r="F101" s="12"/>
    </row>
    <row r="102" spans="1:6">
      <c r="A102" s="12"/>
      <c r="B102" s="7" t="s">
        <v>77</v>
      </c>
      <c r="C102" s="12" t="s">
        <v>71</v>
      </c>
      <c r="D102" s="12">
        <v>1</v>
      </c>
      <c r="E102" s="12"/>
      <c r="F102" s="12"/>
    </row>
    <row r="103" spans="1:6">
      <c r="A103" s="12"/>
      <c r="B103" s="7" t="s">
        <v>70</v>
      </c>
      <c r="C103" s="12" t="s">
        <v>71</v>
      </c>
      <c r="D103" s="12">
        <v>6</v>
      </c>
      <c r="E103" s="12"/>
      <c r="F103" s="12"/>
    </row>
    <row r="104" spans="1:6">
      <c r="A104" s="12"/>
      <c r="B104" s="7" t="s">
        <v>67</v>
      </c>
      <c r="C104" s="12" t="s">
        <v>71</v>
      </c>
      <c r="D104" s="12">
        <v>1</v>
      </c>
      <c r="E104" s="12"/>
      <c r="F104" s="12"/>
    </row>
    <row r="105" spans="1:6">
      <c r="A105" s="12"/>
      <c r="B105" s="7" t="s">
        <v>366</v>
      </c>
      <c r="C105" s="12" t="s">
        <v>71</v>
      </c>
      <c r="D105" s="12">
        <v>1</v>
      </c>
      <c r="E105" s="12"/>
      <c r="F105" s="12"/>
    </row>
    <row r="106" spans="1:6">
      <c r="A106" s="12"/>
      <c r="B106" s="7" t="s">
        <v>230</v>
      </c>
      <c r="C106" s="12" t="s">
        <v>71</v>
      </c>
      <c r="D106" s="12">
        <v>1</v>
      </c>
      <c r="E106" s="12"/>
      <c r="F106" s="12"/>
    </row>
    <row r="107" spans="1:6">
      <c r="A107" s="12"/>
      <c r="B107" s="7" t="s">
        <v>237</v>
      </c>
      <c r="C107" s="12" t="s">
        <v>71</v>
      </c>
      <c r="D107" s="12">
        <v>1</v>
      </c>
      <c r="E107" s="12"/>
      <c r="F107" s="12"/>
    </row>
    <row r="108" spans="1:6">
      <c r="A108" s="12"/>
      <c r="B108" s="7" t="s">
        <v>231</v>
      </c>
      <c r="C108" s="12" t="s">
        <v>71</v>
      </c>
      <c r="D108" s="12">
        <v>1</v>
      </c>
      <c r="E108" s="12"/>
      <c r="F108" s="12"/>
    </row>
    <row r="109" spans="1:6">
      <c r="A109" s="12"/>
      <c r="B109" s="21" t="s">
        <v>319</v>
      </c>
      <c r="C109" s="22" t="s">
        <v>191</v>
      </c>
      <c r="D109" s="12">
        <v>1</v>
      </c>
      <c r="E109" s="12"/>
      <c r="F109" s="12"/>
    </row>
    <row r="110" spans="1:6">
      <c r="A110" s="12"/>
      <c r="B110" s="24" t="s">
        <v>344</v>
      </c>
      <c r="C110" s="22" t="s">
        <v>191</v>
      </c>
      <c r="D110" s="12">
        <v>3</v>
      </c>
      <c r="E110" s="12"/>
      <c r="F110" s="12"/>
    </row>
    <row r="111" spans="1:6" s="37" customFormat="1">
      <c r="A111" s="12"/>
      <c r="B111" s="29" t="s">
        <v>381</v>
      </c>
      <c r="C111" s="30" t="s">
        <v>71</v>
      </c>
      <c r="D111" s="30">
        <v>1</v>
      </c>
      <c r="E111" s="30"/>
      <c r="F111" s="30"/>
    </row>
    <row r="112" spans="1:6" s="37" customFormat="1">
      <c r="A112" s="12"/>
      <c r="B112" s="29" t="s">
        <v>388</v>
      </c>
      <c r="C112" s="30" t="s">
        <v>71</v>
      </c>
      <c r="D112" s="30">
        <v>1</v>
      </c>
      <c r="E112" s="30"/>
      <c r="F112" s="30"/>
    </row>
    <row r="113" spans="1:6" s="37" customFormat="1">
      <c r="A113" s="12"/>
      <c r="B113" s="29" t="s">
        <v>382</v>
      </c>
      <c r="C113" s="30" t="s">
        <v>71</v>
      </c>
      <c r="D113" s="30">
        <v>2</v>
      </c>
      <c r="E113" s="30"/>
      <c r="F113" s="30"/>
    </row>
    <row r="114" spans="1:6" s="37" customFormat="1">
      <c r="A114" s="12"/>
      <c r="B114" s="29" t="s">
        <v>387</v>
      </c>
      <c r="C114" s="30" t="s">
        <v>71</v>
      </c>
      <c r="D114" s="30">
        <v>1</v>
      </c>
      <c r="E114" s="30"/>
      <c r="F114" s="30"/>
    </row>
    <row r="115" spans="1:6" s="37" customFormat="1">
      <c r="A115" s="12"/>
      <c r="B115" s="29" t="s">
        <v>450</v>
      </c>
      <c r="C115" s="30" t="s">
        <v>71</v>
      </c>
      <c r="D115" s="30">
        <v>1</v>
      </c>
      <c r="E115" s="30"/>
      <c r="F115" s="30"/>
    </row>
    <row r="116" spans="1:6" s="37" customFormat="1">
      <c r="A116" s="12"/>
      <c r="B116" s="29" t="s">
        <v>449</v>
      </c>
      <c r="C116" s="30" t="s">
        <v>71</v>
      </c>
      <c r="D116" s="30">
        <v>1</v>
      </c>
      <c r="E116" s="30"/>
      <c r="F116" s="30"/>
    </row>
    <row r="117" spans="1:6">
      <c r="A117" s="12"/>
      <c r="B117" s="8" t="s">
        <v>16</v>
      </c>
      <c r="C117" s="12"/>
      <c r="D117" s="12"/>
      <c r="E117" s="12"/>
      <c r="F117" s="12"/>
    </row>
    <row r="118" spans="1:6">
      <c r="A118" s="12"/>
      <c r="B118" s="7" t="s">
        <v>80</v>
      </c>
      <c r="C118" s="12" t="s">
        <v>71</v>
      </c>
      <c r="D118" s="12">
        <v>10</v>
      </c>
      <c r="E118" s="12"/>
      <c r="F118" s="12"/>
    </row>
    <row r="119" spans="1:6">
      <c r="A119" s="12"/>
      <c r="B119" s="7" t="s">
        <v>79</v>
      </c>
      <c r="C119" s="12" t="s">
        <v>71</v>
      </c>
      <c r="D119" s="12">
        <v>1</v>
      </c>
      <c r="E119" s="12"/>
      <c r="F119" s="12"/>
    </row>
    <row r="120" spans="1:6">
      <c r="A120" s="12"/>
      <c r="B120" s="7" t="s">
        <v>70</v>
      </c>
      <c r="C120" s="12" t="s">
        <v>71</v>
      </c>
      <c r="D120" s="12">
        <v>8</v>
      </c>
      <c r="E120" s="12"/>
      <c r="F120" s="12"/>
    </row>
    <row r="121" spans="1:6">
      <c r="A121" s="12"/>
      <c r="B121" s="7" t="s">
        <v>67</v>
      </c>
      <c r="C121" s="12" t="s">
        <v>71</v>
      </c>
      <c r="D121" s="12">
        <v>1</v>
      </c>
      <c r="E121" s="12"/>
      <c r="F121" s="12"/>
    </row>
    <row r="122" spans="1:6">
      <c r="A122" s="12"/>
      <c r="B122" s="21" t="s">
        <v>319</v>
      </c>
      <c r="C122" s="22" t="s">
        <v>191</v>
      </c>
      <c r="D122" s="12">
        <v>1</v>
      </c>
      <c r="E122" s="12"/>
      <c r="F122" s="12"/>
    </row>
    <row r="123" spans="1:6">
      <c r="A123" s="12"/>
      <c r="B123" s="24" t="s">
        <v>344</v>
      </c>
      <c r="C123" s="22" t="s">
        <v>191</v>
      </c>
      <c r="D123" s="12">
        <v>8</v>
      </c>
      <c r="E123" s="12"/>
      <c r="F123" s="12"/>
    </row>
    <row r="124" spans="1:6" s="37" customFormat="1">
      <c r="A124" s="12"/>
      <c r="B124" s="29" t="s">
        <v>381</v>
      </c>
      <c r="C124" s="30" t="s">
        <v>71</v>
      </c>
      <c r="D124" s="30">
        <v>1</v>
      </c>
      <c r="E124" s="30"/>
      <c r="F124" s="30"/>
    </row>
    <row r="125" spans="1:6" s="37" customFormat="1">
      <c r="A125" s="12"/>
      <c r="B125" s="29" t="s">
        <v>388</v>
      </c>
      <c r="C125" s="30" t="s">
        <v>71</v>
      </c>
      <c r="D125" s="30">
        <v>2</v>
      </c>
      <c r="E125" s="30"/>
      <c r="F125" s="30"/>
    </row>
    <row r="126" spans="1:6" s="37" customFormat="1">
      <c r="A126" s="12"/>
      <c r="B126" s="29" t="s">
        <v>382</v>
      </c>
      <c r="C126" s="30" t="s">
        <v>71</v>
      </c>
      <c r="D126" s="30">
        <v>3</v>
      </c>
      <c r="E126" s="30"/>
      <c r="F126" s="30"/>
    </row>
    <row r="127" spans="1:6" s="37" customFormat="1">
      <c r="A127" s="12"/>
      <c r="B127" s="29" t="s">
        <v>387</v>
      </c>
      <c r="C127" s="30" t="s">
        <v>71</v>
      </c>
      <c r="D127" s="30">
        <v>1</v>
      </c>
      <c r="E127" s="30"/>
      <c r="F127" s="30"/>
    </row>
    <row r="128" spans="1:6">
      <c r="A128" s="12"/>
      <c r="B128" s="8" t="s">
        <v>17</v>
      </c>
      <c r="C128" s="12"/>
      <c r="D128" s="12"/>
      <c r="E128" s="12"/>
      <c r="F128" s="12"/>
    </row>
    <row r="129" spans="1:6">
      <c r="A129" s="12"/>
      <c r="B129" s="7" t="s">
        <v>80</v>
      </c>
      <c r="C129" s="12" t="s">
        <v>71</v>
      </c>
      <c r="D129" s="12">
        <v>10</v>
      </c>
      <c r="E129" s="12"/>
      <c r="F129" s="12"/>
    </row>
    <row r="130" spans="1:6">
      <c r="A130" s="12"/>
      <c r="B130" s="7" t="s">
        <v>79</v>
      </c>
      <c r="C130" s="12" t="s">
        <v>71</v>
      </c>
      <c r="D130" s="12">
        <v>1</v>
      </c>
      <c r="E130" s="12"/>
      <c r="F130" s="12"/>
    </row>
    <row r="131" spans="1:6">
      <c r="A131" s="12"/>
      <c r="B131" s="7" t="s">
        <v>70</v>
      </c>
      <c r="C131" s="12" t="s">
        <v>71</v>
      </c>
      <c r="D131" s="12">
        <v>4</v>
      </c>
      <c r="E131" s="12"/>
      <c r="F131" s="12"/>
    </row>
    <row r="132" spans="1:6">
      <c r="A132" s="12"/>
      <c r="B132" s="7" t="s">
        <v>81</v>
      </c>
      <c r="C132" s="12" t="s">
        <v>71</v>
      </c>
      <c r="D132" s="12">
        <v>2</v>
      </c>
      <c r="E132" s="12"/>
      <c r="F132" s="12"/>
    </row>
    <row r="133" spans="1:6">
      <c r="A133" s="12"/>
      <c r="B133" s="7" t="s">
        <v>67</v>
      </c>
      <c r="C133" s="12" t="s">
        <v>71</v>
      </c>
      <c r="D133" s="12">
        <v>1</v>
      </c>
      <c r="E133" s="12"/>
      <c r="F133" s="12"/>
    </row>
    <row r="134" spans="1:6">
      <c r="A134" s="12"/>
      <c r="B134" s="21" t="s">
        <v>319</v>
      </c>
      <c r="C134" s="22" t="s">
        <v>191</v>
      </c>
      <c r="D134" s="12">
        <v>1</v>
      </c>
      <c r="E134" s="12"/>
      <c r="F134" s="12"/>
    </row>
    <row r="135" spans="1:6">
      <c r="A135" s="12"/>
      <c r="B135" s="24" t="s">
        <v>342</v>
      </c>
      <c r="C135" s="22" t="s">
        <v>191</v>
      </c>
      <c r="D135" s="12">
        <v>6</v>
      </c>
      <c r="E135" s="12"/>
      <c r="F135" s="12"/>
    </row>
    <row r="136" spans="1:6" s="37" customFormat="1">
      <c r="A136" s="12"/>
      <c r="B136" s="29" t="s">
        <v>448</v>
      </c>
      <c r="C136" s="30" t="s">
        <v>71</v>
      </c>
      <c r="D136" s="30">
        <v>2</v>
      </c>
      <c r="E136" s="30"/>
      <c r="F136" s="30"/>
    </row>
    <row r="137" spans="1:6" s="37" customFormat="1">
      <c r="A137" s="12"/>
      <c r="B137" s="29" t="s">
        <v>391</v>
      </c>
      <c r="C137" s="30" t="s">
        <v>71</v>
      </c>
      <c r="D137" s="30">
        <v>1</v>
      </c>
      <c r="E137" s="30"/>
      <c r="F137" s="30"/>
    </row>
    <row r="138" spans="1:6">
      <c r="A138" s="12"/>
      <c r="B138" s="8" t="s">
        <v>18</v>
      </c>
      <c r="C138" s="12"/>
      <c r="D138" s="12"/>
      <c r="E138" s="12"/>
      <c r="F138" s="12"/>
    </row>
    <row r="139" spans="1:6">
      <c r="A139" s="12"/>
      <c r="B139" s="7" t="s">
        <v>80</v>
      </c>
      <c r="C139" s="12" t="s">
        <v>71</v>
      </c>
      <c r="D139" s="12">
        <v>20</v>
      </c>
      <c r="E139" s="12"/>
      <c r="F139" s="12"/>
    </row>
    <row r="140" spans="1:6">
      <c r="A140" s="12"/>
      <c r="B140" s="7" t="s">
        <v>76</v>
      </c>
      <c r="C140" s="12" t="s">
        <v>71</v>
      </c>
      <c r="D140" s="12">
        <v>1</v>
      </c>
      <c r="E140" s="12"/>
      <c r="F140" s="12"/>
    </row>
    <row r="141" spans="1:6">
      <c r="A141" s="12"/>
      <c r="B141" s="7" t="s">
        <v>70</v>
      </c>
      <c r="C141" s="12" t="s">
        <v>71</v>
      </c>
      <c r="D141" s="12">
        <v>4</v>
      </c>
      <c r="E141" s="12"/>
      <c r="F141" s="12"/>
    </row>
    <row r="142" spans="1:6">
      <c r="A142" s="12"/>
      <c r="B142" s="7" t="s">
        <v>67</v>
      </c>
      <c r="C142" s="12" t="s">
        <v>71</v>
      </c>
      <c r="D142" s="12">
        <v>1</v>
      </c>
      <c r="E142" s="12"/>
      <c r="F142" s="12"/>
    </row>
    <row r="143" spans="1:6">
      <c r="A143" s="12"/>
      <c r="B143" s="21" t="s">
        <v>319</v>
      </c>
      <c r="C143" s="22" t="s">
        <v>191</v>
      </c>
      <c r="D143" s="12">
        <v>1</v>
      </c>
      <c r="E143" s="12"/>
      <c r="F143" s="12"/>
    </row>
    <row r="144" spans="1:6">
      <c r="A144" s="12"/>
      <c r="B144" s="24" t="s">
        <v>342</v>
      </c>
      <c r="C144" s="22" t="s">
        <v>191</v>
      </c>
      <c r="D144" s="12">
        <v>2</v>
      </c>
      <c r="E144" s="12"/>
      <c r="F144" s="12"/>
    </row>
    <row r="145" spans="1:6" s="37" customFormat="1">
      <c r="A145" s="12"/>
      <c r="B145" s="29" t="s">
        <v>388</v>
      </c>
      <c r="C145" s="30" t="s">
        <v>71</v>
      </c>
      <c r="D145" s="30">
        <v>1</v>
      </c>
      <c r="E145" s="30"/>
      <c r="F145" s="30"/>
    </row>
    <row r="146" spans="1:6" s="37" customFormat="1">
      <c r="A146" s="12"/>
      <c r="B146" s="29" t="s">
        <v>389</v>
      </c>
      <c r="C146" s="30" t="s">
        <v>71</v>
      </c>
      <c r="D146" s="30">
        <v>1</v>
      </c>
      <c r="E146" s="30"/>
      <c r="F146" s="30"/>
    </row>
    <row r="147" spans="1:6">
      <c r="A147" s="12"/>
      <c r="B147" s="8" t="s">
        <v>19</v>
      </c>
      <c r="C147" s="12"/>
      <c r="D147" s="12"/>
      <c r="E147" s="12"/>
      <c r="F147" s="12"/>
    </row>
    <row r="148" spans="1:6">
      <c r="A148" s="12"/>
      <c r="B148" s="7" t="s">
        <v>75</v>
      </c>
      <c r="C148" s="12" t="s">
        <v>71</v>
      </c>
      <c r="D148" s="12">
        <v>20</v>
      </c>
      <c r="E148" s="12"/>
      <c r="F148" s="12"/>
    </row>
    <row r="149" spans="1:6">
      <c r="A149" s="12"/>
      <c r="B149" s="7" t="s">
        <v>79</v>
      </c>
      <c r="C149" s="12" t="s">
        <v>71</v>
      </c>
      <c r="D149" s="12">
        <v>1</v>
      </c>
      <c r="E149" s="12"/>
      <c r="F149" s="12"/>
    </row>
    <row r="150" spans="1:6">
      <c r="A150" s="12"/>
      <c r="B150" s="7" t="s">
        <v>70</v>
      </c>
      <c r="C150" s="12" t="s">
        <v>71</v>
      </c>
      <c r="D150" s="12">
        <v>4</v>
      </c>
      <c r="E150" s="12"/>
      <c r="F150" s="12"/>
    </row>
    <row r="151" spans="1:6">
      <c r="A151" s="12"/>
      <c r="B151" s="7" t="s">
        <v>81</v>
      </c>
      <c r="C151" s="12" t="s">
        <v>71</v>
      </c>
      <c r="D151" s="12">
        <v>2</v>
      </c>
      <c r="E151" s="12"/>
      <c r="F151" s="12"/>
    </row>
    <row r="152" spans="1:6">
      <c r="A152" s="12"/>
      <c r="B152" s="7" t="s">
        <v>67</v>
      </c>
      <c r="C152" s="12" t="s">
        <v>71</v>
      </c>
      <c r="D152" s="12">
        <v>1</v>
      </c>
      <c r="E152" s="12"/>
      <c r="F152" s="12"/>
    </row>
    <row r="153" spans="1:6">
      <c r="A153" s="12"/>
      <c r="B153" s="21" t="s">
        <v>319</v>
      </c>
      <c r="C153" s="22" t="s">
        <v>191</v>
      </c>
      <c r="D153" s="12">
        <v>1</v>
      </c>
      <c r="E153" s="12"/>
      <c r="F153" s="12"/>
    </row>
    <row r="154" spans="1:6">
      <c r="A154" s="12"/>
      <c r="B154" s="24" t="s">
        <v>344</v>
      </c>
      <c r="C154" s="22" t="s">
        <v>191</v>
      </c>
      <c r="D154" s="12">
        <v>4</v>
      </c>
      <c r="E154" s="12"/>
      <c r="F154" s="12"/>
    </row>
    <row r="155" spans="1:6" s="37" customFormat="1">
      <c r="A155" s="12"/>
      <c r="B155" s="29" t="s">
        <v>381</v>
      </c>
      <c r="C155" s="30" t="s">
        <v>71</v>
      </c>
      <c r="D155" s="30">
        <v>2</v>
      </c>
      <c r="E155" s="30"/>
      <c r="F155" s="30"/>
    </row>
    <row r="156" spans="1:6" s="37" customFormat="1">
      <c r="A156" s="12"/>
      <c r="B156" s="29" t="s">
        <v>391</v>
      </c>
      <c r="C156" s="30" t="s">
        <v>71</v>
      </c>
      <c r="D156" s="30">
        <v>1</v>
      </c>
      <c r="E156" s="30"/>
      <c r="F156" s="30"/>
    </row>
    <row r="157" spans="1:6">
      <c r="A157" s="12"/>
      <c r="B157" s="8" t="s">
        <v>20</v>
      </c>
      <c r="C157" s="12"/>
      <c r="D157" s="12"/>
      <c r="E157" s="12"/>
      <c r="F157" s="12"/>
    </row>
    <row r="158" spans="1:6">
      <c r="A158" s="12"/>
      <c r="B158" s="7" t="s">
        <v>80</v>
      </c>
      <c r="C158" s="12" t="s">
        <v>71</v>
      </c>
      <c r="D158" s="12">
        <v>10</v>
      </c>
      <c r="E158" s="12"/>
      <c r="F158" s="12"/>
    </row>
    <row r="159" spans="1:6">
      <c r="A159" s="12"/>
      <c r="B159" s="7" t="s">
        <v>79</v>
      </c>
      <c r="C159" s="12" t="s">
        <v>71</v>
      </c>
      <c r="D159" s="12">
        <v>1</v>
      </c>
      <c r="E159" s="12"/>
      <c r="F159" s="12"/>
    </row>
    <row r="160" spans="1:6">
      <c r="A160" s="12"/>
      <c r="B160" s="7" t="s">
        <v>70</v>
      </c>
      <c r="C160" s="12" t="s">
        <v>71</v>
      </c>
      <c r="D160" s="12">
        <v>7</v>
      </c>
      <c r="E160" s="12"/>
      <c r="F160" s="12"/>
    </row>
    <row r="161" spans="1:6">
      <c r="A161" s="12"/>
      <c r="B161" s="7" t="s">
        <v>67</v>
      </c>
      <c r="C161" s="12" t="s">
        <v>71</v>
      </c>
      <c r="D161" s="12">
        <v>1</v>
      </c>
      <c r="E161" s="12"/>
      <c r="F161" s="12"/>
    </row>
    <row r="162" spans="1:6">
      <c r="A162" s="12"/>
      <c r="B162" s="21" t="s">
        <v>319</v>
      </c>
      <c r="C162" s="22" t="s">
        <v>191</v>
      </c>
      <c r="D162" s="12">
        <v>1</v>
      </c>
      <c r="E162" s="12"/>
      <c r="F162" s="12"/>
    </row>
    <row r="163" spans="1:6" ht="33">
      <c r="A163" s="12"/>
      <c r="B163" s="24" t="s">
        <v>318</v>
      </c>
      <c r="C163" s="22" t="s">
        <v>191</v>
      </c>
      <c r="D163" s="12">
        <v>6</v>
      </c>
      <c r="E163" s="12"/>
      <c r="F163" s="12"/>
    </row>
    <row r="164" spans="1:6" s="37" customFormat="1">
      <c r="A164" s="12"/>
      <c r="B164" s="29" t="s">
        <v>388</v>
      </c>
      <c r="C164" s="30" t="s">
        <v>71</v>
      </c>
      <c r="D164" s="30">
        <v>3</v>
      </c>
      <c r="E164" s="30"/>
      <c r="F164" s="30"/>
    </row>
    <row r="165" spans="1:6" s="37" customFormat="1">
      <c r="A165" s="12"/>
      <c r="B165" s="29" t="s">
        <v>382</v>
      </c>
      <c r="C165" s="30" t="s">
        <v>71</v>
      </c>
      <c r="D165" s="30">
        <v>3</v>
      </c>
      <c r="E165" s="30"/>
      <c r="F165" s="30"/>
    </row>
    <row r="166" spans="1:6" s="37" customFormat="1">
      <c r="A166" s="12"/>
      <c r="B166" s="29" t="s">
        <v>387</v>
      </c>
      <c r="C166" s="30" t="s">
        <v>71</v>
      </c>
      <c r="D166" s="30">
        <v>1</v>
      </c>
      <c r="E166" s="30"/>
      <c r="F166" s="30"/>
    </row>
    <row r="167" spans="1:6">
      <c r="A167" s="12"/>
      <c r="B167" s="8" t="s">
        <v>21</v>
      </c>
      <c r="C167" s="12"/>
      <c r="D167" s="12"/>
      <c r="E167" s="12"/>
      <c r="F167" s="12"/>
    </row>
    <row r="168" spans="1:6">
      <c r="A168" s="12"/>
      <c r="B168" s="7" t="s">
        <v>80</v>
      </c>
      <c r="C168" s="12" t="s">
        <v>71</v>
      </c>
      <c r="D168" s="12">
        <v>2</v>
      </c>
      <c r="E168" s="12"/>
      <c r="F168" s="12"/>
    </row>
    <row r="169" spans="1:6">
      <c r="A169" s="12"/>
      <c r="B169" s="7" t="s">
        <v>76</v>
      </c>
      <c r="C169" s="12" t="s">
        <v>71</v>
      </c>
      <c r="D169" s="12">
        <v>1</v>
      </c>
      <c r="E169" s="12"/>
      <c r="F169" s="12"/>
    </row>
    <row r="170" spans="1:6">
      <c r="A170" s="12"/>
      <c r="B170" s="7" t="s">
        <v>70</v>
      </c>
      <c r="C170" s="12" t="s">
        <v>71</v>
      </c>
      <c r="D170" s="12">
        <v>4</v>
      </c>
      <c r="E170" s="12"/>
      <c r="F170" s="12"/>
    </row>
    <row r="171" spans="1:6">
      <c r="A171" s="12"/>
      <c r="B171" s="7" t="s">
        <v>67</v>
      </c>
      <c r="C171" s="12" t="s">
        <v>71</v>
      </c>
      <c r="D171" s="12">
        <v>1</v>
      </c>
      <c r="E171" s="12"/>
      <c r="F171" s="12"/>
    </row>
    <row r="172" spans="1:6">
      <c r="A172" s="12"/>
      <c r="B172" s="21" t="s">
        <v>319</v>
      </c>
      <c r="C172" s="22" t="s">
        <v>191</v>
      </c>
      <c r="D172" s="12">
        <v>1</v>
      </c>
      <c r="E172" s="12"/>
      <c r="F172" s="12"/>
    </row>
    <row r="173" spans="1:6">
      <c r="A173" s="12"/>
      <c r="B173" s="24" t="s">
        <v>342</v>
      </c>
      <c r="C173" s="22" t="s">
        <v>191</v>
      </c>
      <c r="D173" s="12">
        <v>2</v>
      </c>
      <c r="E173" s="12"/>
      <c r="F173" s="12"/>
    </row>
    <row r="174" spans="1:6" s="37" customFormat="1">
      <c r="A174" s="12"/>
      <c r="B174" s="29" t="s">
        <v>388</v>
      </c>
      <c r="C174" s="30" t="s">
        <v>71</v>
      </c>
      <c r="D174" s="30">
        <v>1</v>
      </c>
      <c r="E174" s="30"/>
      <c r="F174" s="30"/>
    </row>
    <row r="175" spans="1:6" s="37" customFormat="1">
      <c r="A175" s="12"/>
      <c r="B175" s="29" t="s">
        <v>382</v>
      </c>
      <c r="C175" s="30" t="s">
        <v>71</v>
      </c>
      <c r="D175" s="30">
        <v>1</v>
      </c>
      <c r="E175" s="30"/>
      <c r="F175" s="30"/>
    </row>
    <row r="176" spans="1:6" s="37" customFormat="1">
      <c r="A176" s="12"/>
      <c r="B176" s="29" t="s">
        <v>389</v>
      </c>
      <c r="C176" s="30" t="s">
        <v>71</v>
      </c>
      <c r="D176" s="30">
        <v>1</v>
      </c>
      <c r="E176" s="30"/>
      <c r="F176" s="30"/>
    </row>
    <row r="177" spans="1:6">
      <c r="A177" s="12"/>
      <c r="B177" s="8" t="s">
        <v>22</v>
      </c>
      <c r="C177" s="12"/>
      <c r="D177" s="12"/>
      <c r="E177" s="12"/>
      <c r="F177" s="12"/>
    </row>
    <row r="178" spans="1:6">
      <c r="A178" s="12"/>
      <c r="B178" s="7" t="s">
        <v>80</v>
      </c>
      <c r="C178" s="12" t="s">
        <v>71</v>
      </c>
      <c r="D178" s="12">
        <v>2</v>
      </c>
      <c r="E178" s="12"/>
      <c r="F178" s="12"/>
    </row>
    <row r="179" spans="1:6">
      <c r="A179" s="12"/>
      <c r="B179" s="7" t="s">
        <v>76</v>
      </c>
      <c r="C179" s="12" t="s">
        <v>71</v>
      </c>
      <c r="D179" s="12">
        <v>1</v>
      </c>
      <c r="E179" s="12"/>
      <c r="F179" s="12"/>
    </row>
    <row r="180" spans="1:6">
      <c r="A180" s="12"/>
      <c r="B180" s="7" t="s">
        <v>70</v>
      </c>
      <c r="C180" s="12" t="s">
        <v>71</v>
      </c>
      <c r="D180" s="12">
        <v>4</v>
      </c>
      <c r="E180" s="12"/>
      <c r="F180" s="12"/>
    </row>
    <row r="181" spans="1:6">
      <c r="A181" s="12"/>
      <c r="B181" s="7" t="s">
        <v>67</v>
      </c>
      <c r="C181" s="12" t="s">
        <v>71</v>
      </c>
      <c r="D181" s="12">
        <v>1</v>
      </c>
      <c r="E181" s="12"/>
      <c r="F181" s="12"/>
    </row>
    <row r="182" spans="1:6">
      <c r="A182" s="12"/>
      <c r="B182" s="21" t="s">
        <v>319</v>
      </c>
      <c r="C182" s="22" t="s">
        <v>191</v>
      </c>
      <c r="D182" s="12">
        <v>1</v>
      </c>
      <c r="E182" s="12"/>
      <c r="F182" s="12"/>
    </row>
    <row r="183" spans="1:6">
      <c r="A183" s="12"/>
      <c r="B183" s="24" t="s">
        <v>344</v>
      </c>
      <c r="C183" s="22" t="s">
        <v>191</v>
      </c>
      <c r="D183" s="12">
        <v>2</v>
      </c>
      <c r="E183" s="12"/>
      <c r="F183" s="12"/>
    </row>
    <row r="184" spans="1:6" s="37" customFormat="1">
      <c r="A184" s="12"/>
      <c r="B184" s="29" t="s">
        <v>388</v>
      </c>
      <c r="C184" s="30" t="s">
        <v>71</v>
      </c>
      <c r="D184" s="30">
        <v>1</v>
      </c>
      <c r="E184" s="30"/>
      <c r="F184" s="30"/>
    </row>
    <row r="185" spans="1:6" s="37" customFormat="1">
      <c r="A185" s="12"/>
      <c r="B185" s="29" t="s">
        <v>389</v>
      </c>
      <c r="C185" s="30" t="s">
        <v>71</v>
      </c>
      <c r="D185" s="30">
        <v>1</v>
      </c>
      <c r="E185" s="30"/>
      <c r="F185" s="30"/>
    </row>
    <row r="186" spans="1:6">
      <c r="A186" s="12"/>
      <c r="B186" s="8" t="s">
        <v>23</v>
      </c>
      <c r="C186" s="12"/>
      <c r="D186" s="12"/>
      <c r="E186" s="12"/>
      <c r="F186" s="12"/>
    </row>
    <row r="187" spans="1:6">
      <c r="A187" s="12"/>
      <c r="B187" s="7" t="s">
        <v>68</v>
      </c>
      <c r="C187" s="12" t="s">
        <v>71</v>
      </c>
      <c r="D187" s="12">
        <v>15</v>
      </c>
      <c r="E187" s="12"/>
      <c r="F187" s="12"/>
    </row>
    <row r="188" spans="1:6">
      <c r="A188" s="12"/>
      <c r="B188" s="7" t="s">
        <v>77</v>
      </c>
      <c r="C188" s="12" t="s">
        <v>71</v>
      </c>
      <c r="D188" s="12">
        <v>1</v>
      </c>
      <c r="E188" s="12"/>
      <c r="F188" s="12"/>
    </row>
    <row r="189" spans="1:6">
      <c r="A189" s="12"/>
      <c r="B189" s="7" t="s">
        <v>70</v>
      </c>
      <c r="C189" s="12" t="s">
        <v>71</v>
      </c>
      <c r="D189" s="12">
        <v>8</v>
      </c>
      <c r="E189" s="12"/>
      <c r="F189" s="12"/>
    </row>
    <row r="190" spans="1:6">
      <c r="A190" s="12"/>
      <c r="B190" s="7" t="s">
        <v>67</v>
      </c>
      <c r="C190" s="12" t="s">
        <v>71</v>
      </c>
      <c r="D190" s="12">
        <v>1</v>
      </c>
      <c r="E190" s="12"/>
      <c r="F190" s="12"/>
    </row>
    <row r="191" spans="1:6">
      <c r="A191" s="12"/>
      <c r="B191" s="21" t="s">
        <v>319</v>
      </c>
      <c r="C191" s="22" t="s">
        <v>191</v>
      </c>
      <c r="D191" s="12">
        <v>1</v>
      </c>
      <c r="E191" s="12"/>
      <c r="F191" s="12"/>
    </row>
    <row r="192" spans="1:6">
      <c r="A192" s="12"/>
      <c r="B192" s="24" t="s">
        <v>344</v>
      </c>
      <c r="C192" s="22" t="s">
        <v>191</v>
      </c>
      <c r="D192" s="12">
        <v>6</v>
      </c>
      <c r="E192" s="12"/>
      <c r="F192" s="12"/>
    </row>
    <row r="193" spans="1:6" s="37" customFormat="1">
      <c r="A193" s="12"/>
      <c r="B193" s="29" t="s">
        <v>381</v>
      </c>
      <c r="C193" s="30" t="s">
        <v>71</v>
      </c>
      <c r="D193" s="30">
        <v>3</v>
      </c>
      <c r="E193" s="30"/>
      <c r="F193" s="30"/>
    </row>
    <row r="194" spans="1:6" s="37" customFormat="1">
      <c r="A194" s="12"/>
      <c r="B194" s="29" t="s">
        <v>382</v>
      </c>
      <c r="C194" s="30" t="s">
        <v>71</v>
      </c>
      <c r="D194" s="30">
        <v>6</v>
      </c>
      <c r="E194" s="30"/>
      <c r="F194" s="30"/>
    </row>
    <row r="195" spans="1:6" s="37" customFormat="1">
      <c r="A195" s="12"/>
      <c r="B195" s="29" t="s">
        <v>387</v>
      </c>
      <c r="C195" s="30" t="s">
        <v>71</v>
      </c>
      <c r="D195" s="30">
        <v>1</v>
      </c>
      <c r="E195" s="30"/>
      <c r="F195" s="30"/>
    </row>
    <row r="196" spans="1:6">
      <c r="A196" s="12"/>
      <c r="B196" s="8" t="s">
        <v>24</v>
      </c>
      <c r="C196" s="12"/>
      <c r="D196" s="12"/>
      <c r="E196" s="12"/>
      <c r="F196" s="12"/>
    </row>
    <row r="197" spans="1:6">
      <c r="A197" s="12"/>
      <c r="B197" s="7" t="s">
        <v>80</v>
      </c>
      <c r="C197" s="12" t="s">
        <v>71</v>
      </c>
      <c r="D197" s="12">
        <v>3</v>
      </c>
      <c r="E197" s="12"/>
      <c r="F197" s="12"/>
    </row>
    <row r="198" spans="1:6">
      <c r="A198" s="12"/>
      <c r="B198" s="7" t="s">
        <v>69</v>
      </c>
      <c r="C198" s="12" t="s">
        <v>71</v>
      </c>
      <c r="D198" s="12">
        <v>1</v>
      </c>
      <c r="E198" s="12"/>
      <c r="F198" s="12"/>
    </row>
    <row r="199" spans="1:6">
      <c r="A199" s="12"/>
      <c r="B199" s="7" t="s">
        <v>70</v>
      </c>
      <c r="C199" s="12" t="s">
        <v>71</v>
      </c>
      <c r="D199" s="12">
        <v>4</v>
      </c>
      <c r="E199" s="12"/>
      <c r="F199" s="12"/>
    </row>
    <row r="200" spans="1:6">
      <c r="A200" s="12"/>
      <c r="B200" s="7" t="s">
        <v>67</v>
      </c>
      <c r="C200" s="12" t="s">
        <v>71</v>
      </c>
      <c r="D200" s="12">
        <v>1</v>
      </c>
      <c r="E200" s="12"/>
      <c r="F200" s="12"/>
    </row>
    <row r="201" spans="1:6">
      <c r="A201" s="12"/>
      <c r="B201" s="21" t="s">
        <v>317</v>
      </c>
      <c r="C201" s="22" t="s">
        <v>191</v>
      </c>
      <c r="D201" s="12">
        <v>1</v>
      </c>
      <c r="E201" s="12"/>
      <c r="F201" s="12"/>
    </row>
    <row r="202" spans="1:6">
      <c r="A202" s="12"/>
      <c r="B202" s="24" t="s">
        <v>344</v>
      </c>
      <c r="C202" s="22" t="s">
        <v>191</v>
      </c>
      <c r="D202" s="12">
        <v>2</v>
      </c>
      <c r="E202" s="12"/>
      <c r="F202" s="12"/>
    </row>
    <row r="203" spans="1:6" s="37" customFormat="1">
      <c r="A203" s="12"/>
      <c r="B203" s="29" t="s">
        <v>381</v>
      </c>
      <c r="C203" s="30" t="s">
        <v>71</v>
      </c>
      <c r="D203" s="30">
        <v>1</v>
      </c>
      <c r="E203" s="30"/>
      <c r="F203" s="30"/>
    </row>
    <row r="204" spans="1:6" s="37" customFormat="1">
      <c r="A204" s="12"/>
      <c r="B204" s="29" t="s">
        <v>387</v>
      </c>
      <c r="C204" s="30" t="s">
        <v>71</v>
      </c>
      <c r="D204" s="30">
        <v>1</v>
      </c>
      <c r="E204" s="30"/>
      <c r="F204" s="30"/>
    </row>
    <row r="205" spans="1:6">
      <c r="A205" s="12"/>
      <c r="B205" s="8" t="s">
        <v>25</v>
      </c>
      <c r="C205" s="12"/>
      <c r="D205" s="12"/>
      <c r="E205" s="12"/>
      <c r="F205" s="12"/>
    </row>
    <row r="206" spans="1:6">
      <c r="A206" s="12"/>
      <c r="B206" s="7" t="s">
        <v>80</v>
      </c>
      <c r="C206" s="12" t="s">
        <v>71</v>
      </c>
      <c r="D206" s="12">
        <v>3</v>
      </c>
      <c r="E206" s="12"/>
      <c r="F206" s="12"/>
    </row>
    <row r="207" spans="1:6">
      <c r="A207" s="12"/>
      <c r="B207" s="7" t="s">
        <v>69</v>
      </c>
      <c r="C207" s="12" t="s">
        <v>71</v>
      </c>
      <c r="D207" s="12">
        <v>1</v>
      </c>
      <c r="E207" s="12"/>
      <c r="F207" s="12"/>
    </row>
    <row r="208" spans="1:6">
      <c r="A208" s="12"/>
      <c r="B208" s="7" t="s">
        <v>70</v>
      </c>
      <c r="C208" s="12" t="s">
        <v>71</v>
      </c>
      <c r="D208" s="12">
        <v>5</v>
      </c>
      <c r="E208" s="12"/>
      <c r="F208" s="12"/>
    </row>
    <row r="209" spans="1:6">
      <c r="A209" s="12"/>
      <c r="B209" s="7" t="s">
        <v>67</v>
      </c>
      <c r="C209" s="12" t="s">
        <v>71</v>
      </c>
      <c r="D209" s="12">
        <v>1</v>
      </c>
      <c r="E209" s="12"/>
      <c r="F209" s="12"/>
    </row>
    <row r="210" spans="1:6">
      <c r="A210" s="12"/>
      <c r="B210" s="21" t="s">
        <v>319</v>
      </c>
      <c r="C210" s="22" t="s">
        <v>191</v>
      </c>
      <c r="D210" s="12">
        <v>1</v>
      </c>
      <c r="E210" s="12"/>
      <c r="F210" s="12"/>
    </row>
    <row r="211" spans="1:6">
      <c r="A211" s="12"/>
      <c r="B211" s="24" t="s">
        <v>344</v>
      </c>
      <c r="C211" s="22" t="s">
        <v>191</v>
      </c>
      <c r="D211" s="12">
        <v>2</v>
      </c>
      <c r="E211" s="12"/>
      <c r="F211" s="12"/>
    </row>
    <row r="212" spans="1:6" s="37" customFormat="1">
      <c r="A212" s="12"/>
      <c r="B212" s="29" t="s">
        <v>381</v>
      </c>
      <c r="C212" s="30" t="s">
        <v>71</v>
      </c>
      <c r="D212" s="30">
        <v>1</v>
      </c>
      <c r="E212" s="30"/>
      <c r="F212" s="30"/>
    </row>
    <row r="213" spans="1:6" s="37" customFormat="1">
      <c r="A213" s="12"/>
      <c r="B213" s="29" t="s">
        <v>382</v>
      </c>
      <c r="C213" s="30" t="s">
        <v>71</v>
      </c>
      <c r="D213" s="30">
        <v>2</v>
      </c>
      <c r="E213" s="30"/>
      <c r="F213" s="30"/>
    </row>
    <row r="214" spans="1:6" s="37" customFormat="1">
      <c r="A214" s="12"/>
      <c r="B214" s="29" t="s">
        <v>389</v>
      </c>
      <c r="C214" s="30" t="s">
        <v>71</v>
      </c>
      <c r="D214" s="30">
        <v>1</v>
      </c>
      <c r="E214" s="30"/>
      <c r="F214" s="30"/>
    </row>
    <row r="215" spans="1:6">
      <c r="A215" s="12"/>
      <c r="B215" s="8" t="s">
        <v>66</v>
      </c>
      <c r="C215" s="12"/>
      <c r="D215" s="12"/>
      <c r="E215" s="12"/>
      <c r="F215" s="12"/>
    </row>
    <row r="216" spans="1:6">
      <c r="A216" s="12"/>
      <c r="B216" s="7" t="s">
        <v>68</v>
      </c>
      <c r="C216" s="12" t="s">
        <v>71</v>
      </c>
      <c r="D216" s="12">
        <v>8</v>
      </c>
      <c r="E216" s="12"/>
      <c r="F216" s="12"/>
    </row>
    <row r="217" spans="1:6">
      <c r="A217" s="12"/>
      <c r="B217" s="7" t="s">
        <v>74</v>
      </c>
      <c r="C217" s="12" t="s">
        <v>71</v>
      </c>
      <c r="D217" s="12">
        <v>2</v>
      </c>
      <c r="E217" s="12"/>
      <c r="F217" s="12"/>
    </row>
    <row r="218" spans="1:6">
      <c r="A218" s="12"/>
      <c r="B218" s="7" t="s">
        <v>76</v>
      </c>
      <c r="C218" s="12" t="s">
        <v>71</v>
      </c>
      <c r="D218" s="12">
        <v>1</v>
      </c>
      <c r="E218" s="12"/>
      <c r="F218" s="12"/>
    </row>
    <row r="219" spans="1:6">
      <c r="A219" s="12"/>
      <c r="B219" s="7" t="s">
        <v>77</v>
      </c>
      <c r="C219" s="12" t="s">
        <v>71</v>
      </c>
      <c r="D219" s="12">
        <v>1</v>
      </c>
      <c r="E219" s="12"/>
      <c r="F219" s="12"/>
    </row>
    <row r="220" spans="1:6">
      <c r="A220" s="12"/>
      <c r="B220" s="7" t="s">
        <v>70</v>
      </c>
      <c r="C220" s="12" t="s">
        <v>71</v>
      </c>
      <c r="D220" s="12">
        <v>6</v>
      </c>
      <c r="E220" s="12"/>
      <c r="F220" s="12"/>
    </row>
    <row r="221" spans="1:6">
      <c r="A221" s="12"/>
      <c r="B221" s="7" t="s">
        <v>67</v>
      </c>
      <c r="C221" s="12" t="s">
        <v>71</v>
      </c>
      <c r="D221" s="12">
        <v>1</v>
      </c>
      <c r="E221" s="12"/>
      <c r="F221" s="12"/>
    </row>
    <row r="222" spans="1:6">
      <c r="A222" s="12"/>
      <c r="B222" s="7" t="s">
        <v>366</v>
      </c>
      <c r="C222" s="12" t="s">
        <v>71</v>
      </c>
      <c r="D222" s="12">
        <v>1</v>
      </c>
      <c r="E222" s="12"/>
      <c r="F222" s="12"/>
    </row>
    <row r="223" spans="1:6">
      <c r="A223" s="12"/>
      <c r="B223" s="7" t="s">
        <v>230</v>
      </c>
      <c r="C223" s="12" t="s">
        <v>71</v>
      </c>
      <c r="D223" s="12">
        <v>1</v>
      </c>
      <c r="E223" s="12"/>
      <c r="F223" s="12"/>
    </row>
    <row r="224" spans="1:6">
      <c r="A224" s="12"/>
      <c r="B224" s="7" t="s">
        <v>257</v>
      </c>
      <c r="C224" s="12" t="s">
        <v>71</v>
      </c>
      <c r="D224" s="12">
        <v>1</v>
      </c>
      <c r="E224" s="12"/>
      <c r="F224" s="12"/>
    </row>
    <row r="225" spans="1:6">
      <c r="A225" s="12"/>
      <c r="B225" s="7" t="s">
        <v>376</v>
      </c>
      <c r="C225" s="12" t="s">
        <v>71</v>
      </c>
      <c r="D225" s="12">
        <v>1</v>
      </c>
      <c r="E225" s="12"/>
      <c r="F225" s="12"/>
    </row>
    <row r="226" spans="1:6">
      <c r="A226" s="12"/>
      <c r="B226" s="7" t="s">
        <v>231</v>
      </c>
      <c r="C226" s="12" t="s">
        <v>71</v>
      </c>
      <c r="D226" s="12">
        <v>1</v>
      </c>
      <c r="E226" s="12"/>
      <c r="F226" s="12"/>
    </row>
    <row r="227" spans="1:6">
      <c r="A227" s="12"/>
      <c r="B227" s="21" t="s">
        <v>319</v>
      </c>
      <c r="C227" s="22" t="s">
        <v>191</v>
      </c>
      <c r="D227" s="12">
        <v>1</v>
      </c>
      <c r="E227" s="12"/>
      <c r="F227" s="12"/>
    </row>
    <row r="228" spans="1:6" ht="33">
      <c r="A228" s="12"/>
      <c r="B228" s="24" t="s">
        <v>318</v>
      </c>
      <c r="C228" s="22" t="s">
        <v>191</v>
      </c>
      <c r="D228" s="12">
        <v>2</v>
      </c>
      <c r="E228" s="12"/>
      <c r="F228" s="12"/>
    </row>
    <row r="229" spans="1:6" s="37" customFormat="1">
      <c r="A229" s="12"/>
      <c r="B229" s="29" t="s">
        <v>381</v>
      </c>
      <c r="C229" s="30" t="s">
        <v>71</v>
      </c>
      <c r="D229" s="30">
        <v>2</v>
      </c>
      <c r="E229" s="30"/>
      <c r="F229" s="30"/>
    </row>
    <row r="230" spans="1:6" s="37" customFormat="1">
      <c r="A230" s="12"/>
      <c r="B230" s="29" t="s">
        <v>383</v>
      </c>
      <c r="C230" s="30" t="s">
        <v>71</v>
      </c>
      <c r="D230" s="30">
        <v>1</v>
      </c>
      <c r="E230" s="30"/>
      <c r="F230" s="30"/>
    </row>
    <row r="231" spans="1:6">
      <c r="A231" s="12"/>
      <c r="B231" s="8" t="s">
        <v>316</v>
      </c>
      <c r="C231" s="12"/>
      <c r="D231" s="12"/>
      <c r="E231" s="12"/>
      <c r="F231" s="12"/>
    </row>
    <row r="232" spans="1:6">
      <c r="A232" s="12"/>
      <c r="B232" s="7" t="s">
        <v>75</v>
      </c>
      <c r="C232" s="12" t="s">
        <v>71</v>
      </c>
      <c r="D232" s="12">
        <v>40</v>
      </c>
      <c r="E232" s="12"/>
      <c r="F232" s="12"/>
    </row>
    <row r="233" spans="1:6">
      <c r="A233" s="12"/>
      <c r="B233" s="7" t="s">
        <v>70</v>
      </c>
      <c r="C233" s="12" t="s">
        <v>71</v>
      </c>
      <c r="D233" s="12">
        <v>8</v>
      </c>
      <c r="E233" s="12"/>
      <c r="F233" s="12"/>
    </row>
    <row r="234" spans="1:6">
      <c r="A234" s="12"/>
      <c r="B234" s="7" t="s">
        <v>67</v>
      </c>
      <c r="C234" s="12" t="s">
        <v>71</v>
      </c>
      <c r="D234" s="12">
        <v>1</v>
      </c>
      <c r="E234" s="12"/>
      <c r="F234" s="12"/>
    </row>
    <row r="235" spans="1:6">
      <c r="A235" s="12"/>
      <c r="B235" s="21" t="s">
        <v>319</v>
      </c>
      <c r="C235" s="22" t="s">
        <v>191</v>
      </c>
      <c r="D235" s="12">
        <v>2</v>
      </c>
      <c r="E235" s="12"/>
      <c r="F235" s="12"/>
    </row>
    <row r="236" spans="1:6">
      <c r="A236" s="12"/>
      <c r="B236" s="24" t="s">
        <v>344</v>
      </c>
      <c r="C236" s="22" t="s">
        <v>191</v>
      </c>
      <c r="D236" s="12">
        <v>6</v>
      </c>
      <c r="E236" s="12"/>
      <c r="F236" s="12"/>
    </row>
    <row r="237" spans="1:6" s="37" customFormat="1">
      <c r="A237" s="12"/>
      <c r="B237" s="29" t="s">
        <v>381</v>
      </c>
      <c r="C237" s="30" t="s">
        <v>71</v>
      </c>
      <c r="D237" s="30">
        <v>2</v>
      </c>
      <c r="E237" s="30"/>
      <c r="F237" s="30"/>
    </row>
    <row r="238" spans="1:6" s="37" customFormat="1">
      <c r="A238" s="12"/>
      <c r="B238" s="29" t="s">
        <v>388</v>
      </c>
      <c r="C238" s="30" t="s">
        <v>71</v>
      </c>
      <c r="D238" s="30">
        <v>1</v>
      </c>
      <c r="E238" s="30"/>
      <c r="F238" s="30"/>
    </row>
    <row r="239" spans="1:6" s="37" customFormat="1">
      <c r="A239" s="12"/>
      <c r="B239" s="29" t="s">
        <v>389</v>
      </c>
      <c r="C239" s="30" t="s">
        <v>71</v>
      </c>
      <c r="D239" s="30">
        <v>1</v>
      </c>
      <c r="E239" s="30"/>
      <c r="F239" s="30"/>
    </row>
    <row r="240" spans="1:6" s="37" customFormat="1">
      <c r="A240" s="12"/>
      <c r="B240" s="29" t="s">
        <v>391</v>
      </c>
      <c r="C240" s="30" t="s">
        <v>71</v>
      </c>
      <c r="D240" s="30">
        <v>1</v>
      </c>
      <c r="E240" s="30"/>
      <c r="F240" s="30"/>
    </row>
    <row r="241" spans="1:6">
      <c r="A241" s="12"/>
      <c r="B241" s="8" t="s">
        <v>377</v>
      </c>
      <c r="C241" s="12"/>
      <c r="D241" s="12"/>
      <c r="E241" s="12"/>
      <c r="F241" s="12"/>
    </row>
    <row r="242" spans="1:6">
      <c r="A242" s="12"/>
      <c r="B242" s="7" t="s">
        <v>75</v>
      </c>
      <c r="C242" s="12" t="s">
        <v>71</v>
      </c>
      <c r="D242" s="12">
        <v>7</v>
      </c>
      <c r="E242" s="12"/>
      <c r="F242" s="12"/>
    </row>
    <row r="243" spans="1:6">
      <c r="A243" s="12"/>
      <c r="B243" s="7" t="s">
        <v>74</v>
      </c>
      <c r="C243" s="12" t="s">
        <v>71</v>
      </c>
      <c r="D243" s="12">
        <v>2</v>
      </c>
      <c r="E243" s="12"/>
      <c r="F243" s="12"/>
    </row>
    <row r="244" spans="1:6">
      <c r="A244" s="12"/>
      <c r="B244" s="7" t="s">
        <v>69</v>
      </c>
      <c r="C244" s="12" t="s">
        <v>71</v>
      </c>
      <c r="D244" s="12">
        <v>2</v>
      </c>
      <c r="E244" s="12"/>
      <c r="F244" s="12"/>
    </row>
    <row r="245" spans="1:6">
      <c r="A245" s="12"/>
      <c r="B245" s="7" t="s">
        <v>70</v>
      </c>
      <c r="C245" s="12" t="s">
        <v>71</v>
      </c>
      <c r="D245" s="12">
        <v>4</v>
      </c>
      <c r="E245" s="12"/>
      <c r="F245" s="12"/>
    </row>
    <row r="246" spans="1:6">
      <c r="A246" s="12"/>
      <c r="B246" s="7" t="s">
        <v>67</v>
      </c>
      <c r="C246" s="12" t="s">
        <v>71</v>
      </c>
      <c r="D246" s="12">
        <v>1</v>
      </c>
      <c r="E246" s="12"/>
      <c r="F246" s="12"/>
    </row>
    <row r="247" spans="1:6">
      <c r="A247" s="12"/>
      <c r="B247" s="7" t="s">
        <v>378</v>
      </c>
      <c r="C247" s="12" t="s">
        <v>71</v>
      </c>
      <c r="D247" s="12">
        <v>1</v>
      </c>
      <c r="E247" s="12"/>
      <c r="F247" s="12"/>
    </row>
    <row r="248" spans="1:6">
      <c r="A248" s="12"/>
      <c r="B248" s="7" t="s">
        <v>230</v>
      </c>
      <c r="C248" s="12" t="s">
        <v>71</v>
      </c>
      <c r="D248" s="12">
        <v>1</v>
      </c>
      <c r="E248" s="12"/>
      <c r="F248" s="12"/>
    </row>
    <row r="249" spans="1:6">
      <c r="A249" s="12"/>
      <c r="B249" s="7" t="s">
        <v>237</v>
      </c>
      <c r="C249" s="12" t="s">
        <v>71</v>
      </c>
      <c r="D249" s="12">
        <v>1</v>
      </c>
      <c r="E249" s="12"/>
      <c r="F249" s="12"/>
    </row>
    <row r="250" spans="1:6">
      <c r="A250" s="12"/>
      <c r="B250" s="7" t="s">
        <v>231</v>
      </c>
      <c r="C250" s="12" t="s">
        <v>71</v>
      </c>
      <c r="D250" s="12">
        <v>1</v>
      </c>
      <c r="E250" s="12"/>
      <c r="F250" s="12"/>
    </row>
    <row r="251" spans="1:6">
      <c r="A251" s="12"/>
      <c r="B251" s="21" t="s">
        <v>319</v>
      </c>
      <c r="C251" s="22" t="s">
        <v>191</v>
      </c>
      <c r="D251" s="12">
        <v>2</v>
      </c>
      <c r="E251" s="12"/>
      <c r="F251" s="12"/>
    </row>
    <row r="252" spans="1:6">
      <c r="A252" s="12"/>
      <c r="B252" s="24" t="s">
        <v>342</v>
      </c>
      <c r="C252" s="22" t="s">
        <v>191</v>
      </c>
      <c r="D252" s="12">
        <v>6</v>
      </c>
      <c r="E252" s="12"/>
      <c r="F252" s="12"/>
    </row>
    <row r="253" spans="1:6" s="37" customFormat="1">
      <c r="A253" s="12"/>
      <c r="B253" s="29" t="s">
        <v>388</v>
      </c>
      <c r="C253" s="30" t="s">
        <v>71</v>
      </c>
      <c r="D253" s="30">
        <v>1</v>
      </c>
      <c r="E253" s="30"/>
      <c r="F253" s="30"/>
    </row>
    <row r="254" spans="1:6" s="37" customFormat="1">
      <c r="A254" s="12"/>
      <c r="B254" s="29" t="s">
        <v>389</v>
      </c>
      <c r="C254" s="30" t="s">
        <v>71</v>
      </c>
      <c r="D254" s="30">
        <v>1</v>
      </c>
      <c r="E254" s="30"/>
      <c r="F254" s="30"/>
    </row>
    <row r="255" spans="1:6" s="37" customFormat="1">
      <c r="A255" s="12"/>
      <c r="B255" s="29" t="s">
        <v>450</v>
      </c>
      <c r="C255" s="30" t="s">
        <v>71</v>
      </c>
      <c r="D255" s="30">
        <v>1</v>
      </c>
      <c r="E255" s="30"/>
      <c r="F255" s="30"/>
    </row>
    <row r="256" spans="1:6" s="37" customFormat="1">
      <c r="A256" s="12"/>
      <c r="B256" s="29" t="s">
        <v>449</v>
      </c>
      <c r="C256" s="30" t="s">
        <v>71</v>
      </c>
      <c r="D256" s="30">
        <v>1</v>
      </c>
      <c r="E256" s="30"/>
      <c r="F256" s="30"/>
    </row>
    <row r="257" spans="1:6">
      <c r="A257" s="12"/>
      <c r="B257" s="8" t="s">
        <v>26</v>
      </c>
      <c r="C257" s="12"/>
      <c r="D257" s="12"/>
      <c r="E257" s="12"/>
      <c r="F257" s="12"/>
    </row>
    <row r="258" spans="1:6">
      <c r="A258" s="12"/>
      <c r="B258" s="7" t="s">
        <v>80</v>
      </c>
      <c r="C258" s="12" t="s">
        <v>71</v>
      </c>
      <c r="D258" s="12">
        <v>3</v>
      </c>
      <c r="E258" s="12"/>
      <c r="F258" s="12"/>
    </row>
    <row r="259" spans="1:6">
      <c r="A259" s="12"/>
      <c r="B259" s="7" t="s">
        <v>69</v>
      </c>
      <c r="C259" s="12" t="s">
        <v>71</v>
      </c>
      <c r="D259" s="12">
        <v>1</v>
      </c>
      <c r="E259" s="12"/>
      <c r="F259" s="12"/>
    </row>
    <row r="260" spans="1:6">
      <c r="A260" s="12"/>
      <c r="B260" s="7" t="s">
        <v>70</v>
      </c>
      <c r="C260" s="12" t="s">
        <v>71</v>
      </c>
      <c r="D260" s="12">
        <v>5</v>
      </c>
      <c r="E260" s="12"/>
      <c r="F260" s="12"/>
    </row>
    <row r="261" spans="1:6">
      <c r="A261" s="12"/>
      <c r="B261" s="7" t="s">
        <v>67</v>
      </c>
      <c r="C261" s="12" t="s">
        <v>71</v>
      </c>
      <c r="D261" s="12">
        <v>1</v>
      </c>
      <c r="E261" s="12"/>
      <c r="F261" s="12"/>
    </row>
    <row r="262" spans="1:6">
      <c r="A262" s="12"/>
      <c r="B262" s="21" t="s">
        <v>319</v>
      </c>
      <c r="C262" s="22" t="s">
        <v>191</v>
      </c>
      <c r="D262" s="12">
        <v>1</v>
      </c>
      <c r="E262" s="12"/>
      <c r="F262" s="12"/>
    </row>
    <row r="263" spans="1:6">
      <c r="A263" s="12"/>
      <c r="B263" s="24" t="s">
        <v>342</v>
      </c>
      <c r="C263" s="22" t="s">
        <v>191</v>
      </c>
      <c r="D263" s="12">
        <v>2</v>
      </c>
      <c r="E263" s="12"/>
      <c r="F263" s="12"/>
    </row>
    <row r="264" spans="1:6" s="37" customFormat="1">
      <c r="A264" s="12"/>
      <c r="B264" s="29" t="s">
        <v>381</v>
      </c>
      <c r="C264" s="30" t="s">
        <v>71</v>
      </c>
      <c r="D264" s="30">
        <v>1</v>
      </c>
      <c r="E264" s="30"/>
      <c r="F264" s="30"/>
    </row>
    <row r="265" spans="1:6" s="37" customFormat="1">
      <c r="A265" s="12"/>
      <c r="B265" s="29" t="s">
        <v>382</v>
      </c>
      <c r="C265" s="30" t="s">
        <v>71</v>
      </c>
      <c r="D265" s="30">
        <v>2</v>
      </c>
      <c r="E265" s="30"/>
      <c r="F265" s="30"/>
    </row>
    <row r="266" spans="1:6" s="37" customFormat="1">
      <c r="A266" s="12"/>
      <c r="B266" s="29" t="s">
        <v>389</v>
      </c>
      <c r="C266" s="30" t="s">
        <v>71</v>
      </c>
      <c r="D266" s="30">
        <v>1</v>
      </c>
      <c r="E266" s="30"/>
      <c r="F266" s="30"/>
    </row>
    <row r="267" spans="1:6">
      <c r="A267" s="12"/>
      <c r="B267" s="8" t="s">
        <v>27</v>
      </c>
      <c r="C267" s="12"/>
      <c r="D267" s="12"/>
      <c r="E267" s="12"/>
      <c r="F267" s="12"/>
    </row>
    <row r="268" spans="1:6">
      <c r="A268" s="12"/>
      <c r="B268" s="7" t="s">
        <v>68</v>
      </c>
      <c r="C268" s="12" t="s">
        <v>71</v>
      </c>
      <c r="D268" s="12">
        <v>25</v>
      </c>
      <c r="E268" s="12"/>
      <c r="F268" s="12"/>
    </row>
    <row r="269" spans="1:6">
      <c r="A269" s="12"/>
      <c r="B269" s="7" t="s">
        <v>70</v>
      </c>
      <c r="C269" s="12" t="s">
        <v>71</v>
      </c>
      <c r="D269" s="12">
        <v>8</v>
      </c>
      <c r="E269" s="12"/>
      <c r="F269" s="12"/>
    </row>
    <row r="270" spans="1:6">
      <c r="A270" s="12"/>
      <c r="B270" s="7" t="s">
        <v>67</v>
      </c>
      <c r="C270" s="12" t="s">
        <v>71</v>
      </c>
      <c r="D270" s="12">
        <v>1</v>
      </c>
      <c r="E270" s="12"/>
      <c r="F270" s="12"/>
    </row>
    <row r="271" spans="1:6">
      <c r="A271" s="12"/>
      <c r="B271" s="25" t="s">
        <v>327</v>
      </c>
      <c r="C271" s="22" t="s">
        <v>328</v>
      </c>
      <c r="D271" s="22">
        <v>1</v>
      </c>
      <c r="E271" s="12"/>
      <c r="F271" s="12"/>
    </row>
    <row r="272" spans="1:6">
      <c r="A272" s="12"/>
      <c r="B272" s="21" t="s">
        <v>329</v>
      </c>
      <c r="C272" s="22" t="s">
        <v>326</v>
      </c>
      <c r="D272" s="22">
        <v>2</v>
      </c>
      <c r="E272" s="12"/>
      <c r="F272" s="12"/>
    </row>
    <row r="273" spans="1:6">
      <c r="A273" s="12"/>
      <c r="B273" s="21" t="s">
        <v>348</v>
      </c>
      <c r="C273" s="22" t="s">
        <v>191</v>
      </c>
      <c r="D273" s="22">
        <v>1</v>
      </c>
      <c r="E273" s="12"/>
      <c r="F273" s="12"/>
    </row>
    <row r="274" spans="1:6">
      <c r="A274" s="12"/>
      <c r="B274" s="21" t="s">
        <v>379</v>
      </c>
      <c r="C274" s="22" t="s">
        <v>191</v>
      </c>
      <c r="D274" s="22">
        <v>3</v>
      </c>
      <c r="E274" s="12"/>
      <c r="F274" s="12"/>
    </row>
    <row r="275" spans="1:6">
      <c r="A275" s="12"/>
      <c r="B275" s="21" t="s">
        <v>380</v>
      </c>
      <c r="C275" s="22" t="s">
        <v>191</v>
      </c>
      <c r="D275" s="22">
        <v>1</v>
      </c>
      <c r="E275" s="12"/>
      <c r="F275" s="12"/>
    </row>
    <row r="276" spans="1:6">
      <c r="A276" s="12"/>
      <c r="B276" s="21" t="s">
        <v>349</v>
      </c>
      <c r="C276" s="22" t="s">
        <v>191</v>
      </c>
      <c r="D276" s="22">
        <v>1</v>
      </c>
      <c r="E276" s="12"/>
      <c r="F276" s="12"/>
    </row>
    <row r="277" spans="1:6">
      <c r="A277" s="12"/>
      <c r="B277" s="21" t="s">
        <v>350</v>
      </c>
      <c r="C277" s="22" t="s">
        <v>191</v>
      </c>
      <c r="D277" s="22">
        <v>1</v>
      </c>
      <c r="E277" s="12"/>
      <c r="F277" s="12"/>
    </row>
    <row r="278" spans="1:6">
      <c r="A278" s="12"/>
      <c r="B278" s="21" t="s">
        <v>351</v>
      </c>
      <c r="C278" s="22" t="s">
        <v>191</v>
      </c>
      <c r="D278" s="22">
        <v>1</v>
      </c>
      <c r="E278" s="12"/>
      <c r="F278" s="12"/>
    </row>
    <row r="279" spans="1:6">
      <c r="A279" s="12"/>
      <c r="B279" s="21" t="s">
        <v>352</v>
      </c>
      <c r="C279" s="22" t="s">
        <v>191</v>
      </c>
      <c r="D279" s="22">
        <v>1</v>
      </c>
      <c r="E279" s="12"/>
      <c r="F279" s="12"/>
    </row>
    <row r="280" spans="1:6">
      <c r="A280" s="12"/>
      <c r="B280" s="21" t="s">
        <v>353</v>
      </c>
      <c r="C280" s="22" t="s">
        <v>191</v>
      </c>
      <c r="D280" s="22">
        <v>3</v>
      </c>
      <c r="E280" s="12"/>
      <c r="F280" s="12"/>
    </row>
    <row r="281" spans="1:6">
      <c r="A281" s="12"/>
      <c r="B281" s="21" t="s">
        <v>354</v>
      </c>
      <c r="C281" s="22" t="s">
        <v>191</v>
      </c>
      <c r="D281" s="22">
        <v>3</v>
      </c>
      <c r="E281" s="12"/>
      <c r="F281" s="12"/>
    </row>
    <row r="282" spans="1:6" ht="33">
      <c r="A282" s="12"/>
      <c r="B282" s="28" t="s">
        <v>369</v>
      </c>
      <c r="C282" s="22" t="s">
        <v>326</v>
      </c>
      <c r="D282" s="22">
        <v>4</v>
      </c>
      <c r="E282" s="12"/>
      <c r="F282" s="12"/>
    </row>
    <row r="283" spans="1:6" s="37" customFormat="1">
      <c r="A283" s="12"/>
      <c r="B283" s="29" t="s">
        <v>381</v>
      </c>
      <c r="C283" s="30" t="s">
        <v>71</v>
      </c>
      <c r="D283" s="30">
        <v>5</v>
      </c>
      <c r="E283" s="30"/>
      <c r="F283" s="30"/>
    </row>
    <row r="284" spans="1:6" s="37" customFormat="1">
      <c r="A284" s="12"/>
      <c r="B284" s="29" t="s">
        <v>382</v>
      </c>
      <c r="C284" s="30" t="s">
        <v>71</v>
      </c>
      <c r="D284" s="30">
        <v>10</v>
      </c>
      <c r="E284" s="30"/>
      <c r="F284" s="30"/>
    </row>
    <row r="285" spans="1:6" s="37" customFormat="1">
      <c r="A285" s="12"/>
      <c r="B285" s="29" t="s">
        <v>391</v>
      </c>
      <c r="C285" s="30" t="s">
        <v>71</v>
      </c>
      <c r="D285" s="30">
        <v>2</v>
      </c>
      <c r="E285" s="30"/>
      <c r="F285" s="30"/>
    </row>
    <row r="286" spans="1:6">
      <c r="A286" s="12"/>
      <c r="B286" s="14" t="s">
        <v>110</v>
      </c>
      <c r="C286" s="12"/>
      <c r="D286" s="12"/>
      <c r="E286" s="12"/>
      <c r="F286" s="12"/>
    </row>
    <row r="287" spans="1:6">
      <c r="A287" s="12"/>
      <c r="B287" s="7" t="s">
        <v>108</v>
      </c>
      <c r="C287" s="12" t="s">
        <v>71</v>
      </c>
      <c r="D287" s="12">
        <v>4</v>
      </c>
      <c r="E287" s="12"/>
      <c r="F287" s="12"/>
    </row>
    <row r="288" spans="1:6">
      <c r="A288" s="12"/>
      <c r="B288" s="7" t="s">
        <v>100</v>
      </c>
      <c r="C288" s="12" t="s">
        <v>71</v>
      </c>
      <c r="D288" s="12">
        <v>2</v>
      </c>
      <c r="E288" s="12"/>
      <c r="F288" s="12"/>
    </row>
    <row r="289" spans="1:6">
      <c r="A289" s="12"/>
      <c r="B289" s="7" t="s">
        <v>274</v>
      </c>
      <c r="C289" s="12" t="s">
        <v>71</v>
      </c>
      <c r="D289" s="12">
        <v>2</v>
      </c>
      <c r="E289" s="12"/>
      <c r="F289" s="12"/>
    </row>
    <row r="290" spans="1:6">
      <c r="A290" s="12"/>
      <c r="B290" s="21" t="s">
        <v>325</v>
      </c>
      <c r="C290" s="12" t="s">
        <v>326</v>
      </c>
      <c r="D290" s="12">
        <v>2</v>
      </c>
      <c r="E290" s="12"/>
      <c r="F290" s="12"/>
    </row>
    <row r="291" spans="1:6">
      <c r="A291" s="12"/>
      <c r="B291" s="25" t="s">
        <v>327</v>
      </c>
      <c r="C291" s="22" t="s">
        <v>328</v>
      </c>
      <c r="D291" s="22">
        <v>2</v>
      </c>
      <c r="E291" s="12"/>
      <c r="F291" s="12"/>
    </row>
    <row r="292" spans="1:6">
      <c r="A292" s="12"/>
      <c r="B292" s="21" t="s">
        <v>329</v>
      </c>
      <c r="C292" s="22" t="s">
        <v>326</v>
      </c>
      <c r="D292" s="22">
        <v>4</v>
      </c>
      <c r="E292" s="12"/>
      <c r="F292" s="12"/>
    </row>
    <row r="293" spans="1:6">
      <c r="A293" s="12"/>
      <c r="B293" s="21" t="s">
        <v>348</v>
      </c>
      <c r="C293" s="22" t="s">
        <v>191</v>
      </c>
      <c r="D293" s="22">
        <v>2</v>
      </c>
      <c r="E293" s="12"/>
      <c r="F293" s="12"/>
    </row>
    <row r="294" spans="1:6">
      <c r="A294" s="12"/>
      <c r="B294" s="21" t="s">
        <v>349</v>
      </c>
      <c r="C294" s="22" t="s">
        <v>191</v>
      </c>
      <c r="D294" s="22">
        <v>2</v>
      </c>
      <c r="E294" s="12"/>
      <c r="F294" s="12"/>
    </row>
    <row r="295" spans="1:6">
      <c r="A295" s="12"/>
      <c r="B295" s="21" t="s">
        <v>350</v>
      </c>
      <c r="C295" s="22" t="s">
        <v>191</v>
      </c>
      <c r="D295" s="22">
        <v>2</v>
      </c>
      <c r="E295" s="12"/>
      <c r="F295" s="12"/>
    </row>
    <row r="296" spans="1:6">
      <c r="A296" s="12"/>
      <c r="B296" s="21" t="s">
        <v>351</v>
      </c>
      <c r="C296" s="22" t="s">
        <v>191</v>
      </c>
      <c r="D296" s="22">
        <v>2</v>
      </c>
      <c r="E296" s="12"/>
      <c r="F296" s="12"/>
    </row>
    <row r="297" spans="1:6">
      <c r="A297" s="12"/>
      <c r="B297" s="21" t="s">
        <v>352</v>
      </c>
      <c r="C297" s="22" t="s">
        <v>191</v>
      </c>
      <c r="D297" s="22">
        <v>2</v>
      </c>
      <c r="E297" s="12"/>
      <c r="F297" s="12"/>
    </row>
    <row r="298" spans="1:6">
      <c r="A298" s="12"/>
      <c r="B298" s="21" t="s">
        <v>353</v>
      </c>
      <c r="C298" s="22" t="s">
        <v>191</v>
      </c>
      <c r="D298" s="22">
        <v>2</v>
      </c>
      <c r="E298" s="12"/>
      <c r="F298" s="12"/>
    </row>
    <row r="299" spans="1:6">
      <c r="A299" s="12"/>
      <c r="B299" s="21" t="s">
        <v>354</v>
      </c>
      <c r="C299" s="22" t="s">
        <v>191</v>
      </c>
      <c r="D299" s="22">
        <v>2</v>
      </c>
      <c r="E299" s="12"/>
      <c r="F299" s="12"/>
    </row>
    <row r="300" spans="1:6">
      <c r="A300" s="12"/>
      <c r="B300" s="14" t="s">
        <v>109</v>
      </c>
      <c r="C300" s="12"/>
      <c r="D300" s="12"/>
      <c r="E300" s="12"/>
      <c r="F300" s="12"/>
    </row>
    <row r="301" spans="1:6">
      <c r="A301" s="12"/>
      <c r="B301" s="7" t="s">
        <v>108</v>
      </c>
      <c r="C301" s="12" t="s">
        <v>71</v>
      </c>
      <c r="D301" s="12">
        <v>2</v>
      </c>
      <c r="E301" s="12"/>
      <c r="F301" s="12"/>
    </row>
    <row r="302" spans="1:6">
      <c r="A302" s="12"/>
      <c r="B302" s="7" t="s">
        <v>100</v>
      </c>
      <c r="C302" s="12" t="s">
        <v>71</v>
      </c>
      <c r="D302" s="12">
        <v>1</v>
      </c>
      <c r="E302" s="12"/>
      <c r="F302" s="12"/>
    </row>
    <row r="303" spans="1:6">
      <c r="A303" s="12"/>
      <c r="B303" s="8" t="s">
        <v>107</v>
      </c>
      <c r="C303" s="12"/>
      <c r="D303" s="12"/>
      <c r="E303" s="12"/>
      <c r="F303" s="12"/>
    </row>
    <row r="304" spans="1:6">
      <c r="A304" s="12"/>
      <c r="B304" s="7" t="s">
        <v>75</v>
      </c>
      <c r="C304" s="12" t="s">
        <v>71</v>
      </c>
      <c r="D304" s="12">
        <v>119</v>
      </c>
      <c r="E304" s="12"/>
      <c r="F304" s="12"/>
    </row>
    <row r="305" spans="1:6">
      <c r="A305" s="12"/>
      <c r="B305" s="7" t="s">
        <v>76</v>
      </c>
      <c r="C305" s="12" t="s">
        <v>71</v>
      </c>
      <c r="D305" s="12">
        <v>2</v>
      </c>
      <c r="E305" s="12"/>
      <c r="F305" s="12"/>
    </row>
    <row r="306" spans="1:6">
      <c r="A306" s="12"/>
      <c r="B306" s="7" t="s">
        <v>69</v>
      </c>
      <c r="C306" s="12" t="s">
        <v>71</v>
      </c>
      <c r="D306" s="12">
        <v>6</v>
      </c>
      <c r="E306" s="12"/>
      <c r="F306" s="12"/>
    </row>
    <row r="307" spans="1:6">
      <c r="A307" s="12"/>
      <c r="B307" s="7" t="s">
        <v>72</v>
      </c>
      <c r="C307" s="12" t="s">
        <v>71</v>
      </c>
      <c r="D307" s="12">
        <v>13</v>
      </c>
      <c r="E307" s="12"/>
      <c r="F307" s="12"/>
    </row>
    <row r="308" spans="1:6">
      <c r="A308" s="12"/>
      <c r="B308" s="7" t="s">
        <v>70</v>
      </c>
      <c r="C308" s="12" t="s">
        <v>71</v>
      </c>
      <c r="D308" s="12">
        <v>2</v>
      </c>
      <c r="E308" s="12"/>
      <c r="F308" s="12"/>
    </row>
    <row r="309" spans="1:6">
      <c r="A309" s="12"/>
      <c r="B309" s="7" t="s">
        <v>67</v>
      </c>
      <c r="C309" s="12" t="s">
        <v>71</v>
      </c>
      <c r="D309" s="12">
        <v>1</v>
      </c>
      <c r="E309" s="12"/>
      <c r="F309" s="12"/>
    </row>
    <row r="310" spans="1:6">
      <c r="A310" s="12"/>
      <c r="B310" s="7" t="s">
        <v>78</v>
      </c>
      <c r="C310" s="12" t="s">
        <v>71</v>
      </c>
      <c r="D310" s="12">
        <v>1</v>
      </c>
      <c r="E310" s="12"/>
      <c r="F310" s="12"/>
    </row>
    <row r="311" spans="1:6">
      <c r="A311" s="12"/>
      <c r="B311" s="7" t="s">
        <v>73</v>
      </c>
      <c r="C311" s="12" t="s">
        <v>71</v>
      </c>
      <c r="D311" s="12">
        <v>7</v>
      </c>
      <c r="E311" s="12"/>
      <c r="F311" s="12"/>
    </row>
    <row r="312" spans="1:6">
      <c r="A312" s="12"/>
      <c r="B312" s="7" t="s">
        <v>105</v>
      </c>
      <c r="C312" s="12" t="s">
        <v>71</v>
      </c>
      <c r="D312" s="12">
        <v>10</v>
      </c>
      <c r="E312" s="12"/>
      <c r="F312" s="12"/>
    </row>
    <row r="313" spans="1:6">
      <c r="A313" s="12"/>
      <c r="B313" s="7" t="s">
        <v>106</v>
      </c>
      <c r="C313" s="12" t="s">
        <v>71</v>
      </c>
      <c r="D313" s="12">
        <v>13</v>
      </c>
      <c r="E313" s="12"/>
      <c r="F313" s="12"/>
    </row>
    <row r="314" spans="1:6">
      <c r="A314" s="12"/>
      <c r="B314" s="21" t="s">
        <v>355</v>
      </c>
      <c r="C314" s="22" t="s">
        <v>191</v>
      </c>
      <c r="D314" s="22">
        <v>3</v>
      </c>
      <c r="E314" s="12"/>
      <c r="F314" s="12"/>
    </row>
    <row r="315" spans="1:6">
      <c r="A315" s="12"/>
      <c r="B315" s="26" t="s">
        <v>356</v>
      </c>
      <c r="C315" s="22" t="s">
        <v>191</v>
      </c>
      <c r="D315" s="22">
        <v>3</v>
      </c>
      <c r="E315" s="12"/>
      <c r="F315" s="12"/>
    </row>
    <row r="316" spans="1:6">
      <c r="A316" s="12"/>
      <c r="B316" s="26" t="s">
        <v>357</v>
      </c>
      <c r="C316" s="22" t="s">
        <v>191</v>
      </c>
      <c r="D316" s="22">
        <v>1</v>
      </c>
      <c r="E316" s="12"/>
      <c r="F316" s="12"/>
    </row>
    <row r="317" spans="1:6">
      <c r="A317" s="12"/>
      <c r="B317" s="26" t="s">
        <v>358</v>
      </c>
      <c r="C317" s="22" t="s">
        <v>191</v>
      </c>
      <c r="D317" s="22">
        <v>3</v>
      </c>
      <c r="E317" s="12"/>
      <c r="F317" s="12"/>
    </row>
    <row r="318" spans="1:6">
      <c r="A318" s="12"/>
      <c r="B318" s="26" t="s">
        <v>359</v>
      </c>
      <c r="C318" s="22" t="s">
        <v>191</v>
      </c>
      <c r="D318" s="22">
        <v>1</v>
      </c>
      <c r="E318" s="12"/>
      <c r="F318" s="12"/>
    </row>
    <row r="319" spans="1:6">
      <c r="A319" s="12"/>
      <c r="B319" s="21" t="s">
        <v>331</v>
      </c>
      <c r="C319" s="22" t="s">
        <v>191</v>
      </c>
      <c r="D319" s="22">
        <v>2</v>
      </c>
      <c r="E319" s="12"/>
      <c r="F319" s="12"/>
    </row>
    <row r="320" spans="1:6">
      <c r="A320" s="12"/>
      <c r="B320" s="21" t="s">
        <v>332</v>
      </c>
      <c r="C320" s="22" t="s">
        <v>191</v>
      </c>
      <c r="D320" s="22">
        <v>2</v>
      </c>
      <c r="E320" s="12"/>
      <c r="F320" s="12"/>
    </row>
    <row r="321" spans="1:6">
      <c r="A321" s="12"/>
      <c r="B321" s="21" t="s">
        <v>333</v>
      </c>
      <c r="C321" s="22" t="s">
        <v>191</v>
      </c>
      <c r="D321" s="22">
        <v>4</v>
      </c>
      <c r="E321" s="12"/>
      <c r="F321" s="12"/>
    </row>
    <row r="322" spans="1:6">
      <c r="A322" s="12"/>
      <c r="B322" s="21" t="s">
        <v>334</v>
      </c>
      <c r="C322" s="22" t="s">
        <v>191</v>
      </c>
      <c r="D322" s="22">
        <v>21</v>
      </c>
      <c r="E322" s="12"/>
      <c r="F322" s="12"/>
    </row>
    <row r="323" spans="1:6">
      <c r="A323" s="12"/>
      <c r="B323" s="21" t="s">
        <v>335</v>
      </c>
      <c r="C323" s="22" t="s">
        <v>191</v>
      </c>
      <c r="D323" s="22">
        <v>3</v>
      </c>
      <c r="E323" s="12"/>
      <c r="F323" s="12"/>
    </row>
    <row r="324" spans="1:6">
      <c r="A324" s="12"/>
      <c r="B324" s="21" t="s">
        <v>336</v>
      </c>
      <c r="C324" s="22" t="s">
        <v>191</v>
      </c>
      <c r="D324" s="22">
        <v>2</v>
      </c>
      <c r="E324" s="12"/>
      <c r="F324" s="27"/>
    </row>
    <row r="325" spans="1:6" ht="33">
      <c r="A325" s="12"/>
      <c r="B325" s="28" t="s">
        <v>360</v>
      </c>
      <c r="C325" s="22" t="s">
        <v>191</v>
      </c>
      <c r="D325" s="22">
        <v>3</v>
      </c>
      <c r="E325" s="12"/>
      <c r="F325" s="12"/>
    </row>
    <row r="326" spans="1:6" ht="33">
      <c r="A326" s="12"/>
      <c r="B326" s="24" t="s">
        <v>337</v>
      </c>
      <c r="C326" s="22" t="s">
        <v>71</v>
      </c>
      <c r="D326" s="22">
        <v>3</v>
      </c>
      <c r="E326" s="12"/>
      <c r="F326" s="12"/>
    </row>
    <row r="327" spans="1:6">
      <c r="A327" s="12"/>
      <c r="B327" s="21" t="s">
        <v>338</v>
      </c>
      <c r="C327" s="22" t="s">
        <v>326</v>
      </c>
      <c r="D327" s="22">
        <v>3</v>
      </c>
      <c r="E327" s="12"/>
      <c r="F327" s="12"/>
    </row>
    <row r="328" spans="1:6">
      <c r="A328" s="12"/>
      <c r="B328" s="21" t="s">
        <v>339</v>
      </c>
      <c r="C328" s="22" t="s">
        <v>326</v>
      </c>
      <c r="D328" s="22">
        <v>3</v>
      </c>
      <c r="E328" s="12"/>
      <c r="F328" s="12"/>
    </row>
    <row r="329" spans="1:6">
      <c r="A329" s="12">
        <f t="shared" ref="A329:A331" si="0">A328+1</f>
        <v>1</v>
      </c>
      <c r="B329" s="21" t="s">
        <v>340</v>
      </c>
      <c r="C329" s="22" t="s">
        <v>71</v>
      </c>
      <c r="D329" s="22">
        <v>3</v>
      </c>
      <c r="E329" s="12"/>
      <c r="F329" s="12"/>
    </row>
    <row r="330" spans="1:6">
      <c r="A330" s="12">
        <f t="shared" si="0"/>
        <v>2</v>
      </c>
      <c r="B330" s="21" t="s">
        <v>341</v>
      </c>
      <c r="C330" s="22" t="s">
        <v>191</v>
      </c>
      <c r="D330" s="22">
        <v>6</v>
      </c>
      <c r="E330" s="12"/>
      <c r="F330" s="12"/>
    </row>
    <row r="331" spans="1:6">
      <c r="A331" s="12">
        <f t="shared" si="0"/>
        <v>3</v>
      </c>
      <c r="B331" s="24" t="s">
        <v>344</v>
      </c>
      <c r="C331" s="22" t="s">
        <v>191</v>
      </c>
      <c r="D331" s="22">
        <v>55</v>
      </c>
      <c r="E331" s="12"/>
      <c r="F331" s="12"/>
    </row>
    <row r="332" spans="1:6" s="37" customFormat="1">
      <c r="A332" s="22"/>
      <c r="B332" s="29" t="s">
        <v>400</v>
      </c>
      <c r="C332" s="30" t="s">
        <v>71</v>
      </c>
      <c r="D332" s="30">
        <v>6</v>
      </c>
      <c r="E332" s="30"/>
      <c r="F332" s="30"/>
    </row>
    <row r="333" spans="1:6" s="37" customFormat="1">
      <c r="A333" s="22"/>
      <c r="B333" s="29" t="s">
        <v>401</v>
      </c>
      <c r="C333" s="30" t="s">
        <v>71</v>
      </c>
      <c r="D333" s="30">
        <v>3</v>
      </c>
      <c r="E333" s="30"/>
      <c r="F333" s="385" t="s">
        <v>403</v>
      </c>
    </row>
    <row r="334" spans="1:6" s="37" customFormat="1">
      <c r="A334" s="22"/>
      <c r="B334" s="29" t="s">
        <v>402</v>
      </c>
      <c r="C334" s="30" t="s">
        <v>71</v>
      </c>
      <c r="D334" s="30">
        <v>1</v>
      </c>
      <c r="E334" s="30"/>
      <c r="F334" s="386"/>
    </row>
    <row r="335" spans="1:6" s="37" customFormat="1">
      <c r="A335" s="22"/>
      <c r="B335" s="29" t="s">
        <v>404</v>
      </c>
      <c r="C335" s="30" t="s">
        <v>71</v>
      </c>
      <c r="D335" s="30">
        <v>1</v>
      </c>
      <c r="E335" s="30"/>
      <c r="F335" s="386"/>
    </row>
    <row r="336" spans="1:6" s="37" customFormat="1">
      <c r="A336" s="22"/>
      <c r="B336" s="29" t="s">
        <v>409</v>
      </c>
      <c r="C336" s="30" t="s">
        <v>71</v>
      </c>
      <c r="D336" s="30">
        <v>1</v>
      </c>
      <c r="E336" s="30"/>
      <c r="F336" s="386"/>
    </row>
    <row r="337" spans="1:6" s="37" customFormat="1">
      <c r="A337" s="22"/>
      <c r="B337" s="29" t="s">
        <v>405</v>
      </c>
      <c r="C337" s="30" t="s">
        <v>71</v>
      </c>
      <c r="D337" s="30">
        <v>2</v>
      </c>
      <c r="E337" s="30"/>
      <c r="F337" s="387"/>
    </row>
    <row r="338" spans="1:6" s="37" customFormat="1">
      <c r="A338" s="22"/>
      <c r="B338" s="29" t="s">
        <v>401</v>
      </c>
      <c r="C338" s="30" t="s">
        <v>71</v>
      </c>
      <c r="D338" s="30">
        <v>3</v>
      </c>
      <c r="E338" s="30"/>
      <c r="F338" s="385" t="s">
        <v>406</v>
      </c>
    </row>
    <row r="339" spans="1:6" s="37" customFormat="1">
      <c r="A339" s="22"/>
      <c r="B339" s="29" t="s">
        <v>402</v>
      </c>
      <c r="C339" s="30" t="s">
        <v>71</v>
      </c>
      <c r="D339" s="30">
        <v>1</v>
      </c>
      <c r="E339" s="30"/>
      <c r="F339" s="386"/>
    </row>
    <row r="340" spans="1:6" s="37" customFormat="1">
      <c r="A340" s="22"/>
      <c r="B340" s="29" t="s">
        <v>434</v>
      </c>
      <c r="C340" s="30" t="s">
        <v>71</v>
      </c>
      <c r="D340" s="30">
        <v>2</v>
      </c>
      <c r="E340" s="30"/>
      <c r="F340" s="386"/>
    </row>
    <row r="341" spans="1:6" s="37" customFormat="1">
      <c r="A341" s="22"/>
      <c r="B341" s="29" t="s">
        <v>404</v>
      </c>
      <c r="C341" s="30" t="s">
        <v>71</v>
      </c>
      <c r="D341" s="30">
        <v>1</v>
      </c>
      <c r="E341" s="30"/>
      <c r="F341" s="386"/>
    </row>
    <row r="342" spans="1:6" s="37" customFormat="1">
      <c r="A342" s="22"/>
      <c r="B342" s="29" t="s">
        <v>452</v>
      </c>
      <c r="C342" s="30" t="s">
        <v>71</v>
      </c>
      <c r="D342" s="30">
        <v>1</v>
      </c>
      <c r="E342" s="30"/>
      <c r="F342" s="387"/>
    </row>
    <row r="343" spans="1:6" s="37" customFormat="1">
      <c r="A343" s="22"/>
      <c r="B343" s="29" t="s">
        <v>405</v>
      </c>
      <c r="C343" s="30" t="s">
        <v>71</v>
      </c>
      <c r="D343" s="30">
        <v>2</v>
      </c>
      <c r="E343" s="30"/>
      <c r="F343" s="38" t="s">
        <v>447</v>
      </c>
    </row>
    <row r="344" spans="1:6">
      <c r="A344" s="12"/>
      <c r="B344" s="15" t="s">
        <v>239</v>
      </c>
      <c r="C344" s="12"/>
      <c r="D344" s="12"/>
      <c r="E344" s="12"/>
      <c r="F344" s="12"/>
    </row>
    <row r="345" spans="1:6">
      <c r="A345" s="12"/>
      <c r="B345" s="7" t="s">
        <v>366</v>
      </c>
      <c r="C345" s="12" t="s">
        <v>71</v>
      </c>
      <c r="D345" s="12">
        <v>12</v>
      </c>
      <c r="E345" s="12"/>
      <c r="F345" s="12"/>
    </row>
    <row r="346" spans="1:6">
      <c r="A346" s="12"/>
      <c r="B346" s="7" t="s">
        <v>230</v>
      </c>
      <c r="C346" s="12" t="s">
        <v>71</v>
      </c>
      <c r="D346" s="12">
        <v>10</v>
      </c>
      <c r="E346" s="12"/>
      <c r="F346" s="12"/>
    </row>
    <row r="347" spans="1:6">
      <c r="A347" s="12"/>
      <c r="B347" s="7" t="s">
        <v>364</v>
      </c>
      <c r="C347" s="12" t="s">
        <v>71</v>
      </c>
      <c r="D347" s="12">
        <v>7</v>
      </c>
      <c r="E347" s="12"/>
      <c r="F347" s="12"/>
    </row>
    <row r="348" spans="1:6">
      <c r="A348" s="12"/>
      <c r="B348" s="7" t="s">
        <v>231</v>
      </c>
      <c r="C348" s="12" t="s">
        <v>71</v>
      </c>
      <c r="D348" s="12">
        <v>8</v>
      </c>
      <c r="E348" s="12"/>
      <c r="F348" s="12"/>
    </row>
    <row r="349" spans="1:6">
      <c r="A349" s="12"/>
      <c r="B349" s="7" t="s">
        <v>74</v>
      </c>
      <c r="C349" s="12" t="s">
        <v>71</v>
      </c>
      <c r="D349" s="12">
        <v>24</v>
      </c>
      <c r="E349" s="12"/>
      <c r="F349" s="12"/>
    </row>
    <row r="350" spans="1:6">
      <c r="A350" s="12"/>
      <c r="B350" s="7" t="s">
        <v>70</v>
      </c>
      <c r="C350" s="12" t="s">
        <v>71</v>
      </c>
      <c r="D350" s="12">
        <v>2</v>
      </c>
      <c r="E350" s="12"/>
      <c r="F350" s="12"/>
    </row>
    <row r="351" spans="1:6" s="37" customFormat="1">
      <c r="A351" s="22"/>
      <c r="B351" s="29" t="s">
        <v>383</v>
      </c>
      <c r="C351" s="30" t="s">
        <v>71</v>
      </c>
      <c r="D351" s="30">
        <v>9</v>
      </c>
      <c r="E351" s="30"/>
      <c r="F351" s="30"/>
    </row>
    <row r="352" spans="1:6" s="37" customFormat="1">
      <c r="A352" s="22"/>
      <c r="B352" s="29" t="s">
        <v>394</v>
      </c>
      <c r="C352" s="30" t="s">
        <v>71</v>
      </c>
      <c r="D352" s="30">
        <v>2</v>
      </c>
      <c r="E352" s="30"/>
      <c r="F352" s="30"/>
    </row>
    <row r="353" spans="1:6" s="37" customFormat="1">
      <c r="A353" s="22"/>
      <c r="B353" s="29" t="s">
        <v>395</v>
      </c>
      <c r="C353" s="30" t="s">
        <v>71</v>
      </c>
      <c r="D353" s="30">
        <v>1</v>
      </c>
      <c r="E353" s="30"/>
      <c r="F353" s="30"/>
    </row>
    <row r="354" spans="1:6" s="37" customFormat="1">
      <c r="A354" s="22"/>
      <c r="B354" s="29" t="s">
        <v>396</v>
      </c>
      <c r="C354" s="30" t="s">
        <v>71</v>
      </c>
      <c r="D354" s="30">
        <v>1</v>
      </c>
      <c r="E354" s="30"/>
      <c r="F354" s="30"/>
    </row>
    <row r="355" spans="1:6">
      <c r="A355" s="12"/>
      <c r="B355" s="15" t="s">
        <v>240</v>
      </c>
      <c r="C355" s="12"/>
      <c r="D355" s="12"/>
      <c r="E355" s="12"/>
      <c r="F355" s="12"/>
    </row>
    <row r="356" spans="1:6">
      <c r="A356" s="12"/>
      <c r="B356" s="7" t="s">
        <v>366</v>
      </c>
      <c r="C356" s="12" t="s">
        <v>71</v>
      </c>
      <c r="D356" s="12">
        <v>12</v>
      </c>
      <c r="E356" s="12"/>
      <c r="F356" s="12"/>
    </row>
    <row r="357" spans="1:6">
      <c r="A357" s="12"/>
      <c r="B357" s="7" t="s">
        <v>230</v>
      </c>
      <c r="C357" s="12" t="s">
        <v>71</v>
      </c>
      <c r="D357" s="12">
        <v>10</v>
      </c>
      <c r="E357" s="12"/>
      <c r="F357" s="12"/>
    </row>
    <row r="358" spans="1:6">
      <c r="A358" s="12"/>
      <c r="B358" s="7" t="s">
        <v>364</v>
      </c>
      <c r="C358" s="12" t="s">
        <v>71</v>
      </c>
      <c r="D358" s="12">
        <v>7</v>
      </c>
      <c r="E358" s="12"/>
      <c r="F358" s="12"/>
    </row>
    <row r="359" spans="1:6">
      <c r="A359" s="12"/>
      <c r="B359" s="7" t="s">
        <v>231</v>
      </c>
      <c r="C359" s="12" t="s">
        <v>71</v>
      </c>
      <c r="D359" s="12">
        <v>8</v>
      </c>
      <c r="E359" s="12"/>
      <c r="F359" s="12"/>
    </row>
    <row r="360" spans="1:6">
      <c r="A360" s="12"/>
      <c r="B360" s="7" t="s">
        <v>74</v>
      </c>
      <c r="C360" s="12" t="s">
        <v>71</v>
      </c>
      <c r="D360" s="12">
        <v>24</v>
      </c>
      <c r="E360" s="12"/>
      <c r="F360" s="12"/>
    </row>
    <row r="361" spans="1:6">
      <c r="A361" s="12"/>
      <c r="B361" s="7" t="s">
        <v>70</v>
      </c>
      <c r="C361" s="12" t="s">
        <v>71</v>
      </c>
      <c r="D361" s="12">
        <v>2</v>
      </c>
      <c r="E361" s="12"/>
      <c r="F361" s="12"/>
    </row>
    <row r="362" spans="1:6" s="37" customFormat="1">
      <c r="A362" s="22"/>
      <c r="B362" s="29" t="s">
        <v>383</v>
      </c>
      <c r="C362" s="30" t="s">
        <v>71</v>
      </c>
      <c r="D362" s="30">
        <v>9</v>
      </c>
      <c r="E362" s="30"/>
      <c r="F362" s="30"/>
    </row>
    <row r="363" spans="1:6" s="37" customFormat="1">
      <c r="A363" s="22"/>
      <c r="B363" s="29" t="s">
        <v>394</v>
      </c>
      <c r="C363" s="30" t="s">
        <v>71</v>
      </c>
      <c r="D363" s="30">
        <v>2</v>
      </c>
      <c r="E363" s="30"/>
      <c r="F363" s="30"/>
    </row>
    <row r="364" spans="1:6" s="37" customFormat="1">
      <c r="A364" s="22"/>
      <c r="B364" s="29" t="s">
        <v>395</v>
      </c>
      <c r="C364" s="30" t="s">
        <v>71</v>
      </c>
      <c r="D364" s="30">
        <v>1</v>
      </c>
      <c r="E364" s="30"/>
      <c r="F364" s="30"/>
    </row>
    <row r="365" spans="1:6" s="37" customFormat="1">
      <c r="A365" s="22"/>
      <c r="B365" s="29" t="s">
        <v>396</v>
      </c>
      <c r="C365" s="30" t="s">
        <v>71</v>
      </c>
      <c r="D365" s="30">
        <v>1</v>
      </c>
      <c r="E365" s="30"/>
      <c r="F365" s="30"/>
    </row>
    <row r="366" spans="1:6">
      <c r="A366" s="7"/>
      <c r="B366" s="7"/>
      <c r="C366" s="12"/>
      <c r="D366" s="12"/>
      <c r="E366" s="12"/>
      <c r="F366" s="12"/>
    </row>
    <row r="367" spans="1:6">
      <c r="A367" s="7"/>
      <c r="B367" s="7"/>
      <c r="C367" s="12"/>
      <c r="D367" s="12"/>
      <c r="E367" s="12"/>
      <c r="F367" s="12"/>
    </row>
    <row r="368" spans="1:6">
      <c r="A368" s="7"/>
      <c r="B368" s="7"/>
      <c r="C368" s="12"/>
      <c r="D368" s="12"/>
      <c r="E368" s="12"/>
      <c r="F368" s="12"/>
    </row>
    <row r="370" spans="2:6">
      <c r="B370" s="382" t="s">
        <v>365</v>
      </c>
      <c r="C370" s="382"/>
      <c r="D370" s="382"/>
      <c r="E370" s="382"/>
      <c r="F370" s="382"/>
    </row>
  </sheetData>
  <mergeCells count="13">
    <mergeCell ref="B370:F370"/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  <mergeCell ref="F333:F337"/>
    <mergeCell ref="F338:F342"/>
  </mergeCells>
  <pageMargins left="0.62992125984251968" right="0.35433070866141736" top="0.47244094488188981" bottom="0.47244094488188981" header="0.31496062992125984" footer="0.31496062992125984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1"/>
  <sheetViews>
    <sheetView view="pageBreakPreview" topLeftCell="A265" zoomScaleNormal="100" zoomScaleSheetLayoutView="100" workbookViewId="0">
      <selection activeCell="A238" sqref="A238:F255"/>
    </sheetView>
  </sheetViews>
  <sheetFormatPr defaultColWidth="9.140625" defaultRowHeight="16.5"/>
  <cols>
    <col min="1" max="1" width="5.5703125" style="2" customWidth="1"/>
    <col min="2" max="2" width="53.140625" style="2" customWidth="1"/>
    <col min="3" max="4" width="9.140625" style="2"/>
    <col min="5" max="5" width="0" style="2" hidden="1" customWidth="1"/>
    <col min="6" max="6" width="15.140625" style="2" customWidth="1"/>
    <col min="7" max="16384" width="9.140625" style="2"/>
  </cols>
  <sheetData>
    <row r="1" spans="1:6" s="1" customFormat="1" ht="20.25" customHeight="1">
      <c r="A1" s="368" t="s">
        <v>61</v>
      </c>
      <c r="B1" s="368"/>
      <c r="C1" s="368"/>
      <c r="D1" s="368"/>
      <c r="E1" s="368"/>
      <c r="F1" s="368"/>
    </row>
    <row r="2" spans="1:6" s="1" customFormat="1">
      <c r="A2" s="383" t="s">
        <v>302</v>
      </c>
      <c r="B2" s="383"/>
      <c r="C2" s="383"/>
      <c r="D2" s="383"/>
      <c r="E2" s="383"/>
      <c r="F2" s="383"/>
    </row>
    <row r="3" spans="1:6" s="1" customFormat="1" ht="15.75" customHeight="1">
      <c r="A3" s="384" t="s">
        <v>2</v>
      </c>
      <c r="B3" s="384"/>
      <c r="C3" s="384"/>
      <c r="D3" s="384"/>
      <c r="E3" s="384"/>
      <c r="F3" s="384"/>
    </row>
    <row r="4" spans="1:6" s="1" customFormat="1" ht="21.75" hidden="1" customHeight="1">
      <c r="A4" s="378" t="s">
        <v>3</v>
      </c>
      <c r="B4" s="378"/>
      <c r="C4" s="378"/>
      <c r="D4" s="378"/>
    </row>
    <row r="5" spans="1:6" s="1" customFormat="1" ht="15.75" customHeight="1">
      <c r="A5" s="371" t="s">
        <v>4</v>
      </c>
      <c r="B5" s="371" t="s">
        <v>5</v>
      </c>
      <c r="C5" s="371" t="s">
        <v>6</v>
      </c>
      <c r="D5" s="371" t="s">
        <v>7</v>
      </c>
      <c r="E5" s="371" t="s">
        <v>8</v>
      </c>
      <c r="F5" s="371" t="s">
        <v>9</v>
      </c>
    </row>
    <row r="6" spans="1:6" s="1" customFormat="1" ht="17.25" customHeight="1">
      <c r="A6" s="372"/>
      <c r="B6" s="372"/>
      <c r="C6" s="372"/>
      <c r="D6" s="372"/>
      <c r="E6" s="372"/>
      <c r="F6" s="372"/>
    </row>
    <row r="7" spans="1:6" s="1" customFormat="1">
      <c r="A7" s="3" t="s">
        <v>10</v>
      </c>
      <c r="B7" s="4" t="s">
        <v>11</v>
      </c>
      <c r="C7" s="5"/>
      <c r="D7" s="6"/>
      <c r="E7" s="6"/>
      <c r="F7" s="6"/>
    </row>
    <row r="8" spans="1:6">
      <c r="A8" s="12"/>
      <c r="B8" s="8" t="s">
        <v>28</v>
      </c>
      <c r="C8" s="7"/>
      <c r="D8" s="7"/>
      <c r="E8" s="7"/>
      <c r="F8" s="7"/>
    </row>
    <row r="9" spans="1:6">
      <c r="A9" s="12"/>
      <c r="B9" s="7" t="s">
        <v>68</v>
      </c>
      <c r="C9" s="12" t="s">
        <v>71</v>
      </c>
      <c r="D9" s="12">
        <v>23</v>
      </c>
      <c r="E9" s="12"/>
      <c r="F9" s="12"/>
    </row>
    <row r="10" spans="1:6">
      <c r="A10" s="12"/>
      <c r="B10" s="7" t="s">
        <v>70</v>
      </c>
      <c r="C10" s="12" t="s">
        <v>71</v>
      </c>
      <c r="D10" s="12">
        <v>8</v>
      </c>
      <c r="E10" s="12"/>
      <c r="F10" s="12"/>
    </row>
    <row r="11" spans="1:6">
      <c r="A11" s="12"/>
      <c r="B11" s="7" t="s">
        <v>67</v>
      </c>
      <c r="C11" s="12" t="s">
        <v>71</v>
      </c>
      <c r="D11" s="12">
        <v>1</v>
      </c>
      <c r="E11" s="12"/>
      <c r="F11" s="12"/>
    </row>
    <row r="12" spans="1:6">
      <c r="A12" s="12"/>
      <c r="B12" s="25" t="s">
        <v>319</v>
      </c>
      <c r="C12" s="22" t="s">
        <v>191</v>
      </c>
      <c r="D12" s="22">
        <v>2</v>
      </c>
      <c r="E12" s="7"/>
      <c r="F12" s="7"/>
    </row>
    <row r="13" spans="1:6">
      <c r="A13" s="12"/>
      <c r="B13" s="23" t="s">
        <v>342</v>
      </c>
      <c r="C13" s="22" t="s">
        <v>191</v>
      </c>
      <c r="D13" s="22">
        <v>9</v>
      </c>
      <c r="E13" s="7"/>
      <c r="F13" s="7"/>
    </row>
    <row r="14" spans="1:6" s="37" customFormat="1">
      <c r="A14" s="12"/>
      <c r="B14" s="29" t="s">
        <v>381</v>
      </c>
      <c r="C14" s="30" t="s">
        <v>71</v>
      </c>
      <c r="D14" s="30">
        <v>4</v>
      </c>
      <c r="E14" s="30"/>
      <c r="F14" s="30"/>
    </row>
    <row r="15" spans="1:6" s="37" customFormat="1">
      <c r="A15" s="12"/>
      <c r="B15" s="29" t="s">
        <v>382</v>
      </c>
      <c r="C15" s="30" t="s">
        <v>71</v>
      </c>
      <c r="D15" s="30">
        <v>6</v>
      </c>
      <c r="E15" s="30"/>
      <c r="F15" s="30"/>
    </row>
    <row r="16" spans="1:6" s="37" customFormat="1">
      <c r="A16" s="12"/>
      <c r="B16" s="29" t="s">
        <v>391</v>
      </c>
      <c r="C16" s="30" t="s">
        <v>71</v>
      </c>
      <c r="D16" s="30">
        <v>1</v>
      </c>
      <c r="E16" s="30"/>
      <c r="F16" s="30"/>
    </row>
    <row r="17" spans="1:6">
      <c r="A17" s="12"/>
      <c r="B17" s="8" t="s">
        <v>29</v>
      </c>
      <c r="C17" s="7"/>
      <c r="D17" s="7"/>
      <c r="E17" s="7"/>
      <c r="F17" s="7"/>
    </row>
    <row r="18" spans="1:6">
      <c r="A18" s="12"/>
      <c r="B18" s="7" t="s">
        <v>68</v>
      </c>
      <c r="C18" s="12" t="s">
        <v>71</v>
      </c>
      <c r="D18" s="12">
        <v>15</v>
      </c>
      <c r="E18" s="12"/>
      <c r="F18" s="12"/>
    </row>
    <row r="19" spans="1:6">
      <c r="A19" s="12"/>
      <c r="B19" s="7" t="s">
        <v>79</v>
      </c>
      <c r="C19" s="12" t="s">
        <v>71</v>
      </c>
      <c r="D19" s="12">
        <v>1</v>
      </c>
      <c r="E19" s="12"/>
      <c r="F19" s="12"/>
    </row>
    <row r="20" spans="1:6">
      <c r="A20" s="12"/>
      <c r="B20" s="7" t="s">
        <v>70</v>
      </c>
      <c r="C20" s="12" t="s">
        <v>71</v>
      </c>
      <c r="D20" s="12">
        <v>6</v>
      </c>
      <c r="E20" s="12"/>
      <c r="F20" s="12"/>
    </row>
    <row r="21" spans="1:6">
      <c r="A21" s="12"/>
      <c r="B21" s="7" t="s">
        <v>81</v>
      </c>
      <c r="C21" s="12" t="s">
        <v>71</v>
      </c>
      <c r="D21" s="12">
        <v>2</v>
      </c>
      <c r="E21" s="12"/>
      <c r="F21" s="12"/>
    </row>
    <row r="22" spans="1:6">
      <c r="A22" s="12"/>
      <c r="B22" s="7" t="s">
        <v>67</v>
      </c>
      <c r="C22" s="12" t="s">
        <v>71</v>
      </c>
      <c r="D22" s="12">
        <v>1</v>
      </c>
      <c r="E22" s="12"/>
      <c r="F22" s="12"/>
    </row>
    <row r="23" spans="1:6">
      <c r="A23" s="12"/>
      <c r="B23" s="25" t="s">
        <v>319</v>
      </c>
      <c r="C23" s="22" t="s">
        <v>191</v>
      </c>
      <c r="D23" s="22">
        <v>1</v>
      </c>
      <c r="E23" s="12"/>
      <c r="F23" s="12"/>
    </row>
    <row r="24" spans="1:6">
      <c r="A24" s="12"/>
      <c r="B24" s="23" t="s">
        <v>342</v>
      </c>
      <c r="C24" s="22" t="s">
        <v>191</v>
      </c>
      <c r="D24" s="22">
        <v>6</v>
      </c>
      <c r="E24" s="12"/>
      <c r="F24" s="12"/>
    </row>
    <row r="25" spans="1:6" s="37" customFormat="1">
      <c r="A25" s="12"/>
      <c r="B25" s="29" t="s">
        <v>451</v>
      </c>
      <c r="C25" s="30" t="s">
        <v>71</v>
      </c>
      <c r="D25" s="30">
        <v>1</v>
      </c>
      <c r="E25" s="30"/>
      <c r="F25" s="30"/>
    </row>
    <row r="26" spans="1:6" s="37" customFormat="1">
      <c r="A26" s="12"/>
      <c r="B26" s="29" t="s">
        <v>448</v>
      </c>
      <c r="C26" s="30" t="s">
        <v>71</v>
      </c>
      <c r="D26" s="30">
        <v>1</v>
      </c>
      <c r="E26" s="30"/>
      <c r="F26" s="30"/>
    </row>
    <row r="27" spans="1:6" s="37" customFormat="1">
      <c r="A27" s="12"/>
      <c r="B27" s="29" t="s">
        <v>391</v>
      </c>
      <c r="C27" s="30" t="s">
        <v>71</v>
      </c>
      <c r="D27" s="30">
        <v>1</v>
      </c>
      <c r="E27" s="30"/>
      <c r="F27" s="30"/>
    </row>
    <row r="28" spans="1:6">
      <c r="A28" s="12"/>
      <c r="B28" s="14" t="s">
        <v>30</v>
      </c>
      <c r="C28" s="31"/>
      <c r="D28" s="31"/>
      <c r="E28" s="7"/>
      <c r="F28" s="7"/>
    </row>
    <row r="29" spans="1:6">
      <c r="A29" s="12"/>
      <c r="B29" s="31" t="s">
        <v>68</v>
      </c>
      <c r="C29" s="32" t="s">
        <v>71</v>
      </c>
      <c r="D29" s="32">
        <v>15</v>
      </c>
      <c r="E29" s="12"/>
      <c r="F29" s="12"/>
    </row>
    <row r="30" spans="1:6">
      <c r="A30" s="12"/>
      <c r="B30" s="31" t="s">
        <v>79</v>
      </c>
      <c r="C30" s="32" t="s">
        <v>71</v>
      </c>
      <c r="D30" s="32">
        <v>1</v>
      </c>
      <c r="E30" s="12"/>
      <c r="F30" s="12"/>
    </row>
    <row r="31" spans="1:6">
      <c r="A31" s="12"/>
      <c r="B31" s="31" t="s">
        <v>70</v>
      </c>
      <c r="C31" s="32" t="s">
        <v>71</v>
      </c>
      <c r="D31" s="32">
        <v>7</v>
      </c>
      <c r="E31" s="12"/>
      <c r="F31" s="12"/>
    </row>
    <row r="32" spans="1:6">
      <c r="A32" s="12"/>
      <c r="B32" s="31" t="s">
        <v>81</v>
      </c>
      <c r="C32" s="32" t="s">
        <v>71</v>
      </c>
      <c r="D32" s="32">
        <v>2</v>
      </c>
      <c r="E32" s="12"/>
      <c r="F32" s="12"/>
    </row>
    <row r="33" spans="1:6">
      <c r="A33" s="12"/>
      <c r="B33" s="31" t="s">
        <v>67</v>
      </c>
      <c r="C33" s="32" t="s">
        <v>71</v>
      </c>
      <c r="D33" s="32">
        <v>1</v>
      </c>
      <c r="E33" s="12"/>
      <c r="F33" s="12"/>
    </row>
    <row r="34" spans="1:6">
      <c r="A34" s="12"/>
      <c r="B34" s="33" t="s">
        <v>319</v>
      </c>
      <c r="C34" s="34" t="s">
        <v>191</v>
      </c>
      <c r="D34" s="34">
        <v>1</v>
      </c>
      <c r="E34" s="30"/>
      <c r="F34" s="30"/>
    </row>
    <row r="35" spans="1:6">
      <c r="A35" s="12"/>
      <c r="B35" s="35" t="s">
        <v>342</v>
      </c>
      <c r="C35" s="34" t="s">
        <v>191</v>
      </c>
      <c r="D35" s="34">
        <v>6</v>
      </c>
      <c r="E35" s="30"/>
      <c r="F35" s="30"/>
    </row>
    <row r="36" spans="1:6">
      <c r="A36" s="12"/>
      <c r="B36" s="33" t="s">
        <v>343</v>
      </c>
      <c r="C36" s="32" t="s">
        <v>191</v>
      </c>
      <c r="D36" s="32">
        <v>1</v>
      </c>
      <c r="E36" s="30"/>
      <c r="F36" s="30"/>
    </row>
    <row r="37" spans="1:6">
      <c r="A37" s="12"/>
      <c r="B37" s="33" t="s">
        <v>321</v>
      </c>
      <c r="C37" s="32" t="s">
        <v>191</v>
      </c>
      <c r="D37" s="32">
        <v>1</v>
      </c>
      <c r="E37" s="30"/>
      <c r="F37" s="30"/>
    </row>
    <row r="38" spans="1:6">
      <c r="A38" s="12"/>
      <c r="B38" s="36" t="s">
        <v>322</v>
      </c>
      <c r="C38" s="32" t="s">
        <v>191</v>
      </c>
      <c r="D38" s="32">
        <v>1</v>
      </c>
      <c r="E38" s="30"/>
      <c r="F38" s="30"/>
    </row>
    <row r="39" spans="1:6">
      <c r="A39" s="12"/>
      <c r="B39" s="33" t="s">
        <v>323</v>
      </c>
      <c r="C39" s="32" t="s">
        <v>191</v>
      </c>
      <c r="D39" s="32">
        <v>1</v>
      </c>
      <c r="E39" s="30"/>
      <c r="F39" s="30"/>
    </row>
    <row r="40" spans="1:6">
      <c r="A40" s="12"/>
      <c r="B40" s="33" t="s">
        <v>324</v>
      </c>
      <c r="C40" s="32" t="s">
        <v>191</v>
      </c>
      <c r="D40" s="32">
        <v>1</v>
      </c>
      <c r="E40" s="30"/>
      <c r="F40" s="30"/>
    </row>
    <row r="41" spans="1:6" s="37" customFormat="1">
      <c r="A41" s="12"/>
      <c r="B41" s="29" t="s">
        <v>451</v>
      </c>
      <c r="C41" s="30" t="s">
        <v>71</v>
      </c>
      <c r="D41" s="30">
        <v>1</v>
      </c>
      <c r="E41" s="30"/>
      <c r="F41" s="30"/>
    </row>
    <row r="42" spans="1:6" s="37" customFormat="1">
      <c r="A42" s="12"/>
      <c r="B42" s="29" t="s">
        <v>448</v>
      </c>
      <c r="C42" s="30" t="s">
        <v>71</v>
      </c>
      <c r="D42" s="30">
        <v>1</v>
      </c>
      <c r="E42" s="30"/>
      <c r="F42" s="30"/>
    </row>
    <row r="43" spans="1:6" s="37" customFormat="1">
      <c r="A43" s="12"/>
      <c r="B43" s="29" t="s">
        <v>391</v>
      </c>
      <c r="C43" s="30" t="s">
        <v>71</v>
      </c>
      <c r="D43" s="30">
        <v>1</v>
      </c>
      <c r="E43" s="30"/>
      <c r="F43" s="30"/>
    </row>
    <row r="44" spans="1:6">
      <c r="A44" s="12"/>
      <c r="B44" s="14" t="s">
        <v>31</v>
      </c>
      <c r="C44" s="31"/>
      <c r="D44" s="31"/>
      <c r="E44" s="7"/>
      <c r="F44" s="7"/>
    </row>
    <row r="45" spans="1:6">
      <c r="A45" s="12"/>
      <c r="B45" s="31" t="s">
        <v>68</v>
      </c>
      <c r="C45" s="32" t="s">
        <v>71</v>
      </c>
      <c r="D45" s="32">
        <v>8</v>
      </c>
      <c r="E45" s="12"/>
      <c r="F45" s="12"/>
    </row>
    <row r="46" spans="1:6">
      <c r="A46" s="12"/>
      <c r="B46" s="31" t="s">
        <v>69</v>
      </c>
      <c r="C46" s="32" t="s">
        <v>71</v>
      </c>
      <c r="D46" s="32">
        <v>1</v>
      </c>
      <c r="E46" s="12"/>
      <c r="F46" s="12"/>
    </row>
    <row r="47" spans="1:6">
      <c r="A47" s="12"/>
      <c r="B47" s="31" t="s">
        <v>70</v>
      </c>
      <c r="C47" s="32" t="s">
        <v>71</v>
      </c>
      <c r="D47" s="32">
        <v>6</v>
      </c>
      <c r="E47" s="12"/>
      <c r="F47" s="12"/>
    </row>
    <row r="48" spans="1:6">
      <c r="A48" s="12"/>
      <c r="B48" s="31" t="s">
        <v>67</v>
      </c>
      <c r="C48" s="32" t="s">
        <v>71</v>
      </c>
      <c r="D48" s="32">
        <v>1</v>
      </c>
      <c r="E48" s="12"/>
      <c r="F48" s="12"/>
    </row>
    <row r="49" spans="1:6">
      <c r="A49" s="12"/>
      <c r="B49" s="33" t="s">
        <v>319</v>
      </c>
      <c r="C49" s="34" t="s">
        <v>191</v>
      </c>
      <c r="D49" s="34">
        <v>1</v>
      </c>
      <c r="E49" s="29"/>
      <c r="F49" s="29"/>
    </row>
    <row r="50" spans="1:6">
      <c r="A50" s="12"/>
      <c r="B50" s="35" t="s">
        <v>344</v>
      </c>
      <c r="C50" s="34" t="s">
        <v>191</v>
      </c>
      <c r="D50" s="34">
        <v>3</v>
      </c>
      <c r="E50" s="30"/>
      <c r="F50" s="30"/>
    </row>
    <row r="51" spans="1:6" s="37" customFormat="1">
      <c r="A51" s="12"/>
      <c r="B51" s="29" t="s">
        <v>381</v>
      </c>
      <c r="C51" s="30" t="s">
        <v>71</v>
      </c>
      <c r="D51" s="30">
        <v>2</v>
      </c>
      <c r="E51" s="30"/>
      <c r="F51" s="30"/>
    </row>
    <row r="52" spans="1:6" s="37" customFormat="1">
      <c r="A52" s="12"/>
      <c r="B52" s="29" t="s">
        <v>387</v>
      </c>
      <c r="C52" s="30" t="s">
        <v>71</v>
      </c>
      <c r="D52" s="30">
        <v>1</v>
      </c>
      <c r="E52" s="30"/>
      <c r="F52" s="30"/>
    </row>
    <row r="53" spans="1:6">
      <c r="A53" s="12"/>
      <c r="B53" s="8" t="s">
        <v>32</v>
      </c>
      <c r="C53" s="7"/>
      <c r="D53" s="7"/>
      <c r="E53" s="7"/>
      <c r="F53" s="7"/>
    </row>
    <row r="54" spans="1:6">
      <c r="A54" s="12"/>
      <c r="B54" s="7" t="s">
        <v>82</v>
      </c>
      <c r="C54" s="12" t="s">
        <v>71</v>
      </c>
      <c r="D54" s="12">
        <v>10</v>
      </c>
      <c r="E54" s="12"/>
      <c r="F54" s="12"/>
    </row>
    <row r="55" spans="1:6">
      <c r="A55" s="12"/>
      <c r="B55" s="7" t="s">
        <v>79</v>
      </c>
      <c r="C55" s="12" t="s">
        <v>71</v>
      </c>
      <c r="D55" s="12">
        <v>1</v>
      </c>
      <c r="E55" s="12"/>
      <c r="F55" s="12"/>
    </row>
    <row r="56" spans="1:6">
      <c r="A56" s="12"/>
      <c r="B56" s="7" t="s">
        <v>70</v>
      </c>
      <c r="C56" s="12" t="s">
        <v>71</v>
      </c>
      <c r="D56" s="12">
        <v>6</v>
      </c>
      <c r="E56" s="12"/>
      <c r="F56" s="12"/>
    </row>
    <row r="57" spans="1:6">
      <c r="A57" s="12"/>
      <c r="B57" s="7" t="s">
        <v>67</v>
      </c>
      <c r="C57" s="12" t="s">
        <v>71</v>
      </c>
      <c r="D57" s="12">
        <v>1</v>
      </c>
      <c r="E57" s="12"/>
      <c r="F57" s="12"/>
    </row>
    <row r="58" spans="1:6">
      <c r="A58" s="12"/>
      <c r="B58" s="21" t="s">
        <v>319</v>
      </c>
      <c r="C58" s="22" t="s">
        <v>191</v>
      </c>
      <c r="D58" s="22">
        <v>1</v>
      </c>
      <c r="E58" s="12"/>
      <c r="F58" s="12"/>
    </row>
    <row r="59" spans="1:6">
      <c r="A59" s="12"/>
      <c r="B59" s="23" t="s">
        <v>342</v>
      </c>
      <c r="C59" s="22" t="s">
        <v>191</v>
      </c>
      <c r="D59" s="22">
        <v>6</v>
      </c>
      <c r="E59" s="12"/>
      <c r="F59" s="12"/>
    </row>
    <row r="60" spans="1:6" s="37" customFormat="1">
      <c r="A60" s="12"/>
      <c r="B60" s="29" t="s">
        <v>388</v>
      </c>
      <c r="C60" s="30" t="s">
        <v>71</v>
      </c>
      <c r="D60" s="30">
        <v>2</v>
      </c>
      <c r="E60" s="30"/>
      <c r="F60" s="30"/>
    </row>
    <row r="61" spans="1:6" s="37" customFormat="1">
      <c r="A61" s="12"/>
      <c r="B61" s="29" t="s">
        <v>381</v>
      </c>
      <c r="C61" s="30" t="s">
        <v>71</v>
      </c>
      <c r="D61" s="30">
        <v>1</v>
      </c>
      <c r="E61" s="30"/>
      <c r="F61" s="30"/>
    </row>
    <row r="62" spans="1:6" s="37" customFormat="1">
      <c r="A62" s="12"/>
      <c r="B62" s="29" t="s">
        <v>382</v>
      </c>
      <c r="C62" s="30" t="s">
        <v>71</v>
      </c>
      <c r="D62" s="30">
        <v>3</v>
      </c>
      <c r="E62" s="30"/>
      <c r="F62" s="30"/>
    </row>
    <row r="63" spans="1:6" s="37" customFormat="1">
      <c r="A63" s="12"/>
      <c r="B63" s="29" t="s">
        <v>387</v>
      </c>
      <c r="C63" s="30" t="s">
        <v>71</v>
      </c>
      <c r="D63" s="30">
        <v>1</v>
      </c>
      <c r="E63" s="30"/>
      <c r="F63" s="30"/>
    </row>
    <row r="64" spans="1:6">
      <c r="A64" s="12"/>
      <c r="B64" s="8" t="s">
        <v>33</v>
      </c>
      <c r="C64" s="7"/>
      <c r="D64" s="7"/>
      <c r="E64" s="7"/>
      <c r="F64" s="7"/>
    </row>
    <row r="65" spans="1:6">
      <c r="A65" s="12"/>
      <c r="B65" s="7" t="s">
        <v>75</v>
      </c>
      <c r="C65" s="12" t="s">
        <v>71</v>
      </c>
      <c r="D65" s="12">
        <v>20</v>
      </c>
      <c r="E65" s="12"/>
      <c r="F65" s="12"/>
    </row>
    <row r="66" spans="1:6">
      <c r="A66" s="12"/>
      <c r="B66" s="7" t="s">
        <v>79</v>
      </c>
      <c r="C66" s="12" t="s">
        <v>71</v>
      </c>
      <c r="D66" s="12">
        <v>1</v>
      </c>
      <c r="E66" s="12"/>
      <c r="F66" s="12"/>
    </row>
    <row r="67" spans="1:6">
      <c r="A67" s="12"/>
      <c r="B67" s="7" t="s">
        <v>70</v>
      </c>
      <c r="C67" s="12" t="s">
        <v>71</v>
      </c>
      <c r="D67" s="12">
        <v>8</v>
      </c>
      <c r="E67" s="12"/>
      <c r="F67" s="12"/>
    </row>
    <row r="68" spans="1:6">
      <c r="A68" s="12"/>
      <c r="B68" s="7" t="s">
        <v>81</v>
      </c>
      <c r="C68" s="12" t="s">
        <v>71</v>
      </c>
      <c r="D68" s="12">
        <v>2</v>
      </c>
      <c r="E68" s="12"/>
      <c r="F68" s="12"/>
    </row>
    <row r="69" spans="1:6">
      <c r="A69" s="12"/>
      <c r="B69" s="7" t="s">
        <v>67</v>
      </c>
      <c r="C69" s="12" t="s">
        <v>71</v>
      </c>
      <c r="D69" s="12">
        <v>1</v>
      </c>
      <c r="E69" s="12"/>
      <c r="F69" s="12"/>
    </row>
    <row r="70" spans="1:6">
      <c r="A70" s="12"/>
      <c r="B70" s="21" t="s">
        <v>319</v>
      </c>
      <c r="C70" s="22" t="s">
        <v>191</v>
      </c>
      <c r="D70" s="22">
        <v>1</v>
      </c>
      <c r="E70" s="12"/>
      <c r="F70" s="12"/>
    </row>
    <row r="71" spans="1:6">
      <c r="A71" s="12"/>
      <c r="B71" s="23" t="s">
        <v>342</v>
      </c>
      <c r="C71" s="22" t="s">
        <v>191</v>
      </c>
      <c r="D71" s="22">
        <v>6</v>
      </c>
      <c r="E71" s="12"/>
      <c r="F71" s="12"/>
    </row>
    <row r="72" spans="1:6" s="37" customFormat="1">
      <c r="A72" s="12"/>
      <c r="B72" s="29" t="s">
        <v>381</v>
      </c>
      <c r="C72" s="30" t="s">
        <v>71</v>
      </c>
      <c r="D72" s="30">
        <v>2</v>
      </c>
      <c r="E72" s="30"/>
      <c r="F72" s="30"/>
    </row>
    <row r="73" spans="1:6" s="37" customFormat="1">
      <c r="A73" s="12"/>
      <c r="B73" s="29" t="s">
        <v>391</v>
      </c>
      <c r="C73" s="30" t="s">
        <v>71</v>
      </c>
      <c r="D73" s="30">
        <v>1</v>
      </c>
      <c r="E73" s="30"/>
      <c r="F73" s="30"/>
    </row>
    <row r="74" spans="1:6">
      <c r="A74" s="12"/>
      <c r="B74" s="8" t="s">
        <v>65</v>
      </c>
      <c r="C74" s="7"/>
      <c r="D74" s="7"/>
      <c r="E74" s="7"/>
      <c r="F74" s="7"/>
    </row>
    <row r="75" spans="1:6">
      <c r="A75" s="12"/>
      <c r="B75" s="7" t="s">
        <v>82</v>
      </c>
      <c r="C75" s="12" t="s">
        <v>71</v>
      </c>
      <c r="D75" s="12">
        <v>6</v>
      </c>
      <c r="E75" s="12"/>
      <c r="F75" s="12"/>
    </row>
    <row r="76" spans="1:6">
      <c r="A76" s="12"/>
      <c r="B76" s="7" t="s">
        <v>69</v>
      </c>
      <c r="C76" s="12" t="s">
        <v>71</v>
      </c>
      <c r="D76" s="12">
        <v>1</v>
      </c>
      <c r="E76" s="12"/>
      <c r="F76" s="12"/>
    </row>
    <row r="77" spans="1:6">
      <c r="A77" s="12"/>
      <c r="B77" s="7" t="s">
        <v>70</v>
      </c>
      <c r="C77" s="12" t="s">
        <v>71</v>
      </c>
      <c r="D77" s="12">
        <v>9</v>
      </c>
      <c r="E77" s="12"/>
      <c r="F77" s="12"/>
    </row>
    <row r="78" spans="1:6">
      <c r="A78" s="12"/>
      <c r="B78" s="7" t="s">
        <v>67</v>
      </c>
      <c r="C78" s="12" t="s">
        <v>71</v>
      </c>
      <c r="D78" s="12">
        <v>1</v>
      </c>
      <c r="E78" s="12"/>
      <c r="F78" s="12"/>
    </row>
    <row r="79" spans="1:6">
      <c r="A79" s="12"/>
      <c r="B79" s="21" t="s">
        <v>319</v>
      </c>
      <c r="C79" s="22" t="s">
        <v>191</v>
      </c>
      <c r="D79" s="22">
        <v>2</v>
      </c>
      <c r="E79" s="12"/>
      <c r="F79" s="12"/>
    </row>
    <row r="80" spans="1:6">
      <c r="A80" s="12"/>
      <c r="B80" s="23" t="s">
        <v>342</v>
      </c>
      <c r="C80" s="22" t="s">
        <v>191</v>
      </c>
      <c r="D80" s="22">
        <v>4</v>
      </c>
      <c r="E80" s="12"/>
      <c r="F80" s="12"/>
    </row>
    <row r="81" spans="1:6" s="37" customFormat="1">
      <c r="A81" s="12"/>
      <c r="B81" s="29" t="s">
        <v>388</v>
      </c>
      <c r="C81" s="30" t="s">
        <v>71</v>
      </c>
      <c r="D81" s="30">
        <v>2</v>
      </c>
      <c r="E81" s="30"/>
      <c r="F81" s="30"/>
    </row>
    <row r="82" spans="1:6" s="37" customFormat="1">
      <c r="A82" s="12"/>
      <c r="B82" s="29" t="s">
        <v>382</v>
      </c>
      <c r="C82" s="30" t="s">
        <v>71</v>
      </c>
      <c r="D82" s="30">
        <v>2</v>
      </c>
      <c r="E82" s="30"/>
      <c r="F82" s="30"/>
    </row>
    <row r="83" spans="1:6" s="37" customFormat="1">
      <c r="A83" s="12"/>
      <c r="B83" s="29" t="s">
        <v>389</v>
      </c>
      <c r="C83" s="30" t="s">
        <v>71</v>
      </c>
      <c r="D83" s="30">
        <v>2</v>
      </c>
      <c r="E83" s="30"/>
      <c r="F83" s="30"/>
    </row>
    <row r="84" spans="1:6">
      <c r="A84" s="12"/>
      <c r="B84" s="8" t="s">
        <v>34</v>
      </c>
      <c r="C84" s="7"/>
      <c r="D84" s="7"/>
      <c r="E84" s="7"/>
      <c r="F84" s="7"/>
    </row>
    <row r="85" spans="1:6">
      <c r="A85" s="12"/>
      <c r="B85" s="7" t="s">
        <v>82</v>
      </c>
      <c r="C85" s="12" t="s">
        <v>71</v>
      </c>
      <c r="D85" s="12">
        <v>2</v>
      </c>
      <c r="E85" s="12"/>
      <c r="F85" s="12"/>
    </row>
    <row r="86" spans="1:6">
      <c r="A86" s="12"/>
      <c r="B86" s="7" t="s">
        <v>76</v>
      </c>
      <c r="C86" s="12" t="s">
        <v>71</v>
      </c>
      <c r="D86" s="12">
        <v>1</v>
      </c>
      <c r="E86" s="12"/>
      <c r="F86" s="12"/>
    </row>
    <row r="87" spans="1:6">
      <c r="A87" s="12"/>
      <c r="B87" s="7" t="s">
        <v>70</v>
      </c>
      <c r="C87" s="12" t="s">
        <v>71</v>
      </c>
      <c r="D87" s="12">
        <v>4</v>
      </c>
      <c r="E87" s="12"/>
      <c r="F87" s="12"/>
    </row>
    <row r="88" spans="1:6">
      <c r="A88" s="12"/>
      <c r="B88" s="7" t="s">
        <v>67</v>
      </c>
      <c r="C88" s="12" t="s">
        <v>71</v>
      </c>
      <c r="D88" s="12">
        <v>1</v>
      </c>
      <c r="E88" s="12"/>
      <c r="F88" s="12"/>
    </row>
    <row r="89" spans="1:6">
      <c r="A89" s="12"/>
      <c r="B89" s="21" t="s">
        <v>319</v>
      </c>
      <c r="C89" s="22" t="s">
        <v>191</v>
      </c>
      <c r="D89" s="22">
        <v>1</v>
      </c>
      <c r="E89" s="12"/>
      <c r="F89" s="12"/>
    </row>
    <row r="90" spans="1:6">
      <c r="A90" s="12"/>
      <c r="B90" s="23" t="s">
        <v>342</v>
      </c>
      <c r="C90" s="22" t="s">
        <v>191</v>
      </c>
      <c r="D90" s="22">
        <v>2</v>
      </c>
      <c r="E90" s="12"/>
      <c r="F90" s="12"/>
    </row>
    <row r="91" spans="1:6" s="37" customFormat="1">
      <c r="A91" s="12"/>
      <c r="B91" s="29" t="s">
        <v>388</v>
      </c>
      <c r="C91" s="30" t="s">
        <v>71</v>
      </c>
      <c r="D91" s="30">
        <v>1</v>
      </c>
      <c r="E91" s="30"/>
      <c r="F91" s="30"/>
    </row>
    <row r="92" spans="1:6">
      <c r="A92" s="12"/>
      <c r="B92" s="8" t="s">
        <v>35</v>
      </c>
      <c r="C92" s="7"/>
      <c r="D92" s="7"/>
      <c r="E92" s="7"/>
      <c r="F92" s="7"/>
    </row>
    <row r="93" spans="1:6">
      <c r="A93" s="12"/>
      <c r="B93" s="7" t="s">
        <v>68</v>
      </c>
      <c r="C93" s="12" t="s">
        <v>71</v>
      </c>
      <c r="D93" s="12">
        <v>6</v>
      </c>
      <c r="E93" s="12"/>
      <c r="F93" s="12"/>
    </row>
    <row r="94" spans="1:6">
      <c r="A94" s="12"/>
      <c r="B94" s="7" t="s">
        <v>69</v>
      </c>
      <c r="C94" s="12" t="s">
        <v>71</v>
      </c>
      <c r="D94" s="12">
        <v>1</v>
      </c>
      <c r="E94" s="12"/>
      <c r="F94" s="12"/>
    </row>
    <row r="95" spans="1:6">
      <c r="A95" s="12"/>
      <c r="B95" s="7" t="s">
        <v>70</v>
      </c>
      <c r="C95" s="12" t="s">
        <v>71</v>
      </c>
      <c r="D95" s="12">
        <v>4</v>
      </c>
      <c r="E95" s="12"/>
      <c r="F95" s="12"/>
    </row>
    <row r="96" spans="1:6">
      <c r="A96" s="12"/>
      <c r="B96" s="7" t="s">
        <v>67</v>
      </c>
      <c r="C96" s="12" t="s">
        <v>71</v>
      </c>
      <c r="D96" s="12">
        <v>1</v>
      </c>
      <c r="E96" s="12"/>
      <c r="F96" s="12"/>
    </row>
    <row r="97" spans="1:6">
      <c r="A97" s="12"/>
      <c r="B97" s="21" t="s">
        <v>319</v>
      </c>
      <c r="C97" s="22" t="s">
        <v>191</v>
      </c>
      <c r="D97" s="22">
        <v>1</v>
      </c>
      <c r="E97" s="12"/>
      <c r="F97" s="12"/>
    </row>
    <row r="98" spans="1:6">
      <c r="A98" s="12"/>
      <c r="B98" s="23" t="s">
        <v>344</v>
      </c>
      <c r="C98" s="22" t="s">
        <v>191</v>
      </c>
      <c r="D98" s="22">
        <v>2</v>
      </c>
      <c r="E98" s="12"/>
      <c r="F98" s="12"/>
    </row>
    <row r="99" spans="1:6" s="37" customFormat="1">
      <c r="A99" s="12"/>
      <c r="B99" s="29" t="s">
        <v>381</v>
      </c>
      <c r="C99" s="30" t="s">
        <v>71</v>
      </c>
      <c r="D99" s="30">
        <v>1</v>
      </c>
      <c r="E99" s="30"/>
      <c r="F99" s="30"/>
    </row>
    <row r="100" spans="1:6">
      <c r="A100" s="12"/>
      <c r="B100" s="8" t="s">
        <v>36</v>
      </c>
      <c r="C100" s="7"/>
      <c r="D100" s="7"/>
      <c r="E100" s="7"/>
      <c r="F100" s="7"/>
    </row>
    <row r="101" spans="1:6">
      <c r="A101" s="12"/>
      <c r="B101" s="7" t="s">
        <v>68</v>
      </c>
      <c r="C101" s="12" t="s">
        <v>71</v>
      </c>
      <c r="D101" s="12">
        <v>9</v>
      </c>
      <c r="E101" s="12"/>
      <c r="F101" s="12"/>
    </row>
    <row r="102" spans="1:6">
      <c r="A102" s="12"/>
      <c r="B102" s="7" t="s">
        <v>77</v>
      </c>
      <c r="C102" s="12" t="s">
        <v>71</v>
      </c>
      <c r="D102" s="12">
        <v>1</v>
      </c>
      <c r="E102" s="12"/>
      <c r="F102" s="12"/>
    </row>
    <row r="103" spans="1:6">
      <c r="A103" s="12"/>
      <c r="B103" s="7" t="s">
        <v>70</v>
      </c>
      <c r="C103" s="12" t="s">
        <v>71</v>
      </c>
      <c r="D103" s="12">
        <v>5</v>
      </c>
      <c r="E103" s="12"/>
      <c r="F103" s="12"/>
    </row>
    <row r="104" spans="1:6">
      <c r="A104" s="12"/>
      <c r="B104" s="7" t="s">
        <v>67</v>
      </c>
      <c r="C104" s="12" t="s">
        <v>71</v>
      </c>
      <c r="D104" s="12">
        <v>1</v>
      </c>
      <c r="E104" s="12"/>
      <c r="F104" s="12"/>
    </row>
    <row r="105" spans="1:6">
      <c r="A105" s="12"/>
      <c r="B105" s="21" t="s">
        <v>319</v>
      </c>
      <c r="C105" s="22" t="s">
        <v>191</v>
      </c>
      <c r="D105" s="22">
        <v>1</v>
      </c>
      <c r="E105" s="12"/>
      <c r="F105" s="12"/>
    </row>
    <row r="106" spans="1:6">
      <c r="A106" s="12"/>
      <c r="B106" s="23" t="s">
        <v>342</v>
      </c>
      <c r="C106" s="22" t="s">
        <v>191</v>
      </c>
      <c r="D106" s="22">
        <v>6</v>
      </c>
      <c r="E106" s="12"/>
      <c r="F106" s="12"/>
    </row>
    <row r="107" spans="1:6" s="37" customFormat="1">
      <c r="A107" s="12"/>
      <c r="B107" s="29" t="s">
        <v>381</v>
      </c>
      <c r="C107" s="30" t="s">
        <v>71</v>
      </c>
      <c r="D107" s="30">
        <v>2</v>
      </c>
      <c r="E107" s="30"/>
      <c r="F107" s="30"/>
    </row>
    <row r="108" spans="1:6" s="37" customFormat="1">
      <c r="A108" s="12"/>
      <c r="B108" s="29" t="s">
        <v>382</v>
      </c>
      <c r="C108" s="30" t="s">
        <v>71</v>
      </c>
      <c r="D108" s="30">
        <v>4</v>
      </c>
      <c r="E108" s="30"/>
      <c r="F108" s="30"/>
    </row>
    <row r="109" spans="1:6" s="37" customFormat="1">
      <c r="A109" s="12"/>
      <c r="B109" s="29" t="s">
        <v>383</v>
      </c>
      <c r="C109" s="30" t="s">
        <v>71</v>
      </c>
      <c r="D109" s="30">
        <v>1</v>
      </c>
      <c r="E109" s="30"/>
      <c r="F109" s="30"/>
    </row>
    <row r="110" spans="1:6">
      <c r="A110" s="12"/>
      <c r="B110" s="8" t="s">
        <v>37</v>
      </c>
      <c r="C110" s="7"/>
      <c r="D110" s="7"/>
      <c r="E110" s="7"/>
      <c r="F110" s="7"/>
    </row>
    <row r="111" spans="1:6">
      <c r="A111" s="12"/>
      <c r="B111" s="7" t="s">
        <v>75</v>
      </c>
      <c r="C111" s="12" t="s">
        <v>71</v>
      </c>
      <c r="D111" s="12">
        <v>25</v>
      </c>
      <c r="E111" s="12"/>
      <c r="F111" s="12"/>
    </row>
    <row r="112" spans="1:6">
      <c r="A112" s="12"/>
      <c r="B112" s="7" t="s">
        <v>70</v>
      </c>
      <c r="C112" s="12" t="s">
        <v>71</v>
      </c>
      <c r="D112" s="12">
        <v>5</v>
      </c>
      <c r="E112" s="12"/>
      <c r="F112" s="12"/>
    </row>
    <row r="113" spans="1:6">
      <c r="A113" s="12"/>
      <c r="B113" s="7" t="s">
        <v>81</v>
      </c>
      <c r="C113" s="12" t="s">
        <v>71</v>
      </c>
      <c r="D113" s="12">
        <v>2</v>
      </c>
      <c r="E113" s="12"/>
      <c r="F113" s="12"/>
    </row>
    <row r="114" spans="1:6">
      <c r="A114" s="12"/>
      <c r="B114" s="7" t="s">
        <v>67</v>
      </c>
      <c r="C114" s="12" t="s">
        <v>71</v>
      </c>
      <c r="D114" s="12">
        <v>1</v>
      </c>
      <c r="E114" s="12"/>
      <c r="F114" s="12"/>
    </row>
    <row r="115" spans="1:6">
      <c r="A115" s="12"/>
      <c r="B115" s="21" t="s">
        <v>319</v>
      </c>
      <c r="C115" s="22" t="s">
        <v>191</v>
      </c>
      <c r="D115" s="22">
        <v>1</v>
      </c>
      <c r="E115" s="12"/>
      <c r="F115" s="12"/>
    </row>
    <row r="116" spans="1:6">
      <c r="A116" s="12"/>
      <c r="B116" s="23" t="s">
        <v>344</v>
      </c>
      <c r="C116" s="22" t="s">
        <v>191</v>
      </c>
      <c r="D116" s="22">
        <v>6</v>
      </c>
      <c r="E116" s="12"/>
      <c r="F116" s="12"/>
    </row>
    <row r="117" spans="1:6" s="37" customFormat="1">
      <c r="A117" s="12"/>
      <c r="B117" s="29" t="s">
        <v>381</v>
      </c>
      <c r="C117" s="30" t="s">
        <v>71</v>
      </c>
      <c r="D117" s="30">
        <v>2</v>
      </c>
      <c r="E117" s="30"/>
      <c r="F117" s="30"/>
    </row>
    <row r="118" spans="1:6" s="37" customFormat="1">
      <c r="A118" s="12"/>
      <c r="B118" s="29" t="s">
        <v>391</v>
      </c>
      <c r="C118" s="30" t="s">
        <v>71</v>
      </c>
      <c r="D118" s="30">
        <v>1</v>
      </c>
      <c r="E118" s="30"/>
      <c r="F118" s="30"/>
    </row>
    <row r="119" spans="1:6">
      <c r="A119" s="12"/>
      <c r="B119" s="8" t="s">
        <v>445</v>
      </c>
      <c r="C119" s="7"/>
      <c r="D119" s="7"/>
      <c r="E119" s="7"/>
      <c r="F119" s="7"/>
    </row>
    <row r="120" spans="1:6">
      <c r="A120" s="12"/>
      <c r="B120" s="7" t="s">
        <v>68</v>
      </c>
      <c r="C120" s="12" t="s">
        <v>71</v>
      </c>
      <c r="D120" s="12">
        <v>14</v>
      </c>
      <c r="E120" s="12"/>
      <c r="F120" s="12"/>
    </row>
    <row r="121" spans="1:6">
      <c r="A121" s="12"/>
      <c r="B121" s="7" t="s">
        <v>77</v>
      </c>
      <c r="C121" s="12" t="s">
        <v>71</v>
      </c>
      <c r="D121" s="12">
        <v>1</v>
      </c>
      <c r="E121" s="12"/>
      <c r="F121" s="12"/>
    </row>
    <row r="122" spans="1:6">
      <c r="A122" s="12"/>
      <c r="B122" s="7" t="s">
        <v>70</v>
      </c>
      <c r="C122" s="12" t="s">
        <v>71</v>
      </c>
      <c r="D122" s="12">
        <v>8</v>
      </c>
      <c r="E122" s="12"/>
      <c r="F122" s="12"/>
    </row>
    <row r="123" spans="1:6">
      <c r="A123" s="12"/>
      <c r="B123" s="7" t="s">
        <v>67</v>
      </c>
      <c r="C123" s="12" t="s">
        <v>71</v>
      </c>
      <c r="D123" s="12">
        <v>1</v>
      </c>
      <c r="E123" s="12"/>
      <c r="F123" s="12"/>
    </row>
    <row r="124" spans="1:6">
      <c r="A124" s="12"/>
      <c r="B124" s="21" t="s">
        <v>319</v>
      </c>
      <c r="C124" s="22" t="s">
        <v>191</v>
      </c>
      <c r="D124" s="22">
        <v>1</v>
      </c>
      <c r="E124" s="12"/>
      <c r="F124" s="12"/>
    </row>
    <row r="125" spans="1:6">
      <c r="A125" s="12"/>
      <c r="B125" s="23" t="s">
        <v>344</v>
      </c>
      <c r="C125" s="22" t="s">
        <v>191</v>
      </c>
      <c r="D125" s="22">
        <v>6</v>
      </c>
      <c r="E125" s="12"/>
      <c r="F125" s="12"/>
    </row>
    <row r="126" spans="1:6" s="37" customFormat="1">
      <c r="A126" s="12"/>
      <c r="B126" s="29" t="s">
        <v>381</v>
      </c>
      <c r="C126" s="30" t="s">
        <v>71</v>
      </c>
      <c r="D126" s="30">
        <v>3</v>
      </c>
      <c r="E126" s="30"/>
      <c r="F126" s="30"/>
    </row>
    <row r="127" spans="1:6" s="37" customFormat="1">
      <c r="A127" s="12"/>
      <c r="B127" s="29" t="s">
        <v>382</v>
      </c>
      <c r="C127" s="30" t="s">
        <v>71</v>
      </c>
      <c r="D127" s="30">
        <v>6</v>
      </c>
      <c r="E127" s="30"/>
      <c r="F127" s="30"/>
    </row>
    <row r="128" spans="1:6" s="37" customFormat="1">
      <c r="A128" s="12"/>
      <c r="B128" s="29" t="s">
        <v>387</v>
      </c>
      <c r="C128" s="30" t="s">
        <v>71</v>
      </c>
      <c r="D128" s="30">
        <v>1</v>
      </c>
      <c r="E128" s="30"/>
      <c r="F128" s="30"/>
    </row>
    <row r="129" spans="1:6">
      <c r="A129" s="12"/>
      <c r="B129" s="8" t="s">
        <v>368</v>
      </c>
      <c r="C129" s="7"/>
      <c r="D129" s="7"/>
      <c r="E129" s="7"/>
      <c r="F129" s="7"/>
    </row>
    <row r="130" spans="1:6">
      <c r="A130" s="12"/>
      <c r="B130" s="7" t="s">
        <v>75</v>
      </c>
      <c r="C130" s="12" t="s">
        <v>71</v>
      </c>
      <c r="D130" s="12">
        <v>7</v>
      </c>
      <c r="E130" s="12"/>
      <c r="F130" s="12"/>
    </row>
    <row r="131" spans="1:6">
      <c r="A131" s="12"/>
      <c r="B131" s="7" t="s">
        <v>74</v>
      </c>
      <c r="C131" s="12" t="s">
        <v>71</v>
      </c>
      <c r="D131" s="12">
        <v>2</v>
      </c>
      <c r="E131" s="12"/>
      <c r="F131" s="12"/>
    </row>
    <row r="132" spans="1:6">
      <c r="A132" s="12"/>
      <c r="B132" s="7" t="s">
        <v>69</v>
      </c>
      <c r="C132" s="12" t="s">
        <v>71</v>
      </c>
      <c r="D132" s="12">
        <v>2</v>
      </c>
      <c r="E132" s="12"/>
      <c r="F132" s="12"/>
    </row>
    <row r="133" spans="1:6">
      <c r="A133" s="12"/>
      <c r="B133" s="7" t="s">
        <v>70</v>
      </c>
      <c r="C133" s="12" t="s">
        <v>71</v>
      </c>
      <c r="D133" s="12">
        <v>4</v>
      </c>
      <c r="E133" s="12"/>
      <c r="F133" s="12"/>
    </row>
    <row r="134" spans="1:6">
      <c r="A134" s="12"/>
      <c r="B134" s="7" t="s">
        <v>67</v>
      </c>
      <c r="C134" s="12" t="s">
        <v>71</v>
      </c>
      <c r="D134" s="12">
        <v>1</v>
      </c>
      <c r="E134" s="12"/>
      <c r="F134" s="12"/>
    </row>
    <row r="135" spans="1:6">
      <c r="A135" s="12"/>
      <c r="B135" s="7" t="s">
        <v>366</v>
      </c>
      <c r="C135" s="12" t="s">
        <v>71</v>
      </c>
      <c r="D135" s="12">
        <v>1</v>
      </c>
      <c r="E135" s="12"/>
      <c r="F135" s="12"/>
    </row>
    <row r="136" spans="1:6">
      <c r="A136" s="12"/>
      <c r="B136" s="7" t="s">
        <v>230</v>
      </c>
      <c r="C136" s="12" t="s">
        <v>71</v>
      </c>
      <c r="D136" s="12">
        <v>1</v>
      </c>
      <c r="E136" s="12"/>
      <c r="F136" s="12"/>
    </row>
    <row r="137" spans="1:6">
      <c r="A137" s="12"/>
      <c r="B137" s="7" t="s">
        <v>237</v>
      </c>
      <c r="C137" s="12" t="s">
        <v>71</v>
      </c>
      <c r="D137" s="12">
        <v>1</v>
      </c>
      <c r="E137" s="12"/>
      <c r="F137" s="12"/>
    </row>
    <row r="138" spans="1:6">
      <c r="A138" s="12"/>
      <c r="B138" s="7" t="s">
        <v>231</v>
      </c>
      <c r="C138" s="12" t="s">
        <v>71</v>
      </c>
      <c r="D138" s="12">
        <v>1</v>
      </c>
      <c r="E138" s="12"/>
      <c r="F138" s="12"/>
    </row>
    <row r="139" spans="1:6">
      <c r="A139" s="12"/>
      <c r="B139" s="21" t="s">
        <v>319</v>
      </c>
      <c r="C139" s="22" t="s">
        <v>191</v>
      </c>
      <c r="D139" s="22">
        <v>1</v>
      </c>
      <c r="E139" s="12"/>
      <c r="F139" s="12"/>
    </row>
    <row r="140" spans="1:6">
      <c r="A140" s="12"/>
      <c r="B140" s="23" t="s">
        <v>344</v>
      </c>
      <c r="C140" s="22" t="s">
        <v>191</v>
      </c>
      <c r="D140" s="22">
        <v>2</v>
      </c>
      <c r="E140" s="12"/>
      <c r="F140" s="12"/>
    </row>
    <row r="141" spans="1:6" s="37" customFormat="1">
      <c r="A141" s="12"/>
      <c r="B141" s="29" t="s">
        <v>388</v>
      </c>
      <c r="C141" s="30" t="s">
        <v>71</v>
      </c>
      <c r="D141" s="30">
        <v>1</v>
      </c>
      <c r="E141" s="30"/>
      <c r="F141" s="30"/>
    </row>
    <row r="142" spans="1:6" s="37" customFormat="1">
      <c r="A142" s="12"/>
      <c r="B142" s="29" t="s">
        <v>389</v>
      </c>
      <c r="C142" s="30" t="s">
        <v>71</v>
      </c>
      <c r="D142" s="30">
        <v>1</v>
      </c>
      <c r="E142" s="30"/>
      <c r="F142" s="30"/>
    </row>
    <row r="143" spans="1:6" s="37" customFormat="1">
      <c r="A143" s="12"/>
      <c r="B143" s="29" t="s">
        <v>399</v>
      </c>
      <c r="C143" s="30" t="s">
        <v>71</v>
      </c>
      <c r="D143" s="30">
        <v>1</v>
      </c>
      <c r="E143" s="30"/>
      <c r="F143" s="30"/>
    </row>
    <row r="144" spans="1:6">
      <c r="A144" s="12"/>
      <c r="B144" s="8" t="s">
        <v>367</v>
      </c>
      <c r="C144" s="7"/>
      <c r="D144" s="7"/>
      <c r="E144" s="7"/>
      <c r="F144" s="7"/>
    </row>
    <row r="145" spans="1:6">
      <c r="A145" s="12"/>
      <c r="B145" s="7" t="s">
        <v>75</v>
      </c>
      <c r="C145" s="12" t="s">
        <v>71</v>
      </c>
      <c r="D145" s="12">
        <v>7</v>
      </c>
      <c r="E145" s="12"/>
      <c r="F145" s="12"/>
    </row>
    <row r="146" spans="1:6">
      <c r="A146" s="12"/>
      <c r="B146" s="7" t="s">
        <v>74</v>
      </c>
      <c r="C146" s="12" t="s">
        <v>71</v>
      </c>
      <c r="D146" s="12">
        <v>2</v>
      </c>
      <c r="E146" s="12"/>
      <c r="F146" s="12"/>
    </row>
    <row r="147" spans="1:6">
      <c r="A147" s="12"/>
      <c r="B147" s="7" t="s">
        <v>69</v>
      </c>
      <c r="C147" s="12" t="s">
        <v>71</v>
      </c>
      <c r="D147" s="12">
        <v>2</v>
      </c>
      <c r="E147" s="12"/>
      <c r="F147" s="12"/>
    </row>
    <row r="148" spans="1:6">
      <c r="A148" s="12"/>
      <c r="B148" s="7" t="s">
        <v>70</v>
      </c>
      <c r="C148" s="12" t="s">
        <v>71</v>
      </c>
      <c r="D148" s="12">
        <v>4</v>
      </c>
      <c r="E148" s="12"/>
      <c r="F148" s="12"/>
    </row>
    <row r="149" spans="1:6">
      <c r="A149" s="12"/>
      <c r="B149" s="7" t="s">
        <v>67</v>
      </c>
      <c r="C149" s="12" t="s">
        <v>71</v>
      </c>
      <c r="D149" s="12">
        <v>1</v>
      </c>
      <c r="E149" s="12"/>
      <c r="F149" s="12"/>
    </row>
    <row r="150" spans="1:6">
      <c r="A150" s="12"/>
      <c r="B150" s="7" t="s">
        <v>366</v>
      </c>
      <c r="C150" s="12" t="s">
        <v>71</v>
      </c>
      <c r="D150" s="12">
        <v>1</v>
      </c>
      <c r="E150" s="12"/>
      <c r="F150" s="12"/>
    </row>
    <row r="151" spans="1:6">
      <c r="A151" s="12"/>
      <c r="B151" s="7" t="s">
        <v>230</v>
      </c>
      <c r="C151" s="12" t="s">
        <v>71</v>
      </c>
      <c r="D151" s="12">
        <v>1</v>
      </c>
      <c r="E151" s="12"/>
      <c r="F151" s="12"/>
    </row>
    <row r="152" spans="1:6">
      <c r="A152" s="12"/>
      <c r="B152" s="7" t="s">
        <v>237</v>
      </c>
      <c r="C152" s="12" t="s">
        <v>71</v>
      </c>
      <c r="D152" s="12">
        <v>1</v>
      </c>
      <c r="E152" s="12"/>
      <c r="F152" s="12"/>
    </row>
    <row r="153" spans="1:6">
      <c r="A153" s="12"/>
      <c r="B153" s="7" t="s">
        <v>231</v>
      </c>
      <c r="C153" s="12" t="s">
        <v>71</v>
      </c>
      <c r="D153" s="12">
        <v>1</v>
      </c>
      <c r="E153" s="12"/>
      <c r="F153" s="12"/>
    </row>
    <row r="154" spans="1:6">
      <c r="A154" s="12"/>
      <c r="B154" s="21" t="s">
        <v>319</v>
      </c>
      <c r="C154" s="22" t="s">
        <v>191</v>
      </c>
      <c r="D154" s="22">
        <v>1</v>
      </c>
      <c r="E154" s="12"/>
      <c r="F154" s="12"/>
    </row>
    <row r="155" spans="1:6">
      <c r="A155" s="12"/>
      <c r="B155" s="23" t="s">
        <v>342</v>
      </c>
      <c r="C155" s="22" t="s">
        <v>191</v>
      </c>
      <c r="D155" s="22">
        <v>2</v>
      </c>
      <c r="E155" s="12"/>
      <c r="F155" s="12"/>
    </row>
    <row r="156" spans="1:6" s="37" customFormat="1">
      <c r="A156" s="12"/>
      <c r="B156" s="29" t="s">
        <v>388</v>
      </c>
      <c r="C156" s="30" t="s">
        <v>71</v>
      </c>
      <c r="D156" s="30">
        <v>1</v>
      </c>
      <c r="E156" s="30"/>
      <c r="F156" s="30"/>
    </row>
    <row r="157" spans="1:6" s="37" customFormat="1">
      <c r="A157" s="12"/>
      <c r="B157" s="29" t="s">
        <v>389</v>
      </c>
      <c r="C157" s="30" t="s">
        <v>71</v>
      </c>
      <c r="D157" s="30">
        <v>1</v>
      </c>
      <c r="E157" s="30"/>
      <c r="F157" s="30"/>
    </row>
    <row r="158" spans="1:6" s="37" customFormat="1">
      <c r="A158" s="12"/>
      <c r="B158" s="29" t="s">
        <v>446</v>
      </c>
      <c r="C158" s="30" t="s">
        <v>71</v>
      </c>
      <c r="D158" s="30">
        <v>1</v>
      </c>
      <c r="E158" s="30"/>
      <c r="F158" s="30"/>
    </row>
    <row r="159" spans="1:6" s="37" customFormat="1">
      <c r="A159" s="12"/>
      <c r="B159" s="29" t="s">
        <v>399</v>
      </c>
      <c r="C159" s="30" t="s">
        <v>71</v>
      </c>
      <c r="D159" s="30">
        <v>1</v>
      </c>
      <c r="E159" s="30"/>
      <c r="F159" s="30"/>
    </row>
    <row r="160" spans="1:6">
      <c r="A160" s="12"/>
      <c r="B160" s="8" t="s">
        <v>38</v>
      </c>
      <c r="C160" s="7"/>
      <c r="D160" s="7"/>
      <c r="E160" s="7"/>
      <c r="F160" s="7"/>
    </row>
    <row r="161" spans="1:6">
      <c r="A161" s="12"/>
      <c r="B161" s="7" t="s">
        <v>68</v>
      </c>
      <c r="C161" s="12" t="s">
        <v>71</v>
      </c>
      <c r="D161" s="12">
        <v>14</v>
      </c>
      <c r="E161" s="12"/>
      <c r="F161" s="12"/>
    </row>
    <row r="162" spans="1:6">
      <c r="A162" s="12"/>
      <c r="B162" s="7" t="s">
        <v>77</v>
      </c>
      <c r="C162" s="12" t="s">
        <v>71</v>
      </c>
      <c r="D162" s="12">
        <v>1</v>
      </c>
      <c r="E162" s="12"/>
      <c r="F162" s="12"/>
    </row>
    <row r="163" spans="1:6">
      <c r="A163" s="12"/>
      <c r="B163" s="7" t="s">
        <v>70</v>
      </c>
      <c r="C163" s="12" t="s">
        <v>71</v>
      </c>
      <c r="D163" s="12">
        <v>7</v>
      </c>
      <c r="E163" s="12"/>
      <c r="F163" s="12"/>
    </row>
    <row r="164" spans="1:6">
      <c r="A164" s="12"/>
      <c r="B164" s="7" t="s">
        <v>67</v>
      </c>
      <c r="C164" s="12" t="s">
        <v>71</v>
      </c>
      <c r="D164" s="12">
        <v>1</v>
      </c>
      <c r="E164" s="12"/>
      <c r="F164" s="12"/>
    </row>
    <row r="165" spans="1:6">
      <c r="A165" s="12"/>
      <c r="B165" s="21" t="s">
        <v>319</v>
      </c>
      <c r="C165" s="22" t="s">
        <v>191</v>
      </c>
      <c r="D165" s="22">
        <v>1</v>
      </c>
      <c r="E165" s="12"/>
      <c r="F165" s="12"/>
    </row>
    <row r="166" spans="1:6">
      <c r="A166" s="12"/>
      <c r="B166" s="23" t="s">
        <v>342</v>
      </c>
      <c r="C166" s="22" t="s">
        <v>191</v>
      </c>
      <c r="D166" s="22">
        <v>6</v>
      </c>
      <c r="E166" s="12"/>
      <c r="F166" s="12"/>
    </row>
    <row r="167" spans="1:6" s="37" customFormat="1">
      <c r="A167" s="12"/>
      <c r="B167" s="29" t="s">
        <v>381</v>
      </c>
      <c r="C167" s="30" t="s">
        <v>71</v>
      </c>
      <c r="D167" s="30">
        <v>3</v>
      </c>
      <c r="E167" s="30"/>
      <c r="F167" s="30"/>
    </row>
    <row r="168" spans="1:6" s="37" customFormat="1">
      <c r="A168" s="12"/>
      <c r="B168" s="29" t="s">
        <v>382</v>
      </c>
      <c r="C168" s="30" t="s">
        <v>71</v>
      </c>
      <c r="D168" s="30">
        <v>6</v>
      </c>
      <c r="E168" s="30"/>
      <c r="F168" s="30"/>
    </row>
    <row r="169" spans="1:6" s="37" customFormat="1">
      <c r="A169" s="12"/>
      <c r="B169" s="29" t="s">
        <v>387</v>
      </c>
      <c r="C169" s="30" t="s">
        <v>71</v>
      </c>
      <c r="D169" s="30">
        <v>1</v>
      </c>
      <c r="E169" s="30"/>
      <c r="F169" s="30"/>
    </row>
    <row r="170" spans="1:6">
      <c r="A170" s="12"/>
      <c r="B170" s="8" t="s">
        <v>39</v>
      </c>
      <c r="C170" s="7"/>
      <c r="D170" s="7"/>
      <c r="E170" s="7"/>
      <c r="F170" s="7"/>
    </row>
    <row r="171" spans="1:6">
      <c r="A171" s="12"/>
      <c r="B171" s="7" t="s">
        <v>75</v>
      </c>
      <c r="C171" s="12" t="s">
        <v>71</v>
      </c>
      <c r="D171" s="12">
        <v>25</v>
      </c>
      <c r="E171" s="12"/>
      <c r="F171" s="12"/>
    </row>
    <row r="172" spans="1:6">
      <c r="A172" s="12"/>
      <c r="B172" s="7" t="s">
        <v>70</v>
      </c>
      <c r="C172" s="12" t="s">
        <v>71</v>
      </c>
      <c r="D172" s="12">
        <v>5</v>
      </c>
      <c r="E172" s="12"/>
      <c r="F172" s="12"/>
    </row>
    <row r="173" spans="1:6">
      <c r="A173" s="12"/>
      <c r="B173" s="7" t="s">
        <v>81</v>
      </c>
      <c r="C173" s="12" t="s">
        <v>71</v>
      </c>
      <c r="D173" s="12">
        <v>2</v>
      </c>
      <c r="E173" s="12"/>
      <c r="F173" s="12"/>
    </row>
    <row r="174" spans="1:6">
      <c r="A174" s="12"/>
      <c r="B174" s="7" t="s">
        <v>67</v>
      </c>
      <c r="C174" s="12" t="s">
        <v>71</v>
      </c>
      <c r="D174" s="12">
        <v>1</v>
      </c>
      <c r="E174" s="12"/>
      <c r="F174" s="12"/>
    </row>
    <row r="175" spans="1:6">
      <c r="A175" s="12"/>
      <c r="B175" s="21" t="s">
        <v>319</v>
      </c>
      <c r="C175" s="22" t="s">
        <v>191</v>
      </c>
      <c r="D175" s="22">
        <v>1</v>
      </c>
      <c r="E175" s="12"/>
      <c r="F175" s="12"/>
    </row>
    <row r="176" spans="1:6">
      <c r="A176" s="12"/>
      <c r="B176" s="23" t="s">
        <v>344</v>
      </c>
      <c r="C176" s="22" t="s">
        <v>191</v>
      </c>
      <c r="D176" s="22">
        <v>6</v>
      </c>
      <c r="E176" s="12"/>
      <c r="F176" s="12"/>
    </row>
    <row r="177" spans="1:6" s="37" customFormat="1">
      <c r="A177" s="12"/>
      <c r="B177" s="29" t="s">
        <v>381</v>
      </c>
      <c r="C177" s="30" t="s">
        <v>71</v>
      </c>
      <c r="D177" s="30">
        <v>1</v>
      </c>
      <c r="E177" s="30"/>
      <c r="F177" s="30"/>
    </row>
    <row r="178" spans="1:6" s="37" customFormat="1">
      <c r="A178" s="12"/>
      <c r="B178" s="29" t="s">
        <v>388</v>
      </c>
      <c r="C178" s="30" t="s">
        <v>71</v>
      </c>
      <c r="D178" s="30">
        <v>1</v>
      </c>
      <c r="E178" s="30"/>
      <c r="F178" s="30"/>
    </row>
    <row r="179" spans="1:6" s="37" customFormat="1">
      <c r="A179" s="12"/>
      <c r="B179" s="29" t="s">
        <v>391</v>
      </c>
      <c r="C179" s="30" t="s">
        <v>71</v>
      </c>
      <c r="D179" s="30">
        <v>1</v>
      </c>
      <c r="E179" s="30"/>
      <c r="F179" s="30"/>
    </row>
    <row r="180" spans="1:6">
      <c r="A180" s="12"/>
      <c r="B180" s="8" t="s">
        <v>40</v>
      </c>
      <c r="C180" s="7"/>
      <c r="D180" s="7"/>
      <c r="E180" s="7"/>
      <c r="F180" s="7"/>
    </row>
    <row r="181" spans="1:6">
      <c r="A181" s="12"/>
      <c r="B181" s="7" t="s">
        <v>68</v>
      </c>
      <c r="C181" s="12" t="s">
        <v>71</v>
      </c>
      <c r="D181" s="12">
        <v>11</v>
      </c>
      <c r="E181" s="12"/>
      <c r="F181" s="12"/>
    </row>
    <row r="182" spans="1:6">
      <c r="A182" s="12"/>
      <c r="B182" s="7" t="s">
        <v>77</v>
      </c>
      <c r="C182" s="12" t="s">
        <v>71</v>
      </c>
      <c r="D182" s="12">
        <v>1</v>
      </c>
      <c r="E182" s="12"/>
      <c r="F182" s="12"/>
    </row>
    <row r="183" spans="1:6">
      <c r="A183" s="12"/>
      <c r="B183" s="7" t="s">
        <v>70</v>
      </c>
      <c r="C183" s="12" t="s">
        <v>71</v>
      </c>
      <c r="D183" s="12">
        <v>6</v>
      </c>
      <c r="E183" s="12"/>
      <c r="F183" s="12"/>
    </row>
    <row r="184" spans="1:6">
      <c r="A184" s="12"/>
      <c r="B184" s="7" t="s">
        <v>67</v>
      </c>
      <c r="C184" s="12" t="s">
        <v>71</v>
      </c>
      <c r="D184" s="12">
        <v>1</v>
      </c>
      <c r="E184" s="12"/>
      <c r="F184" s="12"/>
    </row>
    <row r="185" spans="1:6">
      <c r="A185" s="12"/>
      <c r="B185" s="21" t="s">
        <v>319</v>
      </c>
      <c r="C185" s="22" t="s">
        <v>191</v>
      </c>
      <c r="D185" s="22">
        <v>1</v>
      </c>
      <c r="E185" s="12"/>
      <c r="F185" s="12"/>
    </row>
    <row r="186" spans="1:6">
      <c r="A186" s="12"/>
      <c r="B186" s="23" t="s">
        <v>342</v>
      </c>
      <c r="C186" s="22" t="s">
        <v>191</v>
      </c>
      <c r="D186" s="22">
        <v>6</v>
      </c>
      <c r="E186" s="12"/>
      <c r="F186" s="12"/>
    </row>
    <row r="187" spans="1:6" s="37" customFormat="1">
      <c r="A187" s="12"/>
      <c r="B187" s="29" t="s">
        <v>388</v>
      </c>
      <c r="C187" s="30" t="s">
        <v>71</v>
      </c>
      <c r="D187" s="30">
        <v>3</v>
      </c>
      <c r="E187" s="30"/>
      <c r="F187" s="30"/>
    </row>
    <row r="188" spans="1:6" s="37" customFormat="1">
      <c r="A188" s="12"/>
      <c r="B188" s="29" t="s">
        <v>382</v>
      </c>
      <c r="C188" s="30" t="s">
        <v>71</v>
      </c>
      <c r="D188" s="30">
        <v>4</v>
      </c>
      <c r="E188" s="30"/>
      <c r="F188" s="30"/>
    </row>
    <row r="189" spans="1:6" s="37" customFormat="1">
      <c r="A189" s="12"/>
      <c r="B189" s="29" t="s">
        <v>387</v>
      </c>
      <c r="C189" s="30" t="s">
        <v>71</v>
      </c>
      <c r="D189" s="30">
        <v>1</v>
      </c>
      <c r="E189" s="30"/>
      <c r="F189" s="30"/>
    </row>
    <row r="190" spans="1:6">
      <c r="A190" s="12"/>
      <c r="B190" s="8" t="s">
        <v>64</v>
      </c>
      <c r="C190" s="7"/>
      <c r="D190" s="7"/>
      <c r="E190" s="7"/>
      <c r="F190" s="7"/>
    </row>
    <row r="191" spans="1:6">
      <c r="A191" s="12"/>
      <c r="B191" s="7" t="s">
        <v>82</v>
      </c>
      <c r="C191" s="12" t="s">
        <v>71</v>
      </c>
      <c r="D191" s="12">
        <v>10</v>
      </c>
      <c r="E191" s="12"/>
      <c r="F191" s="12"/>
    </row>
    <row r="192" spans="1:6">
      <c r="A192" s="12"/>
      <c r="B192" s="7" t="s">
        <v>79</v>
      </c>
      <c r="C192" s="12" t="s">
        <v>71</v>
      </c>
      <c r="D192" s="12">
        <v>1</v>
      </c>
      <c r="E192" s="12"/>
      <c r="F192" s="12"/>
    </row>
    <row r="193" spans="1:6">
      <c r="A193" s="12"/>
      <c r="B193" s="7" t="s">
        <v>70</v>
      </c>
      <c r="C193" s="12" t="s">
        <v>71</v>
      </c>
      <c r="D193" s="12">
        <v>7</v>
      </c>
      <c r="E193" s="12"/>
      <c r="F193" s="12"/>
    </row>
    <row r="194" spans="1:6">
      <c r="A194" s="12"/>
      <c r="B194" s="7" t="s">
        <v>67</v>
      </c>
      <c r="C194" s="12" t="s">
        <v>71</v>
      </c>
      <c r="D194" s="12">
        <v>1</v>
      </c>
      <c r="E194" s="12"/>
      <c r="F194" s="12"/>
    </row>
    <row r="195" spans="1:6">
      <c r="A195" s="12"/>
      <c r="B195" s="21" t="s">
        <v>319</v>
      </c>
      <c r="C195" s="22" t="s">
        <v>191</v>
      </c>
      <c r="D195" s="22">
        <v>1</v>
      </c>
      <c r="E195" s="7"/>
      <c r="F195" s="7"/>
    </row>
    <row r="196" spans="1:6">
      <c r="A196" s="12"/>
      <c r="B196" s="23" t="s">
        <v>344</v>
      </c>
      <c r="C196" s="22" t="s">
        <v>191</v>
      </c>
      <c r="D196" s="22">
        <v>6</v>
      </c>
      <c r="E196" s="12"/>
      <c r="F196" s="12"/>
    </row>
    <row r="197" spans="1:6" s="37" customFormat="1">
      <c r="A197" s="12"/>
      <c r="B197" s="29" t="s">
        <v>381</v>
      </c>
      <c r="C197" s="30" t="s">
        <v>71</v>
      </c>
      <c r="D197" s="30">
        <v>2</v>
      </c>
      <c r="E197" s="30"/>
      <c r="F197" s="30"/>
    </row>
    <row r="198" spans="1:6" s="37" customFormat="1">
      <c r="A198" s="12"/>
      <c r="B198" s="29" t="s">
        <v>388</v>
      </c>
      <c r="C198" s="30" t="s">
        <v>71</v>
      </c>
      <c r="D198" s="30">
        <v>1</v>
      </c>
      <c r="E198" s="30"/>
      <c r="F198" s="30"/>
    </row>
    <row r="199" spans="1:6" s="37" customFormat="1">
      <c r="A199" s="12"/>
      <c r="B199" s="29" t="s">
        <v>391</v>
      </c>
      <c r="C199" s="30" t="s">
        <v>71</v>
      </c>
      <c r="D199" s="30">
        <v>1</v>
      </c>
      <c r="E199" s="30"/>
      <c r="F199" s="30"/>
    </row>
    <row r="200" spans="1:6">
      <c r="A200" s="12"/>
      <c r="B200" s="8" t="s">
        <v>63</v>
      </c>
      <c r="C200" s="7"/>
      <c r="D200" s="7"/>
      <c r="E200" s="7"/>
      <c r="F200" s="7"/>
    </row>
    <row r="201" spans="1:6">
      <c r="A201" s="12"/>
      <c r="B201" s="7" t="s">
        <v>82</v>
      </c>
      <c r="C201" s="12" t="s">
        <v>71</v>
      </c>
      <c r="D201" s="12">
        <v>10</v>
      </c>
      <c r="E201" s="12"/>
      <c r="F201" s="12"/>
    </row>
    <row r="202" spans="1:6">
      <c r="A202" s="12"/>
      <c r="B202" s="7" t="s">
        <v>79</v>
      </c>
      <c r="C202" s="12" t="s">
        <v>71</v>
      </c>
      <c r="D202" s="12">
        <v>1</v>
      </c>
      <c r="E202" s="12"/>
      <c r="F202" s="12"/>
    </row>
    <row r="203" spans="1:6">
      <c r="A203" s="12"/>
      <c r="B203" s="7" t="s">
        <v>70</v>
      </c>
      <c r="C203" s="12" t="s">
        <v>71</v>
      </c>
      <c r="D203" s="12">
        <v>7</v>
      </c>
      <c r="E203" s="12"/>
      <c r="F203" s="12"/>
    </row>
    <row r="204" spans="1:6">
      <c r="A204" s="12"/>
      <c r="B204" s="7" t="s">
        <v>67</v>
      </c>
      <c r="C204" s="12" t="s">
        <v>71</v>
      </c>
      <c r="D204" s="12">
        <v>1</v>
      </c>
      <c r="E204" s="12"/>
      <c r="F204" s="12"/>
    </row>
    <row r="205" spans="1:6">
      <c r="A205" s="12"/>
      <c r="B205" s="21" t="s">
        <v>319</v>
      </c>
      <c r="C205" s="22" t="s">
        <v>191</v>
      </c>
      <c r="D205" s="22">
        <v>1</v>
      </c>
      <c r="E205" s="12"/>
      <c r="F205" s="12"/>
    </row>
    <row r="206" spans="1:6">
      <c r="A206" s="12"/>
      <c r="B206" s="23" t="s">
        <v>344</v>
      </c>
      <c r="C206" s="22" t="s">
        <v>191</v>
      </c>
      <c r="D206" s="22">
        <v>6</v>
      </c>
      <c r="E206" s="12"/>
      <c r="F206" s="12"/>
    </row>
    <row r="207" spans="1:6" s="37" customFormat="1">
      <c r="A207" s="12"/>
      <c r="B207" s="29" t="s">
        <v>388</v>
      </c>
      <c r="C207" s="30" t="s">
        <v>71</v>
      </c>
      <c r="D207" s="30">
        <v>3</v>
      </c>
      <c r="E207" s="30"/>
      <c r="F207" s="30"/>
    </row>
    <row r="208" spans="1:6" s="37" customFormat="1">
      <c r="A208" s="12"/>
      <c r="B208" s="29" t="s">
        <v>382</v>
      </c>
      <c r="C208" s="30" t="s">
        <v>71</v>
      </c>
      <c r="D208" s="30">
        <v>3</v>
      </c>
      <c r="E208" s="30"/>
      <c r="F208" s="30"/>
    </row>
    <row r="209" spans="1:6" s="37" customFormat="1">
      <c r="A209" s="12"/>
      <c r="B209" s="29" t="s">
        <v>387</v>
      </c>
      <c r="C209" s="30" t="s">
        <v>71</v>
      </c>
      <c r="D209" s="30">
        <v>1</v>
      </c>
      <c r="E209" s="30"/>
      <c r="F209" s="30"/>
    </row>
    <row r="210" spans="1:6">
      <c r="A210" s="12"/>
      <c r="B210" s="14" t="s">
        <v>110</v>
      </c>
      <c r="C210" s="12"/>
      <c r="D210" s="12"/>
      <c r="E210" s="12"/>
      <c r="F210" s="12"/>
    </row>
    <row r="211" spans="1:6">
      <c r="A211" s="12"/>
      <c r="B211" s="7" t="s">
        <v>108</v>
      </c>
      <c r="C211" s="12" t="s">
        <v>71</v>
      </c>
      <c r="D211" s="12">
        <v>4</v>
      </c>
      <c r="E211" s="12"/>
      <c r="F211" s="12"/>
    </row>
    <row r="212" spans="1:6">
      <c r="A212" s="12"/>
      <c r="B212" s="7" t="s">
        <v>100</v>
      </c>
      <c r="C212" s="12" t="s">
        <v>71</v>
      </c>
      <c r="D212" s="12">
        <v>2</v>
      </c>
      <c r="E212" s="12"/>
      <c r="F212" s="12"/>
    </row>
    <row r="213" spans="1:6">
      <c r="A213" s="12"/>
      <c r="B213" s="7" t="s">
        <v>274</v>
      </c>
      <c r="C213" s="12" t="s">
        <v>71</v>
      </c>
      <c r="D213" s="12">
        <v>2</v>
      </c>
      <c r="E213" s="12"/>
      <c r="F213" s="12"/>
    </row>
    <row r="214" spans="1:6">
      <c r="A214" s="12"/>
      <c r="B214" s="21" t="s">
        <v>325</v>
      </c>
      <c r="C214" s="12" t="s">
        <v>326</v>
      </c>
      <c r="D214" s="12">
        <v>2</v>
      </c>
      <c r="E214" s="12"/>
      <c r="F214" s="12"/>
    </row>
    <row r="215" spans="1:6">
      <c r="A215" s="12"/>
      <c r="B215" s="25" t="s">
        <v>327</v>
      </c>
      <c r="C215" s="22" t="s">
        <v>328</v>
      </c>
      <c r="D215" s="22">
        <v>2</v>
      </c>
      <c r="E215" s="12"/>
      <c r="F215" s="12"/>
    </row>
    <row r="216" spans="1:6">
      <c r="A216" s="12"/>
      <c r="B216" s="21" t="s">
        <v>329</v>
      </c>
      <c r="C216" s="22" t="s">
        <v>326</v>
      </c>
      <c r="D216" s="22">
        <v>4</v>
      </c>
      <c r="E216" s="12"/>
      <c r="F216" s="12"/>
    </row>
    <row r="217" spans="1:6">
      <c r="A217" s="12"/>
      <c r="B217" s="21" t="s">
        <v>348</v>
      </c>
      <c r="C217" s="22" t="s">
        <v>191</v>
      </c>
      <c r="D217" s="22">
        <v>2</v>
      </c>
      <c r="E217" s="12"/>
      <c r="F217" s="12"/>
    </row>
    <row r="218" spans="1:6">
      <c r="A218" s="12"/>
      <c r="B218" s="21" t="s">
        <v>349</v>
      </c>
      <c r="C218" s="22" t="s">
        <v>191</v>
      </c>
      <c r="D218" s="22">
        <v>2</v>
      </c>
      <c r="E218" s="12"/>
      <c r="F218" s="12"/>
    </row>
    <row r="219" spans="1:6">
      <c r="A219" s="12"/>
      <c r="B219" s="21" t="s">
        <v>350</v>
      </c>
      <c r="C219" s="22" t="s">
        <v>191</v>
      </c>
      <c r="D219" s="22">
        <v>2</v>
      </c>
      <c r="E219" s="12"/>
      <c r="F219" s="12"/>
    </row>
    <row r="220" spans="1:6">
      <c r="A220" s="12"/>
      <c r="B220" s="21" t="s">
        <v>351</v>
      </c>
      <c r="C220" s="22" t="s">
        <v>191</v>
      </c>
      <c r="D220" s="22">
        <v>2</v>
      </c>
      <c r="E220" s="12"/>
      <c r="F220" s="12"/>
    </row>
    <row r="221" spans="1:6">
      <c r="A221" s="12"/>
      <c r="B221" s="21" t="s">
        <v>352</v>
      </c>
      <c r="C221" s="22" t="s">
        <v>191</v>
      </c>
      <c r="D221" s="22">
        <v>2</v>
      </c>
      <c r="E221" s="12"/>
      <c r="F221" s="12"/>
    </row>
    <row r="222" spans="1:6">
      <c r="A222" s="12"/>
      <c r="B222" s="21" t="s">
        <v>353</v>
      </c>
      <c r="C222" s="22" t="s">
        <v>191</v>
      </c>
      <c r="D222" s="22">
        <v>2</v>
      </c>
      <c r="E222" s="12"/>
      <c r="F222" s="12"/>
    </row>
    <row r="223" spans="1:6">
      <c r="A223" s="12"/>
      <c r="B223" s="24" t="s">
        <v>354</v>
      </c>
      <c r="C223" s="22" t="s">
        <v>191</v>
      </c>
      <c r="D223" s="22">
        <v>2</v>
      </c>
      <c r="E223" s="12"/>
      <c r="F223" s="12"/>
    </row>
    <row r="224" spans="1:6">
      <c r="A224" s="12"/>
      <c r="B224" s="14" t="s">
        <v>109</v>
      </c>
      <c r="C224" s="12"/>
      <c r="D224" s="12"/>
      <c r="E224" s="12"/>
      <c r="F224" s="12"/>
    </row>
    <row r="225" spans="1:6">
      <c r="A225" s="12"/>
      <c r="B225" s="7" t="s">
        <v>108</v>
      </c>
      <c r="C225" s="12" t="s">
        <v>71</v>
      </c>
      <c r="D225" s="12">
        <v>2</v>
      </c>
      <c r="E225" s="12"/>
      <c r="F225" s="12"/>
    </row>
    <row r="226" spans="1:6">
      <c r="A226" s="12"/>
      <c r="B226" s="7" t="s">
        <v>100</v>
      </c>
      <c r="C226" s="12" t="s">
        <v>71</v>
      </c>
      <c r="D226" s="12">
        <v>1</v>
      </c>
      <c r="E226" s="12"/>
      <c r="F226" s="12"/>
    </row>
    <row r="227" spans="1:6">
      <c r="A227" s="12"/>
      <c r="B227" s="8" t="s">
        <v>107</v>
      </c>
      <c r="C227" s="12"/>
      <c r="D227" s="12"/>
      <c r="E227" s="12"/>
      <c r="F227" s="12"/>
    </row>
    <row r="228" spans="1:6">
      <c r="A228" s="12"/>
      <c r="B228" s="7" t="s">
        <v>75</v>
      </c>
      <c r="C228" s="12" t="s">
        <v>71</v>
      </c>
      <c r="D228" s="12">
        <v>119</v>
      </c>
      <c r="E228" s="12"/>
      <c r="F228" s="12"/>
    </row>
    <row r="229" spans="1:6">
      <c r="A229" s="12"/>
      <c r="B229" s="7" t="s">
        <v>76</v>
      </c>
      <c r="C229" s="12" t="s">
        <v>71</v>
      </c>
      <c r="D229" s="12">
        <v>2</v>
      </c>
      <c r="E229" s="12"/>
      <c r="F229" s="12"/>
    </row>
    <row r="230" spans="1:6">
      <c r="A230" s="12"/>
      <c r="B230" s="7" t="s">
        <v>69</v>
      </c>
      <c r="C230" s="12" t="s">
        <v>71</v>
      </c>
      <c r="D230" s="12">
        <v>6</v>
      </c>
      <c r="E230" s="12"/>
      <c r="F230" s="12"/>
    </row>
    <row r="231" spans="1:6">
      <c r="A231" s="12"/>
      <c r="B231" s="7" t="s">
        <v>72</v>
      </c>
      <c r="C231" s="12" t="s">
        <v>71</v>
      </c>
      <c r="D231" s="12">
        <v>13</v>
      </c>
      <c r="E231" s="12"/>
      <c r="F231" s="12"/>
    </row>
    <row r="232" spans="1:6">
      <c r="A232" s="12"/>
      <c r="B232" s="7" t="s">
        <v>70</v>
      </c>
      <c r="C232" s="12" t="s">
        <v>71</v>
      </c>
      <c r="D232" s="12">
        <v>2</v>
      </c>
      <c r="E232" s="12"/>
      <c r="F232" s="12"/>
    </row>
    <row r="233" spans="1:6">
      <c r="A233" s="12"/>
      <c r="B233" s="7" t="s">
        <v>67</v>
      </c>
      <c r="C233" s="12" t="s">
        <v>71</v>
      </c>
      <c r="D233" s="12">
        <v>1</v>
      </c>
      <c r="E233" s="12"/>
      <c r="F233" s="12"/>
    </row>
    <row r="234" spans="1:6">
      <c r="A234" s="12"/>
      <c r="B234" s="7" t="s">
        <v>78</v>
      </c>
      <c r="C234" s="12" t="s">
        <v>71</v>
      </c>
      <c r="D234" s="12">
        <v>1</v>
      </c>
      <c r="E234" s="12"/>
      <c r="F234" s="12"/>
    </row>
    <row r="235" spans="1:6">
      <c r="A235" s="12"/>
      <c r="B235" s="7" t="s">
        <v>73</v>
      </c>
      <c r="C235" s="12" t="s">
        <v>71</v>
      </c>
      <c r="D235" s="12">
        <v>7</v>
      </c>
      <c r="E235" s="12"/>
      <c r="F235" s="12"/>
    </row>
    <row r="236" spans="1:6">
      <c r="A236" s="12"/>
      <c r="B236" s="7" t="s">
        <v>105</v>
      </c>
      <c r="C236" s="12" t="s">
        <v>71</v>
      </c>
      <c r="D236" s="12">
        <v>10</v>
      </c>
      <c r="E236" s="12"/>
      <c r="F236" s="12"/>
    </row>
    <row r="237" spans="1:6">
      <c r="A237" s="12"/>
      <c r="B237" s="7" t="s">
        <v>106</v>
      </c>
      <c r="C237" s="12" t="s">
        <v>71</v>
      </c>
      <c r="D237" s="12">
        <v>13</v>
      </c>
      <c r="E237" s="12"/>
      <c r="F237" s="12"/>
    </row>
    <row r="238" spans="1:6">
      <c r="A238" s="12"/>
      <c r="B238" s="21" t="s">
        <v>355</v>
      </c>
      <c r="C238" s="22" t="s">
        <v>191</v>
      </c>
      <c r="D238" s="22">
        <v>3</v>
      </c>
      <c r="E238" s="12"/>
      <c r="F238" s="12"/>
    </row>
    <row r="239" spans="1:6">
      <c r="A239" s="12"/>
      <c r="B239" s="26" t="s">
        <v>356</v>
      </c>
      <c r="C239" s="22" t="s">
        <v>191</v>
      </c>
      <c r="D239" s="22">
        <v>3</v>
      </c>
      <c r="E239" s="12"/>
      <c r="F239" s="12"/>
    </row>
    <row r="240" spans="1:6">
      <c r="A240" s="12"/>
      <c r="B240" s="26" t="s">
        <v>357</v>
      </c>
      <c r="C240" s="22" t="s">
        <v>191</v>
      </c>
      <c r="D240" s="22">
        <v>1</v>
      </c>
      <c r="E240" s="12"/>
      <c r="F240" s="12"/>
    </row>
    <row r="241" spans="1:6">
      <c r="A241" s="12"/>
      <c r="B241" s="26" t="s">
        <v>358</v>
      </c>
      <c r="C241" s="22" t="s">
        <v>191</v>
      </c>
      <c r="D241" s="22">
        <v>3</v>
      </c>
      <c r="E241" s="12"/>
      <c r="F241" s="12"/>
    </row>
    <row r="242" spans="1:6">
      <c r="A242" s="12"/>
      <c r="B242" s="26" t="s">
        <v>359</v>
      </c>
      <c r="C242" s="22" t="s">
        <v>191</v>
      </c>
      <c r="D242" s="22">
        <v>1</v>
      </c>
      <c r="E242" s="12"/>
      <c r="F242" s="12"/>
    </row>
    <row r="243" spans="1:6">
      <c r="A243" s="12"/>
      <c r="B243" s="24" t="s">
        <v>331</v>
      </c>
      <c r="C243" s="22" t="s">
        <v>191</v>
      </c>
      <c r="D243" s="22">
        <v>2</v>
      </c>
      <c r="E243" s="12"/>
      <c r="F243" s="12"/>
    </row>
    <row r="244" spans="1:6">
      <c r="A244" s="12"/>
      <c r="B244" s="21" t="s">
        <v>332</v>
      </c>
      <c r="C244" s="22" t="s">
        <v>191</v>
      </c>
      <c r="D244" s="22">
        <v>2</v>
      </c>
      <c r="E244" s="12"/>
      <c r="F244" s="12"/>
    </row>
    <row r="245" spans="1:6">
      <c r="A245" s="12"/>
      <c r="B245" s="21" t="s">
        <v>333</v>
      </c>
      <c r="C245" s="22" t="s">
        <v>191</v>
      </c>
      <c r="D245" s="22">
        <v>4</v>
      </c>
      <c r="E245" s="12"/>
      <c r="F245" s="12"/>
    </row>
    <row r="246" spans="1:6">
      <c r="A246" s="12"/>
      <c r="B246" s="21" t="s">
        <v>334</v>
      </c>
      <c r="C246" s="22" t="s">
        <v>191</v>
      </c>
      <c r="D246" s="22">
        <v>23</v>
      </c>
      <c r="E246" s="12"/>
      <c r="F246" s="12"/>
    </row>
    <row r="247" spans="1:6">
      <c r="A247" s="12"/>
      <c r="B247" s="21" t="s">
        <v>335</v>
      </c>
      <c r="C247" s="22" t="s">
        <v>191</v>
      </c>
      <c r="D247" s="22">
        <v>3</v>
      </c>
      <c r="E247" s="12"/>
      <c r="F247" s="12"/>
    </row>
    <row r="248" spans="1:6">
      <c r="A248" s="12"/>
      <c r="B248" s="21" t="s">
        <v>336</v>
      </c>
      <c r="C248" s="22" t="s">
        <v>191</v>
      </c>
      <c r="D248" s="22">
        <v>2</v>
      </c>
      <c r="E248" s="12"/>
      <c r="F248" s="27"/>
    </row>
    <row r="249" spans="1:6" ht="33">
      <c r="A249" s="12"/>
      <c r="B249" s="28" t="s">
        <v>360</v>
      </c>
      <c r="C249" s="22" t="s">
        <v>191</v>
      </c>
      <c r="D249" s="22">
        <v>3</v>
      </c>
      <c r="E249" s="12"/>
      <c r="F249" s="12"/>
    </row>
    <row r="250" spans="1:6" ht="33">
      <c r="A250" s="12"/>
      <c r="B250" s="28" t="s">
        <v>361</v>
      </c>
      <c r="C250" s="22" t="s">
        <v>71</v>
      </c>
      <c r="D250" s="22">
        <v>3</v>
      </c>
      <c r="E250" s="12"/>
      <c r="F250" s="12"/>
    </row>
    <row r="251" spans="1:6">
      <c r="A251" s="12"/>
      <c r="B251" s="21" t="s">
        <v>338</v>
      </c>
      <c r="C251" s="22" t="s">
        <v>326</v>
      </c>
      <c r="D251" s="22">
        <v>3</v>
      </c>
      <c r="E251" s="12"/>
      <c r="F251" s="12"/>
    </row>
    <row r="252" spans="1:6">
      <c r="A252" s="12"/>
      <c r="B252" s="21" t="s">
        <v>339</v>
      </c>
      <c r="C252" s="22" t="s">
        <v>326</v>
      </c>
      <c r="D252" s="22">
        <v>3</v>
      </c>
      <c r="E252" s="12"/>
      <c r="F252" s="12"/>
    </row>
    <row r="253" spans="1:6">
      <c r="A253" s="12"/>
      <c r="B253" s="21" t="s">
        <v>340</v>
      </c>
      <c r="C253" s="22" t="s">
        <v>71</v>
      </c>
      <c r="D253" s="22">
        <v>3</v>
      </c>
      <c r="E253" s="12"/>
      <c r="F253" s="12"/>
    </row>
    <row r="254" spans="1:6">
      <c r="A254" s="12"/>
      <c r="B254" s="21" t="s">
        <v>341</v>
      </c>
      <c r="C254" s="22" t="s">
        <v>191</v>
      </c>
      <c r="D254" s="22">
        <v>6</v>
      </c>
      <c r="E254" s="12"/>
      <c r="F254" s="12"/>
    </row>
    <row r="255" spans="1:6">
      <c r="A255" s="12"/>
      <c r="B255" s="24" t="s">
        <v>342</v>
      </c>
      <c r="C255" s="22" t="s">
        <v>191</v>
      </c>
      <c r="D255" s="22">
        <v>54</v>
      </c>
      <c r="E255" s="12"/>
      <c r="F255" s="12"/>
    </row>
    <row r="256" spans="1:6" s="37" customFormat="1">
      <c r="A256" s="22"/>
      <c r="B256" s="29" t="s">
        <v>400</v>
      </c>
      <c r="C256" s="30" t="s">
        <v>71</v>
      </c>
      <c r="D256" s="30">
        <v>7</v>
      </c>
      <c r="E256" s="30"/>
      <c r="F256" s="30"/>
    </row>
    <row r="257" spans="1:6" s="37" customFormat="1">
      <c r="A257" s="22"/>
      <c r="B257" s="29" t="s">
        <v>401</v>
      </c>
      <c r="C257" s="30" t="s">
        <v>71</v>
      </c>
      <c r="D257" s="30">
        <v>1</v>
      </c>
      <c r="E257" s="30"/>
      <c r="F257" s="385" t="s">
        <v>403</v>
      </c>
    </row>
    <row r="258" spans="1:6" s="37" customFormat="1">
      <c r="A258" s="22"/>
      <c r="B258" s="29" t="s">
        <v>402</v>
      </c>
      <c r="C258" s="30" t="s">
        <v>71</v>
      </c>
      <c r="D258" s="30">
        <v>3</v>
      </c>
      <c r="E258" s="30"/>
      <c r="F258" s="386"/>
    </row>
    <row r="259" spans="1:6" s="37" customFormat="1">
      <c r="A259" s="22"/>
      <c r="B259" s="29" t="s">
        <v>404</v>
      </c>
      <c r="C259" s="30" t="s">
        <v>71</v>
      </c>
      <c r="D259" s="30">
        <v>3</v>
      </c>
      <c r="E259" s="30"/>
      <c r="F259" s="386"/>
    </row>
    <row r="260" spans="1:6" s="37" customFormat="1">
      <c r="A260" s="22"/>
      <c r="B260" s="29" t="s">
        <v>405</v>
      </c>
      <c r="C260" s="30" t="s">
        <v>71</v>
      </c>
      <c r="D260" s="30">
        <v>1</v>
      </c>
      <c r="E260" s="30"/>
      <c r="F260" s="387"/>
    </row>
    <row r="261" spans="1:6" s="37" customFormat="1">
      <c r="A261" s="22"/>
      <c r="B261" s="29" t="s">
        <v>401</v>
      </c>
      <c r="C261" s="30" t="s">
        <v>71</v>
      </c>
      <c r="D261" s="30">
        <v>1</v>
      </c>
      <c r="E261" s="30"/>
      <c r="F261" s="385" t="s">
        <v>406</v>
      </c>
    </row>
    <row r="262" spans="1:6" s="37" customFormat="1">
      <c r="A262" s="22"/>
      <c r="B262" s="29" t="s">
        <v>402</v>
      </c>
      <c r="C262" s="30" t="s">
        <v>71</v>
      </c>
      <c r="D262" s="30">
        <v>3</v>
      </c>
      <c r="E262" s="30"/>
      <c r="F262" s="386"/>
    </row>
    <row r="263" spans="1:6" s="37" customFormat="1">
      <c r="A263" s="22"/>
      <c r="B263" s="29" t="s">
        <v>434</v>
      </c>
      <c r="C263" s="30" t="s">
        <v>71</v>
      </c>
      <c r="D263" s="30">
        <v>2</v>
      </c>
      <c r="E263" s="30"/>
      <c r="F263" s="386"/>
    </row>
    <row r="264" spans="1:6" s="37" customFormat="1">
      <c r="A264" s="22"/>
      <c r="B264" s="29" t="s">
        <v>404</v>
      </c>
      <c r="C264" s="30" t="s">
        <v>71</v>
      </c>
      <c r="D264" s="30">
        <v>1</v>
      </c>
      <c r="E264" s="30"/>
      <c r="F264" s="386"/>
    </row>
    <row r="265" spans="1:6" s="37" customFormat="1">
      <c r="A265" s="22"/>
      <c r="B265" s="29" t="s">
        <v>452</v>
      </c>
      <c r="C265" s="30" t="s">
        <v>71</v>
      </c>
      <c r="D265" s="30">
        <v>1</v>
      </c>
      <c r="E265" s="30"/>
      <c r="F265" s="387"/>
    </row>
    <row r="266" spans="1:6" s="37" customFormat="1">
      <c r="A266" s="22"/>
      <c r="B266" s="29" t="s">
        <v>405</v>
      </c>
      <c r="C266" s="30" t="s">
        <v>71</v>
      </c>
      <c r="D266" s="30">
        <v>1</v>
      </c>
      <c r="E266" s="30"/>
      <c r="F266" s="38" t="s">
        <v>447</v>
      </c>
    </row>
    <row r="267" spans="1:6">
      <c r="A267" s="12"/>
      <c r="B267" s="15" t="s">
        <v>239</v>
      </c>
      <c r="C267" s="12"/>
      <c r="D267" s="12"/>
      <c r="E267" s="12"/>
      <c r="F267" s="12"/>
    </row>
    <row r="268" spans="1:6">
      <c r="A268" s="12"/>
      <c r="B268" s="7" t="s">
        <v>366</v>
      </c>
      <c r="C268" s="12" t="s">
        <v>71</v>
      </c>
      <c r="D268" s="12">
        <v>12</v>
      </c>
      <c r="E268" s="12"/>
      <c r="F268" s="12"/>
    </row>
    <row r="269" spans="1:6">
      <c r="A269" s="12"/>
      <c r="B269" s="7" t="s">
        <v>230</v>
      </c>
      <c r="C269" s="12" t="s">
        <v>71</v>
      </c>
      <c r="D269" s="12">
        <v>10</v>
      </c>
      <c r="E269" s="12"/>
      <c r="F269" s="12"/>
    </row>
    <row r="270" spans="1:6">
      <c r="A270" s="12"/>
      <c r="B270" s="7" t="s">
        <v>364</v>
      </c>
      <c r="C270" s="12" t="s">
        <v>71</v>
      </c>
      <c r="D270" s="12">
        <v>7</v>
      </c>
      <c r="E270" s="12"/>
      <c r="F270" s="12"/>
    </row>
    <row r="271" spans="1:6">
      <c r="A271" s="12"/>
      <c r="B271" s="7" t="s">
        <v>231</v>
      </c>
      <c r="C271" s="12" t="s">
        <v>71</v>
      </c>
      <c r="D271" s="12">
        <v>8</v>
      </c>
      <c r="E271" s="12"/>
      <c r="F271" s="12"/>
    </row>
    <row r="272" spans="1:6">
      <c r="A272" s="12"/>
      <c r="B272" s="7" t="s">
        <v>74</v>
      </c>
      <c r="C272" s="12" t="s">
        <v>71</v>
      </c>
      <c r="D272" s="12">
        <v>24</v>
      </c>
      <c r="E272" s="12"/>
      <c r="F272" s="12"/>
    </row>
    <row r="273" spans="1:6">
      <c r="A273" s="12"/>
      <c r="B273" s="7" t="s">
        <v>70</v>
      </c>
      <c r="C273" s="12" t="s">
        <v>71</v>
      </c>
      <c r="D273" s="12">
        <v>2</v>
      </c>
      <c r="E273" s="12"/>
      <c r="F273" s="12"/>
    </row>
    <row r="274" spans="1:6" s="37" customFormat="1">
      <c r="A274" s="22"/>
      <c r="B274" s="29" t="s">
        <v>383</v>
      </c>
      <c r="C274" s="30" t="s">
        <v>71</v>
      </c>
      <c r="D274" s="30">
        <v>9</v>
      </c>
      <c r="E274" s="30"/>
      <c r="F274" s="30"/>
    </row>
    <row r="275" spans="1:6" s="37" customFormat="1">
      <c r="A275" s="22"/>
      <c r="B275" s="29" t="s">
        <v>394</v>
      </c>
      <c r="C275" s="30" t="s">
        <v>71</v>
      </c>
      <c r="D275" s="30">
        <v>2</v>
      </c>
      <c r="E275" s="30"/>
      <c r="F275" s="30"/>
    </row>
    <row r="276" spans="1:6" s="37" customFormat="1">
      <c r="A276" s="22"/>
      <c r="B276" s="29" t="s">
        <v>395</v>
      </c>
      <c r="C276" s="30" t="s">
        <v>71</v>
      </c>
      <c r="D276" s="30">
        <v>1</v>
      </c>
      <c r="E276" s="30"/>
      <c r="F276" s="30"/>
    </row>
    <row r="277" spans="1:6" s="37" customFormat="1">
      <c r="A277" s="22"/>
      <c r="B277" s="29" t="s">
        <v>396</v>
      </c>
      <c r="C277" s="30" t="s">
        <v>71</v>
      </c>
      <c r="D277" s="30">
        <v>1</v>
      </c>
      <c r="E277" s="30"/>
      <c r="F277" s="30"/>
    </row>
    <row r="278" spans="1:6">
      <c r="A278" s="12"/>
      <c r="B278" s="15" t="s">
        <v>240</v>
      </c>
      <c r="C278" s="12"/>
      <c r="D278" s="12"/>
      <c r="E278" s="12"/>
      <c r="F278" s="12"/>
    </row>
    <row r="279" spans="1:6">
      <c r="A279" s="12"/>
      <c r="B279" s="7" t="s">
        <v>366</v>
      </c>
      <c r="C279" s="12" t="s">
        <v>71</v>
      </c>
      <c r="D279" s="12">
        <v>12</v>
      </c>
      <c r="E279" s="12"/>
      <c r="F279" s="12"/>
    </row>
    <row r="280" spans="1:6">
      <c r="A280" s="12"/>
      <c r="B280" s="7" t="s">
        <v>230</v>
      </c>
      <c r="C280" s="12" t="s">
        <v>71</v>
      </c>
      <c r="D280" s="12">
        <v>10</v>
      </c>
      <c r="E280" s="12"/>
      <c r="F280" s="12"/>
    </row>
    <row r="281" spans="1:6">
      <c r="A281" s="12"/>
      <c r="B281" s="7" t="s">
        <v>364</v>
      </c>
      <c r="C281" s="12" t="s">
        <v>71</v>
      </c>
      <c r="D281" s="12">
        <v>7</v>
      </c>
      <c r="E281" s="12"/>
      <c r="F281" s="12"/>
    </row>
    <row r="282" spans="1:6">
      <c r="A282" s="12"/>
      <c r="B282" s="7" t="s">
        <v>231</v>
      </c>
      <c r="C282" s="12" t="s">
        <v>71</v>
      </c>
      <c r="D282" s="12">
        <v>8</v>
      </c>
      <c r="E282" s="12"/>
      <c r="F282" s="12"/>
    </row>
    <row r="283" spans="1:6">
      <c r="A283" s="12"/>
      <c r="B283" s="7" t="s">
        <v>74</v>
      </c>
      <c r="C283" s="12" t="s">
        <v>71</v>
      </c>
      <c r="D283" s="12">
        <v>24</v>
      </c>
      <c r="E283" s="12"/>
      <c r="F283" s="12"/>
    </row>
    <row r="284" spans="1:6">
      <c r="A284" s="12"/>
      <c r="B284" s="7" t="s">
        <v>70</v>
      </c>
      <c r="C284" s="12" t="s">
        <v>71</v>
      </c>
      <c r="D284" s="12">
        <v>2</v>
      </c>
      <c r="E284" s="12"/>
      <c r="F284" s="12"/>
    </row>
    <row r="285" spans="1:6" s="37" customFormat="1">
      <c r="A285" s="22"/>
      <c r="B285" s="29" t="s">
        <v>383</v>
      </c>
      <c r="C285" s="30" t="s">
        <v>71</v>
      </c>
      <c r="D285" s="30">
        <v>9</v>
      </c>
      <c r="E285" s="30"/>
      <c r="F285" s="30"/>
    </row>
    <row r="286" spans="1:6" s="37" customFormat="1">
      <c r="A286" s="22"/>
      <c r="B286" s="29" t="s">
        <v>394</v>
      </c>
      <c r="C286" s="30" t="s">
        <v>71</v>
      </c>
      <c r="D286" s="30">
        <v>2</v>
      </c>
      <c r="E286" s="30"/>
      <c r="F286" s="30"/>
    </row>
    <row r="287" spans="1:6" s="37" customFormat="1">
      <c r="A287" s="22"/>
      <c r="B287" s="29" t="s">
        <v>395</v>
      </c>
      <c r="C287" s="30" t="s">
        <v>71</v>
      </c>
      <c r="D287" s="30">
        <v>1</v>
      </c>
      <c r="E287" s="30"/>
      <c r="F287" s="30"/>
    </row>
    <row r="288" spans="1:6" s="37" customFormat="1">
      <c r="A288" s="22"/>
      <c r="B288" s="29" t="s">
        <v>396</v>
      </c>
      <c r="C288" s="30" t="s">
        <v>71</v>
      </c>
      <c r="D288" s="30">
        <v>1</v>
      </c>
      <c r="E288" s="30"/>
      <c r="F288" s="30"/>
    </row>
    <row r="289" spans="1:6">
      <c r="A289" s="7"/>
      <c r="B289" s="7"/>
      <c r="C289" s="7"/>
      <c r="D289" s="7"/>
      <c r="E289" s="7"/>
      <c r="F289" s="7"/>
    </row>
    <row r="291" spans="1:6">
      <c r="B291" s="382" t="s">
        <v>365</v>
      </c>
      <c r="C291" s="382"/>
      <c r="D291" s="382"/>
      <c r="E291" s="382"/>
      <c r="F291" s="382"/>
    </row>
  </sheetData>
  <mergeCells count="13">
    <mergeCell ref="B291:F291"/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  <mergeCell ref="F257:F260"/>
    <mergeCell ref="F261:F265"/>
  </mergeCells>
  <pageMargins left="0.59055118110236227" right="0.19685039370078741" top="0.47244094488188981" bottom="0.47244094488188981" header="0.31496062992125984" footer="0.31496062992125984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2"/>
  <sheetViews>
    <sheetView view="pageBreakPreview" topLeftCell="A23" zoomScaleNormal="100" zoomScaleSheetLayoutView="100" workbookViewId="0">
      <selection activeCell="D31" sqref="D31"/>
    </sheetView>
  </sheetViews>
  <sheetFormatPr defaultColWidth="9.140625" defaultRowHeight="16.5"/>
  <cols>
    <col min="1" max="1" width="5.5703125" style="2" customWidth="1"/>
    <col min="2" max="2" width="53.140625" style="2" customWidth="1"/>
    <col min="3" max="4" width="9.140625" style="2"/>
    <col min="5" max="5" width="0" style="2" hidden="1" customWidth="1"/>
    <col min="6" max="6" width="16.140625" style="2" customWidth="1"/>
    <col min="7" max="16384" width="9.140625" style="2"/>
  </cols>
  <sheetData>
    <row r="1" spans="1:6" s="1" customFormat="1" ht="18.75">
      <c r="A1" s="368" t="s">
        <v>62</v>
      </c>
      <c r="B1" s="368"/>
      <c r="C1" s="368"/>
      <c r="D1" s="368"/>
      <c r="E1" s="368"/>
      <c r="F1" s="368"/>
    </row>
    <row r="2" spans="1:6" s="1" customFormat="1">
      <c r="A2" s="383" t="s">
        <v>302</v>
      </c>
      <c r="B2" s="383"/>
      <c r="C2" s="383"/>
      <c r="D2" s="383"/>
      <c r="E2" s="383"/>
      <c r="F2" s="383"/>
    </row>
    <row r="3" spans="1:6" s="1" customFormat="1" ht="15.75" customHeight="1">
      <c r="A3" s="384" t="s">
        <v>2</v>
      </c>
      <c r="B3" s="384"/>
      <c r="C3" s="384"/>
      <c r="D3" s="384"/>
      <c r="E3" s="384"/>
      <c r="F3" s="384"/>
    </row>
    <row r="4" spans="1:6" s="1" customFormat="1" ht="21.75" hidden="1" customHeight="1">
      <c r="A4" s="378" t="s">
        <v>3</v>
      </c>
      <c r="B4" s="378"/>
      <c r="C4" s="378"/>
      <c r="D4" s="378"/>
    </row>
    <row r="5" spans="1:6" s="1" customFormat="1" ht="15.75" customHeight="1">
      <c r="A5" s="371" t="s">
        <v>4</v>
      </c>
      <c r="B5" s="371" t="s">
        <v>5</v>
      </c>
      <c r="C5" s="371" t="s">
        <v>6</v>
      </c>
      <c r="D5" s="371" t="s">
        <v>7</v>
      </c>
      <c r="E5" s="371" t="s">
        <v>8</v>
      </c>
      <c r="F5" s="371" t="s">
        <v>9</v>
      </c>
    </row>
    <row r="6" spans="1:6" s="1" customFormat="1" ht="17.25" customHeight="1">
      <c r="A6" s="372"/>
      <c r="B6" s="372"/>
      <c r="C6" s="372"/>
      <c r="D6" s="372"/>
      <c r="E6" s="372"/>
      <c r="F6" s="372"/>
    </row>
    <row r="7" spans="1:6" s="1" customFormat="1">
      <c r="A7" s="3" t="s">
        <v>10</v>
      </c>
      <c r="B7" s="4" t="s">
        <v>11</v>
      </c>
      <c r="C7" s="5"/>
      <c r="D7" s="6"/>
      <c r="E7" s="6"/>
      <c r="F7" s="6"/>
    </row>
    <row r="8" spans="1:6">
      <c r="A8" s="12">
        <v>1</v>
      </c>
      <c r="B8" s="8" t="s">
        <v>41</v>
      </c>
      <c r="C8" s="7"/>
      <c r="D8" s="7"/>
      <c r="E8" s="7"/>
      <c r="F8" s="7"/>
    </row>
    <row r="9" spans="1:6">
      <c r="A9" s="12">
        <v>2</v>
      </c>
      <c r="B9" s="7" t="s">
        <v>68</v>
      </c>
      <c r="C9" s="12" t="s">
        <v>71</v>
      </c>
      <c r="D9" s="12">
        <v>8</v>
      </c>
      <c r="E9" s="12"/>
      <c r="F9" s="12"/>
    </row>
    <row r="10" spans="1:6">
      <c r="A10" s="12">
        <v>3</v>
      </c>
      <c r="B10" s="7" t="s">
        <v>69</v>
      </c>
      <c r="C10" s="12" t="s">
        <v>71</v>
      </c>
      <c r="D10" s="12">
        <v>1</v>
      </c>
      <c r="E10" s="12"/>
      <c r="F10" s="12"/>
    </row>
    <row r="11" spans="1:6">
      <c r="A11" s="12">
        <v>4</v>
      </c>
      <c r="B11" s="7" t="s">
        <v>70</v>
      </c>
      <c r="C11" s="12" t="s">
        <v>71</v>
      </c>
      <c r="D11" s="12">
        <v>6</v>
      </c>
      <c r="E11" s="12"/>
      <c r="F11" s="12"/>
    </row>
    <row r="12" spans="1:6">
      <c r="A12" s="12">
        <v>5</v>
      </c>
      <c r="B12" s="7" t="s">
        <v>67</v>
      </c>
      <c r="C12" s="12" t="s">
        <v>71</v>
      </c>
      <c r="D12" s="12">
        <v>1</v>
      </c>
      <c r="E12" s="12"/>
      <c r="F12" s="12"/>
    </row>
    <row r="13" spans="1:6">
      <c r="A13" s="12">
        <v>6</v>
      </c>
      <c r="B13" s="21" t="s">
        <v>319</v>
      </c>
      <c r="C13" s="22" t="s">
        <v>191</v>
      </c>
      <c r="D13" s="22">
        <v>1</v>
      </c>
      <c r="E13" s="22"/>
      <c r="F13" s="22"/>
    </row>
    <row r="14" spans="1:6">
      <c r="A14" s="12">
        <v>7</v>
      </c>
      <c r="B14" s="23" t="s">
        <v>342</v>
      </c>
      <c r="C14" s="22" t="s">
        <v>191</v>
      </c>
      <c r="D14" s="22">
        <v>3</v>
      </c>
      <c r="E14" s="22"/>
      <c r="F14" s="22"/>
    </row>
    <row r="15" spans="1:6" s="37" customFormat="1">
      <c r="A15" s="12">
        <v>8</v>
      </c>
      <c r="B15" s="29" t="s">
        <v>381</v>
      </c>
      <c r="C15" s="30" t="s">
        <v>71</v>
      </c>
      <c r="D15" s="30">
        <v>2</v>
      </c>
      <c r="E15" s="30"/>
      <c r="F15" s="30"/>
    </row>
    <row r="16" spans="1:6" s="37" customFormat="1">
      <c r="A16" s="12">
        <v>9</v>
      </c>
      <c r="B16" s="29" t="s">
        <v>382</v>
      </c>
      <c r="C16" s="30" t="s">
        <v>71</v>
      </c>
      <c r="D16" s="30">
        <v>2</v>
      </c>
      <c r="E16" s="30"/>
      <c r="F16" s="30"/>
    </row>
    <row r="17" spans="1:6" s="37" customFormat="1">
      <c r="A17" s="12">
        <v>10</v>
      </c>
      <c r="B17" s="29" t="s">
        <v>383</v>
      </c>
      <c r="C17" s="30" t="s">
        <v>71</v>
      </c>
      <c r="D17" s="30">
        <v>1</v>
      </c>
      <c r="E17" s="30"/>
      <c r="F17" s="30"/>
    </row>
    <row r="18" spans="1:6">
      <c r="A18" s="12">
        <v>11</v>
      </c>
      <c r="B18" s="8" t="s">
        <v>42</v>
      </c>
      <c r="C18" s="7"/>
      <c r="D18" s="7"/>
      <c r="E18" s="7"/>
      <c r="F18" s="7"/>
    </row>
    <row r="19" spans="1:6">
      <c r="A19" s="12">
        <v>12</v>
      </c>
      <c r="B19" s="7" t="s">
        <v>68</v>
      </c>
      <c r="C19" s="12" t="s">
        <v>71</v>
      </c>
      <c r="D19" s="12">
        <v>12</v>
      </c>
      <c r="E19" s="12"/>
      <c r="F19" s="12"/>
    </row>
    <row r="20" spans="1:6">
      <c r="A20" s="12">
        <v>13</v>
      </c>
      <c r="B20" s="7" t="s">
        <v>77</v>
      </c>
      <c r="C20" s="12" t="s">
        <v>71</v>
      </c>
      <c r="D20" s="12">
        <v>1</v>
      </c>
      <c r="E20" s="12"/>
      <c r="F20" s="12"/>
    </row>
    <row r="21" spans="1:6">
      <c r="A21" s="12">
        <v>14</v>
      </c>
      <c r="B21" s="7" t="s">
        <v>70</v>
      </c>
      <c r="C21" s="12" t="s">
        <v>71</v>
      </c>
      <c r="D21" s="12">
        <v>6</v>
      </c>
      <c r="E21" s="12"/>
      <c r="F21" s="12"/>
    </row>
    <row r="22" spans="1:6">
      <c r="A22" s="12">
        <v>15</v>
      </c>
      <c r="B22" s="7" t="s">
        <v>67</v>
      </c>
      <c r="C22" s="12" t="s">
        <v>71</v>
      </c>
      <c r="D22" s="12">
        <v>1</v>
      </c>
      <c r="E22" s="12"/>
      <c r="F22" s="12"/>
    </row>
    <row r="23" spans="1:6">
      <c r="A23" s="12">
        <v>16</v>
      </c>
      <c r="B23" s="21" t="s">
        <v>319</v>
      </c>
      <c r="C23" s="22" t="s">
        <v>191</v>
      </c>
      <c r="D23" s="22">
        <v>1</v>
      </c>
      <c r="E23" s="22"/>
      <c r="F23" s="22"/>
    </row>
    <row r="24" spans="1:6">
      <c r="A24" s="12">
        <v>17</v>
      </c>
      <c r="B24" s="23" t="s">
        <v>342</v>
      </c>
      <c r="C24" s="22" t="s">
        <v>191</v>
      </c>
      <c r="D24" s="22">
        <v>6</v>
      </c>
      <c r="E24" s="22"/>
      <c r="F24" s="22"/>
    </row>
    <row r="25" spans="1:6" s="37" customFormat="1">
      <c r="A25" s="12">
        <v>18</v>
      </c>
      <c r="B25" s="29" t="s">
        <v>384</v>
      </c>
      <c r="C25" s="30" t="s">
        <v>71</v>
      </c>
      <c r="D25" s="30">
        <v>2</v>
      </c>
      <c r="E25" s="30"/>
      <c r="F25" s="30"/>
    </row>
    <row r="26" spans="1:6" s="37" customFormat="1">
      <c r="A26" s="12">
        <v>19</v>
      </c>
      <c r="B26" s="29" t="s">
        <v>385</v>
      </c>
      <c r="C26" s="30" t="s">
        <v>71</v>
      </c>
      <c r="D26" s="30">
        <v>1</v>
      </c>
      <c r="E26" s="30"/>
      <c r="F26" s="30"/>
    </row>
    <row r="27" spans="1:6">
      <c r="A27" s="12">
        <v>20</v>
      </c>
      <c r="B27" s="8" t="s">
        <v>43</v>
      </c>
      <c r="C27" s="7"/>
      <c r="D27" s="7"/>
      <c r="E27" s="7"/>
      <c r="F27" s="7"/>
    </row>
    <row r="28" spans="1:6">
      <c r="A28" s="12">
        <v>21</v>
      </c>
      <c r="B28" s="7" t="s">
        <v>68</v>
      </c>
      <c r="C28" s="12" t="s">
        <v>71</v>
      </c>
      <c r="D28" s="12">
        <v>15</v>
      </c>
      <c r="E28" s="12"/>
      <c r="F28" s="12"/>
    </row>
    <row r="29" spans="1:6">
      <c r="A29" s="12">
        <v>22</v>
      </c>
      <c r="B29" s="7" t="s">
        <v>79</v>
      </c>
      <c r="C29" s="12" t="s">
        <v>71</v>
      </c>
      <c r="D29" s="12">
        <v>1</v>
      </c>
      <c r="E29" s="12"/>
      <c r="F29" s="12"/>
    </row>
    <row r="30" spans="1:6">
      <c r="A30" s="12">
        <v>23</v>
      </c>
      <c r="B30" s="7" t="s">
        <v>70</v>
      </c>
      <c r="C30" s="12" t="s">
        <v>71</v>
      </c>
      <c r="D30" s="12">
        <v>5</v>
      </c>
      <c r="E30" s="12"/>
      <c r="F30" s="12"/>
    </row>
    <row r="31" spans="1:6">
      <c r="A31" s="12">
        <v>24</v>
      </c>
      <c r="B31" s="7" t="s">
        <v>67</v>
      </c>
      <c r="C31" s="12" t="s">
        <v>71</v>
      </c>
      <c r="D31" s="12">
        <v>1</v>
      </c>
      <c r="E31" s="12"/>
      <c r="F31" s="12"/>
    </row>
    <row r="32" spans="1:6">
      <c r="A32" s="12">
        <v>25</v>
      </c>
      <c r="B32" s="21" t="s">
        <v>319</v>
      </c>
      <c r="C32" s="22" t="s">
        <v>191</v>
      </c>
      <c r="D32" s="22">
        <v>2</v>
      </c>
      <c r="E32" s="22"/>
      <c r="F32" s="22"/>
    </row>
    <row r="33" spans="1:6">
      <c r="A33" s="12">
        <v>26</v>
      </c>
      <c r="B33" s="23" t="s">
        <v>342</v>
      </c>
      <c r="C33" s="22" t="s">
        <v>191</v>
      </c>
      <c r="D33" s="22">
        <v>6</v>
      </c>
      <c r="E33" s="22"/>
      <c r="F33" s="22"/>
    </row>
    <row r="34" spans="1:6" s="37" customFormat="1">
      <c r="A34" s="12">
        <v>27</v>
      </c>
      <c r="B34" s="29" t="s">
        <v>384</v>
      </c>
      <c r="C34" s="30" t="s">
        <v>71</v>
      </c>
      <c r="D34" s="30">
        <v>1</v>
      </c>
      <c r="E34" s="30"/>
      <c r="F34" s="30"/>
    </row>
    <row r="35" spans="1:6" s="37" customFormat="1">
      <c r="A35" s="12">
        <v>28</v>
      </c>
      <c r="B35" s="29" t="s">
        <v>386</v>
      </c>
      <c r="C35" s="30" t="s">
        <v>71</v>
      </c>
      <c r="D35" s="30">
        <v>1</v>
      </c>
      <c r="E35" s="30"/>
      <c r="F35" s="30"/>
    </row>
    <row r="36" spans="1:6" s="37" customFormat="1">
      <c r="A36" s="12">
        <v>29</v>
      </c>
      <c r="B36" s="29" t="s">
        <v>382</v>
      </c>
      <c r="C36" s="30" t="s">
        <v>71</v>
      </c>
      <c r="D36" s="30">
        <v>4</v>
      </c>
      <c r="E36" s="30"/>
      <c r="F36" s="30"/>
    </row>
    <row r="37" spans="1:6" s="37" customFormat="1">
      <c r="A37" s="12">
        <v>30</v>
      </c>
      <c r="B37" s="29" t="s">
        <v>387</v>
      </c>
      <c r="C37" s="30" t="s">
        <v>71</v>
      </c>
      <c r="D37" s="30">
        <v>1</v>
      </c>
      <c r="E37" s="30"/>
      <c r="F37" s="30"/>
    </row>
    <row r="38" spans="1:6">
      <c r="A38" s="12">
        <v>31</v>
      </c>
      <c r="B38" s="8" t="s">
        <v>44</v>
      </c>
      <c r="C38" s="7"/>
      <c r="D38" s="7"/>
      <c r="E38" s="7"/>
      <c r="F38" s="7"/>
    </row>
    <row r="39" spans="1:6">
      <c r="A39" s="12">
        <v>32</v>
      </c>
      <c r="B39" s="7" t="s">
        <v>83</v>
      </c>
      <c r="C39" s="12" t="s">
        <v>71</v>
      </c>
      <c r="D39" s="12">
        <v>7</v>
      </c>
      <c r="E39" s="12"/>
      <c r="F39" s="12"/>
    </row>
    <row r="40" spans="1:6">
      <c r="A40" s="12">
        <v>33</v>
      </c>
      <c r="B40" s="7" t="s">
        <v>69</v>
      </c>
      <c r="C40" s="12" t="s">
        <v>71</v>
      </c>
      <c r="D40" s="12">
        <v>1</v>
      </c>
      <c r="E40" s="12"/>
      <c r="F40" s="12"/>
    </row>
    <row r="41" spans="1:6">
      <c r="A41" s="12">
        <v>34</v>
      </c>
      <c r="B41" s="7" t="s">
        <v>70</v>
      </c>
      <c r="C41" s="12" t="s">
        <v>71</v>
      </c>
      <c r="D41" s="12">
        <v>7</v>
      </c>
      <c r="E41" s="12"/>
      <c r="F41" s="12"/>
    </row>
    <row r="42" spans="1:6">
      <c r="A42" s="12">
        <v>35</v>
      </c>
      <c r="B42" s="7" t="s">
        <v>67</v>
      </c>
      <c r="C42" s="12" t="s">
        <v>71</v>
      </c>
      <c r="D42" s="12">
        <v>1</v>
      </c>
      <c r="E42" s="12"/>
      <c r="F42" s="12"/>
    </row>
    <row r="43" spans="1:6">
      <c r="A43" s="12">
        <v>36</v>
      </c>
      <c r="B43" s="21" t="s">
        <v>319</v>
      </c>
      <c r="C43" s="22"/>
      <c r="D43" s="22">
        <v>1</v>
      </c>
      <c r="E43" s="22"/>
      <c r="F43" s="22"/>
    </row>
    <row r="44" spans="1:6">
      <c r="A44" s="12">
        <v>37</v>
      </c>
      <c r="B44" s="21" t="s">
        <v>320</v>
      </c>
      <c r="C44" s="22"/>
      <c r="D44" s="22">
        <v>3</v>
      </c>
      <c r="E44" s="22"/>
      <c r="F44" s="22"/>
    </row>
    <row r="45" spans="1:6">
      <c r="A45" s="12">
        <v>38</v>
      </c>
      <c r="B45" s="21" t="s">
        <v>343</v>
      </c>
      <c r="C45" s="22" t="s">
        <v>191</v>
      </c>
      <c r="D45" s="12">
        <v>1</v>
      </c>
      <c r="E45" s="12"/>
      <c r="F45" s="12"/>
    </row>
    <row r="46" spans="1:6">
      <c r="A46" s="12">
        <v>39</v>
      </c>
      <c r="B46" s="21" t="s">
        <v>321</v>
      </c>
      <c r="C46" s="22" t="s">
        <v>191</v>
      </c>
      <c r="D46" s="12">
        <v>1</v>
      </c>
      <c r="E46" s="12"/>
      <c r="F46" s="12"/>
    </row>
    <row r="47" spans="1:6">
      <c r="A47" s="12">
        <v>40</v>
      </c>
      <c r="B47" s="24" t="s">
        <v>322</v>
      </c>
      <c r="C47" s="22" t="s">
        <v>191</v>
      </c>
      <c r="D47" s="12">
        <v>1</v>
      </c>
      <c r="E47" s="12"/>
      <c r="F47" s="12"/>
    </row>
    <row r="48" spans="1:6">
      <c r="A48" s="12">
        <v>41</v>
      </c>
      <c r="B48" s="21" t="s">
        <v>323</v>
      </c>
      <c r="C48" s="22" t="s">
        <v>191</v>
      </c>
      <c r="D48" s="12">
        <v>1</v>
      </c>
      <c r="E48" s="12"/>
      <c r="F48" s="12"/>
    </row>
    <row r="49" spans="1:6">
      <c r="A49" s="12">
        <v>42</v>
      </c>
      <c r="B49" s="21" t="s">
        <v>324</v>
      </c>
      <c r="C49" s="22" t="s">
        <v>191</v>
      </c>
      <c r="D49" s="12">
        <v>1</v>
      </c>
      <c r="E49" s="12"/>
      <c r="F49" s="12"/>
    </row>
    <row r="50" spans="1:6" s="37" customFormat="1">
      <c r="A50" s="12">
        <v>43</v>
      </c>
      <c r="B50" s="29" t="s">
        <v>381</v>
      </c>
      <c r="C50" s="30" t="s">
        <v>71</v>
      </c>
      <c r="D50" s="30">
        <v>2</v>
      </c>
      <c r="E50" s="30"/>
      <c r="F50" s="30"/>
    </row>
    <row r="51" spans="1:6" s="37" customFormat="1">
      <c r="A51" s="12">
        <v>44</v>
      </c>
      <c r="B51" s="29" t="s">
        <v>382</v>
      </c>
      <c r="C51" s="30" t="s">
        <v>71</v>
      </c>
      <c r="D51" s="30">
        <v>2</v>
      </c>
      <c r="E51" s="30"/>
      <c r="F51" s="30"/>
    </row>
    <row r="52" spans="1:6" s="37" customFormat="1">
      <c r="A52" s="12">
        <v>45</v>
      </c>
      <c r="B52" s="29" t="s">
        <v>387</v>
      </c>
      <c r="C52" s="30" t="s">
        <v>71</v>
      </c>
      <c r="D52" s="30">
        <v>1</v>
      </c>
      <c r="E52" s="30"/>
      <c r="F52" s="30"/>
    </row>
    <row r="53" spans="1:6">
      <c r="A53" s="12">
        <v>46</v>
      </c>
      <c r="B53" s="8" t="s">
        <v>45</v>
      </c>
      <c r="C53" s="7"/>
      <c r="D53" s="7"/>
      <c r="E53" s="7"/>
      <c r="F53" s="7"/>
    </row>
    <row r="54" spans="1:6">
      <c r="A54" s="12">
        <v>47</v>
      </c>
      <c r="B54" s="7" t="s">
        <v>68</v>
      </c>
      <c r="C54" s="12" t="s">
        <v>71</v>
      </c>
      <c r="D54" s="12">
        <v>8</v>
      </c>
      <c r="E54" s="12"/>
      <c r="F54" s="12"/>
    </row>
    <row r="55" spans="1:6">
      <c r="A55" s="12">
        <v>48</v>
      </c>
      <c r="B55" s="7" t="s">
        <v>69</v>
      </c>
      <c r="C55" s="12" t="s">
        <v>71</v>
      </c>
      <c r="D55" s="12">
        <v>1</v>
      </c>
      <c r="E55" s="12"/>
      <c r="F55" s="12"/>
    </row>
    <row r="56" spans="1:6">
      <c r="A56" s="12">
        <v>49</v>
      </c>
      <c r="B56" s="7" t="s">
        <v>70</v>
      </c>
      <c r="C56" s="12" t="s">
        <v>71</v>
      </c>
      <c r="D56" s="12">
        <v>6</v>
      </c>
      <c r="E56" s="12"/>
      <c r="F56" s="12"/>
    </row>
    <row r="57" spans="1:6">
      <c r="A57" s="12">
        <v>50</v>
      </c>
      <c r="B57" s="7" t="s">
        <v>67</v>
      </c>
      <c r="C57" s="12" t="s">
        <v>71</v>
      </c>
      <c r="D57" s="12">
        <v>1</v>
      </c>
      <c r="E57" s="12"/>
      <c r="F57" s="12"/>
    </row>
    <row r="58" spans="1:6">
      <c r="A58" s="12">
        <v>51</v>
      </c>
      <c r="B58" s="21" t="s">
        <v>319</v>
      </c>
      <c r="C58" s="22" t="s">
        <v>191</v>
      </c>
      <c r="D58" s="22">
        <v>1</v>
      </c>
      <c r="E58" s="22"/>
      <c r="F58" s="22"/>
    </row>
    <row r="59" spans="1:6">
      <c r="A59" s="12">
        <v>52</v>
      </c>
      <c r="B59" s="23" t="s">
        <v>344</v>
      </c>
      <c r="C59" s="22" t="s">
        <v>191</v>
      </c>
      <c r="D59" s="22">
        <v>3</v>
      </c>
      <c r="E59" s="22"/>
      <c r="F59" s="22"/>
    </row>
    <row r="60" spans="1:6" s="37" customFormat="1">
      <c r="A60" s="12">
        <v>53</v>
      </c>
      <c r="B60" s="29" t="s">
        <v>388</v>
      </c>
      <c r="C60" s="30" t="s">
        <v>71</v>
      </c>
      <c r="D60" s="30">
        <v>2</v>
      </c>
      <c r="E60" s="30"/>
      <c r="F60" s="30"/>
    </row>
    <row r="61" spans="1:6" s="37" customFormat="1">
      <c r="A61" s="12">
        <v>54</v>
      </c>
      <c r="B61" s="29" t="s">
        <v>383</v>
      </c>
      <c r="C61" s="30" t="s">
        <v>71</v>
      </c>
      <c r="D61" s="30">
        <v>1</v>
      </c>
      <c r="E61" s="30"/>
      <c r="F61" s="30"/>
    </row>
    <row r="62" spans="1:6">
      <c r="A62" s="12">
        <v>55</v>
      </c>
      <c r="B62" s="8" t="s">
        <v>46</v>
      </c>
      <c r="C62" s="7"/>
      <c r="D62" s="7"/>
      <c r="E62" s="7"/>
      <c r="F62" s="7"/>
    </row>
    <row r="63" spans="1:6">
      <c r="A63" s="12">
        <v>56</v>
      </c>
      <c r="B63" s="7" t="s">
        <v>68</v>
      </c>
      <c r="C63" s="12" t="s">
        <v>71</v>
      </c>
      <c r="D63" s="12">
        <v>8</v>
      </c>
      <c r="E63" s="12"/>
      <c r="F63" s="12"/>
    </row>
    <row r="64" spans="1:6">
      <c r="A64" s="12">
        <v>57</v>
      </c>
      <c r="B64" s="7" t="s">
        <v>69</v>
      </c>
      <c r="C64" s="12" t="s">
        <v>71</v>
      </c>
      <c r="D64" s="12">
        <v>1</v>
      </c>
      <c r="E64" s="12"/>
      <c r="F64" s="12"/>
    </row>
    <row r="65" spans="1:6">
      <c r="A65" s="12">
        <v>58</v>
      </c>
      <c r="B65" s="7" t="s">
        <v>70</v>
      </c>
      <c r="C65" s="12" t="s">
        <v>71</v>
      </c>
      <c r="D65" s="12">
        <v>6</v>
      </c>
      <c r="E65" s="12"/>
      <c r="F65" s="12"/>
    </row>
    <row r="66" spans="1:6">
      <c r="A66" s="12">
        <v>59</v>
      </c>
      <c r="B66" s="7" t="s">
        <v>67</v>
      </c>
      <c r="C66" s="12" t="s">
        <v>71</v>
      </c>
      <c r="D66" s="12">
        <v>1</v>
      </c>
      <c r="E66" s="12"/>
      <c r="F66" s="12"/>
    </row>
    <row r="67" spans="1:6">
      <c r="A67" s="12">
        <v>60</v>
      </c>
      <c r="B67" s="21" t="s">
        <v>319</v>
      </c>
      <c r="C67" s="22" t="s">
        <v>191</v>
      </c>
      <c r="D67" s="22">
        <v>1</v>
      </c>
      <c r="E67" s="22"/>
      <c r="F67" s="22"/>
    </row>
    <row r="68" spans="1:6">
      <c r="A68" s="12">
        <v>61</v>
      </c>
      <c r="B68" s="23" t="s">
        <v>342</v>
      </c>
      <c r="C68" s="22" t="s">
        <v>191</v>
      </c>
      <c r="D68" s="22">
        <v>3</v>
      </c>
      <c r="E68" s="22"/>
      <c r="F68" s="22"/>
    </row>
    <row r="69" spans="1:6" s="37" customFormat="1">
      <c r="A69" s="12">
        <v>62</v>
      </c>
      <c r="B69" s="29" t="s">
        <v>381</v>
      </c>
      <c r="C69" s="30" t="s">
        <v>71</v>
      </c>
      <c r="D69" s="30">
        <v>2</v>
      </c>
      <c r="E69" s="30"/>
      <c r="F69" s="30"/>
    </row>
    <row r="70" spans="1:6" s="37" customFormat="1">
      <c r="A70" s="12">
        <v>63</v>
      </c>
      <c r="B70" s="29" t="s">
        <v>387</v>
      </c>
      <c r="C70" s="30" t="s">
        <v>71</v>
      </c>
      <c r="D70" s="30">
        <v>1</v>
      </c>
      <c r="E70" s="30"/>
      <c r="F70" s="30"/>
    </row>
    <row r="71" spans="1:6">
      <c r="A71" s="12">
        <v>64</v>
      </c>
      <c r="B71" s="8" t="s">
        <v>47</v>
      </c>
      <c r="C71" s="7"/>
      <c r="D71" s="7"/>
      <c r="E71" s="7"/>
      <c r="F71" s="7"/>
    </row>
    <row r="72" spans="1:6">
      <c r="A72" s="12">
        <v>65</v>
      </c>
      <c r="B72" s="7" t="s">
        <v>83</v>
      </c>
      <c r="C72" s="12" t="s">
        <v>71</v>
      </c>
      <c r="D72" s="12">
        <v>2</v>
      </c>
      <c r="E72" s="12"/>
      <c r="F72" s="12"/>
    </row>
    <row r="73" spans="1:6">
      <c r="A73" s="12">
        <v>66</v>
      </c>
      <c r="B73" s="7" t="s">
        <v>76</v>
      </c>
      <c r="C73" s="12" t="s">
        <v>71</v>
      </c>
      <c r="D73" s="12">
        <v>1</v>
      </c>
      <c r="E73" s="12"/>
      <c r="F73" s="12"/>
    </row>
    <row r="74" spans="1:6">
      <c r="A74" s="12">
        <v>67</v>
      </c>
      <c r="B74" s="7" t="s">
        <v>70</v>
      </c>
      <c r="C74" s="12" t="s">
        <v>71</v>
      </c>
      <c r="D74" s="12">
        <v>4</v>
      </c>
      <c r="E74" s="12"/>
      <c r="F74" s="12"/>
    </row>
    <row r="75" spans="1:6">
      <c r="A75" s="12">
        <v>68</v>
      </c>
      <c r="B75" s="7" t="s">
        <v>67</v>
      </c>
      <c r="C75" s="12" t="s">
        <v>71</v>
      </c>
      <c r="D75" s="12">
        <v>1</v>
      </c>
      <c r="E75" s="12"/>
      <c r="F75" s="12"/>
    </row>
    <row r="76" spans="1:6">
      <c r="A76" s="12">
        <v>69</v>
      </c>
      <c r="B76" s="21" t="s">
        <v>319</v>
      </c>
      <c r="C76" s="22" t="s">
        <v>191</v>
      </c>
      <c r="D76" s="22">
        <v>1</v>
      </c>
      <c r="E76" s="22"/>
      <c r="F76" s="22"/>
    </row>
    <row r="77" spans="1:6">
      <c r="A77" s="12">
        <v>70</v>
      </c>
      <c r="B77" s="23" t="s">
        <v>342</v>
      </c>
      <c r="C77" s="22" t="s">
        <v>191</v>
      </c>
      <c r="D77" s="22">
        <v>2</v>
      </c>
      <c r="E77" s="22"/>
      <c r="F77" s="22"/>
    </row>
    <row r="78" spans="1:6" s="37" customFormat="1">
      <c r="A78" s="12">
        <v>71</v>
      </c>
      <c r="B78" s="29" t="s">
        <v>388</v>
      </c>
      <c r="C78" s="30" t="s">
        <v>71</v>
      </c>
      <c r="D78" s="30">
        <v>1</v>
      </c>
      <c r="E78" s="30"/>
      <c r="F78" s="30"/>
    </row>
    <row r="79" spans="1:6" s="37" customFormat="1">
      <c r="A79" s="12">
        <v>72</v>
      </c>
      <c r="B79" s="29" t="s">
        <v>382</v>
      </c>
      <c r="C79" s="30" t="s">
        <v>71</v>
      </c>
      <c r="D79" s="30">
        <v>1</v>
      </c>
      <c r="E79" s="30"/>
      <c r="F79" s="30"/>
    </row>
    <row r="80" spans="1:6" s="37" customFormat="1">
      <c r="A80" s="12">
        <v>73</v>
      </c>
      <c r="B80" s="29" t="s">
        <v>389</v>
      </c>
      <c r="C80" s="30" t="s">
        <v>71</v>
      </c>
      <c r="D80" s="30">
        <v>1</v>
      </c>
      <c r="E80" s="30"/>
      <c r="F80" s="30"/>
    </row>
    <row r="81" spans="1:6">
      <c r="A81" s="12">
        <v>74</v>
      </c>
      <c r="B81" s="8" t="s">
        <v>48</v>
      </c>
      <c r="C81" s="7"/>
      <c r="D81" s="7"/>
      <c r="E81" s="7"/>
      <c r="F81" s="7"/>
    </row>
    <row r="82" spans="1:6">
      <c r="A82" s="12">
        <v>75</v>
      </c>
      <c r="B82" s="7" t="s">
        <v>83</v>
      </c>
      <c r="C82" s="12" t="s">
        <v>71</v>
      </c>
      <c r="D82" s="12">
        <v>10</v>
      </c>
      <c r="E82" s="12"/>
      <c r="F82" s="12"/>
    </row>
    <row r="83" spans="1:6">
      <c r="A83" s="12">
        <v>76</v>
      </c>
      <c r="B83" s="7" t="s">
        <v>79</v>
      </c>
      <c r="C83" s="12" t="s">
        <v>71</v>
      </c>
      <c r="D83" s="12">
        <v>1</v>
      </c>
      <c r="E83" s="12"/>
      <c r="F83" s="12"/>
    </row>
    <row r="84" spans="1:6">
      <c r="A84" s="12">
        <v>77</v>
      </c>
      <c r="B84" s="7" t="s">
        <v>70</v>
      </c>
      <c r="C84" s="12" t="s">
        <v>71</v>
      </c>
      <c r="D84" s="12">
        <v>8</v>
      </c>
      <c r="E84" s="12"/>
      <c r="F84" s="12"/>
    </row>
    <row r="85" spans="1:6">
      <c r="A85" s="12">
        <v>78</v>
      </c>
      <c r="B85" s="7" t="s">
        <v>67</v>
      </c>
      <c r="C85" s="12" t="s">
        <v>71</v>
      </c>
      <c r="D85" s="12">
        <v>1</v>
      </c>
      <c r="E85" s="12"/>
      <c r="F85" s="12"/>
    </row>
    <row r="86" spans="1:6">
      <c r="A86" s="12">
        <v>79</v>
      </c>
      <c r="B86" s="21" t="s">
        <v>319</v>
      </c>
      <c r="C86" s="22" t="s">
        <v>191</v>
      </c>
      <c r="D86" s="22">
        <v>3</v>
      </c>
      <c r="E86" s="22"/>
      <c r="F86" s="22"/>
    </row>
    <row r="87" spans="1:6">
      <c r="A87" s="12">
        <v>80</v>
      </c>
      <c r="B87" s="23" t="s">
        <v>344</v>
      </c>
      <c r="C87" s="22" t="s">
        <v>191</v>
      </c>
      <c r="D87" s="22">
        <v>6</v>
      </c>
      <c r="E87" s="22"/>
      <c r="F87" s="22"/>
    </row>
    <row r="88" spans="1:6" s="37" customFormat="1">
      <c r="A88" s="12">
        <v>81</v>
      </c>
      <c r="B88" s="29" t="s">
        <v>384</v>
      </c>
      <c r="C88" s="30" t="s">
        <v>71</v>
      </c>
      <c r="D88" s="30">
        <v>1</v>
      </c>
      <c r="E88" s="30"/>
      <c r="F88" s="30"/>
    </row>
    <row r="89" spans="1:6" s="37" customFormat="1">
      <c r="A89" s="12">
        <v>82</v>
      </c>
      <c r="B89" s="29" t="s">
        <v>390</v>
      </c>
      <c r="C89" s="30" t="s">
        <v>71</v>
      </c>
      <c r="D89" s="30">
        <v>1</v>
      </c>
      <c r="E89" s="30"/>
      <c r="F89" s="30"/>
    </row>
    <row r="90" spans="1:6" s="37" customFormat="1">
      <c r="A90" s="12">
        <v>83</v>
      </c>
      <c r="B90" s="29" t="s">
        <v>382</v>
      </c>
      <c r="C90" s="30" t="s">
        <v>71</v>
      </c>
      <c r="D90" s="30">
        <v>3</v>
      </c>
      <c r="E90" s="30"/>
      <c r="F90" s="30"/>
    </row>
    <row r="91" spans="1:6" s="37" customFormat="1">
      <c r="A91" s="12">
        <v>84</v>
      </c>
      <c r="B91" s="29" t="s">
        <v>387</v>
      </c>
      <c r="C91" s="30" t="s">
        <v>71</v>
      </c>
      <c r="D91" s="30">
        <v>1</v>
      </c>
      <c r="E91" s="30"/>
      <c r="F91" s="30"/>
    </row>
    <row r="92" spans="1:6">
      <c r="A92" s="22">
        <f>A87+1</f>
        <v>81</v>
      </c>
      <c r="B92" s="8" t="s">
        <v>49</v>
      </c>
      <c r="C92" s="7"/>
      <c r="D92" s="7"/>
      <c r="E92" s="7"/>
      <c r="F92" s="7"/>
    </row>
    <row r="93" spans="1:6">
      <c r="A93" s="22">
        <f t="shared" ref="A93:A99" si="0">A92+1</f>
        <v>82</v>
      </c>
      <c r="B93" s="7" t="s">
        <v>75</v>
      </c>
      <c r="C93" s="12" t="s">
        <v>71</v>
      </c>
      <c r="D93" s="12">
        <v>8</v>
      </c>
      <c r="E93" s="12"/>
      <c r="F93" s="12"/>
    </row>
    <row r="94" spans="1:6">
      <c r="A94" s="22">
        <f t="shared" si="0"/>
        <v>83</v>
      </c>
      <c r="B94" s="7" t="s">
        <v>69</v>
      </c>
      <c r="C94" s="12" t="s">
        <v>71</v>
      </c>
      <c r="D94" s="12">
        <v>1</v>
      </c>
      <c r="E94" s="12"/>
      <c r="F94" s="12"/>
    </row>
    <row r="95" spans="1:6">
      <c r="A95" s="22">
        <f t="shared" si="0"/>
        <v>84</v>
      </c>
      <c r="B95" s="7" t="s">
        <v>70</v>
      </c>
      <c r="C95" s="12" t="s">
        <v>71</v>
      </c>
      <c r="D95" s="12">
        <v>3</v>
      </c>
      <c r="E95" s="12"/>
      <c r="F95" s="12"/>
    </row>
    <row r="96" spans="1:6">
      <c r="A96" s="22">
        <f t="shared" si="0"/>
        <v>85</v>
      </c>
      <c r="B96" s="7" t="s">
        <v>67</v>
      </c>
      <c r="C96" s="12" t="s">
        <v>71</v>
      </c>
      <c r="D96" s="12">
        <v>1</v>
      </c>
      <c r="E96" s="12"/>
      <c r="F96" s="12"/>
    </row>
    <row r="97" spans="1:6">
      <c r="A97" s="22">
        <f t="shared" si="0"/>
        <v>86</v>
      </c>
      <c r="B97" s="21" t="s">
        <v>319</v>
      </c>
      <c r="C97" s="22" t="s">
        <v>191</v>
      </c>
      <c r="D97" s="22">
        <v>1</v>
      </c>
      <c r="E97" s="22"/>
      <c r="F97" s="22"/>
    </row>
    <row r="98" spans="1:6">
      <c r="A98" s="22">
        <f t="shared" ref="A98:A180" si="1">A97+1</f>
        <v>87</v>
      </c>
      <c r="B98" s="23" t="s">
        <v>342</v>
      </c>
      <c r="C98" s="22" t="s">
        <v>191</v>
      </c>
      <c r="D98" s="22">
        <v>2</v>
      </c>
      <c r="E98" s="22"/>
      <c r="F98" s="22"/>
    </row>
    <row r="99" spans="1:6" s="37" customFormat="1">
      <c r="A99" s="22">
        <f t="shared" si="0"/>
        <v>88</v>
      </c>
      <c r="B99" s="29" t="s">
        <v>388</v>
      </c>
      <c r="C99" s="30" t="s">
        <v>71</v>
      </c>
      <c r="D99" s="30">
        <v>1</v>
      </c>
      <c r="E99" s="30"/>
      <c r="F99" s="30"/>
    </row>
    <row r="100" spans="1:6" s="37" customFormat="1">
      <c r="A100" s="22">
        <f t="shared" si="1"/>
        <v>89</v>
      </c>
      <c r="B100" s="29" t="s">
        <v>387</v>
      </c>
      <c r="C100" s="30" t="s">
        <v>71</v>
      </c>
      <c r="D100" s="30">
        <v>1</v>
      </c>
      <c r="E100" s="30"/>
      <c r="F100" s="30"/>
    </row>
    <row r="101" spans="1:6">
      <c r="A101" s="22">
        <f t="shared" si="1"/>
        <v>90</v>
      </c>
      <c r="B101" s="8" t="s">
        <v>50</v>
      </c>
      <c r="C101" s="7"/>
      <c r="D101" s="7"/>
      <c r="E101" s="7"/>
      <c r="F101" s="7"/>
    </row>
    <row r="102" spans="1:6">
      <c r="A102" s="22">
        <f t="shared" si="1"/>
        <v>91</v>
      </c>
      <c r="B102" s="7" t="s">
        <v>83</v>
      </c>
      <c r="C102" s="12" t="s">
        <v>71</v>
      </c>
      <c r="D102" s="12">
        <v>2</v>
      </c>
      <c r="E102" s="12"/>
      <c r="F102" s="12"/>
    </row>
    <row r="103" spans="1:6">
      <c r="A103" s="22">
        <f t="shared" si="1"/>
        <v>92</v>
      </c>
      <c r="B103" s="7" t="s">
        <v>76</v>
      </c>
      <c r="C103" s="12" t="s">
        <v>71</v>
      </c>
      <c r="D103" s="12">
        <v>1</v>
      </c>
      <c r="E103" s="12"/>
      <c r="F103" s="12"/>
    </row>
    <row r="104" spans="1:6">
      <c r="A104" s="22">
        <f t="shared" si="1"/>
        <v>93</v>
      </c>
      <c r="B104" s="7" t="s">
        <v>70</v>
      </c>
      <c r="C104" s="12" t="s">
        <v>71</v>
      </c>
      <c r="D104" s="12">
        <v>4</v>
      </c>
      <c r="E104" s="12"/>
      <c r="F104" s="12"/>
    </row>
    <row r="105" spans="1:6">
      <c r="A105" s="22">
        <f t="shared" si="1"/>
        <v>94</v>
      </c>
      <c r="B105" s="7" t="s">
        <v>67</v>
      </c>
      <c r="C105" s="12" t="s">
        <v>71</v>
      </c>
      <c r="D105" s="12">
        <v>1</v>
      </c>
      <c r="E105" s="12"/>
      <c r="F105" s="12"/>
    </row>
    <row r="106" spans="1:6">
      <c r="A106" s="22">
        <f t="shared" si="1"/>
        <v>95</v>
      </c>
      <c r="B106" s="21" t="s">
        <v>319</v>
      </c>
      <c r="C106" s="22" t="s">
        <v>191</v>
      </c>
      <c r="D106" s="22">
        <v>1</v>
      </c>
      <c r="E106" s="22"/>
      <c r="F106" s="22"/>
    </row>
    <row r="107" spans="1:6">
      <c r="A107" s="22">
        <f t="shared" si="1"/>
        <v>96</v>
      </c>
      <c r="B107" s="23" t="s">
        <v>344</v>
      </c>
      <c r="C107" s="22" t="s">
        <v>191</v>
      </c>
      <c r="D107" s="22">
        <v>2</v>
      </c>
      <c r="E107" s="22"/>
      <c r="F107" s="22"/>
    </row>
    <row r="108" spans="1:6" s="37" customFormat="1">
      <c r="A108" s="22">
        <f t="shared" si="1"/>
        <v>97</v>
      </c>
      <c r="B108" s="29" t="s">
        <v>388</v>
      </c>
      <c r="C108" s="30" t="s">
        <v>71</v>
      </c>
      <c r="D108" s="30">
        <v>1</v>
      </c>
      <c r="E108" s="30"/>
      <c r="F108" s="30"/>
    </row>
    <row r="109" spans="1:6" s="37" customFormat="1">
      <c r="A109" s="22">
        <f t="shared" si="1"/>
        <v>98</v>
      </c>
      <c r="B109" s="29" t="s">
        <v>382</v>
      </c>
      <c r="C109" s="30" t="s">
        <v>71</v>
      </c>
      <c r="D109" s="30">
        <v>1</v>
      </c>
      <c r="E109" s="30"/>
      <c r="F109" s="30"/>
    </row>
    <row r="110" spans="1:6" s="37" customFormat="1">
      <c r="A110" s="22">
        <f t="shared" si="1"/>
        <v>99</v>
      </c>
      <c r="B110" s="29" t="s">
        <v>383</v>
      </c>
      <c r="C110" s="30" t="s">
        <v>71</v>
      </c>
      <c r="D110" s="30">
        <v>1</v>
      </c>
      <c r="E110" s="30"/>
      <c r="F110" s="30"/>
    </row>
    <row r="111" spans="1:6">
      <c r="A111" s="22">
        <f t="shared" si="1"/>
        <v>100</v>
      </c>
      <c r="B111" s="8" t="s">
        <v>51</v>
      </c>
      <c r="C111" s="7"/>
      <c r="D111" s="7"/>
      <c r="E111" s="7"/>
      <c r="F111" s="7"/>
    </row>
    <row r="112" spans="1:6">
      <c r="A112" s="22">
        <f t="shared" si="1"/>
        <v>101</v>
      </c>
      <c r="B112" s="7" t="s">
        <v>83</v>
      </c>
      <c r="C112" s="12" t="s">
        <v>71</v>
      </c>
      <c r="D112" s="12">
        <v>10</v>
      </c>
      <c r="E112" s="12"/>
      <c r="F112" s="12"/>
    </row>
    <row r="113" spans="1:6">
      <c r="A113" s="22">
        <f t="shared" si="1"/>
        <v>102</v>
      </c>
      <c r="B113" s="7" t="s">
        <v>79</v>
      </c>
      <c r="C113" s="12" t="s">
        <v>71</v>
      </c>
      <c r="D113" s="12">
        <v>1</v>
      </c>
      <c r="E113" s="12"/>
      <c r="F113" s="12"/>
    </row>
    <row r="114" spans="1:6">
      <c r="A114" s="22">
        <f t="shared" si="1"/>
        <v>103</v>
      </c>
      <c r="B114" s="7" t="s">
        <v>70</v>
      </c>
      <c r="C114" s="12" t="s">
        <v>71</v>
      </c>
      <c r="D114" s="12">
        <v>6</v>
      </c>
      <c r="E114" s="12"/>
      <c r="F114" s="12"/>
    </row>
    <row r="115" spans="1:6">
      <c r="A115" s="22">
        <f t="shared" si="1"/>
        <v>104</v>
      </c>
      <c r="B115" s="7" t="s">
        <v>67</v>
      </c>
      <c r="C115" s="12" t="s">
        <v>71</v>
      </c>
      <c r="D115" s="12">
        <v>1</v>
      </c>
      <c r="E115" s="12"/>
      <c r="F115" s="12"/>
    </row>
    <row r="116" spans="1:6">
      <c r="A116" s="22">
        <f t="shared" si="1"/>
        <v>105</v>
      </c>
      <c r="B116" s="21" t="s">
        <v>319</v>
      </c>
      <c r="C116" s="22" t="s">
        <v>191</v>
      </c>
      <c r="D116" s="22">
        <v>1</v>
      </c>
      <c r="E116" s="22"/>
      <c r="F116" s="22"/>
    </row>
    <row r="117" spans="1:6">
      <c r="A117" s="22">
        <f t="shared" si="1"/>
        <v>106</v>
      </c>
      <c r="B117" s="23" t="s">
        <v>342</v>
      </c>
      <c r="C117" s="22" t="s">
        <v>191</v>
      </c>
      <c r="D117" s="22">
        <v>6</v>
      </c>
      <c r="E117" s="22"/>
      <c r="F117" s="22"/>
    </row>
    <row r="118" spans="1:6" s="37" customFormat="1">
      <c r="A118" s="22">
        <f t="shared" si="1"/>
        <v>107</v>
      </c>
      <c r="B118" s="29" t="s">
        <v>381</v>
      </c>
      <c r="C118" s="30" t="s">
        <v>71</v>
      </c>
      <c r="D118" s="30">
        <v>3</v>
      </c>
      <c r="E118" s="30"/>
      <c r="F118" s="30"/>
    </row>
    <row r="119" spans="1:6" s="37" customFormat="1">
      <c r="A119" s="22">
        <f t="shared" si="1"/>
        <v>108</v>
      </c>
      <c r="B119" s="29" t="s">
        <v>382</v>
      </c>
      <c r="C119" s="30" t="s">
        <v>71</v>
      </c>
      <c r="D119" s="30">
        <v>3</v>
      </c>
      <c r="E119" s="30"/>
      <c r="F119" s="30"/>
    </row>
    <row r="120" spans="1:6" s="37" customFormat="1">
      <c r="A120" s="22">
        <f t="shared" si="1"/>
        <v>109</v>
      </c>
      <c r="B120" s="29" t="s">
        <v>387</v>
      </c>
      <c r="C120" s="30" t="s">
        <v>71</v>
      </c>
      <c r="D120" s="30">
        <v>1</v>
      </c>
      <c r="E120" s="30"/>
      <c r="F120" s="30"/>
    </row>
    <row r="121" spans="1:6">
      <c r="A121" s="22">
        <f t="shared" si="1"/>
        <v>110</v>
      </c>
      <c r="B121" s="8" t="s">
        <v>52</v>
      </c>
      <c r="C121" s="7"/>
      <c r="D121" s="7"/>
      <c r="E121" s="7"/>
      <c r="F121" s="7"/>
    </row>
    <row r="122" spans="1:6">
      <c r="A122" s="22">
        <f t="shared" si="1"/>
        <v>111</v>
      </c>
      <c r="B122" s="7" t="s">
        <v>75</v>
      </c>
      <c r="C122" s="12" t="s">
        <v>71</v>
      </c>
      <c r="D122" s="12">
        <v>20</v>
      </c>
      <c r="E122" s="12"/>
      <c r="F122" s="12"/>
    </row>
    <row r="123" spans="1:6">
      <c r="A123" s="22">
        <f t="shared" si="1"/>
        <v>112</v>
      </c>
      <c r="B123" s="7" t="s">
        <v>79</v>
      </c>
      <c r="C123" s="12" t="s">
        <v>71</v>
      </c>
      <c r="D123" s="12">
        <v>1</v>
      </c>
      <c r="E123" s="12"/>
      <c r="F123" s="12"/>
    </row>
    <row r="124" spans="1:6">
      <c r="A124" s="22">
        <f t="shared" si="1"/>
        <v>113</v>
      </c>
      <c r="B124" s="7" t="s">
        <v>70</v>
      </c>
      <c r="C124" s="12" t="s">
        <v>71</v>
      </c>
      <c r="D124" s="12">
        <v>5</v>
      </c>
      <c r="E124" s="12"/>
      <c r="F124" s="12"/>
    </row>
    <row r="125" spans="1:6">
      <c r="A125" s="22">
        <f t="shared" si="1"/>
        <v>114</v>
      </c>
      <c r="B125" s="7" t="s">
        <v>67</v>
      </c>
      <c r="C125" s="12" t="s">
        <v>71</v>
      </c>
      <c r="D125" s="12">
        <v>1</v>
      </c>
      <c r="E125" s="12"/>
      <c r="F125" s="12"/>
    </row>
    <row r="126" spans="1:6">
      <c r="A126" s="22">
        <f t="shared" si="1"/>
        <v>115</v>
      </c>
      <c r="B126" s="21" t="s">
        <v>319</v>
      </c>
      <c r="C126" s="22" t="s">
        <v>191</v>
      </c>
      <c r="D126" s="22">
        <v>1</v>
      </c>
      <c r="E126" s="22"/>
      <c r="F126" s="22"/>
    </row>
    <row r="127" spans="1:6">
      <c r="A127" s="22">
        <f t="shared" si="1"/>
        <v>116</v>
      </c>
      <c r="B127" s="23" t="s">
        <v>342</v>
      </c>
      <c r="C127" s="22" t="s">
        <v>191</v>
      </c>
      <c r="D127" s="22">
        <v>6</v>
      </c>
      <c r="E127" s="22"/>
      <c r="F127" s="22"/>
    </row>
    <row r="128" spans="1:6" s="37" customFormat="1">
      <c r="A128" s="22">
        <f t="shared" si="1"/>
        <v>117</v>
      </c>
      <c r="B128" s="29" t="s">
        <v>381</v>
      </c>
      <c r="C128" s="30" t="s">
        <v>71</v>
      </c>
      <c r="D128" s="30">
        <v>2</v>
      </c>
      <c r="E128" s="30"/>
      <c r="F128" s="30"/>
    </row>
    <row r="129" spans="1:6" s="37" customFormat="1">
      <c r="A129" s="22">
        <f t="shared" si="1"/>
        <v>118</v>
      </c>
      <c r="B129" s="29" t="s">
        <v>391</v>
      </c>
      <c r="C129" s="30" t="s">
        <v>71</v>
      </c>
      <c r="D129" s="30">
        <v>1</v>
      </c>
      <c r="E129" s="30"/>
      <c r="F129" s="30"/>
    </row>
    <row r="130" spans="1:6">
      <c r="A130" s="22">
        <f t="shared" si="1"/>
        <v>119</v>
      </c>
      <c r="B130" s="8" t="s">
        <v>53</v>
      </c>
      <c r="C130" s="7"/>
      <c r="D130" s="7"/>
      <c r="E130" s="7"/>
      <c r="F130" s="7"/>
    </row>
    <row r="131" spans="1:6">
      <c r="A131" s="22">
        <f t="shared" si="1"/>
        <v>120</v>
      </c>
      <c r="B131" s="7" t="s">
        <v>83</v>
      </c>
      <c r="C131" s="12" t="s">
        <v>71</v>
      </c>
      <c r="D131" s="12">
        <v>6</v>
      </c>
      <c r="E131" s="12"/>
      <c r="F131" s="12"/>
    </row>
    <row r="132" spans="1:6">
      <c r="A132" s="22">
        <f t="shared" si="1"/>
        <v>121</v>
      </c>
      <c r="B132" s="7" t="s">
        <v>69</v>
      </c>
      <c r="C132" s="12" t="s">
        <v>71</v>
      </c>
      <c r="D132" s="12">
        <v>1</v>
      </c>
      <c r="E132" s="12"/>
      <c r="F132" s="12"/>
    </row>
    <row r="133" spans="1:6">
      <c r="A133" s="22">
        <f t="shared" si="1"/>
        <v>122</v>
      </c>
      <c r="B133" s="7" t="s">
        <v>70</v>
      </c>
      <c r="C133" s="12" t="s">
        <v>71</v>
      </c>
      <c r="D133" s="12">
        <v>6</v>
      </c>
      <c r="E133" s="12"/>
      <c r="F133" s="12"/>
    </row>
    <row r="134" spans="1:6">
      <c r="A134" s="22">
        <f t="shared" si="1"/>
        <v>123</v>
      </c>
      <c r="B134" s="7" t="s">
        <v>67</v>
      </c>
      <c r="C134" s="12" t="s">
        <v>71</v>
      </c>
      <c r="D134" s="12">
        <v>1</v>
      </c>
      <c r="E134" s="12"/>
      <c r="F134" s="12"/>
    </row>
    <row r="135" spans="1:6">
      <c r="A135" s="22">
        <f t="shared" si="1"/>
        <v>124</v>
      </c>
      <c r="B135" s="21" t="s">
        <v>319</v>
      </c>
      <c r="C135" s="22" t="s">
        <v>191</v>
      </c>
      <c r="D135" s="22">
        <v>1</v>
      </c>
      <c r="E135" s="22"/>
      <c r="F135" s="22"/>
    </row>
    <row r="136" spans="1:6">
      <c r="A136" s="22">
        <f t="shared" si="1"/>
        <v>125</v>
      </c>
      <c r="B136" s="23" t="s">
        <v>342</v>
      </c>
      <c r="C136" s="22" t="s">
        <v>191</v>
      </c>
      <c r="D136" s="22">
        <v>4</v>
      </c>
      <c r="E136" s="22"/>
      <c r="F136" s="22"/>
    </row>
    <row r="137" spans="1:6" s="37" customFormat="1">
      <c r="A137" s="22">
        <f t="shared" si="1"/>
        <v>126</v>
      </c>
      <c r="B137" s="29" t="s">
        <v>388</v>
      </c>
      <c r="C137" s="30" t="s">
        <v>71</v>
      </c>
      <c r="D137" s="30">
        <v>2</v>
      </c>
      <c r="E137" s="30"/>
      <c r="F137" s="30"/>
    </row>
    <row r="138" spans="1:6" s="37" customFormat="1">
      <c r="A138" s="22">
        <f t="shared" si="1"/>
        <v>127</v>
      </c>
      <c r="B138" s="29" t="s">
        <v>382</v>
      </c>
      <c r="C138" s="30" t="s">
        <v>71</v>
      </c>
      <c r="D138" s="30">
        <v>2</v>
      </c>
      <c r="E138" s="30"/>
      <c r="F138" s="30"/>
    </row>
    <row r="139" spans="1:6" s="37" customFormat="1">
      <c r="A139" s="22">
        <f t="shared" si="1"/>
        <v>128</v>
      </c>
      <c r="B139" s="29" t="s">
        <v>383</v>
      </c>
      <c r="C139" s="30" t="s">
        <v>71</v>
      </c>
      <c r="D139" s="30">
        <v>1</v>
      </c>
      <c r="E139" s="30"/>
      <c r="F139" s="30"/>
    </row>
    <row r="140" spans="1:6">
      <c r="A140" s="22">
        <f t="shared" si="1"/>
        <v>129</v>
      </c>
      <c r="B140" s="8" t="s">
        <v>54</v>
      </c>
      <c r="C140" s="7"/>
      <c r="D140" s="7"/>
      <c r="E140" s="7"/>
      <c r="F140" s="7"/>
    </row>
    <row r="141" spans="1:6">
      <c r="A141" s="22">
        <f t="shared" si="1"/>
        <v>130</v>
      </c>
      <c r="B141" s="7" t="s">
        <v>83</v>
      </c>
      <c r="C141" s="12" t="s">
        <v>71</v>
      </c>
      <c r="D141" s="12">
        <v>2</v>
      </c>
      <c r="E141" s="12"/>
      <c r="F141" s="12"/>
    </row>
    <row r="142" spans="1:6">
      <c r="A142" s="22">
        <f t="shared" si="1"/>
        <v>131</v>
      </c>
      <c r="B142" s="7" t="s">
        <v>76</v>
      </c>
      <c r="C142" s="12" t="s">
        <v>71</v>
      </c>
      <c r="D142" s="12">
        <v>1</v>
      </c>
      <c r="E142" s="12"/>
      <c r="F142" s="12"/>
    </row>
    <row r="143" spans="1:6">
      <c r="A143" s="22">
        <f t="shared" si="1"/>
        <v>132</v>
      </c>
      <c r="B143" s="7" t="s">
        <v>70</v>
      </c>
      <c r="C143" s="12" t="s">
        <v>71</v>
      </c>
      <c r="D143" s="12">
        <v>3</v>
      </c>
      <c r="E143" s="12"/>
      <c r="F143" s="12"/>
    </row>
    <row r="144" spans="1:6">
      <c r="A144" s="22">
        <f t="shared" si="1"/>
        <v>133</v>
      </c>
      <c r="B144" s="7" t="s">
        <v>67</v>
      </c>
      <c r="C144" s="12" t="s">
        <v>71</v>
      </c>
      <c r="D144" s="12">
        <v>1</v>
      </c>
      <c r="E144" s="12"/>
      <c r="F144" s="12"/>
    </row>
    <row r="145" spans="1:6">
      <c r="A145" s="22">
        <f t="shared" si="1"/>
        <v>134</v>
      </c>
      <c r="B145" s="21" t="s">
        <v>319</v>
      </c>
      <c r="C145" s="22" t="s">
        <v>191</v>
      </c>
      <c r="D145" s="22">
        <v>1</v>
      </c>
      <c r="E145" s="22"/>
      <c r="F145" s="22"/>
    </row>
    <row r="146" spans="1:6">
      <c r="A146" s="22">
        <f t="shared" si="1"/>
        <v>135</v>
      </c>
      <c r="B146" s="23" t="s">
        <v>342</v>
      </c>
      <c r="C146" s="22" t="s">
        <v>191</v>
      </c>
      <c r="D146" s="22">
        <v>2</v>
      </c>
      <c r="E146" s="22"/>
      <c r="F146" s="22"/>
    </row>
    <row r="147" spans="1:6" s="37" customFormat="1">
      <c r="A147" s="22">
        <f t="shared" si="1"/>
        <v>136</v>
      </c>
      <c r="B147" s="29" t="s">
        <v>388</v>
      </c>
      <c r="C147" s="30" t="s">
        <v>71</v>
      </c>
      <c r="D147" s="30">
        <v>1</v>
      </c>
      <c r="E147" s="30"/>
      <c r="F147" s="30"/>
    </row>
    <row r="148" spans="1:6">
      <c r="A148" s="22">
        <f t="shared" si="1"/>
        <v>137</v>
      </c>
      <c r="B148" s="8" t="s">
        <v>55</v>
      </c>
      <c r="C148" s="7"/>
      <c r="D148" s="7"/>
      <c r="E148" s="7"/>
      <c r="F148" s="7"/>
    </row>
    <row r="149" spans="1:6">
      <c r="A149" s="22">
        <f t="shared" si="1"/>
        <v>138</v>
      </c>
      <c r="B149" s="7" t="s">
        <v>68</v>
      </c>
      <c r="C149" s="12" t="s">
        <v>71</v>
      </c>
      <c r="D149" s="12">
        <v>6</v>
      </c>
      <c r="E149" s="12"/>
      <c r="F149" s="12"/>
    </row>
    <row r="150" spans="1:6">
      <c r="A150" s="22">
        <f t="shared" si="1"/>
        <v>139</v>
      </c>
      <c r="B150" s="7" t="s">
        <v>69</v>
      </c>
      <c r="C150" s="12" t="s">
        <v>71</v>
      </c>
      <c r="D150" s="12">
        <v>1</v>
      </c>
      <c r="E150" s="12"/>
      <c r="F150" s="12"/>
    </row>
    <row r="151" spans="1:6">
      <c r="A151" s="22">
        <f t="shared" si="1"/>
        <v>140</v>
      </c>
      <c r="B151" s="7" t="s">
        <v>70</v>
      </c>
      <c r="C151" s="12" t="s">
        <v>71</v>
      </c>
      <c r="D151" s="12">
        <v>4</v>
      </c>
      <c r="E151" s="12"/>
      <c r="F151" s="12"/>
    </row>
    <row r="152" spans="1:6">
      <c r="A152" s="22">
        <f t="shared" si="1"/>
        <v>141</v>
      </c>
      <c r="B152" s="7" t="s">
        <v>67</v>
      </c>
      <c r="C152" s="12" t="s">
        <v>71</v>
      </c>
      <c r="D152" s="12">
        <v>1</v>
      </c>
      <c r="E152" s="12"/>
      <c r="F152" s="12"/>
    </row>
    <row r="153" spans="1:6">
      <c r="A153" s="22">
        <f t="shared" si="1"/>
        <v>142</v>
      </c>
      <c r="B153" s="21" t="s">
        <v>319</v>
      </c>
      <c r="C153" s="22" t="s">
        <v>191</v>
      </c>
      <c r="D153" s="22">
        <v>1</v>
      </c>
      <c r="E153" s="22"/>
      <c r="F153" s="22"/>
    </row>
    <row r="154" spans="1:6">
      <c r="A154" s="22">
        <f t="shared" si="1"/>
        <v>143</v>
      </c>
      <c r="B154" s="23" t="s">
        <v>342</v>
      </c>
      <c r="C154" s="22" t="s">
        <v>191</v>
      </c>
      <c r="D154" s="22">
        <v>2</v>
      </c>
      <c r="E154" s="22"/>
      <c r="F154" s="22"/>
    </row>
    <row r="155" spans="1:6" s="37" customFormat="1">
      <c r="A155" s="22">
        <f t="shared" si="1"/>
        <v>144</v>
      </c>
      <c r="B155" s="29" t="s">
        <v>381</v>
      </c>
      <c r="C155" s="30" t="s">
        <v>71</v>
      </c>
      <c r="D155" s="30">
        <v>1</v>
      </c>
      <c r="E155" s="30"/>
      <c r="F155" s="30"/>
    </row>
    <row r="156" spans="1:6">
      <c r="A156" s="22">
        <f t="shared" si="1"/>
        <v>145</v>
      </c>
      <c r="B156" s="8" t="s">
        <v>56</v>
      </c>
      <c r="C156" s="7"/>
      <c r="D156" s="7"/>
      <c r="E156" s="7"/>
      <c r="F156" s="7"/>
    </row>
    <row r="157" spans="1:6">
      <c r="A157" s="22">
        <f t="shared" si="1"/>
        <v>146</v>
      </c>
      <c r="B157" s="7" t="s">
        <v>68</v>
      </c>
      <c r="C157" s="12" t="s">
        <v>71</v>
      </c>
      <c r="D157" s="12">
        <v>9</v>
      </c>
      <c r="E157" s="12"/>
      <c r="F157" s="12"/>
    </row>
    <row r="158" spans="1:6">
      <c r="A158" s="22">
        <f t="shared" si="1"/>
        <v>147</v>
      </c>
      <c r="B158" s="7" t="s">
        <v>77</v>
      </c>
      <c r="C158" s="12" t="s">
        <v>71</v>
      </c>
      <c r="D158" s="12">
        <v>1</v>
      </c>
      <c r="E158" s="12"/>
      <c r="F158" s="12"/>
    </row>
    <row r="159" spans="1:6">
      <c r="A159" s="22">
        <f t="shared" si="1"/>
        <v>148</v>
      </c>
      <c r="B159" s="7" t="s">
        <v>70</v>
      </c>
      <c r="C159" s="12" t="s">
        <v>71</v>
      </c>
      <c r="D159" s="12">
        <v>6</v>
      </c>
      <c r="E159" s="12"/>
      <c r="F159" s="12"/>
    </row>
    <row r="160" spans="1:6">
      <c r="A160" s="22">
        <f t="shared" si="1"/>
        <v>149</v>
      </c>
      <c r="B160" s="7" t="s">
        <v>67</v>
      </c>
      <c r="C160" s="12" t="s">
        <v>71</v>
      </c>
      <c r="D160" s="12">
        <v>1</v>
      </c>
      <c r="E160" s="12"/>
      <c r="F160" s="12"/>
    </row>
    <row r="161" spans="1:6">
      <c r="A161" s="22">
        <f t="shared" si="1"/>
        <v>150</v>
      </c>
      <c r="B161" s="21" t="s">
        <v>319</v>
      </c>
      <c r="C161" s="22" t="s">
        <v>191</v>
      </c>
      <c r="D161" s="22">
        <v>1</v>
      </c>
      <c r="E161" s="22"/>
      <c r="F161" s="22"/>
    </row>
    <row r="162" spans="1:6">
      <c r="A162" s="22">
        <f t="shared" si="1"/>
        <v>151</v>
      </c>
      <c r="B162" s="23" t="s">
        <v>342</v>
      </c>
      <c r="C162" s="22" t="s">
        <v>191</v>
      </c>
      <c r="D162" s="22">
        <v>6</v>
      </c>
      <c r="E162" s="22"/>
      <c r="F162" s="22"/>
    </row>
    <row r="163" spans="1:6" s="37" customFormat="1">
      <c r="A163" s="22">
        <f t="shared" si="1"/>
        <v>152</v>
      </c>
      <c r="B163" s="29" t="s">
        <v>381</v>
      </c>
      <c r="C163" s="30" t="s">
        <v>71</v>
      </c>
      <c r="D163" s="30">
        <v>2</v>
      </c>
      <c r="E163" s="30"/>
      <c r="F163" s="30"/>
    </row>
    <row r="164" spans="1:6" s="37" customFormat="1">
      <c r="A164" s="22">
        <f t="shared" si="1"/>
        <v>153</v>
      </c>
      <c r="B164" s="29" t="s">
        <v>382</v>
      </c>
      <c r="C164" s="30" t="s">
        <v>71</v>
      </c>
      <c r="D164" s="30">
        <v>4</v>
      </c>
      <c r="E164" s="30"/>
      <c r="F164" s="30"/>
    </row>
    <row r="165" spans="1:6" s="37" customFormat="1">
      <c r="A165" s="22">
        <f t="shared" si="1"/>
        <v>154</v>
      </c>
      <c r="B165" s="29" t="s">
        <v>383</v>
      </c>
      <c r="C165" s="30" t="s">
        <v>71</v>
      </c>
      <c r="D165" s="30">
        <v>1</v>
      </c>
      <c r="E165" s="30"/>
      <c r="F165" s="30"/>
    </row>
    <row r="166" spans="1:6">
      <c r="A166" s="22">
        <f t="shared" si="1"/>
        <v>155</v>
      </c>
      <c r="B166" s="8" t="s">
        <v>57</v>
      </c>
      <c r="C166" s="7"/>
      <c r="D166" s="7"/>
      <c r="E166" s="7"/>
      <c r="F166" s="7"/>
    </row>
    <row r="167" spans="1:6">
      <c r="A167" s="22">
        <f t="shared" si="1"/>
        <v>156</v>
      </c>
      <c r="B167" s="7" t="s">
        <v>75</v>
      </c>
      <c r="C167" s="12" t="s">
        <v>71</v>
      </c>
      <c r="D167" s="12">
        <v>25</v>
      </c>
      <c r="E167" s="12"/>
      <c r="F167" s="12"/>
    </row>
    <row r="168" spans="1:6">
      <c r="A168" s="22">
        <f t="shared" si="1"/>
        <v>157</v>
      </c>
      <c r="B168" s="7" t="s">
        <v>70</v>
      </c>
      <c r="C168" s="12" t="s">
        <v>71</v>
      </c>
      <c r="D168" s="12">
        <v>5</v>
      </c>
      <c r="E168" s="12"/>
      <c r="F168" s="12"/>
    </row>
    <row r="169" spans="1:6">
      <c r="A169" s="22">
        <f t="shared" si="1"/>
        <v>158</v>
      </c>
      <c r="B169" s="7" t="s">
        <v>67</v>
      </c>
      <c r="C169" s="12" t="s">
        <v>71</v>
      </c>
      <c r="D169" s="12">
        <v>1</v>
      </c>
      <c r="E169" s="12"/>
      <c r="F169" s="12"/>
    </row>
    <row r="170" spans="1:6">
      <c r="A170" s="22">
        <f t="shared" si="1"/>
        <v>159</v>
      </c>
      <c r="B170" s="21" t="s">
        <v>319</v>
      </c>
      <c r="C170" s="22" t="s">
        <v>191</v>
      </c>
      <c r="D170" s="22">
        <v>1</v>
      </c>
      <c r="E170" s="22"/>
      <c r="F170" s="22"/>
    </row>
    <row r="171" spans="1:6">
      <c r="A171" s="22">
        <f t="shared" si="1"/>
        <v>160</v>
      </c>
      <c r="B171" s="23" t="s">
        <v>344</v>
      </c>
      <c r="C171" s="22" t="s">
        <v>191</v>
      </c>
      <c r="D171" s="22">
        <v>6</v>
      </c>
      <c r="E171" s="22"/>
      <c r="F171" s="22"/>
    </row>
    <row r="172" spans="1:6" s="37" customFormat="1">
      <c r="A172" s="22">
        <f t="shared" si="1"/>
        <v>161</v>
      </c>
      <c r="B172" s="29" t="s">
        <v>381</v>
      </c>
      <c r="C172" s="30" t="s">
        <v>71</v>
      </c>
      <c r="D172" s="30">
        <v>2</v>
      </c>
      <c r="E172" s="30"/>
      <c r="F172" s="30"/>
    </row>
    <row r="173" spans="1:6" s="37" customFormat="1">
      <c r="A173" s="22">
        <f t="shared" si="1"/>
        <v>162</v>
      </c>
      <c r="B173" s="29" t="s">
        <v>391</v>
      </c>
      <c r="C173" s="30" t="s">
        <v>71</v>
      </c>
      <c r="D173" s="30">
        <v>1</v>
      </c>
      <c r="E173" s="30"/>
      <c r="F173" s="30"/>
    </row>
    <row r="174" spans="1:6">
      <c r="A174" s="22">
        <f t="shared" si="1"/>
        <v>163</v>
      </c>
      <c r="B174" s="8" t="s">
        <v>58</v>
      </c>
      <c r="C174" s="7"/>
      <c r="D174" s="7"/>
      <c r="E174" s="7"/>
      <c r="F174" s="7"/>
    </row>
    <row r="175" spans="1:6">
      <c r="A175" s="22">
        <f t="shared" si="1"/>
        <v>164</v>
      </c>
      <c r="B175" s="7" t="s">
        <v>68</v>
      </c>
      <c r="C175" s="12" t="s">
        <v>71</v>
      </c>
      <c r="D175" s="12">
        <v>14</v>
      </c>
      <c r="E175" s="12"/>
      <c r="F175" s="12"/>
    </row>
    <row r="176" spans="1:6">
      <c r="A176" s="22">
        <f t="shared" si="1"/>
        <v>165</v>
      </c>
      <c r="B176" s="7" t="s">
        <v>77</v>
      </c>
      <c r="C176" s="12" t="s">
        <v>71</v>
      </c>
      <c r="D176" s="12">
        <v>1</v>
      </c>
      <c r="E176" s="12"/>
      <c r="F176" s="12"/>
    </row>
    <row r="177" spans="1:6">
      <c r="A177" s="22">
        <f t="shared" si="1"/>
        <v>166</v>
      </c>
      <c r="B177" s="7" t="s">
        <v>70</v>
      </c>
      <c r="C177" s="12" t="s">
        <v>71</v>
      </c>
      <c r="D177" s="12">
        <v>8</v>
      </c>
      <c r="E177" s="12"/>
      <c r="F177" s="12"/>
    </row>
    <row r="178" spans="1:6">
      <c r="A178" s="22">
        <f t="shared" si="1"/>
        <v>167</v>
      </c>
      <c r="B178" s="7" t="s">
        <v>67</v>
      </c>
      <c r="C178" s="12" t="s">
        <v>71</v>
      </c>
      <c r="D178" s="12">
        <v>1</v>
      </c>
      <c r="E178" s="12"/>
      <c r="F178" s="12"/>
    </row>
    <row r="179" spans="1:6">
      <c r="A179" s="22">
        <f t="shared" si="1"/>
        <v>168</v>
      </c>
      <c r="B179" s="21" t="s">
        <v>319</v>
      </c>
      <c r="C179" s="22" t="s">
        <v>191</v>
      </c>
      <c r="D179" s="22">
        <v>1</v>
      </c>
      <c r="E179" s="22"/>
      <c r="F179" s="22"/>
    </row>
    <row r="180" spans="1:6">
      <c r="A180" s="22">
        <f t="shared" si="1"/>
        <v>169</v>
      </c>
      <c r="B180" s="23" t="s">
        <v>342</v>
      </c>
      <c r="C180" s="22" t="s">
        <v>191</v>
      </c>
      <c r="D180" s="22">
        <v>6</v>
      </c>
      <c r="E180" s="22"/>
      <c r="F180" s="22"/>
    </row>
    <row r="181" spans="1:6" s="37" customFormat="1">
      <c r="A181" s="22">
        <f t="shared" ref="A181:A239" si="2">A180+1</f>
        <v>170</v>
      </c>
      <c r="B181" s="29" t="s">
        <v>381</v>
      </c>
      <c r="C181" s="30" t="s">
        <v>71</v>
      </c>
      <c r="D181" s="30">
        <v>3</v>
      </c>
      <c r="E181" s="30"/>
      <c r="F181" s="30"/>
    </row>
    <row r="182" spans="1:6" s="37" customFormat="1">
      <c r="A182" s="22">
        <f t="shared" si="2"/>
        <v>171</v>
      </c>
      <c r="B182" s="29" t="s">
        <v>382</v>
      </c>
      <c r="C182" s="30" t="s">
        <v>71</v>
      </c>
      <c r="D182" s="30">
        <v>6</v>
      </c>
      <c r="E182" s="30"/>
      <c r="F182" s="30"/>
    </row>
    <row r="183" spans="1:6" s="37" customFormat="1">
      <c r="A183" s="22">
        <f t="shared" si="2"/>
        <v>172</v>
      </c>
      <c r="B183" s="29" t="s">
        <v>387</v>
      </c>
      <c r="C183" s="30" t="s">
        <v>71</v>
      </c>
      <c r="D183" s="30">
        <v>1</v>
      </c>
      <c r="E183" s="30"/>
      <c r="F183" s="30"/>
    </row>
    <row r="184" spans="1:6">
      <c r="A184" s="22">
        <f>A183+1</f>
        <v>173</v>
      </c>
      <c r="B184" s="8" t="s">
        <v>346</v>
      </c>
      <c r="C184" s="7"/>
      <c r="D184" s="7"/>
      <c r="E184" s="7"/>
      <c r="F184" s="7"/>
    </row>
    <row r="185" spans="1:6">
      <c r="A185" s="22">
        <f t="shared" si="2"/>
        <v>174</v>
      </c>
      <c r="B185" s="7" t="s">
        <v>75</v>
      </c>
      <c r="C185" s="12" t="s">
        <v>71</v>
      </c>
      <c r="D185" s="12">
        <v>7</v>
      </c>
      <c r="E185" s="12"/>
      <c r="F185" s="12"/>
    </row>
    <row r="186" spans="1:6">
      <c r="A186" s="22">
        <f t="shared" si="2"/>
        <v>175</v>
      </c>
      <c r="B186" s="7" t="s">
        <v>74</v>
      </c>
      <c r="C186" s="12" t="s">
        <v>71</v>
      </c>
      <c r="D186" s="12">
        <v>2</v>
      </c>
      <c r="E186" s="12"/>
      <c r="F186" s="12"/>
    </row>
    <row r="187" spans="1:6">
      <c r="A187" s="22">
        <f t="shared" si="2"/>
        <v>176</v>
      </c>
      <c r="B187" s="7" t="s">
        <v>69</v>
      </c>
      <c r="C187" s="12" t="s">
        <v>71</v>
      </c>
      <c r="D187" s="12">
        <v>2</v>
      </c>
      <c r="E187" s="12"/>
      <c r="F187" s="12"/>
    </row>
    <row r="188" spans="1:6">
      <c r="A188" s="22">
        <f t="shared" si="2"/>
        <v>177</v>
      </c>
      <c r="B188" s="7" t="s">
        <v>70</v>
      </c>
      <c r="C188" s="12" t="s">
        <v>71</v>
      </c>
      <c r="D188" s="12">
        <v>3</v>
      </c>
      <c r="E188" s="12"/>
      <c r="F188" s="12"/>
    </row>
    <row r="189" spans="1:6">
      <c r="A189" s="22">
        <f t="shared" si="2"/>
        <v>178</v>
      </c>
      <c r="B189" s="7" t="s">
        <v>67</v>
      </c>
      <c r="C189" s="12" t="s">
        <v>71</v>
      </c>
      <c r="D189" s="12">
        <v>1</v>
      </c>
      <c r="E189" s="12"/>
      <c r="F189" s="12"/>
    </row>
    <row r="190" spans="1:6">
      <c r="A190" s="22">
        <f t="shared" si="2"/>
        <v>179</v>
      </c>
      <c r="B190" s="7" t="s">
        <v>232</v>
      </c>
      <c r="C190" s="12" t="s">
        <v>71</v>
      </c>
      <c r="D190" s="12">
        <v>1</v>
      </c>
      <c r="E190" s="12"/>
      <c r="F190" s="12"/>
    </row>
    <row r="191" spans="1:6">
      <c r="A191" s="22">
        <f t="shared" si="2"/>
        <v>180</v>
      </c>
      <c r="B191" s="7" t="s">
        <v>230</v>
      </c>
      <c r="C191" s="12" t="s">
        <v>71</v>
      </c>
      <c r="D191" s="12">
        <v>1</v>
      </c>
      <c r="E191" s="12"/>
      <c r="F191" s="12"/>
    </row>
    <row r="192" spans="1:6">
      <c r="A192" s="22">
        <f t="shared" si="2"/>
        <v>181</v>
      </c>
      <c r="B192" s="7" t="s">
        <v>237</v>
      </c>
      <c r="C192" s="12" t="s">
        <v>71</v>
      </c>
      <c r="D192" s="12">
        <v>1</v>
      </c>
      <c r="E192" s="12"/>
      <c r="F192" s="12"/>
    </row>
    <row r="193" spans="1:6">
      <c r="A193" s="22">
        <f t="shared" si="2"/>
        <v>182</v>
      </c>
      <c r="B193" s="7" t="s">
        <v>231</v>
      </c>
      <c r="C193" s="12" t="s">
        <v>71</v>
      </c>
      <c r="D193" s="12">
        <v>1</v>
      </c>
      <c r="E193" s="12"/>
      <c r="F193" s="12"/>
    </row>
    <row r="194" spans="1:6">
      <c r="A194" s="22">
        <f t="shared" si="2"/>
        <v>183</v>
      </c>
      <c r="B194" s="21" t="s">
        <v>319</v>
      </c>
      <c r="C194" s="22" t="s">
        <v>191</v>
      </c>
      <c r="D194" s="22">
        <v>1</v>
      </c>
      <c r="E194" s="22"/>
      <c r="F194" s="22"/>
    </row>
    <row r="195" spans="1:6">
      <c r="A195" s="22">
        <f t="shared" si="2"/>
        <v>184</v>
      </c>
      <c r="B195" s="23" t="s">
        <v>342</v>
      </c>
      <c r="C195" s="22" t="s">
        <v>191</v>
      </c>
      <c r="D195" s="22">
        <v>2</v>
      </c>
      <c r="E195" s="22"/>
      <c r="F195" s="22"/>
    </row>
    <row r="196" spans="1:6" s="37" customFormat="1">
      <c r="A196" s="22">
        <f t="shared" si="2"/>
        <v>185</v>
      </c>
      <c r="B196" s="29" t="s">
        <v>388</v>
      </c>
      <c r="C196" s="30" t="s">
        <v>71</v>
      </c>
      <c r="D196" s="30">
        <v>1</v>
      </c>
      <c r="E196" s="30"/>
      <c r="F196" s="30"/>
    </row>
    <row r="197" spans="1:6" s="37" customFormat="1">
      <c r="A197" s="22">
        <f t="shared" si="2"/>
        <v>186</v>
      </c>
      <c r="B197" s="29" t="s">
        <v>389</v>
      </c>
      <c r="C197" s="30" t="s">
        <v>71</v>
      </c>
      <c r="D197" s="30">
        <v>1</v>
      </c>
      <c r="E197" s="30"/>
      <c r="F197" s="30"/>
    </row>
    <row r="198" spans="1:6" s="37" customFormat="1">
      <c r="A198" s="22">
        <f t="shared" si="2"/>
        <v>187</v>
      </c>
      <c r="B198" s="29" t="s">
        <v>399</v>
      </c>
      <c r="C198" s="30" t="s">
        <v>71</v>
      </c>
      <c r="D198" s="30">
        <v>1</v>
      </c>
      <c r="E198" s="30"/>
      <c r="F198" s="30"/>
    </row>
    <row r="199" spans="1:6">
      <c r="A199" s="22">
        <f>A197+1</f>
        <v>187</v>
      </c>
      <c r="B199" s="8" t="s">
        <v>345</v>
      </c>
      <c r="C199" s="7"/>
      <c r="D199" s="7"/>
      <c r="E199" s="7"/>
      <c r="F199" s="7"/>
    </row>
    <row r="200" spans="1:6">
      <c r="A200" s="22">
        <f t="shared" si="2"/>
        <v>188</v>
      </c>
      <c r="B200" s="7" t="s">
        <v>75</v>
      </c>
      <c r="C200" s="12" t="s">
        <v>71</v>
      </c>
      <c r="D200" s="12">
        <v>7</v>
      </c>
      <c r="E200" s="12"/>
      <c r="F200" s="12"/>
    </row>
    <row r="201" spans="1:6">
      <c r="A201" s="22">
        <f t="shared" si="2"/>
        <v>189</v>
      </c>
      <c r="B201" s="7" t="s">
        <v>74</v>
      </c>
      <c r="C201" s="12" t="s">
        <v>71</v>
      </c>
      <c r="D201" s="12">
        <v>2</v>
      </c>
      <c r="E201" s="12"/>
      <c r="F201" s="12"/>
    </row>
    <row r="202" spans="1:6">
      <c r="A202" s="22">
        <f t="shared" si="2"/>
        <v>190</v>
      </c>
      <c r="B202" s="7" t="s">
        <v>69</v>
      </c>
      <c r="C202" s="12" t="s">
        <v>71</v>
      </c>
      <c r="D202" s="12">
        <v>2</v>
      </c>
      <c r="E202" s="12"/>
      <c r="F202" s="12"/>
    </row>
    <row r="203" spans="1:6">
      <c r="A203" s="22">
        <f t="shared" si="2"/>
        <v>191</v>
      </c>
      <c r="B203" s="7" t="s">
        <v>70</v>
      </c>
      <c r="C203" s="12" t="s">
        <v>71</v>
      </c>
      <c r="D203" s="12">
        <v>3</v>
      </c>
      <c r="E203" s="12"/>
      <c r="F203" s="12"/>
    </row>
    <row r="204" spans="1:6">
      <c r="A204" s="22">
        <f t="shared" si="2"/>
        <v>192</v>
      </c>
      <c r="B204" s="7" t="s">
        <v>67</v>
      </c>
      <c r="C204" s="12" t="s">
        <v>71</v>
      </c>
      <c r="D204" s="12">
        <v>1</v>
      </c>
      <c r="E204" s="12"/>
      <c r="F204" s="12"/>
    </row>
    <row r="205" spans="1:6">
      <c r="A205" s="22">
        <f t="shared" si="2"/>
        <v>193</v>
      </c>
      <c r="B205" s="7" t="s">
        <v>232</v>
      </c>
      <c r="C205" s="12" t="s">
        <v>71</v>
      </c>
      <c r="D205" s="12">
        <v>1</v>
      </c>
      <c r="E205" s="12"/>
      <c r="F205" s="12"/>
    </row>
    <row r="206" spans="1:6">
      <c r="A206" s="22">
        <f t="shared" si="2"/>
        <v>194</v>
      </c>
      <c r="B206" s="7" t="s">
        <v>230</v>
      </c>
      <c r="C206" s="12" t="s">
        <v>71</v>
      </c>
      <c r="D206" s="12">
        <v>1</v>
      </c>
      <c r="E206" s="12"/>
      <c r="F206" s="12"/>
    </row>
    <row r="207" spans="1:6">
      <c r="A207" s="22">
        <f t="shared" si="2"/>
        <v>195</v>
      </c>
      <c r="B207" s="7" t="s">
        <v>237</v>
      </c>
      <c r="C207" s="12" t="s">
        <v>71</v>
      </c>
      <c r="D207" s="12">
        <v>1</v>
      </c>
      <c r="E207" s="12"/>
      <c r="F207" s="12"/>
    </row>
    <row r="208" spans="1:6">
      <c r="A208" s="22">
        <f t="shared" si="2"/>
        <v>196</v>
      </c>
      <c r="B208" s="7" t="s">
        <v>231</v>
      </c>
      <c r="C208" s="12" t="s">
        <v>71</v>
      </c>
      <c r="D208" s="12">
        <v>1</v>
      </c>
      <c r="E208" s="12"/>
      <c r="F208" s="12"/>
    </row>
    <row r="209" spans="1:6">
      <c r="A209" s="22">
        <f t="shared" si="2"/>
        <v>197</v>
      </c>
      <c r="B209" s="21" t="s">
        <v>319</v>
      </c>
      <c r="C209" s="22" t="s">
        <v>191</v>
      </c>
      <c r="D209" s="22">
        <v>1</v>
      </c>
      <c r="E209" s="22"/>
      <c r="F209" s="22"/>
    </row>
    <row r="210" spans="1:6">
      <c r="A210" s="22">
        <f t="shared" si="2"/>
        <v>198</v>
      </c>
      <c r="B210" s="23" t="s">
        <v>342</v>
      </c>
      <c r="C210" s="22" t="s">
        <v>191</v>
      </c>
      <c r="D210" s="22">
        <v>2</v>
      </c>
      <c r="E210" s="22"/>
      <c r="F210" s="22"/>
    </row>
    <row r="211" spans="1:6" s="37" customFormat="1">
      <c r="A211" s="22">
        <f t="shared" si="2"/>
        <v>199</v>
      </c>
      <c r="B211" s="29" t="s">
        <v>388</v>
      </c>
      <c r="C211" s="30" t="s">
        <v>71</v>
      </c>
      <c r="D211" s="30">
        <v>1</v>
      </c>
      <c r="E211" s="30"/>
      <c r="F211" s="30"/>
    </row>
    <row r="212" spans="1:6" s="37" customFormat="1">
      <c r="A212" s="22">
        <f t="shared" si="2"/>
        <v>200</v>
      </c>
      <c r="B212" s="29" t="s">
        <v>389</v>
      </c>
      <c r="C212" s="30" t="s">
        <v>71</v>
      </c>
      <c r="D212" s="30">
        <v>1</v>
      </c>
      <c r="E212" s="30"/>
      <c r="F212" s="30"/>
    </row>
    <row r="213" spans="1:6" s="37" customFormat="1">
      <c r="A213" s="22">
        <f>A183+1</f>
        <v>173</v>
      </c>
      <c r="B213" s="29" t="s">
        <v>399</v>
      </c>
      <c r="C213" s="30" t="s">
        <v>71</v>
      </c>
      <c r="D213" s="30">
        <v>1</v>
      </c>
      <c r="E213" s="30"/>
      <c r="F213" s="30"/>
    </row>
    <row r="214" spans="1:6">
      <c r="A214" s="22">
        <f>A212+1</f>
        <v>201</v>
      </c>
      <c r="B214" s="8" t="s">
        <v>59</v>
      </c>
      <c r="C214" s="7"/>
      <c r="D214" s="7"/>
      <c r="E214" s="7"/>
      <c r="F214" s="7"/>
    </row>
    <row r="215" spans="1:6">
      <c r="A215" s="22">
        <f t="shared" si="2"/>
        <v>202</v>
      </c>
      <c r="B215" s="7" t="s">
        <v>75</v>
      </c>
      <c r="C215" s="12" t="s">
        <v>71</v>
      </c>
      <c r="D215" s="12">
        <v>19</v>
      </c>
      <c r="E215" s="12"/>
      <c r="F215" s="12"/>
    </row>
    <row r="216" spans="1:6">
      <c r="A216" s="22">
        <f t="shared" si="2"/>
        <v>203</v>
      </c>
      <c r="B216" s="7" t="s">
        <v>74</v>
      </c>
      <c r="C216" s="12" t="s">
        <v>71</v>
      </c>
      <c r="D216" s="12">
        <v>4</v>
      </c>
      <c r="E216" s="12"/>
      <c r="F216" s="12"/>
    </row>
    <row r="217" spans="1:6">
      <c r="A217" s="22">
        <f t="shared" si="2"/>
        <v>204</v>
      </c>
      <c r="B217" s="7" t="s">
        <v>76</v>
      </c>
      <c r="C217" s="12" t="s">
        <v>71</v>
      </c>
      <c r="D217" s="12">
        <v>2</v>
      </c>
      <c r="E217" s="12"/>
      <c r="F217" s="12"/>
    </row>
    <row r="218" spans="1:6">
      <c r="A218" s="22">
        <f t="shared" si="2"/>
        <v>205</v>
      </c>
      <c r="B218" s="7" t="s">
        <v>69</v>
      </c>
      <c r="C218" s="12" t="s">
        <v>71</v>
      </c>
      <c r="D218" s="12">
        <v>3</v>
      </c>
      <c r="E218" s="12"/>
      <c r="F218" s="12"/>
    </row>
    <row r="219" spans="1:6">
      <c r="A219" s="22">
        <f t="shared" si="2"/>
        <v>206</v>
      </c>
      <c r="B219" s="7" t="s">
        <v>70</v>
      </c>
      <c r="C219" s="12" t="s">
        <v>71</v>
      </c>
      <c r="D219" s="12">
        <v>4</v>
      </c>
      <c r="E219" s="12"/>
      <c r="F219" s="12"/>
    </row>
    <row r="220" spans="1:6">
      <c r="A220" s="22">
        <f t="shared" si="2"/>
        <v>207</v>
      </c>
      <c r="B220" s="7" t="s">
        <v>67</v>
      </c>
      <c r="C220" s="12" t="s">
        <v>71</v>
      </c>
      <c r="D220" s="12">
        <v>1</v>
      </c>
      <c r="E220" s="12"/>
      <c r="F220" s="12"/>
    </row>
    <row r="221" spans="1:6">
      <c r="A221" s="22">
        <f t="shared" si="2"/>
        <v>208</v>
      </c>
      <c r="B221" s="7" t="s">
        <v>229</v>
      </c>
      <c r="C221" s="12" t="s">
        <v>71</v>
      </c>
      <c r="D221" s="12">
        <v>4</v>
      </c>
      <c r="E221" s="12"/>
      <c r="F221" s="12"/>
    </row>
    <row r="222" spans="1:6">
      <c r="A222" s="22">
        <f t="shared" si="2"/>
        <v>209</v>
      </c>
      <c r="B222" s="7" t="s">
        <v>237</v>
      </c>
      <c r="C222" s="12" t="s">
        <v>71</v>
      </c>
      <c r="D222" s="12">
        <v>4</v>
      </c>
      <c r="E222" s="12"/>
      <c r="F222" s="12"/>
    </row>
    <row r="223" spans="1:6">
      <c r="A223" s="22">
        <f t="shared" si="2"/>
        <v>210</v>
      </c>
      <c r="B223" s="7" t="s">
        <v>231</v>
      </c>
      <c r="C223" s="12" t="s">
        <v>71</v>
      </c>
      <c r="D223" s="12">
        <v>8</v>
      </c>
      <c r="E223" s="12"/>
      <c r="F223" s="12"/>
    </row>
    <row r="224" spans="1:6">
      <c r="A224" s="22">
        <f t="shared" si="2"/>
        <v>211</v>
      </c>
      <c r="B224" s="21" t="s">
        <v>347</v>
      </c>
      <c r="C224" s="22"/>
      <c r="D224" s="22">
        <v>2</v>
      </c>
      <c r="E224" s="22"/>
      <c r="F224" s="22"/>
    </row>
    <row r="225" spans="1:6">
      <c r="A225" s="22">
        <f t="shared" si="2"/>
        <v>212</v>
      </c>
      <c r="B225" s="23" t="s">
        <v>342</v>
      </c>
      <c r="C225" s="22"/>
      <c r="D225" s="22">
        <v>2</v>
      </c>
      <c r="E225" s="22"/>
      <c r="F225" s="22"/>
    </row>
    <row r="226" spans="1:6" s="37" customFormat="1">
      <c r="A226" s="22">
        <f t="shared" si="2"/>
        <v>213</v>
      </c>
      <c r="B226" s="29" t="s">
        <v>381</v>
      </c>
      <c r="C226" s="30" t="s">
        <v>71</v>
      </c>
      <c r="D226" s="30">
        <v>1</v>
      </c>
      <c r="E226" s="30"/>
      <c r="F226" s="30" t="s">
        <v>392</v>
      </c>
    </row>
    <row r="227" spans="1:6" s="37" customFormat="1">
      <c r="A227" s="22">
        <f t="shared" si="2"/>
        <v>214</v>
      </c>
      <c r="B227" s="29" t="s">
        <v>383</v>
      </c>
      <c r="C227" s="30" t="s">
        <v>71</v>
      </c>
      <c r="D227" s="30">
        <v>1</v>
      </c>
      <c r="E227" s="30"/>
      <c r="F227" s="30" t="s">
        <v>393</v>
      </c>
    </row>
    <row r="228" spans="1:6">
      <c r="A228" s="22">
        <f t="shared" si="2"/>
        <v>215</v>
      </c>
      <c r="B228" s="8" t="s">
        <v>397</v>
      </c>
      <c r="C228" s="7"/>
      <c r="D228" s="7"/>
      <c r="E228" s="7"/>
      <c r="F228" s="7"/>
    </row>
    <row r="229" spans="1:6" s="37" customFormat="1">
      <c r="A229" s="22">
        <f t="shared" si="2"/>
        <v>216</v>
      </c>
      <c r="B229" s="29" t="s">
        <v>383</v>
      </c>
      <c r="C229" s="30" t="s">
        <v>71</v>
      </c>
      <c r="D229" s="30">
        <v>2</v>
      </c>
      <c r="E229" s="30"/>
      <c r="F229" s="30"/>
    </row>
    <row r="230" spans="1:6" s="37" customFormat="1">
      <c r="A230" s="22">
        <f t="shared" si="2"/>
        <v>217</v>
      </c>
      <c r="B230" s="29" t="s">
        <v>389</v>
      </c>
      <c r="C230" s="30" t="s">
        <v>71</v>
      </c>
      <c r="D230" s="30">
        <v>4</v>
      </c>
      <c r="E230" s="30"/>
      <c r="F230" s="30"/>
    </row>
    <row r="231" spans="1:6" s="37" customFormat="1">
      <c r="A231" s="22">
        <f t="shared" si="2"/>
        <v>218</v>
      </c>
      <c r="B231" s="29" t="s">
        <v>398</v>
      </c>
      <c r="C231" s="30" t="s">
        <v>71</v>
      </c>
      <c r="D231" s="30">
        <v>1</v>
      </c>
      <c r="E231" s="30"/>
      <c r="F231" s="30"/>
    </row>
    <row r="232" spans="1:6" s="37" customFormat="1">
      <c r="A232" s="22">
        <f t="shared" si="2"/>
        <v>219</v>
      </c>
      <c r="B232" s="29" t="s">
        <v>395</v>
      </c>
      <c r="C232" s="30" t="s">
        <v>71</v>
      </c>
      <c r="D232" s="30">
        <v>1</v>
      </c>
      <c r="E232" s="30"/>
      <c r="F232" s="30"/>
    </row>
    <row r="233" spans="1:6">
      <c r="A233" s="22">
        <f>A230+1</f>
        <v>218</v>
      </c>
      <c r="B233" s="8" t="s">
        <v>60</v>
      </c>
      <c r="C233" s="7"/>
      <c r="D233" s="7"/>
      <c r="E233" s="7"/>
      <c r="F233" s="7"/>
    </row>
    <row r="234" spans="1:6">
      <c r="A234" s="22">
        <f t="shared" si="2"/>
        <v>219</v>
      </c>
      <c r="B234" s="7" t="s">
        <v>68</v>
      </c>
      <c r="C234" s="12" t="s">
        <v>71</v>
      </c>
      <c r="D234" s="12">
        <v>21</v>
      </c>
      <c r="E234" s="12"/>
      <c r="F234" s="12"/>
    </row>
    <row r="235" spans="1:6">
      <c r="A235" s="22">
        <f t="shared" si="2"/>
        <v>220</v>
      </c>
      <c r="B235" s="7" t="s">
        <v>70</v>
      </c>
      <c r="C235" s="12" t="s">
        <v>71</v>
      </c>
      <c r="D235" s="12">
        <v>9</v>
      </c>
      <c r="E235" s="12"/>
      <c r="F235" s="12"/>
    </row>
    <row r="236" spans="1:6">
      <c r="A236" s="22">
        <f t="shared" si="2"/>
        <v>221</v>
      </c>
      <c r="B236" s="7" t="s">
        <v>67</v>
      </c>
      <c r="C236" s="12" t="s">
        <v>71</v>
      </c>
      <c r="D236" s="12">
        <v>1</v>
      </c>
      <c r="E236" s="12"/>
      <c r="F236" s="12"/>
    </row>
    <row r="237" spans="1:6">
      <c r="A237" s="22">
        <f t="shared" si="2"/>
        <v>222</v>
      </c>
      <c r="B237" s="21" t="s">
        <v>347</v>
      </c>
      <c r="C237" s="22"/>
      <c r="D237" s="22">
        <v>3</v>
      </c>
      <c r="E237" s="22"/>
      <c r="F237" s="22"/>
    </row>
    <row r="238" spans="1:6">
      <c r="A238" s="22">
        <f t="shared" si="2"/>
        <v>223</v>
      </c>
      <c r="B238" s="23" t="s">
        <v>342</v>
      </c>
      <c r="C238" s="22"/>
      <c r="D238" s="22">
        <v>14</v>
      </c>
      <c r="E238" s="22"/>
      <c r="F238" s="22"/>
    </row>
    <row r="239" spans="1:6" s="37" customFormat="1">
      <c r="A239" s="22">
        <f t="shared" si="2"/>
        <v>224</v>
      </c>
      <c r="B239" s="29" t="s">
        <v>384</v>
      </c>
      <c r="C239" s="30" t="s">
        <v>71</v>
      </c>
      <c r="D239" s="30">
        <v>3</v>
      </c>
      <c r="E239" s="30"/>
      <c r="F239" s="30"/>
    </row>
    <row r="240" spans="1:6" s="37" customFormat="1">
      <c r="A240" s="22">
        <f t="shared" ref="A240:A263" si="3">A239+1</f>
        <v>225</v>
      </c>
      <c r="B240" s="29" t="s">
        <v>391</v>
      </c>
      <c r="C240" s="30" t="s">
        <v>71</v>
      </c>
      <c r="D240" s="30">
        <v>2</v>
      </c>
      <c r="E240" s="30"/>
      <c r="F240" s="30"/>
    </row>
    <row r="241" spans="1:6">
      <c r="A241" s="22">
        <f t="shared" si="3"/>
        <v>226</v>
      </c>
      <c r="B241" s="14" t="s">
        <v>330</v>
      </c>
      <c r="C241" s="12"/>
      <c r="D241" s="12"/>
      <c r="E241" s="12"/>
      <c r="F241" s="12"/>
    </row>
    <row r="242" spans="1:6">
      <c r="A242" s="22">
        <f t="shared" si="3"/>
        <v>227</v>
      </c>
      <c r="B242" s="7" t="s">
        <v>108</v>
      </c>
      <c r="C242" s="12" t="s">
        <v>71</v>
      </c>
      <c r="D242" s="12">
        <v>4</v>
      </c>
      <c r="E242" s="12"/>
      <c r="F242" s="12"/>
    </row>
    <row r="243" spans="1:6">
      <c r="A243" s="22">
        <f t="shared" si="3"/>
        <v>228</v>
      </c>
      <c r="B243" s="7" t="s">
        <v>100</v>
      </c>
      <c r="C243" s="12" t="s">
        <v>71</v>
      </c>
      <c r="D243" s="12">
        <v>2</v>
      </c>
      <c r="E243" s="12"/>
      <c r="F243" s="12"/>
    </row>
    <row r="244" spans="1:6">
      <c r="A244" s="22">
        <f t="shared" si="3"/>
        <v>229</v>
      </c>
      <c r="B244" s="7" t="s">
        <v>274</v>
      </c>
      <c r="C244" s="12" t="s">
        <v>71</v>
      </c>
      <c r="D244" s="12">
        <v>2</v>
      </c>
      <c r="E244" s="12"/>
      <c r="F244" s="12"/>
    </row>
    <row r="245" spans="1:6">
      <c r="A245" s="22">
        <f t="shared" si="3"/>
        <v>230</v>
      </c>
      <c r="B245" s="21" t="s">
        <v>325</v>
      </c>
      <c r="C245" s="12" t="s">
        <v>326</v>
      </c>
      <c r="D245" s="12">
        <v>2</v>
      </c>
      <c r="E245" s="12"/>
      <c r="F245" s="12"/>
    </row>
    <row r="246" spans="1:6">
      <c r="A246" s="22">
        <f t="shared" si="3"/>
        <v>231</v>
      </c>
      <c r="B246" s="25" t="s">
        <v>327</v>
      </c>
      <c r="C246" s="22" t="s">
        <v>328</v>
      </c>
      <c r="D246" s="22">
        <v>2</v>
      </c>
      <c r="E246" s="12"/>
      <c r="F246" s="12"/>
    </row>
    <row r="247" spans="1:6">
      <c r="A247" s="22">
        <f t="shared" si="3"/>
        <v>232</v>
      </c>
      <c r="B247" s="21" t="s">
        <v>329</v>
      </c>
      <c r="C247" s="22" t="s">
        <v>326</v>
      </c>
      <c r="D247" s="22">
        <v>4</v>
      </c>
      <c r="E247" s="12"/>
      <c r="F247" s="12"/>
    </row>
    <row r="248" spans="1:6">
      <c r="A248" s="22">
        <f t="shared" si="3"/>
        <v>233</v>
      </c>
      <c r="B248" s="21" t="s">
        <v>348</v>
      </c>
      <c r="C248" s="22" t="s">
        <v>191</v>
      </c>
      <c r="D248" s="22">
        <v>2</v>
      </c>
      <c r="E248" s="12"/>
      <c r="F248" s="12"/>
    </row>
    <row r="249" spans="1:6">
      <c r="A249" s="22">
        <f t="shared" si="3"/>
        <v>234</v>
      </c>
      <c r="B249" s="21" t="s">
        <v>349</v>
      </c>
      <c r="C249" s="22" t="s">
        <v>191</v>
      </c>
      <c r="D249" s="22">
        <v>2</v>
      </c>
      <c r="E249" s="12"/>
      <c r="F249" s="12"/>
    </row>
    <row r="250" spans="1:6">
      <c r="A250" s="22">
        <f t="shared" si="3"/>
        <v>235</v>
      </c>
      <c r="B250" s="21" t="s">
        <v>350</v>
      </c>
      <c r="C250" s="22" t="s">
        <v>191</v>
      </c>
      <c r="D250" s="22">
        <v>2</v>
      </c>
      <c r="E250" s="12"/>
      <c r="F250" s="12"/>
    </row>
    <row r="251" spans="1:6">
      <c r="A251" s="22">
        <f t="shared" si="3"/>
        <v>236</v>
      </c>
      <c r="B251" s="21" t="s">
        <v>351</v>
      </c>
      <c r="C251" s="22" t="s">
        <v>191</v>
      </c>
      <c r="D251" s="22">
        <v>2</v>
      </c>
      <c r="E251" s="12"/>
      <c r="F251" s="12"/>
    </row>
    <row r="252" spans="1:6">
      <c r="A252" s="22">
        <f t="shared" si="3"/>
        <v>237</v>
      </c>
      <c r="B252" s="21" t="s">
        <v>352</v>
      </c>
      <c r="C252" s="22" t="s">
        <v>191</v>
      </c>
      <c r="D252" s="22">
        <v>2</v>
      </c>
      <c r="E252" s="12"/>
      <c r="F252" s="12"/>
    </row>
    <row r="253" spans="1:6">
      <c r="A253" s="22">
        <f t="shared" si="3"/>
        <v>238</v>
      </c>
      <c r="B253" s="21" t="s">
        <v>353</v>
      </c>
      <c r="C253" s="22" t="s">
        <v>191</v>
      </c>
      <c r="D253" s="22">
        <v>2</v>
      </c>
      <c r="E253" s="12"/>
      <c r="F253" s="12"/>
    </row>
    <row r="254" spans="1:6">
      <c r="A254" s="22">
        <f t="shared" si="3"/>
        <v>239</v>
      </c>
      <c r="B254" s="24" t="s">
        <v>354</v>
      </c>
      <c r="C254" s="22" t="s">
        <v>191</v>
      </c>
      <c r="D254" s="22">
        <v>2</v>
      </c>
      <c r="E254" s="12"/>
      <c r="F254" s="12"/>
    </row>
    <row r="255" spans="1:6">
      <c r="A255" s="22">
        <f t="shared" si="3"/>
        <v>240</v>
      </c>
      <c r="B255" s="14" t="s">
        <v>109</v>
      </c>
      <c r="C255" s="12"/>
      <c r="D255" s="12"/>
      <c r="E255" s="12"/>
      <c r="F255" s="12"/>
    </row>
    <row r="256" spans="1:6">
      <c r="A256" s="22">
        <f t="shared" si="3"/>
        <v>241</v>
      </c>
      <c r="B256" s="7" t="s">
        <v>108</v>
      </c>
      <c r="C256" s="12" t="s">
        <v>71</v>
      </c>
      <c r="D256" s="12">
        <v>2</v>
      </c>
      <c r="E256" s="12"/>
      <c r="F256" s="12"/>
    </row>
    <row r="257" spans="1:6">
      <c r="A257" s="22">
        <f t="shared" si="3"/>
        <v>242</v>
      </c>
      <c r="B257" s="7" t="s">
        <v>100</v>
      </c>
      <c r="C257" s="12" t="s">
        <v>71</v>
      </c>
      <c r="D257" s="12">
        <v>1</v>
      </c>
      <c r="E257" s="12"/>
      <c r="F257" s="12"/>
    </row>
    <row r="258" spans="1:6">
      <c r="A258" s="22">
        <f t="shared" si="3"/>
        <v>243</v>
      </c>
      <c r="B258" s="8" t="s">
        <v>107</v>
      </c>
      <c r="C258" s="12"/>
      <c r="D258" s="12"/>
      <c r="E258" s="12"/>
      <c r="F258" s="12"/>
    </row>
    <row r="259" spans="1:6">
      <c r="A259" s="22">
        <f t="shared" si="3"/>
        <v>244</v>
      </c>
      <c r="B259" s="7" t="s">
        <v>75</v>
      </c>
      <c r="C259" s="12" t="s">
        <v>71</v>
      </c>
      <c r="D259" s="12">
        <v>119</v>
      </c>
      <c r="E259" s="12"/>
      <c r="F259" s="12"/>
    </row>
    <row r="260" spans="1:6">
      <c r="A260" s="22">
        <f t="shared" si="3"/>
        <v>245</v>
      </c>
      <c r="B260" s="7" t="s">
        <v>76</v>
      </c>
      <c r="C260" s="12" t="s">
        <v>71</v>
      </c>
      <c r="D260" s="12">
        <v>2</v>
      </c>
      <c r="E260" s="12"/>
      <c r="F260" s="12"/>
    </row>
    <row r="261" spans="1:6">
      <c r="A261" s="22">
        <f t="shared" si="3"/>
        <v>246</v>
      </c>
      <c r="B261" s="7" t="s">
        <v>69</v>
      </c>
      <c r="C261" s="12" t="s">
        <v>71</v>
      </c>
      <c r="D261" s="12">
        <v>6</v>
      </c>
      <c r="E261" s="12"/>
      <c r="F261" s="12"/>
    </row>
    <row r="262" spans="1:6">
      <c r="A262" s="22">
        <f t="shared" si="3"/>
        <v>247</v>
      </c>
      <c r="B262" s="7" t="s">
        <v>72</v>
      </c>
      <c r="C262" s="12" t="s">
        <v>71</v>
      </c>
      <c r="D262" s="12">
        <v>13</v>
      </c>
      <c r="E262" s="12"/>
      <c r="F262" s="12"/>
    </row>
    <row r="263" spans="1:6">
      <c r="A263" s="22">
        <f t="shared" si="3"/>
        <v>248</v>
      </c>
      <c r="B263" s="7" t="s">
        <v>67</v>
      </c>
      <c r="C263" s="12" t="s">
        <v>71</v>
      </c>
      <c r="D263" s="12">
        <v>1</v>
      </c>
      <c r="E263" s="12"/>
      <c r="F263" s="12"/>
    </row>
    <row r="264" spans="1:6">
      <c r="A264" s="22">
        <f t="shared" ref="A264:A318" si="4">A263+1</f>
        <v>249</v>
      </c>
      <c r="B264" s="7" t="s">
        <v>78</v>
      </c>
      <c r="C264" s="12" t="s">
        <v>71</v>
      </c>
      <c r="D264" s="12">
        <v>1</v>
      </c>
      <c r="E264" s="12"/>
      <c r="F264" s="12"/>
    </row>
    <row r="265" spans="1:6">
      <c r="A265" s="22">
        <f t="shared" si="4"/>
        <v>250</v>
      </c>
      <c r="B265" s="7" t="s">
        <v>73</v>
      </c>
      <c r="C265" s="12" t="s">
        <v>71</v>
      </c>
      <c r="D265" s="12">
        <v>7</v>
      </c>
      <c r="E265" s="12"/>
      <c r="F265" s="12"/>
    </row>
    <row r="266" spans="1:6">
      <c r="A266" s="22">
        <f t="shared" si="4"/>
        <v>251</v>
      </c>
      <c r="B266" s="7" t="s">
        <v>105</v>
      </c>
      <c r="C266" s="12" t="s">
        <v>71</v>
      </c>
      <c r="D266" s="12">
        <v>10</v>
      </c>
      <c r="E266" s="12"/>
      <c r="F266" s="12"/>
    </row>
    <row r="267" spans="1:6">
      <c r="A267" s="22">
        <f t="shared" si="4"/>
        <v>252</v>
      </c>
      <c r="B267" s="7" t="s">
        <v>106</v>
      </c>
      <c r="C267" s="12" t="s">
        <v>71</v>
      </c>
      <c r="D267" s="12">
        <v>13</v>
      </c>
      <c r="E267" s="12"/>
      <c r="F267" s="12"/>
    </row>
    <row r="268" spans="1:6">
      <c r="A268" s="22">
        <f t="shared" si="4"/>
        <v>253</v>
      </c>
      <c r="B268" s="21" t="s">
        <v>355</v>
      </c>
      <c r="C268" s="22" t="s">
        <v>191</v>
      </c>
      <c r="D268" s="22">
        <v>3</v>
      </c>
      <c r="E268" s="12"/>
      <c r="F268" s="12"/>
    </row>
    <row r="269" spans="1:6">
      <c r="A269" s="22">
        <f t="shared" si="4"/>
        <v>254</v>
      </c>
      <c r="B269" s="26" t="s">
        <v>356</v>
      </c>
      <c r="C269" s="22" t="s">
        <v>191</v>
      </c>
      <c r="D269" s="22">
        <v>3</v>
      </c>
      <c r="E269" s="12"/>
      <c r="F269" s="12"/>
    </row>
    <row r="270" spans="1:6">
      <c r="A270" s="22">
        <f t="shared" si="4"/>
        <v>255</v>
      </c>
      <c r="B270" s="26" t="s">
        <v>357</v>
      </c>
      <c r="C270" s="22" t="s">
        <v>191</v>
      </c>
      <c r="D270" s="22">
        <v>1</v>
      </c>
      <c r="E270" s="12"/>
      <c r="F270" s="12"/>
    </row>
    <row r="271" spans="1:6">
      <c r="A271" s="22">
        <f t="shared" si="4"/>
        <v>256</v>
      </c>
      <c r="B271" s="26" t="s">
        <v>358</v>
      </c>
      <c r="C271" s="22" t="s">
        <v>191</v>
      </c>
      <c r="D271" s="22">
        <v>3</v>
      </c>
      <c r="E271" s="12"/>
      <c r="F271" s="12"/>
    </row>
    <row r="272" spans="1:6">
      <c r="A272" s="22">
        <f t="shared" si="4"/>
        <v>257</v>
      </c>
      <c r="B272" s="26" t="s">
        <v>359</v>
      </c>
      <c r="C272" s="22" t="s">
        <v>191</v>
      </c>
      <c r="D272" s="22">
        <v>1</v>
      </c>
      <c r="E272" s="12"/>
      <c r="F272" s="12"/>
    </row>
    <row r="273" spans="1:6">
      <c r="A273" s="22">
        <f t="shared" si="4"/>
        <v>258</v>
      </c>
      <c r="B273" s="24" t="s">
        <v>331</v>
      </c>
      <c r="C273" s="22" t="s">
        <v>191</v>
      </c>
      <c r="D273" s="22">
        <v>2</v>
      </c>
      <c r="E273" s="12"/>
      <c r="F273" s="12"/>
    </row>
    <row r="274" spans="1:6">
      <c r="A274" s="22">
        <f t="shared" si="4"/>
        <v>259</v>
      </c>
      <c r="B274" s="21" t="s">
        <v>332</v>
      </c>
      <c r="C274" s="22" t="s">
        <v>191</v>
      </c>
      <c r="D274" s="22">
        <v>2</v>
      </c>
      <c r="E274" s="12"/>
      <c r="F274" s="12"/>
    </row>
    <row r="275" spans="1:6">
      <c r="A275" s="22">
        <f t="shared" si="4"/>
        <v>260</v>
      </c>
      <c r="B275" s="21" t="s">
        <v>333</v>
      </c>
      <c r="C275" s="22" t="s">
        <v>191</v>
      </c>
      <c r="D275" s="22">
        <v>4</v>
      </c>
      <c r="E275" s="12"/>
      <c r="F275" s="12"/>
    </row>
    <row r="276" spans="1:6">
      <c r="A276" s="22">
        <f t="shared" si="4"/>
        <v>261</v>
      </c>
      <c r="B276" s="21" t="s">
        <v>334</v>
      </c>
      <c r="C276" s="22" t="s">
        <v>191</v>
      </c>
      <c r="D276" s="22">
        <v>22</v>
      </c>
      <c r="E276" s="12"/>
      <c r="F276" s="12"/>
    </row>
    <row r="277" spans="1:6">
      <c r="A277" s="22">
        <f t="shared" si="4"/>
        <v>262</v>
      </c>
      <c r="B277" s="21" t="s">
        <v>335</v>
      </c>
      <c r="C277" s="22" t="s">
        <v>191</v>
      </c>
      <c r="D277" s="22">
        <v>3</v>
      </c>
      <c r="E277" s="12"/>
      <c r="F277" s="12"/>
    </row>
    <row r="278" spans="1:6">
      <c r="A278" s="22">
        <f t="shared" si="4"/>
        <v>263</v>
      </c>
      <c r="B278" s="21" t="s">
        <v>336</v>
      </c>
      <c r="C278" s="22" t="s">
        <v>191</v>
      </c>
      <c r="D278" s="22">
        <v>2</v>
      </c>
      <c r="E278" s="12"/>
      <c r="F278" s="27"/>
    </row>
    <row r="279" spans="1:6" ht="33">
      <c r="A279" s="22">
        <f t="shared" si="4"/>
        <v>264</v>
      </c>
      <c r="B279" s="28" t="s">
        <v>360</v>
      </c>
      <c r="C279" s="22" t="s">
        <v>191</v>
      </c>
      <c r="D279" s="22">
        <v>3</v>
      </c>
      <c r="E279" s="12"/>
      <c r="F279" s="12"/>
    </row>
    <row r="280" spans="1:6" ht="33">
      <c r="A280" s="22">
        <f t="shared" si="4"/>
        <v>265</v>
      </c>
      <c r="B280" s="28" t="s">
        <v>361</v>
      </c>
      <c r="C280" s="22" t="s">
        <v>71</v>
      </c>
      <c r="D280" s="22">
        <v>3</v>
      </c>
      <c r="E280" s="12"/>
      <c r="F280" s="12"/>
    </row>
    <row r="281" spans="1:6">
      <c r="A281" s="22">
        <f t="shared" si="4"/>
        <v>266</v>
      </c>
      <c r="B281" s="21" t="s">
        <v>338</v>
      </c>
      <c r="C281" s="22" t="s">
        <v>326</v>
      </c>
      <c r="D281" s="22">
        <v>3</v>
      </c>
      <c r="E281" s="12"/>
      <c r="F281" s="12"/>
    </row>
    <row r="282" spans="1:6">
      <c r="A282" s="22">
        <f t="shared" si="4"/>
        <v>267</v>
      </c>
      <c r="B282" s="21" t="s">
        <v>339</v>
      </c>
      <c r="C282" s="22" t="s">
        <v>326</v>
      </c>
      <c r="D282" s="22">
        <v>3</v>
      </c>
      <c r="E282" s="12"/>
      <c r="F282" s="12"/>
    </row>
    <row r="283" spans="1:6">
      <c r="A283" s="22">
        <f t="shared" si="4"/>
        <v>268</v>
      </c>
      <c r="B283" s="21" t="s">
        <v>340</v>
      </c>
      <c r="C283" s="22" t="s">
        <v>71</v>
      </c>
      <c r="D283" s="22">
        <v>3</v>
      </c>
      <c r="E283" s="12"/>
      <c r="F283" s="12"/>
    </row>
    <row r="284" spans="1:6">
      <c r="A284" s="22">
        <f t="shared" si="4"/>
        <v>269</v>
      </c>
      <c r="B284" s="21" t="s">
        <v>341</v>
      </c>
      <c r="C284" s="22" t="s">
        <v>191</v>
      </c>
      <c r="D284" s="22">
        <v>6</v>
      </c>
      <c r="E284" s="12"/>
      <c r="F284" s="12"/>
    </row>
    <row r="285" spans="1:6">
      <c r="A285" s="22">
        <f t="shared" si="4"/>
        <v>270</v>
      </c>
      <c r="B285" s="24" t="s">
        <v>344</v>
      </c>
      <c r="C285" s="22" t="s">
        <v>191</v>
      </c>
      <c r="D285" s="22">
        <v>54</v>
      </c>
      <c r="E285" s="12"/>
      <c r="F285" s="12"/>
    </row>
    <row r="286" spans="1:6" s="37" customFormat="1">
      <c r="A286" s="22">
        <f t="shared" si="4"/>
        <v>271</v>
      </c>
      <c r="B286" s="29" t="s">
        <v>400</v>
      </c>
      <c r="C286" s="30" t="s">
        <v>71</v>
      </c>
      <c r="D286" s="30">
        <v>8</v>
      </c>
      <c r="E286" s="30"/>
      <c r="F286" s="30"/>
    </row>
    <row r="287" spans="1:6" s="37" customFormat="1">
      <c r="A287" s="22">
        <f t="shared" si="4"/>
        <v>272</v>
      </c>
      <c r="B287" s="29" t="s">
        <v>401</v>
      </c>
      <c r="C287" s="30" t="s">
        <v>71</v>
      </c>
      <c r="D287" s="30">
        <v>1</v>
      </c>
      <c r="E287" s="30"/>
      <c r="F287" s="385" t="s">
        <v>403</v>
      </c>
    </row>
    <row r="288" spans="1:6" s="37" customFormat="1">
      <c r="A288" s="22">
        <f t="shared" si="4"/>
        <v>273</v>
      </c>
      <c r="B288" s="29" t="s">
        <v>402</v>
      </c>
      <c r="C288" s="30" t="s">
        <v>71</v>
      </c>
      <c r="D288" s="30">
        <v>3</v>
      </c>
      <c r="E288" s="30"/>
      <c r="F288" s="386"/>
    </row>
    <row r="289" spans="1:6" s="37" customFormat="1">
      <c r="A289" s="22">
        <f t="shared" si="4"/>
        <v>274</v>
      </c>
      <c r="B289" s="29" t="s">
        <v>404</v>
      </c>
      <c r="C289" s="30" t="s">
        <v>71</v>
      </c>
      <c r="D289" s="30">
        <v>3</v>
      </c>
      <c r="E289" s="30"/>
      <c r="F289" s="386"/>
    </row>
    <row r="290" spans="1:6" s="37" customFormat="1">
      <c r="A290" s="22">
        <f t="shared" si="4"/>
        <v>275</v>
      </c>
      <c r="B290" s="29" t="s">
        <v>405</v>
      </c>
      <c r="C290" s="30" t="s">
        <v>71</v>
      </c>
      <c r="D290" s="30">
        <v>1</v>
      </c>
      <c r="E290" s="30"/>
      <c r="F290" s="387"/>
    </row>
    <row r="291" spans="1:6" s="37" customFormat="1">
      <c r="A291" s="22">
        <f t="shared" si="4"/>
        <v>276</v>
      </c>
      <c r="B291" s="29" t="s">
        <v>401</v>
      </c>
      <c r="C291" s="30" t="s">
        <v>71</v>
      </c>
      <c r="D291" s="30">
        <v>3</v>
      </c>
      <c r="E291" s="30"/>
      <c r="F291" s="385" t="s">
        <v>406</v>
      </c>
    </row>
    <row r="292" spans="1:6" s="37" customFormat="1">
      <c r="A292" s="22">
        <f t="shared" si="4"/>
        <v>277</v>
      </c>
      <c r="B292" s="29" t="s">
        <v>407</v>
      </c>
      <c r="C292" s="30" t="s">
        <v>71</v>
      </c>
      <c r="D292" s="30">
        <v>1</v>
      </c>
      <c r="E292" s="30"/>
      <c r="F292" s="386"/>
    </row>
    <row r="293" spans="1:6" s="37" customFormat="1">
      <c r="A293" s="22">
        <f>A291+1</f>
        <v>277</v>
      </c>
      <c r="B293" s="29" t="s">
        <v>408</v>
      </c>
      <c r="C293" s="30" t="s">
        <v>71</v>
      </c>
      <c r="D293" s="30">
        <v>1</v>
      </c>
      <c r="E293" s="30"/>
      <c r="F293" s="386"/>
    </row>
    <row r="294" spans="1:6" s="37" customFormat="1">
      <c r="A294" s="22">
        <f>A292+1</f>
        <v>278</v>
      </c>
      <c r="B294" s="29" t="s">
        <v>409</v>
      </c>
      <c r="C294" s="30" t="s">
        <v>71</v>
      </c>
      <c r="D294" s="30">
        <v>1</v>
      </c>
      <c r="E294" s="30"/>
      <c r="F294" s="386"/>
    </row>
    <row r="295" spans="1:6" s="37" customFormat="1">
      <c r="A295" s="22">
        <f t="shared" si="4"/>
        <v>279</v>
      </c>
      <c r="B295" s="29" t="s">
        <v>405</v>
      </c>
      <c r="C295" s="30" t="s">
        <v>71</v>
      </c>
      <c r="D295" s="30">
        <v>2</v>
      </c>
      <c r="E295" s="30"/>
      <c r="F295" s="387"/>
    </row>
    <row r="296" spans="1:6" s="37" customFormat="1">
      <c r="A296" s="22">
        <f t="shared" si="4"/>
        <v>280</v>
      </c>
      <c r="B296" s="29" t="s">
        <v>405</v>
      </c>
      <c r="C296" s="30" t="s">
        <v>71</v>
      </c>
      <c r="D296" s="30">
        <v>1</v>
      </c>
      <c r="E296" s="30"/>
      <c r="F296" s="38" t="s">
        <v>447</v>
      </c>
    </row>
    <row r="297" spans="1:6">
      <c r="A297" s="22">
        <f>A286+1</f>
        <v>272</v>
      </c>
      <c r="B297" s="15" t="s">
        <v>362</v>
      </c>
      <c r="C297" s="12"/>
      <c r="D297" s="12"/>
      <c r="E297" s="12"/>
      <c r="F297" s="12"/>
    </row>
    <row r="298" spans="1:6">
      <c r="A298" s="22">
        <f t="shared" si="4"/>
        <v>273</v>
      </c>
      <c r="B298" s="7" t="s">
        <v>366</v>
      </c>
      <c r="C298" s="12" t="s">
        <v>71</v>
      </c>
      <c r="D298" s="12">
        <v>12</v>
      </c>
      <c r="E298" s="12"/>
      <c r="F298" s="12"/>
    </row>
    <row r="299" spans="1:6">
      <c r="A299" s="22">
        <f t="shared" si="4"/>
        <v>274</v>
      </c>
      <c r="B299" s="7" t="s">
        <v>230</v>
      </c>
      <c r="C299" s="12" t="s">
        <v>71</v>
      </c>
      <c r="D299" s="12">
        <v>10</v>
      </c>
      <c r="E299" s="12"/>
      <c r="F299" s="12"/>
    </row>
    <row r="300" spans="1:6">
      <c r="A300" s="22">
        <f t="shared" si="4"/>
        <v>275</v>
      </c>
      <c r="B300" s="7" t="s">
        <v>364</v>
      </c>
      <c r="C300" s="12" t="s">
        <v>71</v>
      </c>
      <c r="D300" s="12">
        <v>7</v>
      </c>
      <c r="E300" s="12"/>
      <c r="F300" s="12"/>
    </row>
    <row r="301" spans="1:6">
      <c r="A301" s="22">
        <f t="shared" si="4"/>
        <v>276</v>
      </c>
      <c r="B301" s="7" t="s">
        <v>231</v>
      </c>
      <c r="C301" s="12" t="s">
        <v>71</v>
      </c>
      <c r="D301" s="12">
        <v>8</v>
      </c>
      <c r="E301" s="12"/>
      <c r="F301" s="12"/>
    </row>
    <row r="302" spans="1:6">
      <c r="A302" s="22">
        <f t="shared" si="4"/>
        <v>277</v>
      </c>
      <c r="B302" s="7" t="s">
        <v>74</v>
      </c>
      <c r="C302" s="12" t="s">
        <v>71</v>
      </c>
      <c r="D302" s="12">
        <v>24</v>
      </c>
      <c r="E302" s="12"/>
      <c r="F302" s="12"/>
    </row>
    <row r="303" spans="1:6">
      <c r="A303" s="22">
        <f t="shared" si="4"/>
        <v>278</v>
      </c>
      <c r="B303" s="7" t="s">
        <v>70</v>
      </c>
      <c r="C303" s="12" t="s">
        <v>71</v>
      </c>
      <c r="D303" s="12">
        <v>2</v>
      </c>
      <c r="E303" s="12"/>
      <c r="F303" s="12"/>
    </row>
    <row r="304" spans="1:6" s="37" customFormat="1">
      <c r="A304" s="22">
        <f t="shared" si="4"/>
        <v>279</v>
      </c>
      <c r="B304" s="29" t="s">
        <v>383</v>
      </c>
      <c r="C304" s="30" t="s">
        <v>71</v>
      </c>
      <c r="D304" s="30">
        <v>9</v>
      </c>
      <c r="E304" s="30"/>
      <c r="F304" s="30"/>
    </row>
    <row r="305" spans="1:6" s="37" customFormat="1">
      <c r="A305" s="22">
        <f t="shared" si="4"/>
        <v>280</v>
      </c>
      <c r="B305" s="29" t="s">
        <v>394</v>
      </c>
      <c r="C305" s="30" t="s">
        <v>71</v>
      </c>
      <c r="D305" s="30">
        <v>2</v>
      </c>
      <c r="E305" s="30"/>
      <c r="F305" s="30"/>
    </row>
    <row r="306" spans="1:6" s="37" customFormat="1">
      <c r="A306" s="22">
        <f t="shared" si="4"/>
        <v>281</v>
      </c>
      <c r="B306" s="29" t="s">
        <v>395</v>
      </c>
      <c r="C306" s="30" t="s">
        <v>71</v>
      </c>
      <c r="D306" s="30">
        <v>1</v>
      </c>
      <c r="E306" s="30"/>
      <c r="F306" s="30"/>
    </row>
    <row r="307" spans="1:6" s="37" customFormat="1">
      <c r="A307" s="22">
        <f t="shared" si="4"/>
        <v>282</v>
      </c>
      <c r="B307" s="29" t="s">
        <v>396</v>
      </c>
      <c r="C307" s="30" t="s">
        <v>71</v>
      </c>
      <c r="D307" s="30">
        <v>1</v>
      </c>
      <c r="E307" s="30"/>
      <c r="F307" s="30"/>
    </row>
    <row r="308" spans="1:6">
      <c r="A308" s="22">
        <f t="shared" si="4"/>
        <v>283</v>
      </c>
      <c r="B308" s="15" t="s">
        <v>363</v>
      </c>
      <c r="C308" s="12"/>
      <c r="D308" s="12"/>
      <c r="E308" s="12"/>
      <c r="F308" s="12"/>
    </row>
    <row r="309" spans="1:6">
      <c r="A309" s="22">
        <f t="shared" si="4"/>
        <v>284</v>
      </c>
      <c r="B309" s="7" t="s">
        <v>366</v>
      </c>
      <c r="C309" s="12" t="s">
        <v>71</v>
      </c>
      <c r="D309" s="12">
        <v>12</v>
      </c>
      <c r="E309" s="12"/>
      <c r="F309" s="12"/>
    </row>
    <row r="310" spans="1:6">
      <c r="A310" s="22">
        <f t="shared" si="4"/>
        <v>285</v>
      </c>
      <c r="B310" s="7" t="s">
        <v>230</v>
      </c>
      <c r="C310" s="12" t="s">
        <v>71</v>
      </c>
      <c r="D310" s="12">
        <v>10</v>
      </c>
      <c r="E310" s="12"/>
      <c r="F310" s="12"/>
    </row>
    <row r="311" spans="1:6">
      <c r="A311" s="22">
        <f t="shared" si="4"/>
        <v>286</v>
      </c>
      <c r="B311" s="7" t="s">
        <v>364</v>
      </c>
      <c r="C311" s="12" t="s">
        <v>71</v>
      </c>
      <c r="D311" s="12">
        <v>7</v>
      </c>
      <c r="E311" s="12"/>
      <c r="F311" s="12"/>
    </row>
    <row r="312" spans="1:6">
      <c r="A312" s="22">
        <f t="shared" si="4"/>
        <v>287</v>
      </c>
      <c r="B312" s="7" t="s">
        <v>231</v>
      </c>
      <c r="C312" s="12" t="s">
        <v>71</v>
      </c>
      <c r="D312" s="12">
        <v>8</v>
      </c>
      <c r="E312" s="12"/>
      <c r="F312" s="12"/>
    </row>
    <row r="313" spans="1:6">
      <c r="A313" s="22">
        <f t="shared" si="4"/>
        <v>288</v>
      </c>
      <c r="B313" s="7" t="s">
        <v>74</v>
      </c>
      <c r="C313" s="12" t="s">
        <v>71</v>
      </c>
      <c r="D313" s="12">
        <v>24</v>
      </c>
      <c r="E313" s="12"/>
      <c r="F313" s="12"/>
    </row>
    <row r="314" spans="1:6">
      <c r="A314" s="22">
        <f t="shared" si="4"/>
        <v>289</v>
      </c>
      <c r="B314" s="7" t="s">
        <v>70</v>
      </c>
      <c r="C314" s="12" t="s">
        <v>71</v>
      </c>
      <c r="D314" s="12">
        <v>2</v>
      </c>
      <c r="E314" s="12"/>
      <c r="F314" s="12"/>
    </row>
    <row r="315" spans="1:6" s="37" customFormat="1">
      <c r="A315" s="22">
        <f t="shared" si="4"/>
        <v>290</v>
      </c>
      <c r="B315" s="29" t="s">
        <v>383</v>
      </c>
      <c r="C315" s="30" t="s">
        <v>71</v>
      </c>
      <c r="D315" s="30">
        <v>9</v>
      </c>
      <c r="E315" s="30"/>
      <c r="F315" s="30"/>
    </row>
    <row r="316" spans="1:6" s="37" customFormat="1">
      <c r="A316" s="22">
        <f t="shared" si="4"/>
        <v>291</v>
      </c>
      <c r="B316" s="29" t="s">
        <v>394</v>
      </c>
      <c r="C316" s="30" t="s">
        <v>71</v>
      </c>
      <c r="D316" s="30">
        <v>2</v>
      </c>
      <c r="E316" s="30"/>
      <c r="F316" s="30"/>
    </row>
    <row r="317" spans="1:6" s="37" customFormat="1">
      <c r="A317" s="22">
        <f t="shared" si="4"/>
        <v>292</v>
      </c>
      <c r="B317" s="29" t="s">
        <v>395</v>
      </c>
      <c r="C317" s="30" t="s">
        <v>71</v>
      </c>
      <c r="D317" s="30">
        <v>1</v>
      </c>
      <c r="E317" s="30"/>
      <c r="F317" s="30"/>
    </row>
    <row r="318" spans="1:6" s="37" customFormat="1">
      <c r="A318" s="22">
        <f t="shared" si="4"/>
        <v>293</v>
      </c>
      <c r="B318" s="29" t="s">
        <v>396</v>
      </c>
      <c r="C318" s="30" t="s">
        <v>71</v>
      </c>
      <c r="D318" s="30">
        <v>1</v>
      </c>
      <c r="E318" s="30"/>
      <c r="F318" s="30"/>
    </row>
    <row r="319" spans="1:6">
      <c r="A319" s="7"/>
      <c r="B319" s="7"/>
      <c r="C319" s="7"/>
      <c r="D319" s="7"/>
      <c r="E319" s="7"/>
      <c r="F319" s="7"/>
    </row>
    <row r="320" spans="1:6">
      <c r="A320" s="7"/>
      <c r="B320" s="7"/>
      <c r="C320" s="7"/>
      <c r="D320" s="7"/>
      <c r="E320" s="7"/>
      <c r="F320" s="7"/>
    </row>
    <row r="322" spans="2:6">
      <c r="B322" s="382" t="s">
        <v>365</v>
      </c>
      <c r="C322" s="382"/>
      <c r="D322" s="382"/>
      <c r="E322" s="382"/>
      <c r="F322" s="382"/>
    </row>
  </sheetData>
  <mergeCells count="13">
    <mergeCell ref="B322:F322"/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  <mergeCell ref="F287:F290"/>
    <mergeCell ref="F291:F295"/>
  </mergeCells>
  <pageMargins left="0.55118110236220474" right="0.27559055118110237" top="0.47244094488188981" bottom="0.47244094488188981" header="0.31496062992125984" footer="0.31496062992125984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1"/>
  <sheetViews>
    <sheetView view="pageBreakPreview" topLeftCell="A164" zoomScaleNormal="100" zoomScaleSheetLayoutView="100" workbookViewId="0">
      <selection activeCell="B177" sqref="B177"/>
    </sheetView>
  </sheetViews>
  <sheetFormatPr defaultColWidth="9.140625" defaultRowHeight="16.5"/>
  <cols>
    <col min="1" max="1" width="5.5703125" style="2" customWidth="1"/>
    <col min="2" max="2" width="43.85546875" style="2" customWidth="1"/>
    <col min="3" max="4" width="9.140625" style="2"/>
    <col min="5" max="5" width="0" style="2" hidden="1" customWidth="1"/>
    <col min="6" max="6" width="17.85546875" style="2" customWidth="1"/>
    <col min="7" max="16384" width="9.140625" style="2"/>
  </cols>
  <sheetData>
    <row r="1" spans="1:6" s="1" customFormat="1" ht="20.25" customHeight="1">
      <c r="A1" s="388" t="s">
        <v>156</v>
      </c>
      <c r="B1" s="388"/>
      <c r="C1" s="388"/>
      <c r="D1" s="388"/>
      <c r="E1" s="388"/>
      <c r="F1" s="388"/>
    </row>
    <row r="2" spans="1:6" s="1" customFormat="1" ht="20.25" customHeight="1">
      <c r="A2" s="369" t="s">
        <v>302</v>
      </c>
      <c r="B2" s="369"/>
      <c r="C2" s="369"/>
      <c r="D2" s="369"/>
      <c r="E2" s="369"/>
      <c r="F2" s="369"/>
    </row>
    <row r="3" spans="1:6" s="1" customFormat="1" ht="15.75" customHeight="1">
      <c r="A3" s="370" t="s">
        <v>2</v>
      </c>
      <c r="B3" s="370"/>
      <c r="C3" s="370"/>
      <c r="D3" s="370"/>
      <c r="E3" s="370"/>
      <c r="F3" s="370"/>
    </row>
    <row r="4" spans="1:6" s="1" customFormat="1" ht="21.75" hidden="1" customHeight="1">
      <c r="A4" s="378" t="s">
        <v>3</v>
      </c>
      <c r="B4" s="378"/>
      <c r="C4" s="378"/>
      <c r="D4" s="378"/>
    </row>
    <row r="5" spans="1:6" s="1" customFormat="1" ht="15.75" customHeight="1">
      <c r="A5" s="371" t="s">
        <v>4</v>
      </c>
      <c r="B5" s="371" t="s">
        <v>5</v>
      </c>
      <c r="C5" s="371" t="s">
        <v>6</v>
      </c>
      <c r="D5" s="371" t="s">
        <v>7</v>
      </c>
      <c r="E5" s="371" t="s">
        <v>8</v>
      </c>
      <c r="F5" s="371" t="s">
        <v>9</v>
      </c>
    </row>
    <row r="6" spans="1:6" s="1" customFormat="1" ht="17.25" customHeight="1">
      <c r="A6" s="372"/>
      <c r="B6" s="372"/>
      <c r="C6" s="372"/>
      <c r="D6" s="372"/>
      <c r="E6" s="372"/>
      <c r="F6" s="372"/>
    </row>
    <row r="7" spans="1:6" s="1" customFormat="1" ht="22.5" customHeight="1">
      <c r="A7" s="3" t="s">
        <v>10</v>
      </c>
      <c r="B7" s="4" t="s">
        <v>11</v>
      </c>
      <c r="C7" s="5"/>
      <c r="D7" s="6"/>
      <c r="E7" s="6"/>
      <c r="F7" s="6"/>
    </row>
    <row r="8" spans="1:6">
      <c r="A8" s="7"/>
      <c r="B8" s="14" t="s">
        <v>129</v>
      </c>
      <c r="C8" s="7"/>
      <c r="D8" s="7"/>
      <c r="E8" s="7"/>
      <c r="F8" s="7"/>
    </row>
    <row r="9" spans="1:6">
      <c r="A9" s="7"/>
      <c r="B9" s="7" t="s">
        <v>143</v>
      </c>
      <c r="C9" s="12" t="s">
        <v>71</v>
      </c>
      <c r="D9" s="12">
        <v>40</v>
      </c>
      <c r="E9" s="12"/>
      <c r="F9" s="12"/>
    </row>
    <row r="10" spans="1:6">
      <c r="A10" s="7"/>
      <c r="B10" s="7" t="s">
        <v>182</v>
      </c>
      <c r="C10" s="12" t="s">
        <v>183</v>
      </c>
      <c r="D10" s="12">
        <v>73.400000000000006</v>
      </c>
      <c r="E10" s="12"/>
      <c r="F10" s="12"/>
    </row>
    <row r="11" spans="1:6">
      <c r="A11" s="7"/>
      <c r="B11" s="7" t="s">
        <v>70</v>
      </c>
      <c r="C11" s="12" t="s">
        <v>71</v>
      </c>
      <c r="D11" s="12">
        <v>4</v>
      </c>
      <c r="E11" s="12"/>
      <c r="F11" s="12"/>
    </row>
    <row r="12" spans="1:6">
      <c r="A12" s="7"/>
      <c r="B12" s="7" t="s">
        <v>81</v>
      </c>
      <c r="C12" s="12" t="s">
        <v>71</v>
      </c>
      <c r="D12" s="12">
        <v>1</v>
      </c>
      <c r="E12" s="12"/>
      <c r="F12" s="12"/>
    </row>
    <row r="13" spans="1:6">
      <c r="A13" s="7"/>
      <c r="B13" s="7" t="s">
        <v>67</v>
      </c>
      <c r="C13" s="12" t="s">
        <v>71</v>
      </c>
      <c r="D13" s="12">
        <v>1</v>
      </c>
      <c r="E13" s="12"/>
      <c r="F13" s="12"/>
    </row>
    <row r="14" spans="1:6" s="37" customFormat="1">
      <c r="A14" s="29"/>
      <c r="B14" s="29" t="s">
        <v>410</v>
      </c>
      <c r="C14" s="30" t="s">
        <v>71</v>
      </c>
      <c r="D14" s="30">
        <v>2</v>
      </c>
      <c r="E14" s="30"/>
      <c r="F14" s="30"/>
    </row>
    <row r="15" spans="1:6" s="37" customFormat="1">
      <c r="A15" s="29"/>
      <c r="B15" s="29" t="s">
        <v>411</v>
      </c>
      <c r="C15" s="30" t="s">
        <v>71</v>
      </c>
      <c r="D15" s="30">
        <v>2</v>
      </c>
      <c r="E15" s="30"/>
      <c r="F15" s="30"/>
    </row>
    <row r="16" spans="1:6" s="37" customFormat="1">
      <c r="A16" s="29"/>
      <c r="B16" s="29" t="s">
        <v>412</v>
      </c>
      <c r="C16" s="30" t="s">
        <v>71</v>
      </c>
      <c r="D16" s="30">
        <v>2</v>
      </c>
      <c r="E16" s="30"/>
      <c r="F16" s="30"/>
    </row>
    <row r="17" spans="1:6">
      <c r="A17" s="7"/>
      <c r="B17" s="14" t="s">
        <v>130</v>
      </c>
      <c r="C17" s="7"/>
      <c r="D17" s="12"/>
      <c r="E17" s="12"/>
      <c r="F17" s="12"/>
    </row>
    <row r="18" spans="1:6">
      <c r="A18" s="7"/>
      <c r="B18" s="7" t="s">
        <v>143</v>
      </c>
      <c r="C18" s="12" t="s">
        <v>71</v>
      </c>
      <c r="D18" s="12">
        <v>40</v>
      </c>
      <c r="E18" s="12"/>
      <c r="F18" s="12"/>
    </row>
    <row r="19" spans="1:6">
      <c r="A19" s="7"/>
      <c r="B19" s="7" t="s">
        <v>182</v>
      </c>
      <c r="C19" s="12" t="s">
        <v>183</v>
      </c>
      <c r="D19" s="12">
        <v>73.2</v>
      </c>
      <c r="E19" s="12"/>
      <c r="F19" s="12"/>
    </row>
    <row r="20" spans="1:6">
      <c r="A20" s="7"/>
      <c r="B20" s="7" t="s">
        <v>70</v>
      </c>
      <c r="C20" s="12" t="s">
        <v>71</v>
      </c>
      <c r="D20" s="12">
        <v>5</v>
      </c>
      <c r="E20" s="12"/>
      <c r="F20" s="12"/>
    </row>
    <row r="21" spans="1:6">
      <c r="A21" s="7"/>
      <c r="B21" s="7" t="s">
        <v>81</v>
      </c>
      <c r="C21" s="12" t="s">
        <v>71</v>
      </c>
      <c r="D21" s="12">
        <v>1</v>
      </c>
      <c r="E21" s="12"/>
      <c r="F21" s="12"/>
    </row>
    <row r="22" spans="1:6">
      <c r="A22" s="7"/>
      <c r="B22" s="7" t="s">
        <v>67</v>
      </c>
      <c r="C22" s="12" t="s">
        <v>71</v>
      </c>
      <c r="D22" s="12">
        <v>1</v>
      </c>
      <c r="E22" s="12"/>
      <c r="F22" s="12"/>
    </row>
    <row r="23" spans="1:6" s="37" customFormat="1">
      <c r="A23" s="29"/>
      <c r="B23" s="29" t="s">
        <v>410</v>
      </c>
      <c r="C23" s="30" t="s">
        <v>71</v>
      </c>
      <c r="D23" s="30">
        <v>4</v>
      </c>
      <c r="E23" s="30"/>
      <c r="F23" s="30"/>
    </row>
    <row r="24" spans="1:6" s="37" customFormat="1">
      <c r="A24" s="29"/>
      <c r="B24" s="29" t="s">
        <v>413</v>
      </c>
      <c r="C24" s="30" t="s">
        <v>71</v>
      </c>
      <c r="D24" s="30">
        <v>2</v>
      </c>
      <c r="E24" s="30"/>
      <c r="F24" s="30"/>
    </row>
    <row r="25" spans="1:6">
      <c r="A25" s="7"/>
      <c r="B25" s="14" t="s">
        <v>131</v>
      </c>
      <c r="C25" s="7"/>
      <c r="D25" s="12"/>
      <c r="E25" s="12"/>
      <c r="F25" s="12"/>
    </row>
    <row r="26" spans="1:6">
      <c r="A26" s="7"/>
      <c r="B26" s="7" t="s">
        <v>80</v>
      </c>
      <c r="C26" s="12" t="s">
        <v>71</v>
      </c>
      <c r="D26" s="12">
        <v>6</v>
      </c>
      <c r="E26" s="12"/>
      <c r="F26" s="12"/>
    </row>
    <row r="27" spans="1:6">
      <c r="A27" s="7"/>
      <c r="B27" s="7" t="s">
        <v>77</v>
      </c>
      <c r="C27" s="12" t="s">
        <v>71</v>
      </c>
      <c r="D27" s="12">
        <v>1</v>
      </c>
      <c r="E27" s="12"/>
      <c r="F27" s="12"/>
    </row>
    <row r="28" spans="1:6">
      <c r="A28" s="7"/>
      <c r="B28" s="7" t="s">
        <v>70</v>
      </c>
      <c r="C28" s="12" t="s">
        <v>71</v>
      </c>
      <c r="D28" s="12">
        <v>4</v>
      </c>
      <c r="E28" s="12"/>
      <c r="F28" s="12"/>
    </row>
    <row r="29" spans="1:6">
      <c r="A29" s="7"/>
      <c r="B29" s="7" t="s">
        <v>67</v>
      </c>
      <c r="C29" s="12" t="s">
        <v>71</v>
      </c>
      <c r="D29" s="12">
        <v>1</v>
      </c>
      <c r="E29" s="12"/>
      <c r="F29" s="12"/>
    </row>
    <row r="30" spans="1:6" s="37" customFormat="1">
      <c r="A30" s="29"/>
      <c r="B30" s="29" t="s">
        <v>414</v>
      </c>
      <c r="C30" s="30" t="s">
        <v>71</v>
      </c>
      <c r="D30" s="30">
        <v>2</v>
      </c>
      <c r="E30" s="30"/>
      <c r="F30" s="30"/>
    </row>
    <row r="31" spans="1:6" s="37" customFormat="1">
      <c r="A31" s="29"/>
      <c r="B31" s="29" t="s">
        <v>382</v>
      </c>
      <c r="C31" s="30" t="s">
        <v>71</v>
      </c>
      <c r="D31" s="30">
        <v>4</v>
      </c>
      <c r="E31" s="30"/>
      <c r="F31" s="30"/>
    </row>
    <row r="32" spans="1:6" s="37" customFormat="1">
      <c r="A32" s="29"/>
      <c r="B32" s="29" t="s">
        <v>415</v>
      </c>
      <c r="C32" s="30" t="s">
        <v>71</v>
      </c>
      <c r="D32" s="30">
        <v>2</v>
      </c>
      <c r="E32" s="30"/>
      <c r="F32" s="30"/>
    </row>
    <row r="33" spans="1:6">
      <c r="A33" s="7"/>
      <c r="B33" s="14" t="s">
        <v>132</v>
      </c>
      <c r="C33" s="7"/>
      <c r="D33" s="12"/>
      <c r="E33" s="12"/>
      <c r="F33" s="12"/>
    </row>
    <row r="34" spans="1:6">
      <c r="A34" s="7"/>
      <c r="B34" s="7" t="s">
        <v>80</v>
      </c>
      <c r="C34" s="12" t="s">
        <v>71</v>
      </c>
      <c r="D34" s="12">
        <v>6</v>
      </c>
      <c r="E34" s="12"/>
      <c r="F34" s="12"/>
    </row>
    <row r="35" spans="1:6">
      <c r="A35" s="7"/>
      <c r="B35" s="7" t="s">
        <v>77</v>
      </c>
      <c r="C35" s="12" t="s">
        <v>71</v>
      </c>
      <c r="D35" s="12">
        <v>1</v>
      </c>
      <c r="E35" s="12"/>
      <c r="F35" s="12"/>
    </row>
    <row r="36" spans="1:6">
      <c r="A36" s="7"/>
      <c r="B36" s="7" t="s">
        <v>70</v>
      </c>
      <c r="C36" s="12" t="s">
        <v>71</v>
      </c>
      <c r="D36" s="12">
        <v>4</v>
      </c>
      <c r="E36" s="12"/>
      <c r="F36" s="12"/>
    </row>
    <row r="37" spans="1:6">
      <c r="A37" s="7"/>
      <c r="B37" s="7" t="s">
        <v>67</v>
      </c>
      <c r="C37" s="12" t="s">
        <v>71</v>
      </c>
      <c r="D37" s="12">
        <v>1</v>
      </c>
      <c r="E37" s="12"/>
      <c r="F37" s="12"/>
    </row>
    <row r="38" spans="1:6" s="37" customFormat="1">
      <c r="A38" s="29"/>
      <c r="B38" s="29" t="s">
        <v>414</v>
      </c>
      <c r="C38" s="30" t="s">
        <v>71</v>
      </c>
      <c r="D38" s="30">
        <v>2</v>
      </c>
      <c r="E38" s="30"/>
      <c r="F38" s="30"/>
    </row>
    <row r="39" spans="1:6" s="37" customFormat="1">
      <c r="A39" s="29"/>
      <c r="B39" s="29" t="s">
        <v>382</v>
      </c>
      <c r="C39" s="30" t="s">
        <v>71</v>
      </c>
      <c r="D39" s="30">
        <v>4</v>
      </c>
      <c r="E39" s="30"/>
      <c r="F39" s="30"/>
    </row>
    <row r="40" spans="1:6" s="37" customFormat="1">
      <c r="A40" s="29"/>
      <c r="B40" s="29" t="s">
        <v>415</v>
      </c>
      <c r="C40" s="30" t="s">
        <v>71</v>
      </c>
      <c r="D40" s="30">
        <v>2</v>
      </c>
      <c r="E40" s="30"/>
      <c r="F40" s="30"/>
    </row>
    <row r="41" spans="1:6">
      <c r="A41" s="7"/>
      <c r="B41" s="14" t="s">
        <v>133</v>
      </c>
      <c r="C41" s="7"/>
      <c r="D41" s="12"/>
      <c r="E41" s="12"/>
      <c r="F41" s="12"/>
    </row>
    <row r="42" spans="1:6">
      <c r="A42" s="7"/>
      <c r="B42" s="7" t="s">
        <v>80</v>
      </c>
      <c r="C42" s="12" t="s">
        <v>71</v>
      </c>
      <c r="D42" s="12">
        <v>6</v>
      </c>
      <c r="E42" s="12"/>
      <c r="F42" s="12"/>
    </row>
    <row r="43" spans="1:6">
      <c r="A43" s="7"/>
      <c r="B43" s="7" t="s">
        <v>77</v>
      </c>
      <c r="C43" s="12" t="s">
        <v>71</v>
      </c>
      <c r="D43" s="12">
        <v>1</v>
      </c>
      <c r="E43" s="12"/>
      <c r="F43" s="12"/>
    </row>
    <row r="44" spans="1:6">
      <c r="A44" s="7"/>
      <c r="B44" s="7" t="s">
        <v>70</v>
      </c>
      <c r="C44" s="12" t="s">
        <v>71</v>
      </c>
      <c r="D44" s="12">
        <v>4</v>
      </c>
      <c r="E44" s="12"/>
      <c r="F44" s="12"/>
    </row>
    <row r="45" spans="1:6">
      <c r="A45" s="7"/>
      <c r="B45" s="7" t="s">
        <v>67</v>
      </c>
      <c r="C45" s="12" t="s">
        <v>71</v>
      </c>
      <c r="D45" s="12">
        <v>1</v>
      </c>
      <c r="E45" s="12"/>
      <c r="F45" s="12"/>
    </row>
    <row r="46" spans="1:6" s="37" customFormat="1">
      <c r="A46" s="29"/>
      <c r="B46" s="29" t="s">
        <v>414</v>
      </c>
      <c r="C46" s="30" t="s">
        <v>71</v>
      </c>
      <c r="D46" s="30">
        <v>2</v>
      </c>
      <c r="E46" s="30"/>
      <c r="F46" s="30"/>
    </row>
    <row r="47" spans="1:6" s="37" customFormat="1">
      <c r="A47" s="29"/>
      <c r="B47" s="29" t="s">
        <v>382</v>
      </c>
      <c r="C47" s="30" t="s">
        <v>71</v>
      </c>
      <c r="D47" s="30">
        <v>4</v>
      </c>
      <c r="E47" s="30"/>
      <c r="F47" s="30"/>
    </row>
    <row r="48" spans="1:6" s="37" customFormat="1">
      <c r="A48" s="29"/>
      <c r="B48" s="29" t="s">
        <v>415</v>
      </c>
      <c r="C48" s="30" t="s">
        <v>71</v>
      </c>
      <c r="D48" s="30">
        <v>2</v>
      </c>
      <c r="E48" s="30"/>
      <c r="F48" s="30"/>
    </row>
    <row r="49" spans="1:6">
      <c r="A49" s="7"/>
      <c r="B49" s="14" t="s">
        <v>134</v>
      </c>
      <c r="C49" s="7"/>
      <c r="D49" s="7"/>
      <c r="E49" s="7"/>
      <c r="F49" s="7"/>
    </row>
    <row r="50" spans="1:6">
      <c r="A50" s="7"/>
      <c r="B50" s="7" t="s">
        <v>75</v>
      </c>
      <c r="C50" s="12" t="s">
        <v>71</v>
      </c>
      <c r="D50" s="12">
        <v>6</v>
      </c>
      <c r="E50" s="12"/>
      <c r="F50" s="12"/>
    </row>
    <row r="51" spans="1:6">
      <c r="A51" s="7"/>
      <c r="B51" s="7" t="s">
        <v>101</v>
      </c>
      <c r="C51" s="12" t="s">
        <v>71</v>
      </c>
      <c r="D51" s="12">
        <v>1</v>
      </c>
      <c r="E51" s="12"/>
      <c r="F51" s="12"/>
    </row>
    <row r="52" spans="1:6">
      <c r="A52" s="7"/>
      <c r="B52" s="7" t="s">
        <v>70</v>
      </c>
      <c r="C52" s="12" t="s">
        <v>71</v>
      </c>
      <c r="D52" s="12">
        <v>4</v>
      </c>
      <c r="E52" s="12"/>
      <c r="F52" s="12"/>
    </row>
    <row r="53" spans="1:6">
      <c r="A53" s="7"/>
      <c r="B53" s="7" t="s">
        <v>67</v>
      </c>
      <c r="C53" s="12" t="s">
        <v>71</v>
      </c>
      <c r="D53" s="12">
        <v>1</v>
      </c>
      <c r="E53" s="12"/>
      <c r="F53" s="12"/>
    </row>
    <row r="54" spans="1:6" s="37" customFormat="1">
      <c r="A54" s="29"/>
      <c r="B54" s="29" t="s">
        <v>414</v>
      </c>
      <c r="C54" s="30" t="s">
        <v>71</v>
      </c>
      <c r="D54" s="30">
        <v>1</v>
      </c>
      <c r="E54" s="30"/>
      <c r="F54" s="30"/>
    </row>
    <row r="55" spans="1:6" s="37" customFormat="1">
      <c r="A55" s="29"/>
      <c r="B55" s="29" t="s">
        <v>382</v>
      </c>
      <c r="C55" s="30" t="s">
        <v>71</v>
      </c>
      <c r="D55" s="30">
        <v>2</v>
      </c>
      <c r="E55" s="30"/>
      <c r="F55" s="30"/>
    </row>
    <row r="56" spans="1:6">
      <c r="A56" s="7"/>
      <c r="B56" s="14" t="s">
        <v>135</v>
      </c>
      <c r="C56" s="7"/>
      <c r="D56" s="12"/>
      <c r="E56" s="12"/>
      <c r="F56" s="12"/>
    </row>
    <row r="57" spans="1:6">
      <c r="A57" s="7"/>
      <c r="B57" s="7" t="s">
        <v>80</v>
      </c>
      <c r="C57" s="12" t="s">
        <v>71</v>
      </c>
      <c r="D57" s="12">
        <v>18</v>
      </c>
      <c r="E57" s="12"/>
      <c r="F57" s="12"/>
    </row>
    <row r="58" spans="1:6">
      <c r="A58" s="7"/>
      <c r="B58" s="7" t="s">
        <v>100</v>
      </c>
      <c r="C58" s="12" t="s">
        <v>71</v>
      </c>
      <c r="D58" s="12">
        <v>1</v>
      </c>
      <c r="E58" s="12"/>
      <c r="F58" s="12"/>
    </row>
    <row r="59" spans="1:6">
      <c r="A59" s="7"/>
      <c r="B59" s="7" t="s">
        <v>77</v>
      </c>
      <c r="C59" s="12" t="s">
        <v>71</v>
      </c>
      <c r="D59" s="12">
        <v>1</v>
      </c>
      <c r="E59" s="12"/>
      <c r="F59" s="12"/>
    </row>
    <row r="60" spans="1:6">
      <c r="A60" s="7"/>
      <c r="B60" s="7" t="s">
        <v>70</v>
      </c>
      <c r="C60" s="12" t="s">
        <v>71</v>
      </c>
      <c r="D60" s="12">
        <v>11</v>
      </c>
      <c r="E60" s="12"/>
      <c r="F60" s="12"/>
    </row>
    <row r="61" spans="1:6">
      <c r="A61" s="7"/>
      <c r="B61" s="7" t="s">
        <v>67</v>
      </c>
      <c r="C61" s="12" t="s">
        <v>71</v>
      </c>
      <c r="D61" s="12">
        <v>1</v>
      </c>
      <c r="E61" s="12"/>
      <c r="F61" s="12"/>
    </row>
    <row r="62" spans="1:6" s="37" customFormat="1">
      <c r="A62" s="29"/>
      <c r="B62" s="29" t="s">
        <v>416</v>
      </c>
      <c r="C62" s="30" t="s">
        <v>71</v>
      </c>
      <c r="D62" s="30">
        <v>3</v>
      </c>
      <c r="E62" s="30"/>
      <c r="F62" s="30"/>
    </row>
    <row r="63" spans="1:6" s="37" customFormat="1">
      <c r="A63" s="29"/>
      <c r="B63" s="29" t="s">
        <v>382</v>
      </c>
      <c r="C63" s="30" t="s">
        <v>71</v>
      </c>
      <c r="D63" s="30">
        <v>8</v>
      </c>
      <c r="E63" s="30"/>
      <c r="F63" s="30"/>
    </row>
    <row r="64" spans="1:6" s="37" customFormat="1">
      <c r="A64" s="29"/>
      <c r="B64" s="29" t="s">
        <v>417</v>
      </c>
      <c r="C64" s="30" t="s">
        <v>71</v>
      </c>
      <c r="D64" s="30">
        <v>1</v>
      </c>
      <c r="E64" s="30"/>
      <c r="F64" s="30"/>
    </row>
    <row r="65" spans="1:6" s="37" customFormat="1">
      <c r="A65" s="29"/>
      <c r="B65" s="29" t="s">
        <v>415</v>
      </c>
      <c r="C65" s="30" t="s">
        <v>71</v>
      </c>
      <c r="D65" s="30">
        <v>2</v>
      </c>
      <c r="E65" s="30"/>
      <c r="F65" s="30"/>
    </row>
    <row r="66" spans="1:6">
      <c r="A66" s="7"/>
      <c r="B66" s="14" t="s">
        <v>418</v>
      </c>
      <c r="C66" s="7"/>
      <c r="D66" s="12"/>
      <c r="E66" s="12"/>
      <c r="F66" s="12"/>
    </row>
    <row r="67" spans="1:6" s="37" customFormat="1">
      <c r="A67" s="29"/>
      <c r="B67" s="29" t="s">
        <v>416</v>
      </c>
      <c r="C67" s="30" t="s">
        <v>71</v>
      </c>
      <c r="D67" s="30">
        <v>1</v>
      </c>
      <c r="E67" s="30"/>
      <c r="F67" s="30"/>
    </row>
    <row r="68" spans="1:6">
      <c r="A68" s="7"/>
      <c r="B68" s="14" t="s">
        <v>136</v>
      </c>
      <c r="C68" s="7"/>
      <c r="D68" s="12"/>
      <c r="E68" s="12"/>
      <c r="F68" s="12"/>
    </row>
    <row r="69" spans="1:6">
      <c r="A69" s="7"/>
      <c r="B69" s="7" t="s">
        <v>80</v>
      </c>
      <c r="C69" s="12" t="s">
        <v>71</v>
      </c>
      <c r="D69" s="12">
        <v>4</v>
      </c>
      <c r="E69" s="12"/>
      <c r="F69" s="12"/>
    </row>
    <row r="70" spans="1:6">
      <c r="A70" s="7"/>
      <c r="B70" s="7" t="s">
        <v>101</v>
      </c>
      <c r="C70" s="12" t="s">
        <v>71</v>
      </c>
      <c r="D70" s="12">
        <v>1</v>
      </c>
      <c r="E70" s="12"/>
      <c r="F70" s="12"/>
    </row>
    <row r="71" spans="1:6">
      <c r="A71" s="7"/>
      <c r="B71" s="7" t="s">
        <v>70</v>
      </c>
      <c r="C71" s="12" t="s">
        <v>71</v>
      </c>
      <c r="D71" s="12">
        <v>4</v>
      </c>
      <c r="E71" s="12"/>
      <c r="F71" s="12"/>
    </row>
    <row r="72" spans="1:6">
      <c r="A72" s="7"/>
      <c r="B72" s="7" t="s">
        <v>67</v>
      </c>
      <c r="C72" s="12" t="s">
        <v>71</v>
      </c>
      <c r="D72" s="12">
        <v>1</v>
      </c>
      <c r="E72" s="12"/>
      <c r="F72" s="12"/>
    </row>
    <row r="73" spans="1:6" s="37" customFormat="1">
      <c r="A73" s="29"/>
      <c r="B73" s="29" t="s">
        <v>414</v>
      </c>
      <c r="C73" s="30" t="s">
        <v>71</v>
      </c>
      <c r="D73" s="30">
        <v>1</v>
      </c>
      <c r="E73" s="30"/>
      <c r="F73" s="30"/>
    </row>
    <row r="74" spans="1:6" s="37" customFormat="1">
      <c r="A74" s="29"/>
      <c r="B74" s="29" t="s">
        <v>382</v>
      </c>
      <c r="C74" s="30" t="s">
        <v>71</v>
      </c>
      <c r="D74" s="30">
        <v>2</v>
      </c>
      <c r="E74" s="30"/>
      <c r="F74" s="30"/>
    </row>
    <row r="75" spans="1:6" s="37" customFormat="1">
      <c r="A75" s="29"/>
      <c r="B75" s="29" t="s">
        <v>419</v>
      </c>
      <c r="C75" s="30" t="s">
        <v>71</v>
      </c>
      <c r="D75" s="30">
        <v>1</v>
      </c>
      <c r="E75" s="30"/>
      <c r="F75" s="30"/>
    </row>
    <row r="76" spans="1:6" s="37" customFormat="1">
      <c r="A76" s="29"/>
      <c r="B76" s="29" t="s">
        <v>420</v>
      </c>
      <c r="C76" s="30" t="s">
        <v>71</v>
      </c>
      <c r="D76" s="30">
        <v>1</v>
      </c>
      <c r="E76" s="30"/>
      <c r="F76" s="30"/>
    </row>
    <row r="77" spans="1:6">
      <c r="A77" s="7"/>
      <c r="B77" s="14" t="s">
        <v>137</v>
      </c>
      <c r="C77" s="7"/>
      <c r="D77" s="12"/>
      <c r="E77" s="12"/>
      <c r="F77" s="12"/>
    </row>
    <row r="78" spans="1:6">
      <c r="A78" s="7"/>
      <c r="B78" s="7" t="s">
        <v>80</v>
      </c>
      <c r="C78" s="12" t="s">
        <v>71</v>
      </c>
      <c r="D78" s="12">
        <v>4</v>
      </c>
      <c r="E78" s="12"/>
      <c r="F78" s="12"/>
    </row>
    <row r="79" spans="1:6">
      <c r="A79" s="7"/>
      <c r="B79" s="7" t="s">
        <v>101</v>
      </c>
      <c r="C79" s="12" t="s">
        <v>71</v>
      </c>
      <c r="D79" s="12">
        <v>1</v>
      </c>
      <c r="E79" s="12"/>
      <c r="F79" s="12"/>
    </row>
    <row r="80" spans="1:6">
      <c r="A80" s="7"/>
      <c r="B80" s="7" t="s">
        <v>70</v>
      </c>
      <c r="C80" s="12" t="s">
        <v>71</v>
      </c>
      <c r="D80" s="12">
        <v>4</v>
      </c>
      <c r="E80" s="12"/>
      <c r="F80" s="12"/>
    </row>
    <row r="81" spans="1:6">
      <c r="A81" s="7"/>
      <c r="B81" s="7" t="s">
        <v>67</v>
      </c>
      <c r="C81" s="12" t="s">
        <v>71</v>
      </c>
      <c r="D81" s="12">
        <v>1</v>
      </c>
      <c r="E81" s="12"/>
      <c r="F81" s="12"/>
    </row>
    <row r="82" spans="1:6" s="37" customFormat="1">
      <c r="A82" s="29"/>
      <c r="B82" s="29" t="s">
        <v>414</v>
      </c>
      <c r="C82" s="30" t="s">
        <v>71</v>
      </c>
      <c r="D82" s="30">
        <v>1</v>
      </c>
      <c r="E82" s="30"/>
      <c r="F82" s="30"/>
    </row>
    <row r="83" spans="1:6" s="37" customFormat="1">
      <c r="A83" s="29"/>
      <c r="B83" s="29" t="s">
        <v>382</v>
      </c>
      <c r="C83" s="30" t="s">
        <v>71</v>
      </c>
      <c r="D83" s="30">
        <v>2</v>
      </c>
      <c r="E83" s="30"/>
      <c r="F83" s="30"/>
    </row>
    <row r="84" spans="1:6" s="37" customFormat="1">
      <c r="A84" s="29"/>
      <c r="B84" s="29" t="s">
        <v>419</v>
      </c>
      <c r="C84" s="30" t="s">
        <v>71</v>
      </c>
      <c r="D84" s="30">
        <v>1</v>
      </c>
      <c r="E84" s="30"/>
      <c r="F84" s="30"/>
    </row>
    <row r="85" spans="1:6" s="37" customFormat="1">
      <c r="A85" s="29"/>
      <c r="B85" s="29" t="s">
        <v>420</v>
      </c>
      <c r="C85" s="30" t="s">
        <v>71</v>
      </c>
      <c r="D85" s="30">
        <v>1</v>
      </c>
      <c r="E85" s="30"/>
      <c r="F85" s="30"/>
    </row>
    <row r="86" spans="1:6">
      <c r="A86" s="7"/>
      <c r="B86" s="14" t="s">
        <v>138</v>
      </c>
      <c r="C86" s="7"/>
      <c r="D86" s="12"/>
      <c r="E86" s="12"/>
      <c r="F86" s="12"/>
    </row>
    <row r="87" spans="1:6">
      <c r="A87" s="7"/>
      <c r="B87" s="7" t="s">
        <v>80</v>
      </c>
      <c r="C87" s="12" t="s">
        <v>71</v>
      </c>
      <c r="D87" s="12">
        <v>4</v>
      </c>
      <c r="E87" s="12"/>
      <c r="F87" s="12"/>
    </row>
    <row r="88" spans="1:6">
      <c r="A88" s="7"/>
      <c r="B88" s="7" t="s">
        <v>101</v>
      </c>
      <c r="C88" s="12" t="s">
        <v>71</v>
      </c>
      <c r="D88" s="12">
        <v>1</v>
      </c>
      <c r="E88" s="12"/>
      <c r="F88" s="12"/>
    </row>
    <row r="89" spans="1:6">
      <c r="A89" s="7"/>
      <c r="B89" s="7" t="s">
        <v>70</v>
      </c>
      <c r="C89" s="12" t="s">
        <v>71</v>
      </c>
      <c r="D89" s="12">
        <v>4</v>
      </c>
      <c r="E89" s="12"/>
      <c r="F89" s="12"/>
    </row>
    <row r="90" spans="1:6">
      <c r="A90" s="7"/>
      <c r="B90" s="7" t="s">
        <v>67</v>
      </c>
      <c r="C90" s="12" t="s">
        <v>71</v>
      </c>
      <c r="D90" s="12">
        <v>1</v>
      </c>
      <c r="E90" s="12"/>
      <c r="F90" s="12"/>
    </row>
    <row r="91" spans="1:6" s="37" customFormat="1">
      <c r="A91" s="29"/>
      <c r="B91" s="29" t="s">
        <v>414</v>
      </c>
      <c r="C91" s="30" t="s">
        <v>71</v>
      </c>
      <c r="D91" s="30">
        <v>1</v>
      </c>
      <c r="E91" s="30"/>
      <c r="F91" s="30"/>
    </row>
    <row r="92" spans="1:6" s="37" customFormat="1">
      <c r="A92" s="29"/>
      <c r="B92" s="29" t="s">
        <v>382</v>
      </c>
      <c r="C92" s="30" t="s">
        <v>71</v>
      </c>
      <c r="D92" s="30">
        <v>2</v>
      </c>
      <c r="E92" s="30"/>
      <c r="F92" s="30"/>
    </row>
    <row r="93" spans="1:6" s="37" customFormat="1">
      <c r="A93" s="29"/>
      <c r="B93" s="29" t="s">
        <v>419</v>
      </c>
      <c r="C93" s="30" t="s">
        <v>71</v>
      </c>
      <c r="D93" s="30">
        <v>1</v>
      </c>
      <c r="E93" s="30"/>
      <c r="F93" s="30"/>
    </row>
    <row r="94" spans="1:6" s="37" customFormat="1">
      <c r="A94" s="29"/>
      <c r="B94" s="29" t="s">
        <v>420</v>
      </c>
      <c r="C94" s="30" t="s">
        <v>71</v>
      </c>
      <c r="D94" s="30">
        <v>1</v>
      </c>
      <c r="E94" s="30"/>
      <c r="F94" s="30"/>
    </row>
    <row r="95" spans="1:6">
      <c r="A95" s="7"/>
      <c r="B95" s="14" t="s">
        <v>184</v>
      </c>
      <c r="C95" s="7"/>
      <c r="D95" s="12"/>
      <c r="E95" s="12"/>
      <c r="F95" s="12"/>
    </row>
    <row r="96" spans="1:6">
      <c r="A96" s="7"/>
      <c r="B96" s="7" t="s">
        <v>80</v>
      </c>
      <c r="C96" s="12" t="s">
        <v>71</v>
      </c>
      <c r="D96" s="12">
        <v>4</v>
      </c>
      <c r="E96" s="12"/>
      <c r="F96" s="12"/>
    </row>
    <row r="97" spans="1:6">
      <c r="A97" s="7"/>
      <c r="B97" s="7" t="s">
        <v>100</v>
      </c>
      <c r="C97" s="12" t="s">
        <v>71</v>
      </c>
      <c r="D97" s="12">
        <v>1</v>
      </c>
      <c r="E97" s="12"/>
      <c r="F97" s="12"/>
    </row>
    <row r="98" spans="1:6">
      <c r="A98" s="7"/>
      <c r="B98" s="7" t="s">
        <v>70</v>
      </c>
      <c r="C98" s="12" t="s">
        <v>71</v>
      </c>
      <c r="D98" s="12">
        <v>4</v>
      </c>
      <c r="E98" s="12"/>
      <c r="F98" s="12"/>
    </row>
    <row r="99" spans="1:6">
      <c r="A99" s="7"/>
      <c r="B99" s="7" t="s">
        <v>67</v>
      </c>
      <c r="C99" s="12" t="s">
        <v>71</v>
      </c>
      <c r="D99" s="12">
        <v>1</v>
      </c>
      <c r="E99" s="12"/>
      <c r="F99" s="12"/>
    </row>
    <row r="100" spans="1:6">
      <c r="A100" s="7"/>
      <c r="B100" s="14" t="s">
        <v>139</v>
      </c>
      <c r="C100" s="7"/>
      <c r="D100" s="7"/>
      <c r="E100" s="7"/>
      <c r="F100" s="7"/>
    </row>
    <row r="101" spans="1:6">
      <c r="A101" s="7"/>
      <c r="B101" s="7" t="s">
        <v>141</v>
      </c>
      <c r="C101" s="12" t="s">
        <v>71</v>
      </c>
      <c r="D101" s="12">
        <v>4</v>
      </c>
      <c r="E101" s="12"/>
      <c r="F101" s="12"/>
    </row>
    <row r="102" spans="1:6">
      <c r="A102" s="7"/>
      <c r="B102" s="7" t="s">
        <v>101</v>
      </c>
      <c r="C102" s="12" t="s">
        <v>71</v>
      </c>
      <c r="D102" s="12">
        <v>1</v>
      </c>
      <c r="E102" s="12"/>
      <c r="F102" s="12"/>
    </row>
    <row r="103" spans="1:6">
      <c r="A103" s="7"/>
      <c r="B103" s="7" t="s">
        <v>72</v>
      </c>
      <c r="C103" s="12" t="s">
        <v>71</v>
      </c>
      <c r="D103" s="12">
        <v>1</v>
      </c>
      <c r="E103" s="12"/>
      <c r="F103" s="12"/>
    </row>
    <row r="104" spans="1:6">
      <c r="A104" s="7"/>
      <c r="B104" s="7" t="s">
        <v>70</v>
      </c>
      <c r="C104" s="12" t="s">
        <v>71</v>
      </c>
      <c r="D104" s="12">
        <v>2</v>
      </c>
      <c r="E104" s="12"/>
      <c r="F104" s="12"/>
    </row>
    <row r="105" spans="1:6">
      <c r="A105" s="7"/>
      <c r="B105" s="7" t="s">
        <v>144</v>
      </c>
      <c r="C105" s="12" t="s">
        <v>71</v>
      </c>
      <c r="D105" s="12">
        <v>1</v>
      </c>
      <c r="E105" s="12"/>
      <c r="F105" s="12"/>
    </row>
    <row r="106" spans="1:6">
      <c r="A106" s="7"/>
      <c r="B106" s="7" t="s">
        <v>106</v>
      </c>
      <c r="C106" s="12" t="s">
        <v>71</v>
      </c>
      <c r="D106" s="12">
        <v>1</v>
      </c>
      <c r="E106" s="12"/>
      <c r="F106" s="12"/>
    </row>
    <row r="107" spans="1:6" s="37" customFormat="1">
      <c r="A107" s="29"/>
      <c r="B107" s="29" t="s">
        <v>421</v>
      </c>
      <c r="C107" s="30" t="s">
        <v>71</v>
      </c>
      <c r="D107" s="30">
        <v>1</v>
      </c>
      <c r="E107" s="30"/>
      <c r="F107" s="30"/>
    </row>
    <row r="108" spans="1:6" s="37" customFormat="1">
      <c r="A108" s="29"/>
      <c r="B108" s="29" t="s">
        <v>422</v>
      </c>
      <c r="C108" s="30" t="s">
        <v>71</v>
      </c>
      <c r="D108" s="30">
        <v>1</v>
      </c>
      <c r="E108" s="30"/>
      <c r="F108" s="30"/>
    </row>
    <row r="109" spans="1:6">
      <c r="A109" s="7"/>
      <c r="B109" s="14" t="s">
        <v>140</v>
      </c>
      <c r="C109" s="7"/>
      <c r="D109" s="12"/>
      <c r="E109" s="12"/>
      <c r="F109" s="12"/>
    </row>
    <row r="110" spans="1:6">
      <c r="A110" s="7"/>
      <c r="B110" s="7" t="s">
        <v>143</v>
      </c>
      <c r="C110" s="12" t="s">
        <v>71</v>
      </c>
      <c r="D110" s="12">
        <v>110</v>
      </c>
      <c r="E110" s="12"/>
      <c r="F110" s="12"/>
    </row>
    <row r="111" spans="1:6">
      <c r="A111" s="7"/>
      <c r="B111" s="7" t="s">
        <v>182</v>
      </c>
      <c r="C111" s="12" t="s">
        <v>183</v>
      </c>
      <c r="D111" s="12">
        <v>133.6</v>
      </c>
      <c r="E111" s="12"/>
      <c r="F111" s="12"/>
    </row>
    <row r="112" spans="1:6">
      <c r="A112" s="7"/>
      <c r="B112" s="7" t="s">
        <v>72</v>
      </c>
      <c r="C112" s="12" t="s">
        <v>71</v>
      </c>
      <c r="D112" s="12">
        <v>8</v>
      </c>
      <c r="E112" s="12"/>
      <c r="F112" s="12"/>
    </row>
    <row r="113" spans="1:6">
      <c r="A113" s="7"/>
      <c r="B113" s="7" t="s">
        <v>70</v>
      </c>
      <c r="C113" s="12" t="s">
        <v>71</v>
      </c>
      <c r="D113" s="12">
        <v>9</v>
      </c>
      <c r="E113" s="12"/>
      <c r="F113" s="12"/>
    </row>
    <row r="114" spans="1:6">
      <c r="A114" s="7"/>
      <c r="B114" s="7" t="s">
        <v>81</v>
      </c>
      <c r="C114" s="12" t="s">
        <v>71</v>
      </c>
      <c r="D114" s="12">
        <v>2</v>
      </c>
      <c r="E114" s="12"/>
      <c r="F114" s="12"/>
    </row>
    <row r="115" spans="1:6">
      <c r="A115" s="7"/>
      <c r="B115" s="7" t="s">
        <v>145</v>
      </c>
      <c r="C115" s="12" t="s">
        <v>71</v>
      </c>
      <c r="D115" s="12">
        <v>1</v>
      </c>
      <c r="E115" s="12"/>
      <c r="F115" s="12"/>
    </row>
    <row r="116" spans="1:6">
      <c r="A116" s="7"/>
      <c r="B116" s="7" t="s">
        <v>105</v>
      </c>
      <c r="C116" s="12" t="s">
        <v>71</v>
      </c>
      <c r="D116" s="12">
        <v>4</v>
      </c>
      <c r="E116" s="12"/>
      <c r="F116" s="12"/>
    </row>
    <row r="117" spans="1:6">
      <c r="A117" s="7"/>
      <c r="B117" s="7" t="s">
        <v>106</v>
      </c>
      <c r="C117" s="12" t="s">
        <v>71</v>
      </c>
      <c r="D117" s="12">
        <v>8</v>
      </c>
      <c r="E117" s="12"/>
      <c r="F117" s="12"/>
    </row>
    <row r="118" spans="1:6" s="37" customFormat="1">
      <c r="A118" s="29"/>
      <c r="B118" s="29" t="s">
        <v>423</v>
      </c>
      <c r="C118" s="30" t="s">
        <v>71</v>
      </c>
      <c r="D118" s="30">
        <v>8</v>
      </c>
      <c r="E118" s="30"/>
      <c r="F118" s="30"/>
    </row>
    <row r="119" spans="1:6" s="37" customFormat="1">
      <c r="A119" s="29"/>
      <c r="B119" s="29" t="s">
        <v>416</v>
      </c>
      <c r="C119" s="30" t="s">
        <v>71</v>
      </c>
      <c r="D119" s="30">
        <v>2</v>
      </c>
      <c r="E119" s="30"/>
      <c r="F119" s="30"/>
    </row>
    <row r="120" spans="1:6" s="37" customFormat="1">
      <c r="A120" s="29"/>
      <c r="B120" s="29" t="s">
        <v>424</v>
      </c>
      <c r="C120" s="30" t="s">
        <v>71</v>
      </c>
      <c r="D120" s="30">
        <v>8</v>
      </c>
      <c r="E120" s="30"/>
      <c r="F120" s="30"/>
    </row>
    <row r="121" spans="1:6" s="37" customFormat="1">
      <c r="A121" s="29"/>
      <c r="B121" s="29" t="s">
        <v>425</v>
      </c>
      <c r="C121" s="30" t="s">
        <v>71</v>
      </c>
      <c r="D121" s="30">
        <v>4</v>
      </c>
      <c r="E121" s="30"/>
      <c r="F121" s="30"/>
    </row>
    <row r="122" spans="1:6" s="37" customFormat="1">
      <c r="A122" s="29"/>
      <c r="B122" s="29" t="s">
        <v>426</v>
      </c>
      <c r="C122" s="30" t="s">
        <v>71</v>
      </c>
      <c r="D122" s="30">
        <v>4</v>
      </c>
      <c r="E122" s="30"/>
      <c r="F122" s="30"/>
    </row>
    <row r="123" spans="1:6" s="37" customFormat="1">
      <c r="A123" s="29"/>
      <c r="B123" s="29" t="s">
        <v>427</v>
      </c>
      <c r="C123" s="30" t="s">
        <v>71</v>
      </c>
      <c r="D123" s="30">
        <v>4</v>
      </c>
      <c r="E123" s="30"/>
      <c r="F123" s="30"/>
    </row>
    <row r="124" spans="1:6">
      <c r="A124" s="7"/>
      <c r="B124" s="8" t="s">
        <v>107</v>
      </c>
      <c r="C124" s="12"/>
      <c r="D124" s="12"/>
      <c r="E124" s="12"/>
      <c r="F124" s="12"/>
    </row>
    <row r="125" spans="1:6">
      <c r="A125" s="7"/>
      <c r="B125" s="7" t="s">
        <v>75</v>
      </c>
      <c r="C125" s="12" t="s">
        <v>71</v>
      </c>
      <c r="D125" s="12">
        <v>142</v>
      </c>
      <c r="E125" s="12"/>
      <c r="F125" s="12"/>
    </row>
    <row r="126" spans="1:6">
      <c r="A126" s="7"/>
      <c r="B126" s="7" t="s">
        <v>76</v>
      </c>
      <c r="C126" s="12" t="s">
        <v>71</v>
      </c>
      <c r="D126" s="12">
        <v>1</v>
      </c>
      <c r="E126" s="12"/>
      <c r="F126" s="12"/>
    </row>
    <row r="127" spans="1:6">
      <c r="A127" s="7"/>
      <c r="B127" s="7" t="s">
        <v>69</v>
      </c>
      <c r="C127" s="12" t="s">
        <v>71</v>
      </c>
      <c r="D127" s="12">
        <v>5</v>
      </c>
      <c r="E127" s="12"/>
      <c r="F127" s="12"/>
    </row>
    <row r="128" spans="1:6">
      <c r="A128" s="7"/>
      <c r="B128" s="7" t="s">
        <v>72</v>
      </c>
      <c r="C128" s="12" t="s">
        <v>71</v>
      </c>
      <c r="D128" s="12">
        <v>12</v>
      </c>
      <c r="E128" s="12"/>
      <c r="F128" s="12"/>
    </row>
    <row r="129" spans="1:6">
      <c r="A129" s="7"/>
      <c r="B129" s="7" t="s">
        <v>70</v>
      </c>
      <c r="C129" s="12" t="s">
        <v>71</v>
      </c>
      <c r="D129" s="12">
        <v>2</v>
      </c>
      <c r="E129" s="12"/>
      <c r="F129" s="12"/>
    </row>
    <row r="130" spans="1:6">
      <c r="A130" s="7"/>
      <c r="B130" s="7" t="s">
        <v>67</v>
      </c>
      <c r="C130" s="12" t="s">
        <v>71</v>
      </c>
      <c r="D130" s="12">
        <v>1</v>
      </c>
      <c r="E130" s="12"/>
      <c r="F130" s="12"/>
    </row>
    <row r="131" spans="1:6">
      <c r="A131" s="7"/>
      <c r="B131" s="7" t="s">
        <v>78</v>
      </c>
      <c r="C131" s="12" t="s">
        <v>71</v>
      </c>
      <c r="D131" s="12">
        <v>1</v>
      </c>
      <c r="E131" s="12"/>
      <c r="F131" s="12"/>
    </row>
    <row r="132" spans="1:6">
      <c r="A132" s="7"/>
      <c r="B132" s="7" t="s">
        <v>142</v>
      </c>
      <c r="C132" s="12" t="s">
        <v>71</v>
      </c>
      <c r="D132" s="12">
        <v>1</v>
      </c>
      <c r="E132" s="12"/>
      <c r="F132" s="12"/>
    </row>
    <row r="133" spans="1:6">
      <c r="A133" s="7"/>
      <c r="B133" s="7" t="s">
        <v>73</v>
      </c>
      <c r="C133" s="12" t="s">
        <v>71</v>
      </c>
      <c r="D133" s="12">
        <v>6</v>
      </c>
      <c r="E133" s="12"/>
      <c r="F133" s="12"/>
    </row>
    <row r="134" spans="1:6">
      <c r="A134" s="7"/>
      <c r="B134" s="7" t="s">
        <v>105</v>
      </c>
      <c r="C134" s="12" t="s">
        <v>71</v>
      </c>
      <c r="D134" s="12">
        <v>8</v>
      </c>
      <c r="E134" s="12"/>
      <c r="F134" s="12"/>
    </row>
    <row r="135" spans="1:6">
      <c r="A135" s="7"/>
      <c r="B135" s="7" t="s">
        <v>106</v>
      </c>
      <c r="C135" s="12" t="s">
        <v>71</v>
      </c>
      <c r="D135" s="12">
        <v>12</v>
      </c>
      <c r="E135" s="12"/>
      <c r="F135" s="12"/>
    </row>
    <row r="136" spans="1:6" s="37" customFormat="1">
      <c r="A136" s="29"/>
      <c r="B136" s="29" t="s">
        <v>428</v>
      </c>
      <c r="C136" s="30" t="s">
        <v>71</v>
      </c>
      <c r="D136" s="30">
        <v>1</v>
      </c>
      <c r="E136" s="30"/>
      <c r="F136" s="385" t="s">
        <v>429</v>
      </c>
    </row>
    <row r="137" spans="1:6" s="37" customFormat="1">
      <c r="A137" s="29"/>
      <c r="B137" s="29" t="s">
        <v>422</v>
      </c>
      <c r="C137" s="30" t="s">
        <v>71</v>
      </c>
      <c r="D137" s="30">
        <v>2</v>
      </c>
      <c r="E137" s="30"/>
      <c r="F137" s="386"/>
    </row>
    <row r="138" spans="1:6" s="37" customFormat="1">
      <c r="A138" s="29"/>
      <c r="B138" s="29" t="s">
        <v>401</v>
      </c>
      <c r="C138" s="30" t="s">
        <v>71</v>
      </c>
      <c r="D138" s="30">
        <v>1</v>
      </c>
      <c r="E138" s="30"/>
      <c r="F138" s="386"/>
    </row>
    <row r="139" spans="1:6" s="37" customFormat="1">
      <c r="A139" s="29"/>
      <c r="B139" s="29" t="s">
        <v>430</v>
      </c>
      <c r="C139" s="30" t="s">
        <v>71</v>
      </c>
      <c r="D139" s="30">
        <v>2</v>
      </c>
      <c r="E139" s="30"/>
      <c r="F139" s="386"/>
    </row>
    <row r="140" spans="1:6" s="37" customFormat="1">
      <c r="A140" s="29"/>
      <c r="B140" s="29" t="s">
        <v>405</v>
      </c>
      <c r="C140" s="30" t="s">
        <v>71</v>
      </c>
      <c r="D140" s="30">
        <v>1</v>
      </c>
      <c r="E140" s="30"/>
      <c r="F140" s="387"/>
    </row>
    <row r="141" spans="1:6" s="37" customFormat="1">
      <c r="A141" s="29"/>
      <c r="B141" s="29" t="s">
        <v>431</v>
      </c>
      <c r="C141" s="30" t="s">
        <v>71</v>
      </c>
      <c r="D141" s="30">
        <v>1</v>
      </c>
      <c r="E141" s="30"/>
      <c r="F141" s="385" t="s">
        <v>432</v>
      </c>
    </row>
    <row r="142" spans="1:6" s="37" customFormat="1">
      <c r="A142" s="29"/>
      <c r="B142" s="29" t="s">
        <v>422</v>
      </c>
      <c r="C142" s="30" t="s">
        <v>71</v>
      </c>
      <c r="D142" s="30">
        <v>1</v>
      </c>
      <c r="E142" s="30"/>
      <c r="F142" s="386"/>
    </row>
    <row r="143" spans="1:6" s="37" customFormat="1">
      <c r="A143" s="29"/>
      <c r="B143" s="29" t="s">
        <v>401</v>
      </c>
      <c r="C143" s="30" t="s">
        <v>71</v>
      </c>
      <c r="D143" s="30">
        <v>2</v>
      </c>
      <c r="E143" s="30"/>
      <c r="F143" s="386"/>
    </row>
    <row r="144" spans="1:6" s="37" customFormat="1">
      <c r="A144" s="29"/>
      <c r="B144" s="29" t="s">
        <v>433</v>
      </c>
      <c r="C144" s="30" t="s">
        <v>71</v>
      </c>
      <c r="D144" s="30">
        <v>2</v>
      </c>
      <c r="E144" s="30"/>
      <c r="F144" s="386"/>
    </row>
    <row r="145" spans="1:6" s="37" customFormat="1">
      <c r="A145" s="29"/>
      <c r="B145" s="29" t="s">
        <v>430</v>
      </c>
      <c r="C145" s="30" t="s">
        <v>71</v>
      </c>
      <c r="D145" s="30">
        <v>1</v>
      </c>
      <c r="E145" s="30"/>
      <c r="F145" s="386"/>
    </row>
    <row r="146" spans="1:6" s="37" customFormat="1">
      <c r="A146" s="29"/>
      <c r="B146" s="29" t="s">
        <v>405</v>
      </c>
      <c r="C146" s="30" t="s">
        <v>71</v>
      </c>
      <c r="D146" s="30">
        <v>2</v>
      </c>
      <c r="E146" s="30"/>
      <c r="F146" s="386"/>
    </row>
    <row r="147" spans="1:6" s="37" customFormat="1">
      <c r="A147" s="29"/>
      <c r="B147" s="29" t="s">
        <v>434</v>
      </c>
      <c r="C147" s="30" t="s">
        <v>71</v>
      </c>
      <c r="D147" s="30">
        <v>2</v>
      </c>
      <c r="E147" s="30"/>
      <c r="F147" s="387"/>
    </row>
    <row r="148" spans="1:6" s="37" customFormat="1">
      <c r="A148" s="29"/>
      <c r="B148" s="29" t="s">
        <v>435</v>
      </c>
      <c r="C148" s="30" t="s">
        <v>71</v>
      </c>
      <c r="D148" s="30">
        <v>4</v>
      </c>
      <c r="E148" s="30"/>
      <c r="F148" s="30" t="s">
        <v>436</v>
      </c>
    </row>
    <row r="149" spans="1:6" s="37" customFormat="1">
      <c r="A149" s="29"/>
      <c r="B149" s="29" t="s">
        <v>401</v>
      </c>
      <c r="C149" s="30" t="s">
        <v>71</v>
      </c>
      <c r="D149" s="30">
        <v>1</v>
      </c>
      <c r="E149" s="30"/>
      <c r="F149" s="385" t="s">
        <v>437</v>
      </c>
    </row>
    <row r="150" spans="1:6" s="37" customFormat="1">
      <c r="A150" s="29"/>
      <c r="B150" s="29" t="s">
        <v>433</v>
      </c>
      <c r="C150" s="30" t="s">
        <v>71</v>
      </c>
      <c r="D150" s="30">
        <v>2</v>
      </c>
      <c r="E150" s="30"/>
      <c r="F150" s="386"/>
    </row>
    <row r="151" spans="1:6" s="37" customFormat="1">
      <c r="A151" s="29"/>
      <c r="B151" s="29" t="s">
        <v>438</v>
      </c>
      <c r="C151" s="30" t="s">
        <v>71</v>
      </c>
      <c r="D151" s="30">
        <v>1</v>
      </c>
      <c r="E151" s="30"/>
      <c r="F151" s="386"/>
    </row>
    <row r="152" spans="1:6" s="37" customFormat="1">
      <c r="A152" s="29"/>
      <c r="B152" s="29" t="s">
        <v>405</v>
      </c>
      <c r="C152" s="30" t="s">
        <v>71</v>
      </c>
      <c r="D152" s="30">
        <v>1</v>
      </c>
      <c r="E152" s="30"/>
      <c r="F152" s="386"/>
    </row>
    <row r="153" spans="1:6" s="37" customFormat="1">
      <c r="A153" s="29"/>
      <c r="B153" s="29" t="s">
        <v>434</v>
      </c>
      <c r="C153" s="30" t="s">
        <v>71</v>
      </c>
      <c r="D153" s="30">
        <v>2</v>
      </c>
      <c r="E153" s="30"/>
      <c r="F153" s="386"/>
    </row>
    <row r="154" spans="1:6" s="37" customFormat="1">
      <c r="A154" s="29"/>
      <c r="B154" s="29" t="s">
        <v>439</v>
      </c>
      <c r="C154" s="30" t="s">
        <v>71</v>
      </c>
      <c r="D154" s="30">
        <v>1</v>
      </c>
      <c r="E154" s="30"/>
      <c r="F154" s="387"/>
    </row>
    <row r="155" spans="1:6">
      <c r="A155" s="7"/>
      <c r="B155" s="8" t="s">
        <v>146</v>
      </c>
      <c r="C155" s="12"/>
      <c r="D155" s="12"/>
      <c r="E155" s="12"/>
      <c r="F155" s="12"/>
    </row>
    <row r="156" spans="1:6">
      <c r="A156" s="7"/>
      <c r="B156" s="7" t="s">
        <v>147</v>
      </c>
      <c r="C156" s="12" t="s">
        <v>71</v>
      </c>
      <c r="D156" s="12">
        <v>46</v>
      </c>
      <c r="E156" s="12"/>
      <c r="F156" s="12"/>
    </row>
    <row r="157" spans="1:6">
      <c r="A157" s="7"/>
      <c r="B157" s="7" t="s">
        <v>231</v>
      </c>
      <c r="C157" s="12" t="s">
        <v>71</v>
      </c>
      <c r="D157" s="12">
        <v>11</v>
      </c>
      <c r="E157" s="12"/>
      <c r="F157" s="12"/>
    </row>
    <row r="158" spans="1:6">
      <c r="A158" s="7"/>
      <c r="B158" s="15" t="s">
        <v>291</v>
      </c>
      <c r="C158" s="12"/>
      <c r="D158" s="12"/>
      <c r="E158" s="12"/>
      <c r="F158" s="12"/>
    </row>
    <row r="159" spans="1:6">
      <c r="A159" s="7"/>
      <c r="B159" s="7" t="s">
        <v>232</v>
      </c>
      <c r="C159" s="12" t="s">
        <v>71</v>
      </c>
      <c r="D159" s="12">
        <v>12</v>
      </c>
      <c r="E159" s="12"/>
      <c r="F159" s="12"/>
    </row>
    <row r="160" spans="1:6">
      <c r="A160" s="7"/>
      <c r="B160" s="7" t="s">
        <v>230</v>
      </c>
      <c r="C160" s="12" t="s">
        <v>71</v>
      </c>
      <c r="D160" s="12">
        <v>10</v>
      </c>
      <c r="E160" s="12"/>
      <c r="F160" s="12"/>
    </row>
    <row r="161" spans="1:6">
      <c r="A161" s="7"/>
      <c r="B161" s="7" t="s">
        <v>233</v>
      </c>
      <c r="C161" s="12" t="s">
        <v>71</v>
      </c>
      <c r="D161" s="12">
        <v>6</v>
      </c>
      <c r="E161" s="12"/>
      <c r="F161" s="12"/>
    </row>
    <row r="162" spans="1:6">
      <c r="A162" s="7"/>
      <c r="B162" s="7" t="s">
        <v>231</v>
      </c>
      <c r="C162" s="12" t="s">
        <v>71</v>
      </c>
      <c r="D162" s="12">
        <v>8</v>
      </c>
      <c r="E162" s="12"/>
      <c r="F162" s="12"/>
    </row>
    <row r="163" spans="1:6">
      <c r="A163" s="7"/>
      <c r="B163" s="7" t="s">
        <v>74</v>
      </c>
      <c r="C163" s="12" t="s">
        <v>71</v>
      </c>
      <c r="D163" s="12">
        <v>23</v>
      </c>
      <c r="E163" s="12"/>
      <c r="F163" s="12"/>
    </row>
    <row r="164" spans="1:6">
      <c r="A164" s="7"/>
      <c r="B164" s="7" t="s">
        <v>70</v>
      </c>
      <c r="C164" s="12" t="s">
        <v>71</v>
      </c>
      <c r="D164" s="12">
        <v>2</v>
      </c>
      <c r="E164" s="12"/>
      <c r="F164" s="12"/>
    </row>
    <row r="165" spans="1:6" s="37" customFormat="1">
      <c r="A165" s="29"/>
      <c r="B165" s="29" t="s">
        <v>440</v>
      </c>
      <c r="C165" s="30" t="s">
        <v>71</v>
      </c>
      <c r="D165" s="30">
        <v>9</v>
      </c>
      <c r="E165" s="30"/>
      <c r="F165" s="30"/>
    </row>
    <row r="166" spans="1:6" s="37" customFormat="1">
      <c r="A166" s="29"/>
      <c r="B166" s="29" t="s">
        <v>398</v>
      </c>
      <c r="C166" s="30" t="s">
        <v>71</v>
      </c>
      <c r="D166" s="30">
        <v>2</v>
      </c>
      <c r="E166" s="30"/>
      <c r="F166" s="30"/>
    </row>
    <row r="167" spans="1:6" s="37" customFormat="1">
      <c r="A167" s="29"/>
      <c r="B167" s="29" t="s">
        <v>396</v>
      </c>
      <c r="C167" s="30" t="s">
        <v>71</v>
      </c>
      <c r="D167" s="30">
        <v>1</v>
      </c>
      <c r="E167" s="30"/>
      <c r="F167" s="30"/>
    </row>
    <row r="168" spans="1:6" s="37" customFormat="1">
      <c r="A168" s="29"/>
      <c r="B168" s="29" t="s">
        <v>395</v>
      </c>
      <c r="C168" s="30" t="s">
        <v>71</v>
      </c>
      <c r="D168" s="30">
        <v>1</v>
      </c>
      <c r="E168" s="30"/>
      <c r="F168" s="30"/>
    </row>
    <row r="169" spans="1:6">
      <c r="A169" s="7"/>
      <c r="B169" s="15" t="s">
        <v>292</v>
      </c>
      <c r="C169" s="12"/>
      <c r="D169" s="12"/>
      <c r="E169" s="12"/>
      <c r="F169" s="12"/>
    </row>
    <row r="170" spans="1:6">
      <c r="A170" s="7"/>
      <c r="B170" s="7" t="s">
        <v>232</v>
      </c>
      <c r="C170" s="12" t="s">
        <v>71</v>
      </c>
      <c r="D170" s="12">
        <v>3</v>
      </c>
      <c r="E170" s="12"/>
      <c r="F170" s="12"/>
    </row>
    <row r="171" spans="1:6">
      <c r="A171" s="7"/>
      <c r="B171" s="7" t="s">
        <v>229</v>
      </c>
      <c r="C171" s="12" t="s">
        <v>71</v>
      </c>
      <c r="D171" s="12">
        <v>4</v>
      </c>
      <c r="E171" s="12"/>
      <c r="F171" s="12"/>
    </row>
    <row r="172" spans="1:6">
      <c r="A172" s="7"/>
      <c r="B172" s="7" t="s">
        <v>233</v>
      </c>
      <c r="C172" s="12" t="s">
        <v>71</v>
      </c>
      <c r="D172" s="12">
        <v>2</v>
      </c>
      <c r="E172" s="12"/>
      <c r="F172" s="12"/>
    </row>
    <row r="173" spans="1:6">
      <c r="A173" s="7"/>
      <c r="B173" s="7" t="s">
        <v>231</v>
      </c>
      <c r="C173" s="12" t="s">
        <v>71</v>
      </c>
      <c r="D173" s="12">
        <v>4</v>
      </c>
      <c r="E173" s="12"/>
      <c r="F173" s="12"/>
    </row>
    <row r="174" spans="1:6">
      <c r="A174" s="7"/>
      <c r="B174" s="7" t="s">
        <v>74</v>
      </c>
      <c r="C174" s="12" t="s">
        <v>71</v>
      </c>
      <c r="D174" s="12">
        <v>9</v>
      </c>
      <c r="E174" s="12"/>
      <c r="F174" s="12"/>
    </row>
    <row r="175" spans="1:6">
      <c r="A175" s="7"/>
      <c r="B175" s="7" t="s">
        <v>70</v>
      </c>
      <c r="C175" s="12" t="s">
        <v>71</v>
      </c>
      <c r="D175" s="12">
        <v>2</v>
      </c>
      <c r="E175" s="12"/>
      <c r="F175" s="12"/>
    </row>
    <row r="176" spans="1:6" s="37" customFormat="1">
      <c r="A176" s="29"/>
      <c r="B176" s="29" t="s">
        <v>440</v>
      </c>
      <c r="C176" s="30" t="s">
        <v>71</v>
      </c>
      <c r="D176" s="30">
        <v>6</v>
      </c>
      <c r="E176" s="30"/>
      <c r="F176" s="30"/>
    </row>
    <row r="177" spans="1:6" s="37" customFormat="1">
      <c r="A177" s="29"/>
      <c r="B177" s="29" t="s">
        <v>398</v>
      </c>
      <c r="C177" s="30" t="s">
        <v>71</v>
      </c>
      <c r="D177" s="30">
        <v>1</v>
      </c>
      <c r="E177" s="30"/>
      <c r="F177" s="30"/>
    </row>
    <row r="178" spans="1:6" s="37" customFormat="1">
      <c r="A178" s="29"/>
      <c r="B178" s="29" t="s">
        <v>395</v>
      </c>
      <c r="C178" s="30" t="s">
        <v>71</v>
      </c>
      <c r="D178" s="30">
        <v>1</v>
      </c>
      <c r="E178" s="30"/>
      <c r="F178" s="30"/>
    </row>
    <row r="179" spans="1:6">
      <c r="A179" s="7"/>
      <c r="B179" s="7"/>
      <c r="C179" s="7"/>
      <c r="D179" s="7"/>
      <c r="E179" s="7"/>
      <c r="F179" s="7"/>
    </row>
    <row r="180" spans="1:6">
      <c r="A180" s="7"/>
      <c r="B180" s="7"/>
      <c r="C180" s="7"/>
      <c r="D180" s="7"/>
      <c r="E180" s="7"/>
      <c r="F180" s="7"/>
    </row>
    <row r="181" spans="1:6">
      <c r="A181" s="7"/>
      <c r="B181" s="7"/>
      <c r="C181" s="7"/>
      <c r="D181" s="7"/>
      <c r="E181" s="7"/>
      <c r="F181" s="7"/>
    </row>
  </sheetData>
  <mergeCells count="13">
    <mergeCell ref="F136:F140"/>
    <mergeCell ref="F141:F147"/>
    <mergeCell ref="F149:F154"/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150" verticalDpi="15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4"/>
  <sheetViews>
    <sheetView view="pageBreakPreview" zoomScaleNormal="100" zoomScaleSheetLayoutView="100" workbookViewId="0">
      <selection activeCell="B13" sqref="B13"/>
    </sheetView>
  </sheetViews>
  <sheetFormatPr defaultColWidth="9.140625" defaultRowHeight="16.5"/>
  <cols>
    <col min="1" max="1" width="5.5703125" style="2" customWidth="1"/>
    <col min="2" max="2" width="43.85546875" style="2" customWidth="1"/>
    <col min="3" max="4" width="9.140625" style="2"/>
    <col min="5" max="5" width="0" style="2" hidden="1" customWidth="1"/>
    <col min="6" max="6" width="17.85546875" style="2" customWidth="1"/>
    <col min="7" max="16384" width="9.140625" style="2"/>
  </cols>
  <sheetData>
    <row r="1" spans="1:6" s="1" customFormat="1" ht="20.25" customHeight="1">
      <c r="A1" s="388" t="s">
        <v>155</v>
      </c>
      <c r="B1" s="388"/>
      <c r="C1" s="388"/>
      <c r="D1" s="388"/>
      <c r="E1" s="388"/>
      <c r="F1" s="388"/>
    </row>
    <row r="2" spans="1:6" s="1" customFormat="1" ht="20.25" customHeight="1">
      <c r="A2" s="369" t="s">
        <v>302</v>
      </c>
      <c r="B2" s="369"/>
      <c r="C2" s="369"/>
      <c r="D2" s="369"/>
      <c r="E2" s="369"/>
      <c r="F2" s="369"/>
    </row>
    <row r="3" spans="1:6" s="1" customFormat="1" ht="15.75" customHeight="1">
      <c r="A3" s="370" t="s">
        <v>2</v>
      </c>
      <c r="B3" s="370"/>
      <c r="C3" s="370"/>
      <c r="D3" s="370"/>
      <c r="E3" s="370"/>
      <c r="F3" s="370"/>
    </row>
    <row r="4" spans="1:6" s="1" customFormat="1" ht="21.75" hidden="1" customHeight="1">
      <c r="A4" s="378" t="s">
        <v>3</v>
      </c>
      <c r="B4" s="378"/>
      <c r="C4" s="378"/>
      <c r="D4" s="378"/>
    </row>
    <row r="5" spans="1:6" s="1" customFormat="1" ht="15.75" customHeight="1">
      <c r="A5" s="371" t="s">
        <v>4</v>
      </c>
      <c r="B5" s="371" t="s">
        <v>5</v>
      </c>
      <c r="C5" s="371" t="s">
        <v>6</v>
      </c>
      <c r="D5" s="371" t="s">
        <v>7</v>
      </c>
      <c r="E5" s="371" t="s">
        <v>8</v>
      </c>
      <c r="F5" s="371" t="s">
        <v>9</v>
      </c>
    </row>
    <row r="6" spans="1:6" s="1" customFormat="1" ht="17.25" customHeight="1">
      <c r="A6" s="372"/>
      <c r="B6" s="372"/>
      <c r="C6" s="372"/>
      <c r="D6" s="372"/>
      <c r="E6" s="372"/>
      <c r="F6" s="372"/>
    </row>
    <row r="7" spans="1:6" s="1" customFormat="1" ht="22.5" customHeight="1">
      <c r="A7" s="3" t="s">
        <v>10</v>
      </c>
      <c r="B7" s="4" t="s">
        <v>11</v>
      </c>
      <c r="C7" s="5"/>
      <c r="D7" s="6"/>
      <c r="E7" s="6"/>
      <c r="F7" s="6"/>
    </row>
    <row r="8" spans="1:6">
      <c r="A8" s="7"/>
      <c r="B8" s="8" t="s">
        <v>150</v>
      </c>
      <c r="C8" s="7"/>
      <c r="D8" s="7"/>
      <c r="E8" s="7"/>
      <c r="F8" s="7"/>
    </row>
    <row r="9" spans="1:6">
      <c r="A9" s="7"/>
      <c r="B9" s="7" t="s">
        <v>127</v>
      </c>
      <c r="C9" s="12" t="s">
        <v>71</v>
      </c>
      <c r="D9" s="12">
        <v>6</v>
      </c>
      <c r="E9" s="12"/>
      <c r="F9" s="12"/>
    </row>
    <row r="10" spans="1:6">
      <c r="A10" s="7"/>
      <c r="B10" s="7" t="s">
        <v>153</v>
      </c>
      <c r="C10" s="12" t="s">
        <v>71</v>
      </c>
      <c r="D10" s="12">
        <v>3</v>
      </c>
      <c r="E10" s="12"/>
      <c r="F10" s="12"/>
    </row>
    <row r="11" spans="1:6">
      <c r="A11" s="7"/>
      <c r="B11" s="7" t="s">
        <v>100</v>
      </c>
      <c r="C11" s="12" t="s">
        <v>71</v>
      </c>
      <c r="D11" s="12">
        <v>1</v>
      </c>
      <c r="E11" s="12"/>
      <c r="F11" s="12"/>
    </row>
    <row r="12" spans="1:6">
      <c r="A12" s="7"/>
      <c r="B12" s="7" t="s">
        <v>72</v>
      </c>
      <c r="C12" s="12" t="s">
        <v>71</v>
      </c>
      <c r="D12" s="12">
        <v>2</v>
      </c>
      <c r="E12" s="12"/>
      <c r="F12" s="12"/>
    </row>
    <row r="13" spans="1:6">
      <c r="A13" s="7"/>
      <c r="B13" s="7" t="s">
        <v>70</v>
      </c>
      <c r="C13" s="12" t="s">
        <v>71</v>
      </c>
      <c r="D13" s="12">
        <v>2</v>
      </c>
      <c r="E13" s="12"/>
      <c r="F13" s="12"/>
    </row>
    <row r="14" spans="1:6">
      <c r="A14" s="7"/>
      <c r="B14" s="7" t="s">
        <v>105</v>
      </c>
      <c r="C14" s="12" t="s">
        <v>71</v>
      </c>
      <c r="D14" s="12">
        <v>2</v>
      </c>
      <c r="E14" s="12"/>
      <c r="F14" s="12"/>
    </row>
    <row r="15" spans="1:6">
      <c r="A15" s="7"/>
      <c r="B15" s="7" t="s">
        <v>152</v>
      </c>
      <c r="C15" s="12" t="s">
        <v>71</v>
      </c>
      <c r="D15" s="12">
        <v>2</v>
      </c>
      <c r="E15" s="12"/>
      <c r="F15" s="12"/>
    </row>
    <row r="16" spans="1:6">
      <c r="A16" s="7"/>
      <c r="B16" s="7" t="s">
        <v>151</v>
      </c>
      <c r="C16" s="12" t="s">
        <v>71</v>
      </c>
      <c r="D16" s="12">
        <v>1</v>
      </c>
      <c r="E16" s="12"/>
      <c r="F16" s="12"/>
    </row>
    <row r="17" spans="1:6" s="37" customFormat="1">
      <c r="A17" s="29"/>
      <c r="B17" s="29" t="s">
        <v>441</v>
      </c>
      <c r="C17" s="30" t="s">
        <v>71</v>
      </c>
      <c r="D17" s="30">
        <v>1</v>
      </c>
      <c r="E17" s="30"/>
      <c r="F17" s="30"/>
    </row>
    <row r="18" spans="1:6" s="37" customFormat="1">
      <c r="A18" s="29"/>
      <c r="B18" s="29" t="s">
        <v>442</v>
      </c>
      <c r="C18" s="30" t="s">
        <v>71</v>
      </c>
      <c r="D18" s="30">
        <v>33</v>
      </c>
      <c r="E18" s="30"/>
      <c r="F18" s="30"/>
    </row>
    <row r="19" spans="1:6" s="37" customFormat="1">
      <c r="A19" s="29"/>
      <c r="B19" s="29" t="s">
        <v>443</v>
      </c>
      <c r="C19" s="30" t="s">
        <v>71</v>
      </c>
      <c r="D19" s="30">
        <v>1</v>
      </c>
      <c r="E19" s="30"/>
      <c r="F19" s="30"/>
    </row>
    <row r="20" spans="1:6">
      <c r="A20" s="7"/>
      <c r="B20" s="8" t="s">
        <v>148</v>
      </c>
      <c r="C20" s="7"/>
      <c r="D20" s="12"/>
      <c r="E20" s="12"/>
      <c r="F20" s="12"/>
    </row>
    <row r="21" spans="1:6">
      <c r="A21" s="7"/>
      <c r="B21" s="7" t="s">
        <v>127</v>
      </c>
      <c r="C21" s="12" t="s">
        <v>71</v>
      </c>
      <c r="D21" s="12">
        <v>2</v>
      </c>
      <c r="E21" s="12"/>
      <c r="F21" s="12"/>
    </row>
    <row r="22" spans="1:6">
      <c r="A22" s="7"/>
      <c r="B22" s="7" t="s">
        <v>153</v>
      </c>
      <c r="C22" s="12" t="s">
        <v>71</v>
      </c>
      <c r="D22" s="12">
        <v>2</v>
      </c>
      <c r="E22" s="12"/>
      <c r="F22" s="12"/>
    </row>
    <row r="23" spans="1:6">
      <c r="A23" s="7"/>
      <c r="B23" s="7" t="s">
        <v>100</v>
      </c>
      <c r="C23" s="12" t="s">
        <v>71</v>
      </c>
      <c r="D23" s="12">
        <v>1</v>
      </c>
      <c r="E23" s="12"/>
      <c r="F23" s="12"/>
    </row>
    <row r="24" spans="1:6">
      <c r="A24" s="7"/>
      <c r="B24" s="7" t="s">
        <v>72</v>
      </c>
      <c r="C24" s="12" t="s">
        <v>71</v>
      </c>
      <c r="D24" s="12">
        <v>2</v>
      </c>
      <c r="E24" s="12"/>
      <c r="F24" s="12"/>
    </row>
    <row r="25" spans="1:6">
      <c r="A25" s="7"/>
      <c r="B25" s="7" t="s">
        <v>70</v>
      </c>
      <c r="C25" s="12" t="s">
        <v>71</v>
      </c>
      <c r="D25" s="12">
        <v>2</v>
      </c>
      <c r="E25" s="12"/>
      <c r="F25" s="12"/>
    </row>
    <row r="26" spans="1:6">
      <c r="A26" s="7"/>
      <c r="B26" s="7" t="s">
        <v>152</v>
      </c>
      <c r="C26" s="12" t="s">
        <v>71</v>
      </c>
      <c r="D26" s="12">
        <v>2</v>
      </c>
      <c r="E26" s="12"/>
      <c r="F26" s="12"/>
    </row>
    <row r="27" spans="1:6">
      <c r="A27" s="7"/>
      <c r="B27" s="7" t="s">
        <v>154</v>
      </c>
      <c r="C27" s="12" t="s">
        <v>71</v>
      </c>
      <c r="D27" s="12">
        <v>1</v>
      </c>
      <c r="E27" s="12"/>
      <c r="F27" s="12"/>
    </row>
    <row r="28" spans="1:6">
      <c r="A28" s="7"/>
      <c r="B28" s="7" t="s">
        <v>295</v>
      </c>
      <c r="C28" s="12" t="s">
        <v>296</v>
      </c>
      <c r="D28" s="12">
        <v>1</v>
      </c>
      <c r="E28" s="12"/>
      <c r="F28" s="12"/>
    </row>
    <row r="29" spans="1:6">
      <c r="A29" s="7"/>
      <c r="B29" s="8" t="s">
        <v>149</v>
      </c>
      <c r="C29" s="7"/>
      <c r="D29" s="12"/>
      <c r="E29" s="12"/>
      <c r="F29" s="12"/>
    </row>
    <row r="30" spans="1:6">
      <c r="A30" s="7"/>
      <c r="B30" s="7" t="s">
        <v>127</v>
      </c>
      <c r="C30" s="12" t="s">
        <v>71</v>
      </c>
      <c r="D30" s="12">
        <v>2</v>
      </c>
      <c r="E30" s="12"/>
      <c r="F30" s="12"/>
    </row>
    <row r="31" spans="1:6">
      <c r="A31" s="7"/>
      <c r="B31" s="7" t="s">
        <v>153</v>
      </c>
      <c r="C31" s="12" t="s">
        <v>71</v>
      </c>
      <c r="D31" s="12">
        <v>2</v>
      </c>
      <c r="E31" s="12"/>
      <c r="F31" s="12"/>
    </row>
    <row r="32" spans="1:6">
      <c r="A32" s="7"/>
      <c r="B32" s="7" t="s">
        <v>100</v>
      </c>
      <c r="C32" s="12" t="s">
        <v>71</v>
      </c>
      <c r="D32" s="12">
        <v>1</v>
      </c>
      <c r="E32" s="12"/>
      <c r="F32" s="12"/>
    </row>
    <row r="33" spans="1:6">
      <c r="A33" s="7"/>
      <c r="B33" s="7" t="s">
        <v>72</v>
      </c>
      <c r="C33" s="12" t="s">
        <v>71</v>
      </c>
      <c r="D33" s="12">
        <v>2</v>
      </c>
      <c r="E33" s="12"/>
      <c r="F33" s="12"/>
    </row>
    <row r="34" spans="1:6">
      <c r="A34" s="7"/>
      <c r="B34" s="7" t="s">
        <v>70</v>
      </c>
      <c r="C34" s="12" t="s">
        <v>71</v>
      </c>
      <c r="D34" s="12">
        <v>2</v>
      </c>
      <c r="E34" s="12"/>
      <c r="F34" s="12"/>
    </row>
    <row r="35" spans="1:6">
      <c r="A35" s="7"/>
      <c r="B35" s="7" t="s">
        <v>152</v>
      </c>
      <c r="C35" s="12" t="s">
        <v>71</v>
      </c>
      <c r="D35" s="12">
        <v>2</v>
      </c>
      <c r="E35" s="12"/>
      <c r="F35" s="12"/>
    </row>
    <row r="36" spans="1:6">
      <c r="A36" s="7"/>
      <c r="B36" s="7" t="s">
        <v>154</v>
      </c>
      <c r="C36" s="12" t="s">
        <v>71</v>
      </c>
      <c r="D36" s="12">
        <v>1</v>
      </c>
      <c r="E36" s="12"/>
      <c r="F36" s="12"/>
    </row>
    <row r="37" spans="1:6">
      <c r="A37" s="7"/>
      <c r="B37" s="7" t="s">
        <v>295</v>
      </c>
      <c r="C37" s="12" t="s">
        <v>296</v>
      </c>
      <c r="D37" s="12">
        <v>1</v>
      </c>
      <c r="E37" s="12"/>
      <c r="F37" s="12"/>
    </row>
    <row r="38" spans="1:6">
      <c r="A38" s="7"/>
      <c r="B38" s="15" t="s">
        <v>298</v>
      </c>
      <c r="C38" s="12"/>
      <c r="D38" s="12"/>
      <c r="E38" s="12"/>
      <c r="F38" s="12"/>
    </row>
    <row r="39" spans="1:6">
      <c r="A39" s="7"/>
      <c r="B39" s="7" t="s">
        <v>299</v>
      </c>
      <c r="C39" s="12" t="s">
        <v>300</v>
      </c>
      <c r="D39" s="12">
        <v>22</v>
      </c>
      <c r="E39" s="12"/>
      <c r="F39" s="12"/>
    </row>
    <row r="40" spans="1:6">
      <c r="A40" s="7"/>
      <c r="B40" s="15" t="s">
        <v>301</v>
      </c>
      <c r="C40" s="12"/>
      <c r="D40" s="12"/>
      <c r="E40" s="12"/>
      <c r="F40" s="12"/>
    </row>
    <row r="41" spans="1:6">
      <c r="A41" s="7"/>
      <c r="B41" s="7" t="s">
        <v>299</v>
      </c>
      <c r="C41" s="12" t="s">
        <v>71</v>
      </c>
      <c r="D41" s="12">
        <v>3</v>
      </c>
      <c r="E41" s="12"/>
      <c r="F41" s="12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</sheetData>
  <mergeCells count="10"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150" verticalDpi="15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"/>
  <sheetViews>
    <sheetView view="pageBreakPreview" topLeftCell="A8" zoomScaleNormal="100" zoomScaleSheetLayoutView="100" workbookViewId="0">
      <selection activeCell="D18" sqref="D18"/>
    </sheetView>
  </sheetViews>
  <sheetFormatPr defaultColWidth="9.140625" defaultRowHeight="16.5"/>
  <cols>
    <col min="1" max="1" width="5.5703125" style="2" customWidth="1"/>
    <col min="2" max="2" width="43.85546875" style="2" customWidth="1"/>
    <col min="3" max="3" width="9.140625" style="2"/>
    <col min="4" max="4" width="10.42578125" style="2" bestFit="1" customWidth="1"/>
    <col min="5" max="5" width="0" style="2" hidden="1" customWidth="1"/>
    <col min="6" max="6" width="24.42578125" style="2" customWidth="1"/>
    <col min="7" max="16384" width="9.140625" style="2"/>
  </cols>
  <sheetData>
    <row r="1" spans="1:6" s="1" customFormat="1" ht="20.25" customHeight="1">
      <c r="A1" s="388" t="s">
        <v>188</v>
      </c>
      <c r="B1" s="388"/>
      <c r="C1" s="388"/>
      <c r="D1" s="388"/>
      <c r="E1" s="388"/>
      <c r="F1" s="388"/>
    </row>
    <row r="2" spans="1:6" s="1" customFormat="1" ht="20.25" customHeight="1">
      <c r="A2" s="369"/>
      <c r="B2" s="369"/>
      <c r="C2" s="369"/>
      <c r="D2" s="369"/>
      <c r="E2" s="369"/>
      <c r="F2" s="369"/>
    </row>
    <row r="3" spans="1:6" s="1" customFormat="1" ht="15.75" customHeight="1">
      <c r="A3" s="370" t="s">
        <v>2</v>
      </c>
      <c r="B3" s="370"/>
      <c r="C3" s="370"/>
      <c r="D3" s="370"/>
      <c r="E3" s="370"/>
      <c r="F3" s="370"/>
    </row>
    <row r="4" spans="1:6" s="1" customFormat="1" ht="21.75" hidden="1" customHeight="1">
      <c r="A4" s="378" t="s">
        <v>3</v>
      </c>
      <c r="B4" s="378"/>
      <c r="C4" s="378"/>
      <c r="D4" s="378"/>
    </row>
    <row r="5" spans="1:6" s="1" customFormat="1" ht="15.75" customHeight="1">
      <c r="A5" s="371" t="s">
        <v>4</v>
      </c>
      <c r="B5" s="371" t="s">
        <v>5</v>
      </c>
      <c r="C5" s="371" t="s">
        <v>6</v>
      </c>
      <c r="D5" s="371" t="s">
        <v>7</v>
      </c>
      <c r="E5" s="371" t="s">
        <v>8</v>
      </c>
      <c r="F5" s="371" t="s">
        <v>9</v>
      </c>
    </row>
    <row r="6" spans="1:6" s="1" customFormat="1" ht="17.25" customHeight="1">
      <c r="A6" s="372"/>
      <c r="B6" s="372"/>
      <c r="C6" s="372"/>
      <c r="D6" s="372"/>
      <c r="E6" s="372"/>
      <c r="F6" s="372"/>
    </row>
    <row r="7" spans="1:6" s="1" customFormat="1" ht="22.5" customHeight="1">
      <c r="A7" s="3" t="s">
        <v>10</v>
      </c>
      <c r="B7" s="4" t="s">
        <v>11</v>
      </c>
      <c r="C7" s="5"/>
      <c r="D7" s="6"/>
      <c r="E7" s="6"/>
      <c r="F7" s="6"/>
    </row>
    <row r="8" spans="1:6">
      <c r="A8" s="15" t="s">
        <v>10</v>
      </c>
      <c r="B8" s="15" t="s">
        <v>187</v>
      </c>
      <c r="C8" s="12"/>
      <c r="D8" s="12"/>
      <c r="E8" s="12"/>
      <c r="F8" s="12"/>
    </row>
    <row r="9" spans="1:6">
      <c r="A9" s="7">
        <v>1</v>
      </c>
      <c r="B9" s="7" t="s">
        <v>190</v>
      </c>
      <c r="C9" s="12" t="s">
        <v>183</v>
      </c>
      <c r="D9" s="12">
        <f>(26.6*4)+(17*5)+(16.5*3)+(3*2)</f>
        <v>246.9</v>
      </c>
      <c r="E9" s="12"/>
      <c r="F9" s="12"/>
    </row>
    <row r="10" spans="1:6">
      <c r="A10" s="7">
        <v>2</v>
      </c>
      <c r="B10" s="7" t="s">
        <v>189</v>
      </c>
      <c r="C10" s="12" t="s">
        <v>191</v>
      </c>
      <c r="D10" s="12">
        <f>4+3</f>
        <v>7</v>
      </c>
      <c r="E10" s="12"/>
      <c r="F10" s="12"/>
    </row>
    <row r="11" spans="1:6">
      <c r="A11" s="7">
        <v>3</v>
      </c>
      <c r="B11" s="7" t="s">
        <v>192</v>
      </c>
      <c r="C11" s="12" t="s">
        <v>191</v>
      </c>
      <c r="D11" s="12">
        <f>10+8</f>
        <v>18</v>
      </c>
      <c r="E11" s="12"/>
      <c r="F11" s="12"/>
    </row>
    <row r="12" spans="1:6">
      <c r="A12" s="15" t="s">
        <v>193</v>
      </c>
      <c r="B12" s="15" t="s">
        <v>194</v>
      </c>
      <c r="C12" s="12"/>
      <c r="D12" s="12"/>
      <c r="E12" s="12"/>
      <c r="F12" s="12"/>
    </row>
    <row r="13" spans="1:6">
      <c r="A13" s="7">
        <v>1</v>
      </c>
      <c r="B13" s="7" t="s">
        <v>195</v>
      </c>
      <c r="C13" s="12" t="s">
        <v>183</v>
      </c>
      <c r="D13" s="12">
        <f>94+4</f>
        <v>98</v>
      </c>
      <c r="E13" s="12"/>
      <c r="F13" s="12"/>
    </row>
    <row r="14" spans="1:6">
      <c r="A14" s="7">
        <v>2</v>
      </c>
      <c r="B14" s="7" t="s">
        <v>197</v>
      </c>
      <c r="C14" s="12" t="s">
        <v>191</v>
      </c>
      <c r="D14" s="12">
        <v>8</v>
      </c>
      <c r="E14" s="12"/>
      <c r="F14" s="12"/>
    </row>
    <row r="15" spans="1:6">
      <c r="A15" s="7">
        <v>3</v>
      </c>
      <c r="B15" s="7" t="s">
        <v>196</v>
      </c>
      <c r="C15" s="12" t="s">
        <v>191</v>
      </c>
      <c r="D15" s="12">
        <v>2</v>
      </c>
      <c r="E15" s="12"/>
      <c r="F15" s="12"/>
    </row>
    <row r="16" spans="1:6">
      <c r="A16" s="7">
        <v>4</v>
      </c>
      <c r="B16" s="7" t="s">
        <v>198</v>
      </c>
      <c r="C16" s="12" t="s">
        <v>191</v>
      </c>
      <c r="D16" s="12">
        <v>3</v>
      </c>
      <c r="E16" s="12"/>
      <c r="F16" s="12"/>
    </row>
    <row r="17" spans="1:6">
      <c r="A17" s="7">
        <v>5</v>
      </c>
      <c r="B17" s="7" t="s">
        <v>218</v>
      </c>
      <c r="C17" s="12" t="s">
        <v>191</v>
      </c>
      <c r="D17" s="12">
        <v>1</v>
      </c>
      <c r="E17" s="12"/>
      <c r="F17" s="12"/>
    </row>
    <row r="18" spans="1:6">
      <c r="A18" s="7">
        <v>6</v>
      </c>
      <c r="B18" s="7" t="s">
        <v>207</v>
      </c>
      <c r="C18" s="12" t="s">
        <v>191</v>
      </c>
      <c r="D18" s="12">
        <f>ROUND((D13/3.5),0)-14</f>
        <v>14</v>
      </c>
      <c r="E18" s="12"/>
      <c r="F18" s="12"/>
    </row>
    <row r="19" spans="1:6" ht="33">
      <c r="A19" s="15" t="s">
        <v>199</v>
      </c>
      <c r="B19" s="16" t="s">
        <v>205</v>
      </c>
      <c r="C19" s="12"/>
      <c r="D19" s="12"/>
      <c r="E19" s="12"/>
      <c r="F19" s="12"/>
    </row>
    <row r="20" spans="1:6">
      <c r="A20" s="7">
        <v>1</v>
      </c>
      <c r="B20" s="7" t="s">
        <v>208</v>
      </c>
      <c r="C20" s="12" t="s">
        <v>191</v>
      </c>
      <c r="D20" s="12">
        <v>2</v>
      </c>
      <c r="E20" s="12"/>
      <c r="F20" s="12" t="s">
        <v>209</v>
      </c>
    </row>
    <row r="21" spans="1:6">
      <c r="A21" s="7">
        <v>2</v>
      </c>
      <c r="B21" s="7" t="s">
        <v>200</v>
      </c>
      <c r="C21" s="12" t="s">
        <v>191</v>
      </c>
      <c r="D21" s="12">
        <v>2</v>
      </c>
      <c r="E21" s="12"/>
      <c r="F21" s="17" t="s">
        <v>210</v>
      </c>
    </row>
    <row r="22" spans="1:6">
      <c r="A22" s="7">
        <v>3</v>
      </c>
      <c r="B22" s="7" t="s">
        <v>201</v>
      </c>
      <c r="C22" s="12" t="s">
        <v>191</v>
      </c>
      <c r="D22" s="12">
        <v>1</v>
      </c>
      <c r="E22" s="12"/>
      <c r="F22" s="12" t="s">
        <v>211</v>
      </c>
    </row>
    <row r="23" spans="1:6">
      <c r="A23" s="7">
        <v>4</v>
      </c>
      <c r="B23" s="7" t="s">
        <v>197</v>
      </c>
      <c r="C23" s="12" t="s">
        <v>191</v>
      </c>
      <c r="D23" s="12">
        <v>2</v>
      </c>
      <c r="E23" s="12"/>
      <c r="F23" s="12" t="s">
        <v>209</v>
      </c>
    </row>
    <row r="24" spans="1:6">
      <c r="A24" s="7">
        <v>5</v>
      </c>
      <c r="B24" s="7" t="s">
        <v>202</v>
      </c>
      <c r="C24" s="12" t="s">
        <v>191</v>
      </c>
      <c r="D24" s="12">
        <v>6</v>
      </c>
      <c r="E24" s="12"/>
      <c r="F24" s="17" t="s">
        <v>210</v>
      </c>
    </row>
    <row r="25" spans="1:6">
      <c r="A25" s="7">
        <v>6</v>
      </c>
      <c r="B25" s="7" t="s">
        <v>196</v>
      </c>
      <c r="C25" s="12" t="s">
        <v>191</v>
      </c>
      <c r="D25" s="12">
        <v>2</v>
      </c>
      <c r="E25" s="12"/>
      <c r="F25" s="12" t="s">
        <v>211</v>
      </c>
    </row>
    <row r="26" spans="1:6">
      <c r="A26" s="7">
        <v>7</v>
      </c>
      <c r="B26" s="7" t="s">
        <v>206</v>
      </c>
      <c r="C26" s="12" t="s">
        <v>191</v>
      </c>
      <c r="D26" s="12">
        <v>2</v>
      </c>
      <c r="E26" s="12"/>
      <c r="F26" s="12" t="s">
        <v>209</v>
      </c>
    </row>
    <row r="27" spans="1:6">
      <c r="A27" s="7">
        <v>8</v>
      </c>
      <c r="B27" s="7" t="s">
        <v>203</v>
      </c>
      <c r="C27" s="12" t="s">
        <v>191</v>
      </c>
      <c r="D27" s="12">
        <v>1</v>
      </c>
      <c r="E27" s="12"/>
      <c r="F27" s="12" t="s">
        <v>211</v>
      </c>
    </row>
    <row r="28" spans="1:6">
      <c r="A28" s="7">
        <v>9</v>
      </c>
      <c r="B28" s="7" t="s">
        <v>204</v>
      </c>
      <c r="C28" s="12" t="s">
        <v>191</v>
      </c>
      <c r="D28" s="12">
        <v>2</v>
      </c>
      <c r="E28" s="12"/>
      <c r="F28" s="17" t="s">
        <v>210</v>
      </c>
    </row>
    <row r="29" spans="1:6">
      <c r="A29" s="7">
        <v>10</v>
      </c>
      <c r="B29" s="7" t="s">
        <v>213</v>
      </c>
      <c r="C29" s="12" t="s">
        <v>191</v>
      </c>
      <c r="D29" s="12">
        <v>2</v>
      </c>
      <c r="E29" s="12"/>
      <c r="F29" s="12" t="s">
        <v>209</v>
      </c>
    </row>
    <row r="30" spans="1:6">
      <c r="A30" s="7">
        <v>11</v>
      </c>
      <c r="B30" s="7" t="s">
        <v>212</v>
      </c>
      <c r="C30" s="12" t="s">
        <v>191</v>
      </c>
      <c r="D30" s="12">
        <v>2</v>
      </c>
      <c r="E30" s="12"/>
      <c r="F30" s="12" t="s">
        <v>209</v>
      </c>
    </row>
    <row r="31" spans="1:6">
      <c r="A31" s="7">
        <v>12</v>
      </c>
      <c r="B31" s="7" t="s">
        <v>214</v>
      </c>
      <c r="C31" s="12" t="s">
        <v>183</v>
      </c>
      <c r="D31" s="12">
        <v>0.5</v>
      </c>
      <c r="E31" s="12"/>
      <c r="F31" s="12"/>
    </row>
    <row r="32" spans="1:6">
      <c r="A32" s="7">
        <v>13</v>
      </c>
      <c r="B32" s="7" t="s">
        <v>215</v>
      </c>
      <c r="C32" s="12" t="s">
        <v>183</v>
      </c>
      <c r="D32" s="12">
        <v>0.5</v>
      </c>
      <c r="E32" s="12"/>
      <c r="F32" s="12"/>
    </row>
    <row r="33" spans="1:6">
      <c r="A33" s="7">
        <v>14</v>
      </c>
      <c r="B33" s="7" t="s">
        <v>216</v>
      </c>
      <c r="C33" s="12" t="s">
        <v>183</v>
      </c>
      <c r="D33" s="12">
        <v>2.5</v>
      </c>
      <c r="E33" s="12"/>
      <c r="F33" s="12"/>
    </row>
    <row r="34" spans="1:6">
      <c r="A34" s="7">
        <v>15</v>
      </c>
      <c r="B34" s="7" t="s">
        <v>217</v>
      </c>
      <c r="C34" s="12" t="s">
        <v>183</v>
      </c>
      <c r="D34" s="12">
        <v>0.5</v>
      </c>
      <c r="E34" s="7"/>
      <c r="F34" s="7"/>
    </row>
    <row r="35" spans="1:6">
      <c r="A35" s="7"/>
      <c r="B35" s="7"/>
      <c r="C35" s="7"/>
      <c r="D35" s="7"/>
      <c r="E35" s="7"/>
      <c r="F35" s="7"/>
    </row>
  </sheetData>
  <mergeCells count="10"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150" verticalDpi="15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35"/>
  <sheetViews>
    <sheetView view="pageBreakPreview" topLeftCell="A121" zoomScaleNormal="100" zoomScaleSheetLayoutView="100" workbookViewId="0">
      <selection activeCell="B132" sqref="B132"/>
    </sheetView>
  </sheetViews>
  <sheetFormatPr defaultColWidth="9.140625" defaultRowHeight="16.5"/>
  <cols>
    <col min="1" max="1" width="5.5703125" style="2" customWidth="1"/>
    <col min="2" max="2" width="43.85546875" style="2" customWidth="1"/>
    <col min="3" max="4" width="9.140625" style="13"/>
    <col min="5" max="5" width="0" style="13" hidden="1" customWidth="1"/>
    <col min="6" max="6" width="17.85546875" style="13" customWidth="1"/>
    <col min="7" max="16384" width="9.140625" style="2"/>
  </cols>
  <sheetData>
    <row r="1" spans="1:6" s="1" customFormat="1" ht="20.25" customHeight="1">
      <c r="A1" s="388" t="s">
        <v>158</v>
      </c>
      <c r="B1" s="388"/>
      <c r="C1" s="388"/>
      <c r="D1" s="388"/>
      <c r="E1" s="388"/>
      <c r="F1" s="388"/>
    </row>
    <row r="2" spans="1:6" s="1" customFormat="1" ht="20.25" customHeight="1">
      <c r="A2" s="369" t="s">
        <v>1</v>
      </c>
      <c r="B2" s="369"/>
      <c r="C2" s="369"/>
      <c r="D2" s="369"/>
      <c r="E2" s="369"/>
      <c r="F2" s="369"/>
    </row>
    <row r="3" spans="1:6" s="1" customFormat="1" ht="15.75" customHeight="1">
      <c r="A3" s="370" t="s">
        <v>2</v>
      </c>
      <c r="B3" s="370"/>
      <c r="C3" s="370"/>
      <c r="D3" s="370"/>
      <c r="E3" s="370"/>
      <c r="F3" s="370"/>
    </row>
    <row r="4" spans="1:6" s="1" customFormat="1" ht="21.75" hidden="1" customHeight="1">
      <c r="A4" s="378" t="s">
        <v>3</v>
      </c>
      <c r="B4" s="378"/>
      <c r="C4" s="378"/>
      <c r="D4" s="378"/>
      <c r="E4" s="10"/>
      <c r="F4" s="10"/>
    </row>
    <row r="5" spans="1:6" s="1" customFormat="1" ht="15.75" customHeight="1">
      <c r="A5" s="371" t="s">
        <v>4</v>
      </c>
      <c r="B5" s="371" t="s">
        <v>5</v>
      </c>
      <c r="C5" s="373" t="s">
        <v>6</v>
      </c>
      <c r="D5" s="373" t="s">
        <v>7</v>
      </c>
      <c r="E5" s="373" t="s">
        <v>8</v>
      </c>
      <c r="F5" s="373" t="s">
        <v>9</v>
      </c>
    </row>
    <row r="6" spans="1:6" s="1" customFormat="1" ht="17.25" customHeight="1">
      <c r="A6" s="372"/>
      <c r="B6" s="372"/>
      <c r="C6" s="374"/>
      <c r="D6" s="374"/>
      <c r="E6" s="374"/>
      <c r="F6" s="374"/>
    </row>
    <row r="7" spans="1:6" s="1" customFormat="1" ht="22.5" customHeight="1">
      <c r="A7" s="3"/>
      <c r="B7" s="4" t="s">
        <v>219</v>
      </c>
      <c r="C7" s="9"/>
      <c r="D7" s="11"/>
      <c r="E7" s="11"/>
      <c r="F7" s="11"/>
    </row>
    <row r="8" spans="1:6">
      <c r="A8" s="7"/>
      <c r="B8" s="7" t="s">
        <v>258</v>
      </c>
      <c r="C8" s="12" t="s">
        <v>71</v>
      </c>
      <c r="D8" s="12">
        <v>2</v>
      </c>
      <c r="E8" s="12"/>
      <c r="F8" s="12"/>
    </row>
    <row r="9" spans="1:6">
      <c r="A9" s="7"/>
      <c r="B9" s="7" t="s">
        <v>220</v>
      </c>
      <c r="C9" s="12" t="s">
        <v>221</v>
      </c>
      <c r="D9" s="12">
        <v>1</v>
      </c>
      <c r="E9" s="12"/>
      <c r="F9" s="12"/>
    </row>
    <row r="10" spans="1:6">
      <c r="A10" s="7"/>
      <c r="B10" s="7" t="s">
        <v>222</v>
      </c>
      <c r="C10" s="12" t="s">
        <v>221</v>
      </c>
      <c r="D10" s="12">
        <v>1</v>
      </c>
      <c r="E10" s="12"/>
      <c r="F10" s="12"/>
    </row>
    <row r="11" spans="1:6">
      <c r="A11" s="7"/>
      <c r="B11" s="7" t="s">
        <v>223</v>
      </c>
      <c r="C11" s="12" t="s">
        <v>221</v>
      </c>
      <c r="D11" s="12">
        <v>1</v>
      </c>
      <c r="E11" s="12"/>
      <c r="F11" s="12"/>
    </row>
    <row r="12" spans="1:6">
      <c r="A12" s="7"/>
      <c r="B12" s="7" t="s">
        <v>224</v>
      </c>
      <c r="C12" s="12" t="s">
        <v>221</v>
      </c>
      <c r="D12" s="12">
        <v>1</v>
      </c>
      <c r="E12" s="12"/>
      <c r="F12" s="12"/>
    </row>
    <row r="13" spans="1:6">
      <c r="A13" s="7"/>
      <c r="B13" s="7" t="s">
        <v>225</v>
      </c>
      <c r="C13" s="12" t="s">
        <v>221</v>
      </c>
      <c r="D13" s="12">
        <v>1</v>
      </c>
      <c r="E13" s="12"/>
      <c r="F13" s="12"/>
    </row>
    <row r="14" spans="1:6">
      <c r="A14" s="7"/>
      <c r="B14" s="7" t="s">
        <v>226</v>
      </c>
      <c r="C14" s="12" t="s">
        <v>221</v>
      </c>
      <c r="D14" s="12">
        <v>1</v>
      </c>
      <c r="E14" s="12"/>
      <c r="F14" s="12"/>
    </row>
    <row r="15" spans="1:6">
      <c r="A15" s="7"/>
      <c r="B15" s="7" t="s">
        <v>227</v>
      </c>
      <c r="C15" s="12" t="s">
        <v>221</v>
      </c>
      <c r="D15" s="12">
        <v>1</v>
      </c>
      <c r="E15" s="12"/>
      <c r="F15" s="12"/>
    </row>
    <row r="16" spans="1:6" s="1" customFormat="1" ht="22.5" customHeight="1">
      <c r="A16" s="3"/>
      <c r="B16" s="4" t="s">
        <v>228</v>
      </c>
      <c r="C16" s="9"/>
      <c r="D16" s="11"/>
      <c r="E16" s="11"/>
      <c r="F16" s="11"/>
    </row>
    <row r="17" spans="1:6">
      <c r="A17" s="7"/>
      <c r="B17" s="15" t="s">
        <v>235</v>
      </c>
      <c r="C17" s="12"/>
      <c r="D17" s="12"/>
      <c r="E17" s="12"/>
      <c r="F17" s="12"/>
    </row>
    <row r="18" spans="1:6">
      <c r="A18" s="7"/>
      <c r="B18" s="7" t="s">
        <v>232</v>
      </c>
      <c r="C18" s="12" t="s">
        <v>71</v>
      </c>
      <c r="D18" s="12">
        <v>4</v>
      </c>
      <c r="E18" s="12"/>
      <c r="F18" s="12"/>
    </row>
    <row r="19" spans="1:6">
      <c r="A19" s="7"/>
      <c r="B19" s="7" t="s">
        <v>229</v>
      </c>
      <c r="C19" s="12" t="s">
        <v>71</v>
      </c>
      <c r="D19" s="12">
        <v>4</v>
      </c>
      <c r="E19" s="12"/>
      <c r="F19" s="12"/>
    </row>
    <row r="20" spans="1:6">
      <c r="A20" s="7"/>
      <c r="B20" s="7" t="s">
        <v>230</v>
      </c>
      <c r="C20" s="12" t="s">
        <v>71</v>
      </c>
      <c r="D20" s="12">
        <v>1</v>
      </c>
      <c r="E20" s="12"/>
      <c r="F20" s="12"/>
    </row>
    <row r="21" spans="1:6">
      <c r="A21" s="7"/>
      <c r="B21" s="7" t="s">
        <v>233</v>
      </c>
      <c r="C21" s="12" t="s">
        <v>71</v>
      </c>
      <c r="D21" s="12">
        <v>3</v>
      </c>
      <c r="E21" s="12"/>
      <c r="F21" s="12"/>
    </row>
    <row r="22" spans="1:6">
      <c r="A22" s="7"/>
      <c r="B22" s="7" t="s">
        <v>231</v>
      </c>
      <c r="C22" s="12" t="s">
        <v>71</v>
      </c>
      <c r="D22" s="12">
        <v>7</v>
      </c>
      <c r="E22" s="12"/>
      <c r="F22" s="12"/>
    </row>
    <row r="23" spans="1:6">
      <c r="A23" s="7"/>
      <c r="B23" s="15" t="s">
        <v>234</v>
      </c>
      <c r="C23" s="12"/>
      <c r="D23" s="12"/>
      <c r="E23" s="12"/>
      <c r="F23" s="12"/>
    </row>
    <row r="24" spans="1:6">
      <c r="A24" s="7"/>
      <c r="B24" s="7" t="s">
        <v>232</v>
      </c>
      <c r="C24" s="12" t="s">
        <v>71</v>
      </c>
      <c r="D24" s="12">
        <v>12</v>
      </c>
      <c r="E24" s="12"/>
      <c r="F24" s="12"/>
    </row>
    <row r="25" spans="1:6">
      <c r="A25" s="7"/>
      <c r="B25" s="7" t="s">
        <v>230</v>
      </c>
      <c r="C25" s="12" t="s">
        <v>71</v>
      </c>
      <c r="D25" s="12">
        <v>10</v>
      </c>
      <c r="E25" s="12"/>
      <c r="F25" s="12"/>
    </row>
    <row r="26" spans="1:6">
      <c r="A26" s="7"/>
      <c r="B26" s="7" t="s">
        <v>233</v>
      </c>
      <c r="C26" s="12" t="s">
        <v>71</v>
      </c>
      <c r="D26" s="12">
        <v>6</v>
      </c>
      <c r="E26" s="12"/>
      <c r="F26" s="12"/>
    </row>
    <row r="27" spans="1:6">
      <c r="A27" s="7"/>
      <c r="B27" s="7" t="s">
        <v>231</v>
      </c>
      <c r="C27" s="12" t="s">
        <v>71</v>
      </c>
      <c r="D27" s="12">
        <v>8</v>
      </c>
      <c r="E27" s="12"/>
      <c r="F27" s="12"/>
    </row>
    <row r="28" spans="1:6">
      <c r="A28" s="7"/>
      <c r="B28" s="15" t="s">
        <v>236</v>
      </c>
      <c r="C28" s="12"/>
      <c r="D28" s="12"/>
      <c r="E28" s="12"/>
      <c r="F28" s="12"/>
    </row>
    <row r="29" spans="1:6">
      <c r="A29" s="7"/>
      <c r="B29" s="7" t="s">
        <v>232</v>
      </c>
      <c r="C29" s="12" t="s">
        <v>71</v>
      </c>
      <c r="D29" s="12">
        <v>1</v>
      </c>
      <c r="E29" s="12"/>
      <c r="F29" s="12"/>
    </row>
    <row r="30" spans="1:6">
      <c r="A30" s="7"/>
      <c r="B30" s="7" t="s">
        <v>230</v>
      </c>
      <c r="C30" s="12" t="s">
        <v>71</v>
      </c>
      <c r="D30" s="12">
        <v>1</v>
      </c>
      <c r="E30" s="12"/>
      <c r="F30" s="12"/>
    </row>
    <row r="31" spans="1:6">
      <c r="A31" s="7"/>
      <c r="B31" s="7" t="s">
        <v>237</v>
      </c>
      <c r="C31" s="12" t="s">
        <v>71</v>
      </c>
      <c r="D31" s="12">
        <v>1</v>
      </c>
      <c r="E31" s="12"/>
      <c r="F31" s="12"/>
    </row>
    <row r="32" spans="1:6">
      <c r="A32" s="7"/>
      <c r="B32" s="7" t="s">
        <v>231</v>
      </c>
      <c r="C32" s="12" t="s">
        <v>71</v>
      </c>
      <c r="D32" s="12">
        <v>1</v>
      </c>
      <c r="E32" s="12"/>
      <c r="F32" s="12"/>
    </row>
    <row r="33" spans="1:6" ht="33">
      <c r="A33" s="7"/>
      <c r="B33" s="16" t="s">
        <v>264</v>
      </c>
      <c r="C33" s="12"/>
      <c r="D33" s="12"/>
      <c r="E33" s="12"/>
      <c r="F33" s="12"/>
    </row>
    <row r="34" spans="1:6">
      <c r="A34" s="7"/>
      <c r="B34" s="7" t="s">
        <v>259</v>
      </c>
      <c r="C34" s="12" t="s">
        <v>71</v>
      </c>
      <c r="D34" s="12">
        <v>1</v>
      </c>
      <c r="E34" s="12"/>
      <c r="F34" s="12"/>
    </row>
    <row r="35" spans="1:6">
      <c r="A35" s="7"/>
      <c r="B35" s="7" t="s">
        <v>260</v>
      </c>
      <c r="C35" s="12" t="s">
        <v>71</v>
      </c>
      <c r="D35" s="12">
        <v>1</v>
      </c>
      <c r="E35" s="12"/>
      <c r="F35" s="12"/>
    </row>
    <row r="36" spans="1:6">
      <c r="A36" s="7"/>
      <c r="B36" s="7" t="s">
        <v>261</v>
      </c>
      <c r="C36" s="12" t="s">
        <v>71</v>
      </c>
      <c r="D36" s="12">
        <v>1</v>
      </c>
      <c r="E36" s="12"/>
      <c r="F36" s="12"/>
    </row>
    <row r="37" spans="1:6">
      <c r="A37" s="7"/>
      <c r="B37" s="7" t="s">
        <v>262</v>
      </c>
      <c r="C37" s="12" t="s">
        <v>71</v>
      </c>
      <c r="D37" s="12">
        <v>1</v>
      </c>
      <c r="E37" s="12"/>
      <c r="F37" s="12"/>
    </row>
    <row r="38" spans="1:6">
      <c r="A38" s="7"/>
      <c r="B38" s="7" t="s">
        <v>263</v>
      </c>
      <c r="C38" s="12" t="s">
        <v>71</v>
      </c>
      <c r="D38" s="12">
        <v>1</v>
      </c>
      <c r="E38" s="12"/>
      <c r="F38" s="12"/>
    </row>
    <row r="39" spans="1:6" s="1" customFormat="1" ht="22.5" customHeight="1">
      <c r="A39" s="3"/>
      <c r="B39" s="4" t="s">
        <v>238</v>
      </c>
      <c r="C39" s="9"/>
      <c r="D39" s="11"/>
      <c r="E39" s="11"/>
      <c r="F39" s="11"/>
    </row>
    <row r="40" spans="1:6">
      <c r="A40" s="7"/>
      <c r="B40" s="15" t="s">
        <v>239</v>
      </c>
      <c r="C40" s="12"/>
      <c r="D40" s="12"/>
      <c r="E40" s="12"/>
      <c r="F40" s="12"/>
    </row>
    <row r="41" spans="1:6">
      <c r="A41" s="7"/>
      <c r="B41" s="7" t="s">
        <v>232</v>
      </c>
      <c r="C41" s="12" t="s">
        <v>71</v>
      </c>
      <c r="D41" s="12">
        <v>12</v>
      </c>
      <c r="E41" s="12"/>
      <c r="F41" s="12"/>
    </row>
    <row r="42" spans="1:6">
      <c r="A42" s="7"/>
      <c r="B42" s="7" t="s">
        <v>230</v>
      </c>
      <c r="C42" s="12" t="s">
        <v>71</v>
      </c>
      <c r="D42" s="12">
        <v>10</v>
      </c>
      <c r="E42" s="12"/>
      <c r="F42" s="12"/>
    </row>
    <row r="43" spans="1:6">
      <c r="A43" s="7"/>
      <c r="B43" s="7" t="s">
        <v>233</v>
      </c>
      <c r="C43" s="12" t="s">
        <v>71</v>
      </c>
      <c r="D43" s="12">
        <v>7</v>
      </c>
      <c r="E43" s="12"/>
      <c r="F43" s="12"/>
    </row>
    <row r="44" spans="1:6">
      <c r="A44" s="7"/>
      <c r="B44" s="7" t="s">
        <v>231</v>
      </c>
      <c r="C44" s="12" t="s">
        <v>71</v>
      </c>
      <c r="D44" s="12">
        <v>8</v>
      </c>
      <c r="E44" s="12"/>
      <c r="F44" s="12"/>
    </row>
    <row r="45" spans="1:6">
      <c r="A45" s="7"/>
      <c r="B45" s="15" t="s">
        <v>240</v>
      </c>
      <c r="C45" s="12"/>
      <c r="D45" s="12"/>
      <c r="E45" s="12"/>
      <c r="F45" s="12"/>
    </row>
    <row r="46" spans="1:6">
      <c r="A46" s="7"/>
      <c r="B46" s="7" t="s">
        <v>232</v>
      </c>
      <c r="C46" s="12" t="s">
        <v>71</v>
      </c>
      <c r="D46" s="12">
        <v>12</v>
      </c>
      <c r="E46" s="12"/>
      <c r="F46" s="12"/>
    </row>
    <row r="47" spans="1:6">
      <c r="A47" s="7"/>
      <c r="B47" s="7" t="s">
        <v>230</v>
      </c>
      <c r="C47" s="12" t="s">
        <v>71</v>
      </c>
      <c r="D47" s="12">
        <v>10</v>
      </c>
      <c r="E47" s="12"/>
      <c r="F47" s="12"/>
    </row>
    <row r="48" spans="1:6">
      <c r="A48" s="7"/>
      <c r="B48" s="7" t="s">
        <v>233</v>
      </c>
      <c r="C48" s="12" t="s">
        <v>71</v>
      </c>
      <c r="D48" s="12">
        <v>7</v>
      </c>
      <c r="E48" s="12"/>
      <c r="F48" s="12"/>
    </row>
    <row r="49" spans="1:6">
      <c r="A49" s="7"/>
      <c r="B49" s="7" t="s">
        <v>231</v>
      </c>
      <c r="C49" s="12" t="s">
        <v>71</v>
      </c>
      <c r="D49" s="12">
        <v>8</v>
      </c>
      <c r="E49" s="12"/>
      <c r="F49" s="12"/>
    </row>
    <row r="50" spans="1:6" ht="33">
      <c r="A50" s="7"/>
      <c r="B50" s="16" t="s">
        <v>241</v>
      </c>
      <c r="C50" s="12"/>
      <c r="D50" s="12"/>
      <c r="E50" s="12"/>
      <c r="F50" s="12"/>
    </row>
    <row r="51" spans="1:6">
      <c r="A51" s="7"/>
      <c r="B51" s="7" t="s">
        <v>232</v>
      </c>
      <c r="C51" s="12" t="s">
        <v>71</v>
      </c>
      <c r="D51" s="12">
        <v>1</v>
      </c>
      <c r="E51" s="12"/>
      <c r="F51" s="12"/>
    </row>
    <row r="52" spans="1:6">
      <c r="A52" s="7"/>
      <c r="B52" s="7" t="s">
        <v>230</v>
      </c>
      <c r="C52" s="12" t="s">
        <v>71</v>
      </c>
      <c r="D52" s="12">
        <v>1</v>
      </c>
      <c r="E52" s="12"/>
      <c r="F52" s="12"/>
    </row>
    <row r="53" spans="1:6">
      <c r="A53" s="7"/>
      <c r="B53" s="7" t="s">
        <v>237</v>
      </c>
      <c r="C53" s="12" t="s">
        <v>71</v>
      </c>
      <c r="D53" s="12">
        <v>1</v>
      </c>
      <c r="E53" s="12"/>
      <c r="F53" s="12"/>
    </row>
    <row r="54" spans="1:6">
      <c r="A54" s="7"/>
      <c r="B54" s="7" t="s">
        <v>231</v>
      </c>
      <c r="C54" s="12" t="s">
        <v>71</v>
      </c>
      <c r="D54" s="12">
        <v>1</v>
      </c>
      <c r="E54" s="12"/>
      <c r="F54" s="12"/>
    </row>
    <row r="55" spans="1:6">
      <c r="A55" s="7"/>
      <c r="B55" s="16" t="s">
        <v>242</v>
      </c>
      <c r="C55" s="12"/>
      <c r="D55" s="12"/>
      <c r="E55" s="12"/>
      <c r="F55" s="12"/>
    </row>
    <row r="56" spans="1:6">
      <c r="A56" s="7"/>
      <c r="B56" s="7" t="s">
        <v>232</v>
      </c>
      <c r="C56" s="12" t="s">
        <v>71</v>
      </c>
      <c r="D56" s="12">
        <v>1</v>
      </c>
      <c r="E56" s="12"/>
      <c r="F56" s="12"/>
    </row>
    <row r="57" spans="1:6">
      <c r="A57" s="7"/>
      <c r="B57" s="7" t="s">
        <v>230</v>
      </c>
      <c r="C57" s="12" t="s">
        <v>71</v>
      </c>
      <c r="D57" s="12">
        <v>1</v>
      </c>
      <c r="E57" s="12"/>
      <c r="F57" s="12"/>
    </row>
    <row r="58" spans="1:6">
      <c r="A58" s="7"/>
      <c r="B58" s="7" t="s">
        <v>257</v>
      </c>
      <c r="C58" s="12" t="s">
        <v>71</v>
      </c>
      <c r="D58" s="12">
        <v>1</v>
      </c>
      <c r="E58" s="12"/>
      <c r="F58" s="12"/>
    </row>
    <row r="59" spans="1:6">
      <c r="A59" s="7"/>
      <c r="B59" s="7" t="s">
        <v>231</v>
      </c>
      <c r="C59" s="12" t="s">
        <v>71</v>
      </c>
      <c r="D59" s="12">
        <v>1</v>
      </c>
      <c r="E59" s="12"/>
      <c r="F59" s="12"/>
    </row>
    <row r="60" spans="1:6" ht="33">
      <c r="A60" s="7"/>
      <c r="B60" s="16" t="s">
        <v>243</v>
      </c>
      <c r="C60" s="12"/>
      <c r="D60" s="12"/>
      <c r="E60" s="12"/>
      <c r="F60" s="12"/>
    </row>
    <row r="61" spans="1:6">
      <c r="A61" s="7"/>
      <c r="B61" s="7" t="s">
        <v>232</v>
      </c>
      <c r="C61" s="12" t="s">
        <v>71</v>
      </c>
      <c r="D61" s="12">
        <v>1</v>
      </c>
      <c r="E61" s="12"/>
      <c r="F61" s="12"/>
    </row>
    <row r="62" spans="1:6">
      <c r="A62" s="7"/>
      <c r="B62" s="7" t="s">
        <v>230</v>
      </c>
      <c r="C62" s="12" t="s">
        <v>71</v>
      </c>
      <c r="D62" s="12">
        <v>1</v>
      </c>
      <c r="E62" s="12"/>
      <c r="F62" s="12"/>
    </row>
    <row r="63" spans="1:6">
      <c r="A63" s="7"/>
      <c r="B63" s="7" t="s">
        <v>237</v>
      </c>
      <c r="C63" s="12" t="s">
        <v>71</v>
      </c>
      <c r="D63" s="12">
        <v>1</v>
      </c>
      <c r="E63" s="12"/>
      <c r="F63" s="12"/>
    </row>
    <row r="64" spans="1:6">
      <c r="A64" s="7"/>
      <c r="B64" s="7" t="s">
        <v>231</v>
      </c>
      <c r="C64" s="12" t="s">
        <v>71</v>
      </c>
      <c r="D64" s="12">
        <v>1</v>
      </c>
      <c r="E64" s="12"/>
      <c r="F64" s="12"/>
    </row>
    <row r="65" spans="1:6">
      <c r="A65" s="7"/>
      <c r="B65" s="16" t="s">
        <v>244</v>
      </c>
      <c r="C65" s="12"/>
      <c r="D65" s="12"/>
      <c r="E65" s="12"/>
      <c r="F65" s="12"/>
    </row>
    <row r="66" spans="1:6">
      <c r="A66" s="7"/>
      <c r="B66" s="7" t="s">
        <v>237</v>
      </c>
      <c r="C66" s="12" t="s">
        <v>71</v>
      </c>
      <c r="D66" s="12">
        <v>1</v>
      </c>
      <c r="E66" s="12"/>
      <c r="F66" s="12"/>
    </row>
    <row r="67" spans="1:6">
      <c r="A67" s="7"/>
      <c r="B67" s="7" t="s">
        <v>231</v>
      </c>
      <c r="C67" s="12" t="s">
        <v>71</v>
      </c>
      <c r="D67" s="12">
        <v>2</v>
      </c>
      <c r="E67" s="12"/>
      <c r="F67" s="12"/>
    </row>
    <row r="68" spans="1:6">
      <c r="A68" s="7"/>
      <c r="B68" s="16" t="s">
        <v>245</v>
      </c>
      <c r="C68" s="12"/>
      <c r="D68" s="12"/>
      <c r="E68" s="12"/>
      <c r="F68" s="12"/>
    </row>
    <row r="69" spans="1:6">
      <c r="A69" s="7"/>
      <c r="B69" s="7" t="s">
        <v>232</v>
      </c>
      <c r="C69" s="12" t="s">
        <v>71</v>
      </c>
      <c r="D69" s="12">
        <v>2</v>
      </c>
      <c r="E69" s="12"/>
      <c r="F69" s="12"/>
    </row>
    <row r="70" spans="1:6">
      <c r="A70" s="7"/>
      <c r="B70" s="7" t="s">
        <v>229</v>
      </c>
      <c r="C70" s="12" t="s">
        <v>71</v>
      </c>
      <c r="D70" s="12">
        <v>2</v>
      </c>
      <c r="E70" s="12"/>
      <c r="F70" s="12"/>
    </row>
    <row r="71" spans="1:6">
      <c r="A71" s="7"/>
      <c r="B71" s="7" t="s">
        <v>237</v>
      </c>
      <c r="C71" s="12" t="s">
        <v>71</v>
      </c>
      <c r="D71" s="12">
        <v>2</v>
      </c>
      <c r="E71" s="12"/>
      <c r="F71" s="12"/>
    </row>
    <row r="72" spans="1:6">
      <c r="A72" s="7"/>
      <c r="B72" s="7" t="s">
        <v>231</v>
      </c>
      <c r="C72" s="12" t="s">
        <v>71</v>
      </c>
      <c r="D72" s="12">
        <v>6</v>
      </c>
      <c r="E72" s="12"/>
      <c r="F72" s="12"/>
    </row>
    <row r="73" spans="1:6" ht="33">
      <c r="A73" s="7"/>
      <c r="B73" s="16" t="s">
        <v>264</v>
      </c>
      <c r="C73" s="12"/>
      <c r="D73" s="12"/>
      <c r="E73" s="12"/>
      <c r="F73" s="12"/>
    </row>
    <row r="74" spans="1:6">
      <c r="A74" s="7"/>
      <c r="B74" s="7" t="s">
        <v>246</v>
      </c>
      <c r="C74" s="12" t="s">
        <v>71</v>
      </c>
      <c r="D74" s="12">
        <v>1</v>
      </c>
      <c r="E74" s="12"/>
      <c r="F74" s="12"/>
    </row>
    <row r="75" spans="1:6">
      <c r="A75" s="7"/>
      <c r="B75" s="7" t="s">
        <v>247</v>
      </c>
      <c r="C75" s="12" t="s">
        <v>71</v>
      </c>
      <c r="D75" s="12">
        <v>1</v>
      </c>
      <c r="E75" s="12"/>
      <c r="F75" s="12"/>
    </row>
    <row r="76" spans="1:6">
      <c r="A76" s="7"/>
      <c r="B76" s="7" t="s">
        <v>248</v>
      </c>
      <c r="C76" s="12" t="s">
        <v>71</v>
      </c>
      <c r="D76" s="12">
        <v>1</v>
      </c>
      <c r="E76" s="12"/>
      <c r="F76" s="12"/>
    </row>
    <row r="77" spans="1:6">
      <c r="A77" s="7"/>
      <c r="B77" s="7" t="s">
        <v>249</v>
      </c>
      <c r="C77" s="12" t="s">
        <v>71</v>
      </c>
      <c r="D77" s="12">
        <v>1</v>
      </c>
      <c r="E77" s="12"/>
      <c r="F77" s="12"/>
    </row>
    <row r="78" spans="1:6">
      <c r="A78" s="7"/>
      <c r="B78" s="7" t="s">
        <v>250</v>
      </c>
      <c r="C78" s="12" t="s">
        <v>71</v>
      </c>
      <c r="D78" s="12">
        <v>1</v>
      </c>
      <c r="E78" s="12"/>
      <c r="F78" s="12"/>
    </row>
    <row r="79" spans="1:6">
      <c r="A79" s="7"/>
      <c r="B79" s="7" t="s">
        <v>251</v>
      </c>
      <c r="C79" s="12" t="s">
        <v>71</v>
      </c>
      <c r="D79" s="12">
        <v>1</v>
      </c>
      <c r="E79" s="12"/>
      <c r="F79" s="12"/>
    </row>
    <row r="80" spans="1:6">
      <c r="A80" s="7"/>
      <c r="B80" s="7" t="s">
        <v>252</v>
      </c>
      <c r="C80" s="12" t="s">
        <v>71</v>
      </c>
      <c r="D80" s="12">
        <v>1</v>
      </c>
      <c r="E80" s="12"/>
      <c r="F80" s="12"/>
    </row>
    <row r="81" spans="1:6">
      <c r="A81" s="7"/>
      <c r="B81" s="7" t="s">
        <v>253</v>
      </c>
      <c r="C81" s="12" t="s">
        <v>71</v>
      </c>
      <c r="D81" s="12">
        <v>1</v>
      </c>
      <c r="E81" s="12"/>
      <c r="F81" s="12"/>
    </row>
    <row r="82" spans="1:6">
      <c r="A82" s="7"/>
      <c r="B82" s="7" t="s">
        <v>254</v>
      </c>
      <c r="C82" s="12" t="s">
        <v>71</v>
      </c>
      <c r="D82" s="12">
        <v>1</v>
      </c>
      <c r="E82" s="12"/>
      <c r="F82" s="12"/>
    </row>
    <row r="83" spans="1:6">
      <c r="A83" s="7"/>
      <c r="B83" s="7" t="s">
        <v>256</v>
      </c>
      <c r="C83" s="12" t="s">
        <v>71</v>
      </c>
      <c r="D83" s="12">
        <v>1</v>
      </c>
      <c r="E83" s="12"/>
      <c r="F83" s="12"/>
    </row>
    <row r="84" spans="1:6">
      <c r="A84" s="7"/>
      <c r="B84" s="7" t="s">
        <v>255</v>
      </c>
      <c r="C84" s="12" t="s">
        <v>71</v>
      </c>
      <c r="D84" s="12">
        <v>1</v>
      </c>
      <c r="E84" s="12"/>
      <c r="F84" s="12"/>
    </row>
    <row r="85" spans="1:6">
      <c r="A85" s="7"/>
      <c r="B85" s="15" t="s">
        <v>278</v>
      </c>
      <c r="C85" s="12"/>
      <c r="D85" s="12"/>
      <c r="E85" s="12"/>
      <c r="F85" s="12"/>
    </row>
    <row r="86" spans="1:6">
      <c r="A86" s="7"/>
      <c r="B86" s="7" t="s">
        <v>274</v>
      </c>
      <c r="C86" s="12" t="s">
        <v>71</v>
      </c>
      <c r="D86" s="12">
        <v>2</v>
      </c>
      <c r="E86" s="12"/>
      <c r="F86" s="12"/>
    </row>
    <row r="87" spans="1:6" s="1" customFormat="1" ht="22.5" customHeight="1">
      <c r="A87" s="3"/>
      <c r="B87" s="4" t="s">
        <v>265</v>
      </c>
      <c r="C87" s="9"/>
      <c r="D87" s="11"/>
      <c r="E87" s="11"/>
      <c r="F87" s="11"/>
    </row>
    <row r="88" spans="1:6">
      <c r="A88" s="7"/>
      <c r="B88" s="57" t="s">
        <v>239</v>
      </c>
      <c r="C88" s="30"/>
      <c r="D88" s="30"/>
      <c r="E88" s="12"/>
      <c r="F88" s="12"/>
    </row>
    <row r="89" spans="1:6">
      <c r="A89" s="7"/>
      <c r="B89" s="29" t="s">
        <v>232</v>
      </c>
      <c r="C89" s="30" t="s">
        <v>71</v>
      </c>
      <c r="D89" s="30">
        <v>12</v>
      </c>
      <c r="E89" s="12"/>
      <c r="F89" s="12"/>
    </row>
    <row r="90" spans="1:6">
      <c r="A90" s="7"/>
      <c r="B90" s="29" t="s">
        <v>230</v>
      </c>
      <c r="C90" s="30" t="s">
        <v>71</v>
      </c>
      <c r="D90" s="30">
        <v>10</v>
      </c>
      <c r="E90" s="12"/>
      <c r="F90" s="12"/>
    </row>
    <row r="91" spans="1:6">
      <c r="A91" s="7"/>
      <c r="B91" s="29" t="s">
        <v>233</v>
      </c>
      <c r="C91" s="30" t="s">
        <v>71</v>
      </c>
      <c r="D91" s="30">
        <v>7</v>
      </c>
      <c r="E91" s="12"/>
      <c r="F91" s="12"/>
    </row>
    <row r="92" spans="1:6">
      <c r="A92" s="7"/>
      <c r="B92" s="29" t="s">
        <v>231</v>
      </c>
      <c r="C92" s="30" t="s">
        <v>71</v>
      </c>
      <c r="D92" s="30">
        <v>8</v>
      </c>
      <c r="E92" s="12"/>
      <c r="F92" s="12"/>
    </row>
    <row r="93" spans="1:6">
      <c r="A93" s="7"/>
      <c r="B93" s="57" t="s">
        <v>240</v>
      </c>
      <c r="C93" s="30"/>
      <c r="D93" s="30"/>
      <c r="E93" s="12"/>
      <c r="F93" s="12"/>
    </row>
    <row r="94" spans="1:6">
      <c r="A94" s="7"/>
      <c r="B94" s="29" t="s">
        <v>232</v>
      </c>
      <c r="C94" s="30" t="s">
        <v>71</v>
      </c>
      <c r="D94" s="30">
        <v>12</v>
      </c>
      <c r="E94" s="12"/>
      <c r="F94" s="12"/>
    </row>
    <row r="95" spans="1:6">
      <c r="A95" s="7"/>
      <c r="B95" s="29" t="s">
        <v>230</v>
      </c>
      <c r="C95" s="30" t="s">
        <v>71</v>
      </c>
      <c r="D95" s="30">
        <v>10</v>
      </c>
      <c r="E95" s="12"/>
      <c r="F95" s="12"/>
    </row>
    <row r="96" spans="1:6">
      <c r="A96" s="7"/>
      <c r="B96" s="29" t="s">
        <v>233</v>
      </c>
      <c r="C96" s="30" t="s">
        <v>71</v>
      </c>
      <c r="D96" s="30">
        <v>7</v>
      </c>
      <c r="E96" s="12"/>
      <c r="F96" s="12"/>
    </row>
    <row r="97" spans="1:6">
      <c r="A97" s="7"/>
      <c r="B97" s="29" t="s">
        <v>231</v>
      </c>
      <c r="C97" s="30" t="s">
        <v>71</v>
      </c>
      <c r="D97" s="30">
        <v>8</v>
      </c>
      <c r="E97" s="12"/>
      <c r="F97" s="12"/>
    </row>
    <row r="98" spans="1:6" ht="33">
      <c r="A98" s="7"/>
      <c r="B98" s="59" t="s">
        <v>266</v>
      </c>
      <c r="C98" s="30"/>
      <c r="D98" s="30"/>
      <c r="E98" s="30"/>
      <c r="F98" s="30"/>
    </row>
    <row r="99" spans="1:6">
      <c r="A99" s="7"/>
      <c r="B99" s="29" t="s">
        <v>232</v>
      </c>
      <c r="C99" s="30" t="s">
        <v>71</v>
      </c>
      <c r="D99" s="30">
        <v>1</v>
      </c>
      <c r="E99" s="30"/>
      <c r="F99" s="30"/>
    </row>
    <row r="100" spans="1:6">
      <c r="A100" s="7"/>
      <c r="B100" s="29" t="s">
        <v>230</v>
      </c>
      <c r="C100" s="30" t="s">
        <v>71</v>
      </c>
      <c r="D100" s="30">
        <v>1</v>
      </c>
      <c r="E100" s="30"/>
      <c r="F100" s="30"/>
    </row>
    <row r="101" spans="1:6">
      <c r="A101" s="7"/>
      <c r="B101" s="29" t="s">
        <v>237</v>
      </c>
      <c r="C101" s="30" t="s">
        <v>71</v>
      </c>
      <c r="D101" s="30">
        <v>1</v>
      </c>
      <c r="E101" s="30"/>
      <c r="F101" s="30"/>
    </row>
    <row r="102" spans="1:6">
      <c r="A102" s="7"/>
      <c r="B102" s="29" t="s">
        <v>231</v>
      </c>
      <c r="C102" s="30" t="s">
        <v>71</v>
      </c>
      <c r="D102" s="30">
        <v>1</v>
      </c>
      <c r="E102" s="30"/>
      <c r="F102" s="30"/>
    </row>
    <row r="103" spans="1:6" ht="33">
      <c r="A103" s="7"/>
      <c r="B103" s="59" t="s">
        <v>267</v>
      </c>
      <c r="C103" s="30"/>
      <c r="D103" s="30"/>
      <c r="E103" s="30"/>
      <c r="F103" s="30"/>
    </row>
    <row r="104" spans="1:6">
      <c r="A104" s="7"/>
      <c r="B104" s="29" t="s">
        <v>232</v>
      </c>
      <c r="C104" s="30" t="s">
        <v>71</v>
      </c>
      <c r="D104" s="30">
        <v>1</v>
      </c>
      <c r="E104" s="30"/>
      <c r="F104" s="30"/>
    </row>
    <row r="105" spans="1:6">
      <c r="A105" s="7"/>
      <c r="B105" s="29" t="s">
        <v>230</v>
      </c>
      <c r="C105" s="30" t="s">
        <v>71</v>
      </c>
      <c r="D105" s="30">
        <v>1</v>
      </c>
      <c r="E105" s="30"/>
      <c r="F105" s="30"/>
    </row>
    <row r="106" spans="1:6">
      <c r="A106" s="7"/>
      <c r="B106" s="29" t="s">
        <v>257</v>
      </c>
      <c r="C106" s="30" t="s">
        <v>71</v>
      </c>
      <c r="D106" s="30">
        <v>1</v>
      </c>
      <c r="E106" s="30"/>
      <c r="F106" s="30"/>
    </row>
    <row r="107" spans="1:6">
      <c r="A107" s="7"/>
      <c r="B107" s="29" t="s">
        <v>231</v>
      </c>
      <c r="C107" s="30" t="s">
        <v>71</v>
      </c>
      <c r="D107" s="30">
        <v>1</v>
      </c>
      <c r="E107" s="30"/>
      <c r="F107" s="30"/>
    </row>
    <row r="108" spans="1:6">
      <c r="A108" s="7"/>
      <c r="B108" s="16" t="s">
        <v>268</v>
      </c>
      <c r="C108" s="12"/>
      <c r="D108" s="12"/>
      <c r="E108" s="12"/>
      <c r="F108" s="12"/>
    </row>
    <row r="109" spans="1:6">
      <c r="A109" s="7"/>
      <c r="B109" s="29" t="s">
        <v>230</v>
      </c>
      <c r="C109" s="30" t="s">
        <v>71</v>
      </c>
      <c r="D109" s="30">
        <v>1</v>
      </c>
      <c r="E109" s="30"/>
      <c r="F109" s="30"/>
    </row>
    <row r="110" spans="1:6">
      <c r="A110" s="7"/>
      <c r="B110" s="29" t="s">
        <v>257</v>
      </c>
      <c r="C110" s="30" t="s">
        <v>71</v>
      </c>
      <c r="D110" s="30">
        <v>1</v>
      </c>
      <c r="E110" s="30"/>
      <c r="F110" s="30"/>
    </row>
    <row r="111" spans="1:6">
      <c r="A111" s="7"/>
      <c r="B111" s="29" t="s">
        <v>231</v>
      </c>
      <c r="C111" s="30" t="s">
        <v>71</v>
      </c>
      <c r="D111" s="30">
        <v>1</v>
      </c>
      <c r="E111" s="30"/>
      <c r="F111" s="30"/>
    </row>
    <row r="112" spans="1:6">
      <c r="A112" s="7"/>
      <c r="B112" s="59" t="s">
        <v>269</v>
      </c>
      <c r="C112" s="30"/>
      <c r="D112" s="30"/>
      <c r="E112" s="12"/>
      <c r="F112" s="12"/>
    </row>
    <row r="113" spans="1:6">
      <c r="A113" s="7"/>
      <c r="B113" s="29" t="s">
        <v>230</v>
      </c>
      <c r="C113" s="30" t="s">
        <v>71</v>
      </c>
      <c r="D113" s="30">
        <v>2</v>
      </c>
      <c r="E113" s="12"/>
      <c r="F113" s="12"/>
    </row>
    <row r="114" spans="1:6">
      <c r="A114" s="7"/>
      <c r="B114" s="29" t="s">
        <v>237</v>
      </c>
      <c r="C114" s="30" t="s">
        <v>71</v>
      </c>
      <c r="D114" s="30">
        <v>4</v>
      </c>
      <c r="E114" s="12"/>
      <c r="F114" s="12"/>
    </row>
    <row r="115" spans="1:6">
      <c r="A115" s="7"/>
      <c r="B115" s="29" t="s">
        <v>231</v>
      </c>
      <c r="C115" s="30" t="s">
        <v>71</v>
      </c>
      <c r="D115" s="30">
        <v>6</v>
      </c>
      <c r="E115" s="12"/>
      <c r="F115" s="12"/>
    </row>
    <row r="116" spans="1:6">
      <c r="A116" s="7"/>
      <c r="B116" s="59" t="s">
        <v>270</v>
      </c>
      <c r="C116" s="30"/>
      <c r="D116" s="30"/>
      <c r="E116" s="12"/>
      <c r="F116" s="12"/>
    </row>
    <row r="117" spans="1:6">
      <c r="A117" s="7"/>
      <c r="B117" s="29" t="s">
        <v>232</v>
      </c>
      <c r="C117" s="30" t="s">
        <v>71</v>
      </c>
      <c r="D117" s="30">
        <v>2</v>
      </c>
      <c r="E117" s="12"/>
      <c r="F117" s="12"/>
    </row>
    <row r="118" spans="1:6">
      <c r="A118" s="7"/>
      <c r="B118" s="29" t="s">
        <v>229</v>
      </c>
      <c r="C118" s="30" t="s">
        <v>71</v>
      </c>
      <c r="D118" s="30">
        <v>2</v>
      </c>
      <c r="E118" s="12"/>
      <c r="F118" s="12"/>
    </row>
    <row r="119" spans="1:6">
      <c r="A119" s="7"/>
      <c r="B119" s="29" t="s">
        <v>237</v>
      </c>
      <c r="C119" s="30" t="s">
        <v>71</v>
      </c>
      <c r="D119" s="30">
        <v>2</v>
      </c>
      <c r="E119" s="12"/>
      <c r="F119" s="12"/>
    </row>
    <row r="120" spans="1:6">
      <c r="A120" s="7"/>
      <c r="B120" s="29" t="s">
        <v>231</v>
      </c>
      <c r="C120" s="30" t="s">
        <v>71</v>
      </c>
      <c r="D120" s="30">
        <v>6</v>
      </c>
      <c r="E120" s="12"/>
      <c r="F120" s="12"/>
    </row>
    <row r="121" spans="1:6">
      <c r="A121" s="7"/>
      <c r="B121" s="57" t="s">
        <v>272</v>
      </c>
      <c r="C121" s="30"/>
      <c r="D121" s="30"/>
      <c r="E121" s="12"/>
      <c r="F121" s="12"/>
    </row>
    <row r="122" spans="1:6">
      <c r="A122" s="7"/>
      <c r="B122" s="29" t="s">
        <v>230</v>
      </c>
      <c r="C122" s="30" t="s">
        <v>71</v>
      </c>
      <c r="D122" s="30">
        <v>1</v>
      </c>
      <c r="E122" s="12"/>
      <c r="F122" s="12"/>
    </row>
    <row r="123" spans="1:6">
      <c r="A123" s="7"/>
      <c r="B123" s="57" t="s">
        <v>271</v>
      </c>
      <c r="C123" s="30"/>
      <c r="D123" s="30"/>
      <c r="E123" s="30"/>
      <c r="F123" s="30"/>
    </row>
    <row r="124" spans="1:6">
      <c r="A124" s="7"/>
      <c r="B124" s="29" t="s">
        <v>230</v>
      </c>
      <c r="C124" s="30" t="s">
        <v>71</v>
      </c>
      <c r="D124" s="30">
        <v>1</v>
      </c>
      <c r="E124" s="30"/>
      <c r="F124" s="30"/>
    </row>
    <row r="125" spans="1:6">
      <c r="A125" s="7"/>
      <c r="B125" s="29" t="s">
        <v>274</v>
      </c>
      <c r="C125" s="30" t="s">
        <v>71</v>
      </c>
      <c r="D125" s="30">
        <v>1</v>
      </c>
      <c r="E125" s="30"/>
      <c r="F125" s="30"/>
    </row>
    <row r="126" spans="1:6">
      <c r="A126" s="7"/>
      <c r="B126" s="57" t="s">
        <v>273</v>
      </c>
      <c r="C126" s="30"/>
      <c r="D126" s="30"/>
      <c r="E126" s="12"/>
      <c r="F126" s="12"/>
    </row>
    <row r="127" spans="1:6">
      <c r="A127" s="7"/>
      <c r="B127" s="29" t="s">
        <v>230</v>
      </c>
      <c r="C127" s="30" t="s">
        <v>71</v>
      </c>
      <c r="D127" s="30">
        <v>3</v>
      </c>
      <c r="E127" s="12"/>
      <c r="F127" s="12"/>
    </row>
    <row r="128" spans="1:6">
      <c r="A128" s="7"/>
      <c r="B128" s="29" t="s">
        <v>274</v>
      </c>
      <c r="C128" s="30" t="s">
        <v>71</v>
      </c>
      <c r="D128" s="30">
        <v>1</v>
      </c>
      <c r="E128" s="12"/>
      <c r="F128" s="12"/>
    </row>
    <row r="129" spans="1:6">
      <c r="A129" s="7"/>
      <c r="B129" s="57" t="s">
        <v>275</v>
      </c>
      <c r="C129" s="30"/>
      <c r="D129" s="30"/>
      <c r="E129" s="12"/>
      <c r="F129" s="12"/>
    </row>
    <row r="130" spans="1:6">
      <c r="A130" s="7"/>
      <c r="B130" s="29" t="s">
        <v>230</v>
      </c>
      <c r="C130" s="30" t="s">
        <v>71</v>
      </c>
      <c r="D130" s="30">
        <v>2</v>
      </c>
      <c r="E130" s="12"/>
      <c r="F130" s="12"/>
    </row>
    <row r="131" spans="1:6">
      <c r="A131" s="7"/>
      <c r="B131" s="29" t="s">
        <v>274</v>
      </c>
      <c r="C131" s="30" t="s">
        <v>71</v>
      </c>
      <c r="D131" s="30">
        <v>1</v>
      </c>
      <c r="E131" s="12"/>
      <c r="F131" s="12"/>
    </row>
    <row r="132" spans="1:6">
      <c r="A132" s="7"/>
      <c r="B132" s="57" t="s">
        <v>276</v>
      </c>
      <c r="C132" s="30"/>
      <c r="D132" s="30"/>
      <c r="E132" s="12"/>
      <c r="F132" s="12"/>
    </row>
    <row r="133" spans="1:6">
      <c r="A133" s="7"/>
      <c r="B133" s="29" t="s">
        <v>274</v>
      </c>
      <c r="C133" s="30" t="s">
        <v>71</v>
      </c>
      <c r="D133" s="30">
        <v>1</v>
      </c>
      <c r="E133" s="12"/>
      <c r="F133" s="12"/>
    </row>
    <row r="134" spans="1:6">
      <c r="A134" s="7"/>
      <c r="B134" s="57" t="s">
        <v>277</v>
      </c>
      <c r="C134" s="30"/>
      <c r="D134" s="30"/>
      <c r="E134" s="12"/>
      <c r="F134" s="12"/>
    </row>
    <row r="135" spans="1:6">
      <c r="A135" s="7"/>
      <c r="B135" s="29" t="s">
        <v>274</v>
      </c>
      <c r="C135" s="30" t="s">
        <v>71</v>
      </c>
      <c r="D135" s="30">
        <v>1</v>
      </c>
      <c r="E135" s="12"/>
      <c r="F135" s="12"/>
    </row>
    <row r="136" spans="1:6">
      <c r="A136" s="7"/>
      <c r="B136" s="57" t="s">
        <v>278</v>
      </c>
      <c r="C136" s="30"/>
      <c r="D136" s="30"/>
      <c r="E136" s="12"/>
      <c r="F136" s="12"/>
    </row>
    <row r="137" spans="1:6">
      <c r="A137" s="7"/>
      <c r="B137" s="29" t="s">
        <v>274</v>
      </c>
      <c r="C137" s="30" t="s">
        <v>71</v>
      </c>
      <c r="D137" s="30">
        <v>2</v>
      </c>
      <c r="E137" s="12"/>
      <c r="F137" s="12"/>
    </row>
    <row r="138" spans="1:6" s="1" customFormat="1" ht="22.5" customHeight="1">
      <c r="A138" s="3"/>
      <c r="B138" s="4" t="s">
        <v>284</v>
      </c>
      <c r="C138" s="9"/>
      <c r="D138" s="11"/>
      <c r="E138" s="11"/>
      <c r="F138" s="11"/>
    </row>
    <row r="139" spans="1:6">
      <c r="A139" s="7"/>
      <c r="B139" s="15" t="s">
        <v>239</v>
      </c>
      <c r="C139" s="12"/>
      <c r="D139" s="12"/>
      <c r="E139" s="12"/>
      <c r="F139" s="12"/>
    </row>
    <row r="140" spans="1:6">
      <c r="A140" s="7"/>
      <c r="B140" s="7" t="s">
        <v>232</v>
      </c>
      <c r="C140" s="12" t="s">
        <v>71</v>
      </c>
      <c r="D140" s="12">
        <v>12</v>
      </c>
      <c r="E140" s="12"/>
      <c r="F140" s="12"/>
    </row>
    <row r="141" spans="1:6">
      <c r="A141" s="7"/>
      <c r="B141" s="7" t="s">
        <v>230</v>
      </c>
      <c r="C141" s="12" t="s">
        <v>71</v>
      </c>
      <c r="D141" s="12">
        <v>10</v>
      </c>
      <c r="E141" s="12"/>
      <c r="F141" s="12"/>
    </row>
    <row r="142" spans="1:6">
      <c r="A142" s="7"/>
      <c r="B142" s="7" t="s">
        <v>233</v>
      </c>
      <c r="C142" s="12" t="s">
        <v>71</v>
      </c>
      <c r="D142" s="12">
        <v>7</v>
      </c>
      <c r="E142" s="12"/>
      <c r="F142" s="12"/>
    </row>
    <row r="143" spans="1:6">
      <c r="A143" s="7"/>
      <c r="B143" s="7" t="s">
        <v>231</v>
      </c>
      <c r="C143" s="12" t="s">
        <v>71</v>
      </c>
      <c r="D143" s="12">
        <v>8</v>
      </c>
      <c r="E143" s="12"/>
      <c r="F143" s="12"/>
    </row>
    <row r="144" spans="1:6">
      <c r="A144" s="7"/>
      <c r="B144" s="15" t="s">
        <v>240</v>
      </c>
      <c r="C144" s="12"/>
      <c r="D144" s="12"/>
      <c r="E144" s="12"/>
      <c r="F144" s="12"/>
    </row>
    <row r="145" spans="1:6">
      <c r="A145" s="7"/>
      <c r="B145" s="7" t="s">
        <v>232</v>
      </c>
      <c r="C145" s="12" t="s">
        <v>71</v>
      </c>
      <c r="D145" s="12">
        <v>12</v>
      </c>
      <c r="E145" s="12"/>
      <c r="F145" s="12"/>
    </row>
    <row r="146" spans="1:6">
      <c r="A146" s="7"/>
      <c r="B146" s="7" t="s">
        <v>230</v>
      </c>
      <c r="C146" s="12" t="s">
        <v>71</v>
      </c>
      <c r="D146" s="12">
        <v>10</v>
      </c>
      <c r="E146" s="12"/>
      <c r="F146" s="12"/>
    </row>
    <row r="147" spans="1:6">
      <c r="A147" s="7"/>
      <c r="B147" s="7" t="s">
        <v>233</v>
      </c>
      <c r="C147" s="12" t="s">
        <v>71</v>
      </c>
      <c r="D147" s="12">
        <v>7</v>
      </c>
      <c r="E147" s="12"/>
      <c r="F147" s="12"/>
    </row>
    <row r="148" spans="1:6">
      <c r="A148" s="7"/>
      <c r="B148" s="7" t="s">
        <v>231</v>
      </c>
      <c r="C148" s="12" t="s">
        <v>71</v>
      </c>
      <c r="D148" s="12">
        <v>8</v>
      </c>
      <c r="E148" s="12"/>
      <c r="F148" s="12"/>
    </row>
    <row r="149" spans="1:6">
      <c r="A149" s="7"/>
      <c r="B149" s="16" t="s">
        <v>279</v>
      </c>
      <c r="C149" s="12"/>
      <c r="D149" s="12"/>
      <c r="E149" s="12"/>
      <c r="F149" s="12"/>
    </row>
    <row r="150" spans="1:6">
      <c r="A150" s="7"/>
      <c r="B150" s="7" t="s">
        <v>232</v>
      </c>
      <c r="C150" s="12" t="s">
        <v>71</v>
      </c>
      <c r="D150" s="12">
        <v>1</v>
      </c>
      <c r="E150" s="12"/>
      <c r="F150" s="12"/>
    </row>
    <row r="151" spans="1:6">
      <c r="A151" s="7"/>
      <c r="B151" s="7" t="s">
        <v>230</v>
      </c>
      <c r="C151" s="12" t="s">
        <v>71</v>
      </c>
      <c r="D151" s="12">
        <v>1</v>
      </c>
      <c r="E151" s="12"/>
      <c r="F151" s="12"/>
    </row>
    <row r="152" spans="1:6">
      <c r="A152" s="7"/>
      <c r="B152" s="7" t="s">
        <v>237</v>
      </c>
      <c r="C152" s="12" t="s">
        <v>71</v>
      </c>
      <c r="D152" s="12">
        <v>1</v>
      </c>
      <c r="E152" s="12"/>
      <c r="F152" s="12"/>
    </row>
    <row r="153" spans="1:6">
      <c r="A153" s="7"/>
      <c r="B153" s="7" t="s">
        <v>231</v>
      </c>
      <c r="C153" s="12" t="s">
        <v>71</v>
      </c>
      <c r="D153" s="12">
        <v>1</v>
      </c>
      <c r="E153" s="12"/>
      <c r="F153" s="12"/>
    </row>
    <row r="154" spans="1:6">
      <c r="A154" s="7"/>
      <c r="B154" s="16" t="s">
        <v>280</v>
      </c>
      <c r="C154" s="12"/>
      <c r="D154" s="12"/>
      <c r="E154" s="12"/>
      <c r="F154" s="12"/>
    </row>
    <row r="155" spans="1:6">
      <c r="A155" s="7"/>
      <c r="B155" s="7" t="s">
        <v>232</v>
      </c>
      <c r="C155" s="12" t="s">
        <v>71</v>
      </c>
      <c r="D155" s="12">
        <v>1</v>
      </c>
      <c r="E155" s="12"/>
      <c r="F155" s="12"/>
    </row>
    <row r="156" spans="1:6">
      <c r="A156" s="7"/>
      <c r="B156" s="7" t="s">
        <v>230</v>
      </c>
      <c r="C156" s="12" t="s">
        <v>71</v>
      </c>
      <c r="D156" s="12">
        <v>1</v>
      </c>
      <c r="E156" s="12"/>
      <c r="F156" s="12"/>
    </row>
    <row r="157" spans="1:6">
      <c r="A157" s="7"/>
      <c r="B157" s="7" t="s">
        <v>257</v>
      </c>
      <c r="C157" s="12" t="s">
        <v>71</v>
      </c>
      <c r="D157" s="12">
        <v>1</v>
      </c>
      <c r="E157" s="12"/>
      <c r="F157" s="12"/>
    </row>
    <row r="158" spans="1:6">
      <c r="A158" s="7"/>
      <c r="B158" s="7" t="s">
        <v>281</v>
      </c>
      <c r="C158" s="12" t="s">
        <v>71</v>
      </c>
      <c r="D158" s="12">
        <v>1</v>
      </c>
      <c r="E158" s="12"/>
      <c r="F158" s="12"/>
    </row>
    <row r="159" spans="1:6">
      <c r="A159" s="7"/>
      <c r="B159" s="7" t="s">
        <v>231</v>
      </c>
      <c r="C159" s="12" t="s">
        <v>71</v>
      </c>
      <c r="D159" s="12">
        <v>1</v>
      </c>
      <c r="E159" s="12"/>
      <c r="F159" s="12"/>
    </row>
    <row r="160" spans="1:6">
      <c r="A160" s="7"/>
      <c r="B160" s="16" t="s">
        <v>282</v>
      </c>
      <c r="C160" s="12"/>
      <c r="D160" s="12"/>
      <c r="E160" s="12"/>
      <c r="F160" s="12"/>
    </row>
    <row r="161" spans="1:6">
      <c r="A161" s="7"/>
      <c r="B161" s="7" t="s">
        <v>232</v>
      </c>
      <c r="C161" s="12" t="s">
        <v>71</v>
      </c>
      <c r="D161" s="12">
        <v>1</v>
      </c>
      <c r="E161" s="12"/>
      <c r="F161" s="12"/>
    </row>
    <row r="162" spans="1:6">
      <c r="A162" s="7"/>
      <c r="B162" s="7" t="s">
        <v>230</v>
      </c>
      <c r="C162" s="12" t="s">
        <v>71</v>
      </c>
      <c r="D162" s="12">
        <v>1</v>
      </c>
      <c r="E162" s="12"/>
      <c r="F162" s="12"/>
    </row>
    <row r="163" spans="1:6">
      <c r="A163" s="7"/>
      <c r="B163" s="7" t="s">
        <v>237</v>
      </c>
      <c r="C163" s="12" t="s">
        <v>71</v>
      </c>
      <c r="D163" s="12">
        <v>1</v>
      </c>
      <c r="E163" s="12"/>
      <c r="F163" s="12"/>
    </row>
    <row r="164" spans="1:6">
      <c r="A164" s="7"/>
      <c r="B164" s="7" t="s">
        <v>231</v>
      </c>
      <c r="C164" s="12" t="s">
        <v>71</v>
      </c>
      <c r="D164" s="12">
        <v>1</v>
      </c>
      <c r="E164" s="12"/>
      <c r="F164" s="12"/>
    </row>
    <row r="165" spans="1:6">
      <c r="A165" s="7"/>
      <c r="B165" s="16" t="s">
        <v>283</v>
      </c>
      <c r="C165" s="12"/>
      <c r="D165" s="12"/>
      <c r="E165" s="12"/>
      <c r="F165" s="12"/>
    </row>
    <row r="166" spans="1:6">
      <c r="A166" s="7"/>
      <c r="B166" s="7" t="s">
        <v>232</v>
      </c>
      <c r="C166" s="12" t="s">
        <v>71</v>
      </c>
      <c r="D166" s="12">
        <v>1</v>
      </c>
      <c r="E166" s="12"/>
      <c r="F166" s="12"/>
    </row>
    <row r="167" spans="1:6">
      <c r="A167" s="7"/>
      <c r="B167" s="7" t="s">
        <v>230</v>
      </c>
      <c r="C167" s="12" t="s">
        <v>71</v>
      </c>
      <c r="D167" s="12">
        <v>1</v>
      </c>
      <c r="E167" s="12"/>
      <c r="F167" s="12"/>
    </row>
    <row r="168" spans="1:6">
      <c r="A168" s="7"/>
      <c r="B168" s="7" t="s">
        <v>237</v>
      </c>
      <c r="C168" s="12" t="s">
        <v>71</v>
      </c>
      <c r="D168" s="12">
        <v>1</v>
      </c>
      <c r="E168" s="12"/>
      <c r="F168" s="12"/>
    </row>
    <row r="169" spans="1:6">
      <c r="A169" s="7"/>
      <c r="B169" s="7" t="s">
        <v>231</v>
      </c>
      <c r="C169" s="12" t="s">
        <v>71</v>
      </c>
      <c r="D169" s="12">
        <v>1</v>
      </c>
      <c r="E169" s="12"/>
      <c r="F169" s="12"/>
    </row>
    <row r="170" spans="1:6">
      <c r="A170" s="7"/>
      <c r="B170" s="15" t="s">
        <v>278</v>
      </c>
      <c r="C170" s="12"/>
      <c r="D170" s="12"/>
      <c r="E170" s="12"/>
      <c r="F170" s="12"/>
    </row>
    <row r="171" spans="1:6">
      <c r="A171" s="7"/>
      <c r="B171" s="7" t="s">
        <v>274</v>
      </c>
      <c r="C171" s="12" t="s">
        <v>71</v>
      </c>
      <c r="D171" s="12">
        <v>2</v>
      </c>
      <c r="E171" s="12"/>
      <c r="F171" s="12"/>
    </row>
    <row r="172" spans="1:6" s="1" customFormat="1" ht="22.5" customHeight="1">
      <c r="A172" s="3"/>
      <c r="B172" s="4" t="s">
        <v>285</v>
      </c>
      <c r="C172" s="9"/>
      <c r="D172" s="11"/>
      <c r="E172" s="11"/>
      <c r="F172" s="11"/>
    </row>
    <row r="173" spans="1:6">
      <c r="A173" s="7"/>
      <c r="B173" s="15" t="s">
        <v>239</v>
      </c>
      <c r="C173" s="12"/>
      <c r="D173" s="12"/>
      <c r="E173" s="12"/>
      <c r="F173" s="12"/>
    </row>
    <row r="174" spans="1:6">
      <c r="A174" s="7"/>
      <c r="B174" s="7" t="s">
        <v>232</v>
      </c>
      <c r="C174" s="12" t="s">
        <v>71</v>
      </c>
      <c r="D174" s="12">
        <v>12</v>
      </c>
      <c r="E174" s="12"/>
      <c r="F174" s="12"/>
    </row>
    <row r="175" spans="1:6">
      <c r="A175" s="7"/>
      <c r="B175" s="7" t="s">
        <v>230</v>
      </c>
      <c r="C175" s="12" t="s">
        <v>71</v>
      </c>
      <c r="D175" s="12">
        <v>10</v>
      </c>
      <c r="E175" s="12"/>
      <c r="F175" s="12"/>
    </row>
    <row r="176" spans="1:6">
      <c r="A176" s="7"/>
      <c r="B176" s="7" t="s">
        <v>233</v>
      </c>
      <c r="C176" s="12" t="s">
        <v>71</v>
      </c>
      <c r="D176" s="12">
        <v>7</v>
      </c>
      <c r="E176" s="12"/>
      <c r="F176" s="12"/>
    </row>
    <row r="177" spans="1:6">
      <c r="A177" s="7"/>
      <c r="B177" s="7" t="s">
        <v>231</v>
      </c>
      <c r="C177" s="12" t="s">
        <v>71</v>
      </c>
      <c r="D177" s="12">
        <v>8</v>
      </c>
      <c r="E177" s="12"/>
      <c r="F177" s="12"/>
    </row>
    <row r="178" spans="1:6">
      <c r="A178" s="7"/>
      <c r="B178" s="15" t="s">
        <v>240</v>
      </c>
      <c r="C178" s="12"/>
      <c r="D178" s="12"/>
      <c r="E178" s="12"/>
      <c r="F178" s="12"/>
    </row>
    <row r="179" spans="1:6">
      <c r="A179" s="7"/>
      <c r="B179" s="7" t="s">
        <v>232</v>
      </c>
      <c r="C179" s="12" t="s">
        <v>71</v>
      </c>
      <c r="D179" s="12">
        <v>12</v>
      </c>
      <c r="E179" s="12"/>
      <c r="F179" s="12"/>
    </row>
    <row r="180" spans="1:6">
      <c r="A180" s="7"/>
      <c r="B180" s="7" t="s">
        <v>230</v>
      </c>
      <c r="C180" s="12" t="s">
        <v>71</v>
      </c>
      <c r="D180" s="12">
        <v>10</v>
      </c>
      <c r="E180" s="12"/>
      <c r="F180" s="12"/>
    </row>
    <row r="181" spans="1:6">
      <c r="A181" s="7"/>
      <c r="B181" s="7" t="s">
        <v>233</v>
      </c>
      <c r="C181" s="12" t="s">
        <v>71</v>
      </c>
      <c r="D181" s="12">
        <v>7</v>
      </c>
      <c r="E181" s="12"/>
      <c r="F181" s="12"/>
    </row>
    <row r="182" spans="1:6">
      <c r="A182" s="7"/>
      <c r="B182" s="7" t="s">
        <v>231</v>
      </c>
      <c r="C182" s="12" t="s">
        <v>71</v>
      </c>
      <c r="D182" s="12">
        <v>8</v>
      </c>
      <c r="E182" s="12"/>
      <c r="F182" s="12"/>
    </row>
    <row r="183" spans="1:6" ht="33">
      <c r="A183" s="7"/>
      <c r="B183" s="16" t="s">
        <v>286</v>
      </c>
      <c r="C183" s="12"/>
      <c r="D183" s="12"/>
      <c r="E183" s="12"/>
      <c r="F183" s="12"/>
    </row>
    <row r="184" spans="1:6">
      <c r="A184" s="7"/>
      <c r="B184" s="7" t="s">
        <v>232</v>
      </c>
      <c r="C184" s="12" t="s">
        <v>71</v>
      </c>
      <c r="D184" s="12">
        <v>1</v>
      </c>
      <c r="E184" s="12"/>
      <c r="F184" s="12"/>
    </row>
    <row r="185" spans="1:6">
      <c r="A185" s="7"/>
      <c r="B185" s="7" t="s">
        <v>230</v>
      </c>
      <c r="C185" s="12" t="s">
        <v>71</v>
      </c>
      <c r="D185" s="12">
        <v>1</v>
      </c>
      <c r="E185" s="12"/>
      <c r="F185" s="12"/>
    </row>
    <row r="186" spans="1:6">
      <c r="A186" s="7"/>
      <c r="B186" s="7" t="s">
        <v>237</v>
      </c>
      <c r="C186" s="12" t="s">
        <v>71</v>
      </c>
      <c r="D186" s="12">
        <v>1</v>
      </c>
      <c r="E186" s="12"/>
      <c r="F186" s="12"/>
    </row>
    <row r="187" spans="1:6">
      <c r="A187" s="7"/>
      <c r="B187" s="7" t="s">
        <v>231</v>
      </c>
      <c r="C187" s="12" t="s">
        <v>71</v>
      </c>
      <c r="D187" s="12">
        <v>1</v>
      </c>
      <c r="E187" s="12"/>
      <c r="F187" s="12"/>
    </row>
    <row r="188" spans="1:6" ht="33">
      <c r="A188" s="7"/>
      <c r="B188" s="16" t="s">
        <v>287</v>
      </c>
      <c r="C188" s="12"/>
      <c r="D188" s="12"/>
      <c r="E188" s="12"/>
      <c r="F188" s="12"/>
    </row>
    <row r="189" spans="1:6">
      <c r="A189" s="7"/>
      <c r="B189" s="7" t="s">
        <v>232</v>
      </c>
      <c r="C189" s="12" t="s">
        <v>71</v>
      </c>
      <c r="D189" s="12">
        <v>1</v>
      </c>
      <c r="E189" s="12"/>
      <c r="F189" s="12"/>
    </row>
    <row r="190" spans="1:6">
      <c r="A190" s="7"/>
      <c r="B190" s="7" t="s">
        <v>230</v>
      </c>
      <c r="C190" s="12" t="s">
        <v>71</v>
      </c>
      <c r="D190" s="12">
        <v>1</v>
      </c>
      <c r="E190" s="12"/>
      <c r="F190" s="12"/>
    </row>
    <row r="191" spans="1:6">
      <c r="A191" s="7"/>
      <c r="B191" s="7" t="s">
        <v>237</v>
      </c>
      <c r="C191" s="12" t="s">
        <v>71</v>
      </c>
      <c r="D191" s="12">
        <v>1</v>
      </c>
      <c r="E191" s="12"/>
      <c r="F191" s="12"/>
    </row>
    <row r="192" spans="1:6">
      <c r="A192" s="7"/>
      <c r="B192" s="7" t="s">
        <v>231</v>
      </c>
      <c r="C192" s="12" t="s">
        <v>71</v>
      </c>
      <c r="D192" s="12">
        <v>1</v>
      </c>
      <c r="E192" s="12"/>
      <c r="F192" s="12"/>
    </row>
    <row r="193" spans="1:6">
      <c r="A193" s="7"/>
      <c r="B193" s="15" t="s">
        <v>278</v>
      </c>
      <c r="C193" s="12"/>
      <c r="D193" s="12"/>
      <c r="E193" s="12"/>
      <c r="F193" s="12"/>
    </row>
    <row r="194" spans="1:6">
      <c r="A194" s="7"/>
      <c r="B194" s="7" t="s">
        <v>274</v>
      </c>
      <c r="C194" s="12" t="s">
        <v>71</v>
      </c>
      <c r="D194" s="12">
        <v>2</v>
      </c>
      <c r="E194" s="12"/>
      <c r="F194" s="12"/>
    </row>
    <row r="195" spans="1:6" s="1" customFormat="1" ht="22.5" customHeight="1">
      <c r="A195" s="3"/>
      <c r="B195" s="4" t="s">
        <v>288</v>
      </c>
      <c r="C195" s="9"/>
      <c r="D195" s="11"/>
      <c r="E195" s="11"/>
      <c r="F195" s="11"/>
    </row>
    <row r="196" spans="1:6">
      <c r="A196" s="7"/>
      <c r="B196" s="15" t="s">
        <v>239</v>
      </c>
      <c r="C196" s="12"/>
      <c r="D196" s="12"/>
      <c r="E196" s="12"/>
      <c r="F196" s="12"/>
    </row>
    <row r="197" spans="1:6">
      <c r="A197" s="7"/>
      <c r="B197" s="7" t="s">
        <v>232</v>
      </c>
      <c r="C197" s="12" t="s">
        <v>71</v>
      </c>
      <c r="D197" s="12">
        <v>12</v>
      </c>
      <c r="E197" s="12"/>
      <c r="F197" s="12"/>
    </row>
    <row r="198" spans="1:6">
      <c r="A198" s="7"/>
      <c r="B198" s="7" t="s">
        <v>230</v>
      </c>
      <c r="C198" s="12" t="s">
        <v>71</v>
      </c>
      <c r="D198" s="12">
        <v>10</v>
      </c>
      <c r="E198" s="12"/>
      <c r="F198" s="12"/>
    </row>
    <row r="199" spans="1:6">
      <c r="A199" s="7"/>
      <c r="B199" s="7" t="s">
        <v>233</v>
      </c>
      <c r="C199" s="12" t="s">
        <v>71</v>
      </c>
      <c r="D199" s="12">
        <v>7</v>
      </c>
      <c r="E199" s="12"/>
      <c r="F199" s="12"/>
    </row>
    <row r="200" spans="1:6">
      <c r="A200" s="7"/>
      <c r="B200" s="7" t="s">
        <v>231</v>
      </c>
      <c r="C200" s="12" t="s">
        <v>71</v>
      </c>
      <c r="D200" s="12">
        <v>8</v>
      </c>
      <c r="E200" s="12"/>
      <c r="F200" s="12"/>
    </row>
    <row r="201" spans="1:6">
      <c r="A201" s="7"/>
      <c r="B201" s="15" t="s">
        <v>240</v>
      </c>
      <c r="C201" s="12"/>
      <c r="D201" s="12"/>
      <c r="E201" s="12"/>
      <c r="F201" s="12"/>
    </row>
    <row r="202" spans="1:6">
      <c r="A202" s="7"/>
      <c r="B202" s="7" t="s">
        <v>232</v>
      </c>
      <c r="C202" s="12" t="s">
        <v>71</v>
      </c>
      <c r="D202" s="12">
        <v>12</v>
      </c>
      <c r="E202" s="12"/>
      <c r="F202" s="12"/>
    </row>
    <row r="203" spans="1:6">
      <c r="A203" s="7"/>
      <c r="B203" s="7" t="s">
        <v>230</v>
      </c>
      <c r="C203" s="12" t="s">
        <v>71</v>
      </c>
      <c r="D203" s="12">
        <v>10</v>
      </c>
      <c r="E203" s="12"/>
      <c r="F203" s="12"/>
    </row>
    <row r="204" spans="1:6">
      <c r="A204" s="7"/>
      <c r="B204" s="7" t="s">
        <v>233</v>
      </c>
      <c r="C204" s="12" t="s">
        <v>71</v>
      </c>
      <c r="D204" s="12">
        <v>7</v>
      </c>
      <c r="E204" s="12"/>
      <c r="F204" s="12"/>
    </row>
    <row r="205" spans="1:6">
      <c r="A205" s="7"/>
      <c r="B205" s="7" t="s">
        <v>231</v>
      </c>
      <c r="C205" s="12" t="s">
        <v>71</v>
      </c>
      <c r="D205" s="12">
        <v>8</v>
      </c>
      <c r="E205" s="12"/>
      <c r="F205" s="12"/>
    </row>
    <row r="206" spans="1:6" ht="33">
      <c r="A206" s="7"/>
      <c r="B206" s="16" t="s">
        <v>286</v>
      </c>
      <c r="C206" s="12"/>
      <c r="D206" s="12"/>
      <c r="E206" s="12"/>
      <c r="F206" s="12"/>
    </row>
    <row r="207" spans="1:6">
      <c r="A207" s="7"/>
      <c r="B207" s="7" t="s">
        <v>232</v>
      </c>
      <c r="C207" s="12" t="s">
        <v>71</v>
      </c>
      <c r="D207" s="12">
        <v>1</v>
      </c>
      <c r="E207" s="12"/>
      <c r="F207" s="12"/>
    </row>
    <row r="208" spans="1:6">
      <c r="A208" s="7"/>
      <c r="B208" s="7" t="s">
        <v>230</v>
      </c>
      <c r="C208" s="12" t="s">
        <v>71</v>
      </c>
      <c r="D208" s="12">
        <v>1</v>
      </c>
      <c r="E208" s="12"/>
      <c r="F208" s="12"/>
    </row>
    <row r="209" spans="1:6">
      <c r="A209" s="7"/>
      <c r="B209" s="7" t="s">
        <v>237</v>
      </c>
      <c r="C209" s="12" t="s">
        <v>71</v>
      </c>
      <c r="D209" s="12">
        <v>1</v>
      </c>
      <c r="E209" s="12"/>
      <c r="F209" s="12"/>
    </row>
    <row r="210" spans="1:6">
      <c r="A210" s="7"/>
      <c r="B210" s="7" t="s">
        <v>231</v>
      </c>
      <c r="C210" s="12" t="s">
        <v>71</v>
      </c>
      <c r="D210" s="12">
        <v>1</v>
      </c>
      <c r="E210" s="12"/>
      <c r="F210" s="12"/>
    </row>
    <row r="211" spans="1:6" ht="33">
      <c r="A211" s="7"/>
      <c r="B211" s="16" t="s">
        <v>287</v>
      </c>
      <c r="C211" s="12"/>
      <c r="D211" s="12"/>
      <c r="E211" s="12"/>
      <c r="F211" s="12"/>
    </row>
    <row r="212" spans="1:6">
      <c r="A212" s="7"/>
      <c r="B212" s="7" t="s">
        <v>232</v>
      </c>
      <c r="C212" s="12" t="s">
        <v>71</v>
      </c>
      <c r="D212" s="12">
        <v>1</v>
      </c>
      <c r="E212" s="12"/>
      <c r="F212" s="12"/>
    </row>
    <row r="213" spans="1:6">
      <c r="A213" s="7"/>
      <c r="B213" s="7" t="s">
        <v>230</v>
      </c>
      <c r="C213" s="12" t="s">
        <v>71</v>
      </c>
      <c r="D213" s="12">
        <v>1</v>
      </c>
      <c r="E213" s="12"/>
      <c r="F213" s="12"/>
    </row>
    <row r="214" spans="1:6">
      <c r="A214" s="7"/>
      <c r="B214" s="7" t="s">
        <v>237</v>
      </c>
      <c r="C214" s="12" t="s">
        <v>71</v>
      </c>
      <c r="D214" s="12">
        <v>1</v>
      </c>
      <c r="E214" s="12"/>
      <c r="F214" s="12"/>
    </row>
    <row r="215" spans="1:6">
      <c r="A215" s="7"/>
      <c r="B215" s="7" t="s">
        <v>231</v>
      </c>
      <c r="C215" s="12" t="s">
        <v>71</v>
      </c>
      <c r="D215" s="12">
        <v>1</v>
      </c>
      <c r="E215" s="12"/>
      <c r="F215" s="12"/>
    </row>
    <row r="216" spans="1:6" ht="33">
      <c r="A216" s="7"/>
      <c r="B216" s="16" t="s">
        <v>289</v>
      </c>
      <c r="C216" s="12"/>
      <c r="D216" s="12"/>
      <c r="E216" s="12"/>
      <c r="F216" s="12"/>
    </row>
    <row r="217" spans="1:6">
      <c r="A217" s="7"/>
      <c r="B217" s="7" t="s">
        <v>229</v>
      </c>
      <c r="C217" s="12" t="s">
        <v>71</v>
      </c>
      <c r="D217" s="12">
        <v>4</v>
      </c>
      <c r="E217" s="12"/>
      <c r="F217" s="12"/>
    </row>
    <row r="218" spans="1:6">
      <c r="A218" s="7"/>
      <c r="B218" s="7" t="s">
        <v>237</v>
      </c>
      <c r="C218" s="12" t="s">
        <v>71</v>
      </c>
      <c r="D218" s="12">
        <v>4</v>
      </c>
      <c r="E218" s="12"/>
      <c r="F218" s="12"/>
    </row>
    <row r="219" spans="1:6">
      <c r="A219" s="7"/>
      <c r="B219" s="7" t="s">
        <v>231</v>
      </c>
      <c r="C219" s="12" t="s">
        <v>71</v>
      </c>
      <c r="D219" s="12">
        <v>8</v>
      </c>
      <c r="E219" s="12"/>
      <c r="F219" s="12"/>
    </row>
    <row r="220" spans="1:6">
      <c r="A220" s="7"/>
      <c r="B220" s="15" t="s">
        <v>278</v>
      </c>
      <c r="C220" s="12"/>
      <c r="D220" s="12"/>
      <c r="E220" s="12"/>
      <c r="F220" s="12"/>
    </row>
    <row r="221" spans="1:6">
      <c r="A221" s="7"/>
      <c r="B221" s="7" t="s">
        <v>274</v>
      </c>
      <c r="C221" s="12" t="s">
        <v>71</v>
      </c>
      <c r="D221" s="12">
        <v>2</v>
      </c>
      <c r="E221" s="12"/>
      <c r="F221" s="12"/>
    </row>
    <row r="222" spans="1:6" s="1" customFormat="1" ht="22.5" customHeight="1">
      <c r="A222" s="3"/>
      <c r="B222" s="4" t="s">
        <v>290</v>
      </c>
      <c r="C222" s="9"/>
      <c r="D222" s="11"/>
      <c r="E222" s="11"/>
      <c r="F222" s="11"/>
    </row>
    <row r="223" spans="1:6">
      <c r="A223" s="7"/>
      <c r="B223" s="15" t="s">
        <v>291</v>
      </c>
      <c r="C223" s="12"/>
      <c r="D223" s="12"/>
      <c r="E223" s="12"/>
      <c r="F223" s="12"/>
    </row>
    <row r="224" spans="1:6">
      <c r="A224" s="7"/>
      <c r="B224" s="7" t="s">
        <v>232</v>
      </c>
      <c r="C224" s="12" t="s">
        <v>71</v>
      </c>
      <c r="D224" s="12">
        <v>12</v>
      </c>
      <c r="E224" s="12"/>
      <c r="F224" s="12"/>
    </row>
    <row r="225" spans="1:6">
      <c r="A225" s="7"/>
      <c r="B225" s="7" t="s">
        <v>230</v>
      </c>
      <c r="C225" s="12" t="s">
        <v>71</v>
      </c>
      <c r="D225" s="12">
        <v>10</v>
      </c>
      <c r="E225" s="12"/>
      <c r="F225" s="12"/>
    </row>
    <row r="226" spans="1:6">
      <c r="A226" s="7"/>
      <c r="B226" s="7" t="s">
        <v>233</v>
      </c>
      <c r="C226" s="12" t="s">
        <v>71</v>
      </c>
      <c r="D226" s="12">
        <v>6</v>
      </c>
      <c r="E226" s="12"/>
      <c r="F226" s="12"/>
    </row>
    <row r="227" spans="1:6">
      <c r="A227" s="7"/>
      <c r="B227" s="7" t="s">
        <v>231</v>
      </c>
      <c r="C227" s="12" t="s">
        <v>71</v>
      </c>
      <c r="D227" s="12">
        <v>8</v>
      </c>
      <c r="E227" s="12"/>
      <c r="F227" s="12"/>
    </row>
    <row r="228" spans="1:6">
      <c r="A228" s="7"/>
      <c r="B228" s="15" t="s">
        <v>292</v>
      </c>
      <c r="C228" s="12"/>
      <c r="D228" s="12"/>
      <c r="E228" s="12"/>
      <c r="F228" s="12"/>
    </row>
    <row r="229" spans="1:6">
      <c r="A229" s="7"/>
      <c r="B229" s="7" t="s">
        <v>232</v>
      </c>
      <c r="C229" s="12" t="s">
        <v>71</v>
      </c>
      <c r="D229" s="12">
        <v>3</v>
      </c>
      <c r="E229" s="12"/>
      <c r="F229" s="12"/>
    </row>
    <row r="230" spans="1:6">
      <c r="A230" s="7"/>
      <c r="B230" s="7" t="s">
        <v>229</v>
      </c>
      <c r="C230" s="12" t="s">
        <v>71</v>
      </c>
      <c r="D230" s="12">
        <v>4</v>
      </c>
      <c r="E230" s="12"/>
      <c r="F230" s="12"/>
    </row>
    <row r="231" spans="1:6">
      <c r="A231" s="7"/>
      <c r="B231" s="7" t="s">
        <v>233</v>
      </c>
      <c r="C231" s="12" t="s">
        <v>71</v>
      </c>
      <c r="D231" s="12">
        <v>2</v>
      </c>
      <c r="E231" s="12"/>
      <c r="F231" s="12"/>
    </row>
    <row r="232" spans="1:6">
      <c r="A232" s="7"/>
      <c r="B232" s="7" t="s">
        <v>231</v>
      </c>
      <c r="C232" s="12" t="s">
        <v>71</v>
      </c>
      <c r="D232" s="12">
        <v>4</v>
      </c>
      <c r="E232" s="12"/>
      <c r="F232" s="12"/>
    </row>
    <row r="233" spans="1:6">
      <c r="A233" s="7"/>
      <c r="B233" s="15" t="s">
        <v>146</v>
      </c>
      <c r="C233" s="12"/>
      <c r="D233" s="12"/>
      <c r="E233" s="12"/>
      <c r="F233" s="12"/>
    </row>
    <row r="234" spans="1:6">
      <c r="A234" s="7"/>
      <c r="B234" s="7" t="s">
        <v>231</v>
      </c>
      <c r="C234" s="12" t="s">
        <v>71</v>
      </c>
      <c r="D234" s="12">
        <v>11</v>
      </c>
      <c r="E234" s="12"/>
      <c r="F234" s="12"/>
    </row>
    <row r="235" spans="1:6" s="1" customFormat="1" ht="22.5" customHeight="1">
      <c r="A235" s="3"/>
      <c r="B235" s="4" t="s">
        <v>293</v>
      </c>
      <c r="C235" s="9"/>
      <c r="D235" s="11"/>
      <c r="E235" s="11"/>
      <c r="F235" s="11"/>
    </row>
    <row r="236" spans="1:6">
      <c r="A236" s="7"/>
      <c r="B236" s="15" t="s">
        <v>294</v>
      </c>
      <c r="C236" s="12"/>
      <c r="D236" s="12"/>
      <c r="E236" s="12"/>
      <c r="F236" s="12"/>
    </row>
    <row r="237" spans="1:6">
      <c r="A237" s="7"/>
      <c r="B237" s="7" t="s">
        <v>295</v>
      </c>
      <c r="C237" s="12" t="s">
        <v>296</v>
      </c>
      <c r="D237" s="12">
        <v>1</v>
      </c>
      <c r="E237" s="12"/>
      <c r="F237" s="12"/>
    </row>
    <row r="238" spans="1:6">
      <c r="A238" s="7"/>
      <c r="B238" s="15" t="s">
        <v>297</v>
      </c>
      <c r="C238" s="12"/>
      <c r="D238" s="12"/>
      <c r="E238" s="12"/>
      <c r="F238" s="12"/>
    </row>
    <row r="239" spans="1:6">
      <c r="A239" s="7"/>
      <c r="B239" s="7" t="s">
        <v>295</v>
      </c>
      <c r="C239" s="12" t="s">
        <v>296</v>
      </c>
      <c r="D239" s="12">
        <v>1</v>
      </c>
      <c r="E239" s="12"/>
      <c r="F239" s="12"/>
    </row>
    <row r="240" spans="1:6">
      <c r="A240" s="7"/>
      <c r="B240" s="15" t="s">
        <v>298</v>
      </c>
      <c r="C240" s="12"/>
      <c r="D240" s="12"/>
      <c r="E240" s="12"/>
      <c r="F240" s="12"/>
    </row>
    <row r="241" spans="1:6">
      <c r="A241" s="7"/>
      <c r="B241" s="7" t="s">
        <v>299</v>
      </c>
      <c r="C241" s="12" t="s">
        <v>300</v>
      </c>
      <c r="D241" s="12">
        <v>22</v>
      </c>
      <c r="E241" s="12"/>
      <c r="F241" s="12"/>
    </row>
    <row r="242" spans="1:6">
      <c r="A242" s="7"/>
      <c r="B242" s="15" t="s">
        <v>301</v>
      </c>
      <c r="C242" s="12"/>
      <c r="D242" s="12"/>
      <c r="E242" s="12"/>
      <c r="F242" s="12"/>
    </row>
    <row r="243" spans="1:6">
      <c r="A243" s="7"/>
      <c r="B243" s="7" t="s">
        <v>299</v>
      </c>
      <c r="C243" s="12" t="s">
        <v>71</v>
      </c>
      <c r="D243" s="12">
        <v>3</v>
      </c>
      <c r="E243" s="12"/>
      <c r="F243" s="12"/>
    </row>
    <row r="244" spans="1:6">
      <c r="A244" s="7"/>
      <c r="B244" s="7"/>
      <c r="C244" s="12"/>
      <c r="D244" s="12"/>
      <c r="E244" s="12"/>
      <c r="F244" s="12"/>
    </row>
    <row r="245" spans="1:6">
      <c r="A245" s="7"/>
      <c r="B245" s="7"/>
      <c r="C245" s="12"/>
      <c r="D245" s="12"/>
      <c r="E245" s="12"/>
      <c r="F245" s="12"/>
    </row>
    <row r="246" spans="1:6">
      <c r="A246" s="7"/>
      <c r="B246" s="7"/>
      <c r="C246" s="12"/>
      <c r="D246" s="12"/>
      <c r="E246" s="12"/>
      <c r="F246" s="12"/>
    </row>
    <row r="247" spans="1:6">
      <c r="A247" s="7"/>
      <c r="B247" s="7"/>
      <c r="C247" s="12"/>
      <c r="D247" s="12"/>
      <c r="E247" s="12"/>
      <c r="F247" s="12"/>
    </row>
    <row r="248" spans="1:6">
      <c r="A248" s="7"/>
      <c r="B248" s="7"/>
      <c r="C248" s="12"/>
      <c r="D248" s="12"/>
      <c r="E248" s="12"/>
      <c r="F248" s="12"/>
    </row>
    <row r="249" spans="1:6">
      <c r="A249" s="7"/>
      <c r="B249" s="7"/>
      <c r="C249" s="12"/>
      <c r="D249" s="12"/>
      <c r="E249" s="12"/>
      <c r="F249" s="12"/>
    </row>
    <row r="250" spans="1:6">
      <c r="A250" s="7"/>
      <c r="B250" s="7"/>
      <c r="C250" s="12"/>
      <c r="D250" s="12"/>
      <c r="E250" s="12"/>
      <c r="F250" s="12"/>
    </row>
    <row r="251" spans="1:6">
      <c r="A251" s="7"/>
      <c r="B251" s="7"/>
      <c r="C251" s="12"/>
      <c r="D251" s="12"/>
      <c r="E251" s="12"/>
      <c r="F251" s="12"/>
    </row>
    <row r="252" spans="1:6">
      <c r="A252" s="7"/>
      <c r="B252" s="7"/>
      <c r="C252" s="12"/>
      <c r="D252" s="12"/>
      <c r="E252" s="12"/>
      <c r="F252" s="12"/>
    </row>
    <row r="253" spans="1:6">
      <c r="A253" s="7"/>
      <c r="B253" s="7"/>
      <c r="C253" s="12"/>
      <c r="D253" s="12"/>
      <c r="E253" s="12"/>
      <c r="F253" s="12"/>
    </row>
    <row r="254" spans="1:6">
      <c r="A254" s="7"/>
      <c r="B254" s="7"/>
      <c r="C254" s="12"/>
      <c r="D254" s="12"/>
      <c r="E254" s="12"/>
      <c r="F254" s="12"/>
    </row>
    <row r="255" spans="1:6">
      <c r="A255" s="7"/>
      <c r="B255" s="7"/>
      <c r="C255" s="12"/>
      <c r="D255" s="12"/>
      <c r="E255" s="12"/>
      <c r="F255" s="12"/>
    </row>
    <row r="256" spans="1:6">
      <c r="A256" s="7"/>
      <c r="B256" s="7"/>
      <c r="C256" s="12"/>
      <c r="D256" s="12"/>
      <c r="E256" s="12"/>
      <c r="F256" s="12"/>
    </row>
    <row r="257" spans="1:6">
      <c r="A257" s="7"/>
      <c r="B257" s="7"/>
      <c r="C257" s="12"/>
      <c r="D257" s="12"/>
      <c r="E257" s="12"/>
      <c r="F257" s="12"/>
    </row>
    <row r="258" spans="1:6">
      <c r="A258" s="7"/>
      <c r="B258" s="7"/>
      <c r="C258" s="12"/>
      <c r="D258" s="12"/>
      <c r="E258" s="12"/>
      <c r="F258" s="12"/>
    </row>
    <row r="259" spans="1:6">
      <c r="A259" s="7"/>
      <c r="B259" s="7"/>
      <c r="C259" s="12"/>
      <c r="D259" s="12"/>
      <c r="E259" s="12"/>
      <c r="F259" s="12"/>
    </row>
    <row r="260" spans="1:6">
      <c r="A260" s="7"/>
      <c r="B260" s="7"/>
      <c r="C260" s="12"/>
      <c r="D260" s="12"/>
      <c r="E260" s="12"/>
      <c r="F260" s="12"/>
    </row>
    <row r="261" spans="1:6">
      <c r="A261" s="7"/>
      <c r="B261" s="7"/>
      <c r="C261" s="12"/>
      <c r="D261" s="12"/>
      <c r="E261" s="12"/>
      <c r="F261" s="12"/>
    </row>
    <row r="262" spans="1:6">
      <c r="A262" s="7"/>
      <c r="B262" s="7"/>
      <c r="C262" s="12"/>
      <c r="D262" s="12"/>
      <c r="E262" s="12"/>
      <c r="F262" s="12"/>
    </row>
    <row r="263" spans="1:6">
      <c r="A263" s="7"/>
      <c r="B263" s="7"/>
      <c r="C263" s="12"/>
      <c r="D263" s="12"/>
      <c r="E263" s="12"/>
      <c r="F263" s="12"/>
    </row>
    <row r="264" spans="1:6">
      <c r="A264" s="7"/>
      <c r="B264" s="7"/>
      <c r="C264" s="12"/>
      <c r="D264" s="12"/>
      <c r="E264" s="12"/>
      <c r="F264" s="12"/>
    </row>
    <row r="265" spans="1:6">
      <c r="A265" s="7"/>
      <c r="B265" s="7"/>
      <c r="C265" s="12"/>
      <c r="D265" s="12"/>
      <c r="E265" s="12"/>
      <c r="F265" s="12"/>
    </row>
    <row r="266" spans="1:6">
      <c r="A266" s="7"/>
      <c r="B266" s="7"/>
      <c r="C266" s="12"/>
      <c r="D266" s="12"/>
      <c r="E266" s="12"/>
      <c r="F266" s="12"/>
    </row>
    <row r="267" spans="1:6">
      <c r="A267" s="7"/>
      <c r="B267" s="7"/>
      <c r="C267" s="12"/>
      <c r="D267" s="12"/>
      <c r="E267" s="12"/>
      <c r="F267" s="12"/>
    </row>
    <row r="268" spans="1:6">
      <c r="A268" s="7"/>
      <c r="B268" s="7"/>
      <c r="C268" s="12"/>
      <c r="D268" s="12"/>
      <c r="E268" s="12"/>
      <c r="F268" s="12"/>
    </row>
    <row r="269" spans="1:6">
      <c r="A269" s="7"/>
      <c r="B269" s="7"/>
      <c r="C269" s="12"/>
      <c r="D269" s="12"/>
      <c r="E269" s="12"/>
      <c r="F269" s="12"/>
    </row>
    <row r="270" spans="1:6">
      <c r="A270" s="7"/>
      <c r="B270" s="7"/>
      <c r="C270" s="12"/>
      <c r="D270" s="12"/>
      <c r="E270" s="12"/>
      <c r="F270" s="12"/>
    </row>
    <row r="271" spans="1:6">
      <c r="A271" s="7"/>
      <c r="B271" s="7"/>
      <c r="C271" s="12"/>
      <c r="D271" s="12"/>
      <c r="E271" s="12"/>
      <c r="F271" s="12"/>
    </row>
    <row r="272" spans="1:6">
      <c r="A272" s="7"/>
      <c r="B272" s="7"/>
      <c r="C272" s="12"/>
      <c r="D272" s="12"/>
      <c r="E272" s="12"/>
      <c r="F272" s="12"/>
    </row>
    <row r="273" spans="1:6">
      <c r="A273" s="7"/>
      <c r="B273" s="7"/>
      <c r="C273" s="12"/>
      <c r="D273" s="12"/>
      <c r="E273" s="12"/>
      <c r="F273" s="12"/>
    </row>
    <row r="274" spans="1:6">
      <c r="A274" s="7"/>
      <c r="B274" s="7"/>
      <c r="C274" s="12"/>
      <c r="D274" s="12"/>
      <c r="E274" s="12"/>
      <c r="F274" s="12"/>
    </row>
    <row r="275" spans="1:6">
      <c r="A275" s="7"/>
      <c r="B275" s="7"/>
      <c r="C275" s="12"/>
      <c r="D275" s="12"/>
      <c r="E275" s="12"/>
      <c r="F275" s="12"/>
    </row>
    <row r="276" spans="1:6">
      <c r="A276" s="7"/>
      <c r="B276" s="7"/>
      <c r="C276" s="12"/>
      <c r="D276" s="12"/>
      <c r="E276" s="12"/>
      <c r="F276" s="12"/>
    </row>
    <row r="277" spans="1:6">
      <c r="A277" s="7"/>
      <c r="B277" s="7"/>
      <c r="C277" s="12"/>
      <c r="D277" s="12"/>
      <c r="E277" s="12"/>
      <c r="F277" s="12"/>
    </row>
    <row r="278" spans="1:6">
      <c r="A278" s="7"/>
      <c r="B278" s="7"/>
      <c r="C278" s="12"/>
      <c r="D278" s="12"/>
      <c r="E278" s="12"/>
      <c r="F278" s="12"/>
    </row>
    <row r="279" spans="1:6">
      <c r="A279" s="7"/>
      <c r="B279" s="7"/>
      <c r="C279" s="12"/>
      <c r="D279" s="12"/>
      <c r="E279" s="12"/>
      <c r="F279" s="12"/>
    </row>
    <row r="280" spans="1:6">
      <c r="A280" s="7"/>
      <c r="B280" s="7"/>
      <c r="C280" s="12"/>
      <c r="D280" s="12"/>
      <c r="E280" s="12"/>
      <c r="F280" s="12"/>
    </row>
    <row r="281" spans="1:6">
      <c r="A281" s="7"/>
      <c r="B281" s="7"/>
      <c r="C281" s="12"/>
      <c r="D281" s="12"/>
      <c r="E281" s="12"/>
      <c r="F281" s="12"/>
    </row>
    <row r="282" spans="1:6">
      <c r="A282" s="7"/>
      <c r="B282" s="7"/>
      <c r="C282" s="12"/>
      <c r="D282" s="12"/>
      <c r="E282" s="12"/>
      <c r="F282" s="12"/>
    </row>
    <row r="283" spans="1:6">
      <c r="A283" s="7"/>
      <c r="B283" s="7"/>
      <c r="C283" s="12"/>
      <c r="D283" s="12"/>
      <c r="E283" s="12"/>
      <c r="F283" s="12"/>
    </row>
    <row r="284" spans="1:6">
      <c r="A284" s="7"/>
      <c r="B284" s="7"/>
      <c r="C284" s="12"/>
      <c r="D284" s="12"/>
      <c r="E284" s="12"/>
      <c r="F284" s="12"/>
    </row>
    <row r="285" spans="1:6">
      <c r="A285" s="7"/>
      <c r="B285" s="7"/>
      <c r="C285" s="12"/>
      <c r="D285" s="12"/>
      <c r="E285" s="12"/>
      <c r="F285" s="12"/>
    </row>
    <row r="286" spans="1:6">
      <c r="A286" s="7"/>
      <c r="B286" s="7"/>
      <c r="C286" s="12"/>
      <c r="D286" s="12"/>
      <c r="E286" s="12"/>
      <c r="F286" s="12"/>
    </row>
    <row r="287" spans="1:6">
      <c r="A287" s="7"/>
      <c r="B287" s="7"/>
      <c r="C287" s="12"/>
      <c r="D287" s="12"/>
      <c r="E287" s="12"/>
      <c r="F287" s="12"/>
    </row>
    <row r="288" spans="1:6">
      <c r="A288" s="7"/>
      <c r="B288" s="7"/>
      <c r="C288" s="12"/>
      <c r="D288" s="12"/>
      <c r="E288" s="12"/>
      <c r="F288" s="12"/>
    </row>
    <row r="289" spans="1:6">
      <c r="A289" s="7"/>
      <c r="B289" s="7"/>
      <c r="C289" s="12"/>
      <c r="D289" s="12"/>
      <c r="E289" s="12"/>
      <c r="F289" s="12"/>
    </row>
    <row r="290" spans="1:6">
      <c r="A290" s="7"/>
      <c r="B290" s="7"/>
      <c r="C290" s="12"/>
      <c r="D290" s="12"/>
      <c r="E290" s="12"/>
      <c r="F290" s="12"/>
    </row>
    <row r="291" spans="1:6">
      <c r="A291" s="7"/>
      <c r="B291" s="7"/>
      <c r="C291" s="12"/>
      <c r="D291" s="12"/>
      <c r="E291" s="12"/>
      <c r="F291" s="12"/>
    </row>
    <row r="292" spans="1:6">
      <c r="A292" s="7"/>
      <c r="B292" s="7"/>
      <c r="C292" s="12"/>
      <c r="D292" s="12"/>
      <c r="E292" s="12"/>
      <c r="F292" s="12"/>
    </row>
    <row r="293" spans="1:6">
      <c r="A293" s="7"/>
      <c r="B293" s="7"/>
      <c r="C293" s="12"/>
      <c r="D293" s="12"/>
      <c r="E293" s="12"/>
      <c r="F293" s="12"/>
    </row>
    <row r="294" spans="1:6">
      <c r="A294" s="7"/>
      <c r="B294" s="7"/>
      <c r="C294" s="12"/>
      <c r="D294" s="12"/>
      <c r="E294" s="12"/>
      <c r="F294" s="12"/>
    </row>
    <row r="295" spans="1:6">
      <c r="A295" s="7"/>
      <c r="B295" s="7"/>
      <c r="C295" s="12"/>
      <c r="D295" s="12"/>
      <c r="E295" s="12"/>
      <c r="F295" s="12"/>
    </row>
    <row r="296" spans="1:6">
      <c r="A296" s="7"/>
      <c r="B296" s="7"/>
      <c r="C296" s="12"/>
      <c r="D296" s="12"/>
      <c r="E296" s="12"/>
      <c r="F296" s="12"/>
    </row>
    <row r="297" spans="1:6">
      <c r="A297" s="7"/>
      <c r="B297" s="7"/>
      <c r="C297" s="12"/>
      <c r="D297" s="12"/>
      <c r="E297" s="12"/>
      <c r="F297" s="12"/>
    </row>
    <row r="298" spans="1:6">
      <c r="A298" s="7"/>
      <c r="B298" s="7"/>
      <c r="C298" s="12"/>
      <c r="D298" s="12"/>
      <c r="E298" s="12"/>
      <c r="F298" s="12"/>
    </row>
    <row r="299" spans="1:6">
      <c r="A299" s="7"/>
      <c r="B299" s="7"/>
      <c r="C299" s="12"/>
      <c r="D299" s="12"/>
      <c r="E299" s="12"/>
      <c r="F299" s="12"/>
    </row>
    <row r="300" spans="1:6">
      <c r="A300" s="7"/>
      <c r="B300" s="7"/>
      <c r="C300" s="12"/>
      <c r="D300" s="12"/>
      <c r="E300" s="12"/>
      <c r="F300" s="12"/>
    </row>
    <row r="301" spans="1:6">
      <c r="A301" s="7"/>
      <c r="B301" s="7"/>
      <c r="C301" s="12"/>
      <c r="D301" s="12"/>
      <c r="E301" s="12"/>
      <c r="F301" s="12"/>
    </row>
    <row r="302" spans="1:6">
      <c r="A302" s="7"/>
      <c r="B302" s="7"/>
      <c r="C302" s="12"/>
      <c r="D302" s="12"/>
      <c r="E302" s="12"/>
      <c r="F302" s="12"/>
    </row>
    <row r="303" spans="1:6">
      <c r="A303" s="7"/>
      <c r="B303" s="7"/>
      <c r="C303" s="12"/>
      <c r="D303" s="12"/>
      <c r="E303" s="12"/>
      <c r="F303" s="12"/>
    </row>
    <row r="304" spans="1:6">
      <c r="A304" s="7"/>
      <c r="B304" s="7"/>
      <c r="C304" s="12"/>
      <c r="D304" s="12"/>
      <c r="E304" s="12"/>
      <c r="F304" s="12"/>
    </row>
    <row r="305" spans="1:6">
      <c r="A305" s="7"/>
      <c r="B305" s="7"/>
      <c r="C305" s="12"/>
      <c r="D305" s="12"/>
      <c r="E305" s="12"/>
      <c r="F305" s="12"/>
    </row>
    <row r="306" spans="1:6">
      <c r="A306" s="7"/>
      <c r="B306" s="7"/>
      <c r="C306" s="12"/>
      <c r="D306" s="12"/>
      <c r="E306" s="12"/>
      <c r="F306" s="12"/>
    </row>
    <row r="307" spans="1:6">
      <c r="A307" s="7"/>
      <c r="B307" s="7"/>
      <c r="C307" s="12"/>
      <c r="D307" s="12"/>
      <c r="E307" s="12"/>
      <c r="F307" s="12"/>
    </row>
    <row r="308" spans="1:6">
      <c r="A308" s="7"/>
      <c r="B308" s="7"/>
      <c r="C308" s="12"/>
      <c r="D308" s="12"/>
      <c r="E308" s="12"/>
      <c r="F308" s="12"/>
    </row>
    <row r="309" spans="1:6">
      <c r="A309" s="7"/>
      <c r="B309" s="7"/>
      <c r="C309" s="12"/>
      <c r="D309" s="12"/>
      <c r="E309" s="12"/>
      <c r="F309" s="12"/>
    </row>
    <row r="310" spans="1:6">
      <c r="A310" s="7"/>
      <c r="B310" s="7"/>
      <c r="C310" s="12"/>
      <c r="D310" s="12"/>
      <c r="E310" s="12"/>
      <c r="F310" s="12"/>
    </row>
    <row r="311" spans="1:6">
      <c r="A311" s="7"/>
      <c r="B311" s="7"/>
      <c r="C311" s="12"/>
      <c r="D311" s="12"/>
      <c r="E311" s="12"/>
      <c r="F311" s="12"/>
    </row>
    <row r="312" spans="1:6">
      <c r="A312" s="7"/>
      <c r="B312" s="7"/>
      <c r="C312" s="12"/>
      <c r="D312" s="12"/>
      <c r="E312" s="12"/>
      <c r="F312" s="12"/>
    </row>
    <row r="313" spans="1:6">
      <c r="A313" s="7"/>
      <c r="B313" s="7"/>
      <c r="C313" s="12"/>
      <c r="D313" s="12"/>
      <c r="E313" s="12"/>
      <c r="F313" s="12"/>
    </row>
    <row r="314" spans="1:6">
      <c r="A314" s="7"/>
      <c r="B314" s="7"/>
      <c r="C314" s="12"/>
      <c r="D314" s="12"/>
      <c r="E314" s="12"/>
      <c r="F314" s="12"/>
    </row>
    <row r="315" spans="1:6">
      <c r="A315" s="7"/>
      <c r="B315" s="7"/>
      <c r="C315" s="12"/>
      <c r="D315" s="12"/>
      <c r="E315" s="12"/>
      <c r="F315" s="12"/>
    </row>
    <row r="316" spans="1:6">
      <c r="A316" s="7"/>
      <c r="B316" s="7"/>
      <c r="C316" s="12"/>
      <c r="D316" s="12"/>
      <c r="E316" s="12"/>
      <c r="F316" s="12"/>
    </row>
    <row r="317" spans="1:6">
      <c r="A317" s="7"/>
      <c r="B317" s="7"/>
      <c r="C317" s="12"/>
      <c r="D317" s="12"/>
      <c r="E317" s="12"/>
      <c r="F317" s="12"/>
    </row>
    <row r="318" spans="1:6">
      <c r="A318" s="7"/>
      <c r="B318" s="7"/>
      <c r="C318" s="12"/>
      <c r="D318" s="12"/>
      <c r="E318" s="12"/>
      <c r="F318" s="12"/>
    </row>
    <row r="319" spans="1:6">
      <c r="A319" s="7"/>
      <c r="B319" s="7"/>
      <c r="C319" s="12"/>
      <c r="D319" s="12"/>
      <c r="E319" s="12"/>
      <c r="F319" s="12"/>
    </row>
    <row r="320" spans="1:6">
      <c r="A320" s="7"/>
      <c r="B320" s="7"/>
      <c r="C320" s="12"/>
      <c r="D320" s="12"/>
      <c r="E320" s="12"/>
      <c r="F320" s="12"/>
    </row>
    <row r="321" spans="1:6">
      <c r="A321" s="7"/>
      <c r="B321" s="7"/>
      <c r="C321" s="12"/>
      <c r="D321" s="12"/>
      <c r="E321" s="12"/>
      <c r="F321" s="12"/>
    </row>
    <row r="322" spans="1:6">
      <c r="A322" s="7"/>
      <c r="B322" s="7"/>
      <c r="C322" s="12"/>
      <c r="D322" s="12"/>
      <c r="E322" s="12"/>
      <c r="F322" s="12"/>
    </row>
    <row r="323" spans="1:6">
      <c r="A323" s="7"/>
      <c r="B323" s="7"/>
      <c r="C323" s="12"/>
      <c r="D323" s="12"/>
      <c r="E323" s="12"/>
      <c r="F323" s="12"/>
    </row>
    <row r="324" spans="1:6">
      <c r="A324" s="7"/>
      <c r="B324" s="7"/>
      <c r="C324" s="12"/>
      <c r="D324" s="12"/>
      <c r="E324" s="12"/>
      <c r="F324" s="12"/>
    </row>
    <row r="325" spans="1:6">
      <c r="A325" s="7"/>
      <c r="B325" s="7"/>
      <c r="C325" s="12"/>
      <c r="D325" s="12"/>
      <c r="E325" s="12"/>
      <c r="F325" s="12"/>
    </row>
    <row r="326" spans="1:6">
      <c r="A326" s="7"/>
      <c r="B326" s="7"/>
      <c r="C326" s="12"/>
      <c r="D326" s="12"/>
      <c r="E326" s="12"/>
      <c r="F326" s="12"/>
    </row>
    <row r="327" spans="1:6">
      <c r="A327" s="7"/>
      <c r="B327" s="7"/>
      <c r="C327" s="12"/>
      <c r="D327" s="12"/>
      <c r="E327" s="12"/>
      <c r="F327" s="12"/>
    </row>
    <row r="328" spans="1:6">
      <c r="A328" s="7"/>
      <c r="B328" s="7"/>
      <c r="C328" s="12"/>
      <c r="D328" s="12"/>
      <c r="E328" s="12"/>
      <c r="F328" s="12"/>
    </row>
    <row r="329" spans="1:6">
      <c r="A329" s="7"/>
      <c r="B329" s="7"/>
      <c r="C329" s="12"/>
      <c r="D329" s="12"/>
      <c r="E329" s="12"/>
      <c r="F329" s="12"/>
    </row>
    <row r="330" spans="1:6">
      <c r="A330" s="7"/>
      <c r="B330" s="7"/>
      <c r="C330" s="12"/>
      <c r="D330" s="12"/>
      <c r="E330" s="12"/>
      <c r="F330" s="12"/>
    </row>
    <row r="331" spans="1:6">
      <c r="A331" s="7"/>
      <c r="B331" s="7"/>
      <c r="C331" s="12"/>
      <c r="D331" s="12"/>
      <c r="E331" s="12"/>
      <c r="F331" s="12"/>
    </row>
    <row r="332" spans="1:6">
      <c r="A332" s="7"/>
      <c r="B332" s="7"/>
      <c r="C332" s="12"/>
      <c r="D332" s="12"/>
      <c r="E332" s="12"/>
      <c r="F332" s="12"/>
    </row>
    <row r="333" spans="1:6">
      <c r="A333" s="7"/>
      <c r="B333" s="7"/>
      <c r="C333" s="12"/>
      <c r="D333" s="12"/>
      <c r="E333" s="12"/>
      <c r="F333" s="12"/>
    </row>
    <row r="334" spans="1:6">
      <c r="A334" s="7"/>
      <c r="B334" s="7"/>
      <c r="C334" s="12"/>
      <c r="D334" s="12"/>
      <c r="E334" s="12"/>
      <c r="F334" s="12"/>
    </row>
    <row r="335" spans="1:6">
      <c r="A335" s="7"/>
      <c r="B335" s="7"/>
      <c r="C335" s="12"/>
      <c r="D335" s="12"/>
      <c r="E335" s="12"/>
      <c r="F335" s="12"/>
    </row>
  </sheetData>
  <mergeCells count="10">
    <mergeCell ref="A1:F1"/>
    <mergeCell ref="A2:F2"/>
    <mergeCell ref="A3:F3"/>
    <mergeCell ref="A4:D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63"/>
  <sheetViews>
    <sheetView topLeftCell="A25" zoomScale="85" zoomScaleNormal="85" workbookViewId="0">
      <selection activeCell="A25" sqref="A1:XFD1048576"/>
    </sheetView>
  </sheetViews>
  <sheetFormatPr defaultColWidth="9.140625" defaultRowHeight="16.5"/>
  <cols>
    <col min="1" max="1" width="5.5703125" style="95" customWidth="1"/>
    <col min="2" max="2" width="38.7109375" style="95" customWidth="1"/>
    <col min="3" max="3" width="14.28515625" style="95" customWidth="1"/>
    <col min="4" max="4" width="8.7109375" style="138" customWidth="1"/>
    <col min="5" max="5" width="7.28515625" style="138" customWidth="1"/>
    <col min="6" max="6" width="0" style="138" hidden="1" customWidth="1"/>
    <col min="7" max="7" width="7.42578125" style="138" customWidth="1"/>
    <col min="8" max="8" width="7.85546875" style="138" customWidth="1"/>
    <col min="9" max="10" width="16.42578125" style="138" customWidth="1"/>
    <col min="11" max="11" width="9.42578125" style="138" customWidth="1"/>
    <col min="12" max="12" width="11.85546875" style="193" customWidth="1"/>
    <col min="13" max="13" width="9.7109375" style="138" customWidth="1"/>
    <col min="14" max="14" width="10.28515625" style="95" customWidth="1"/>
    <col min="15" max="15" width="13.42578125" style="128" customWidth="1"/>
    <col min="16" max="16" width="3.140625" style="100" hidden="1" customWidth="1"/>
    <col min="17" max="19" width="9.140625" style="95"/>
    <col min="20" max="20" width="11.5703125" style="95" customWidth="1"/>
    <col min="21" max="16384" width="9.140625" style="95"/>
  </cols>
  <sheetData>
    <row r="1" spans="1:38" s="73" customFormat="1" ht="15.75" hidden="1" customHeight="1">
      <c r="A1" s="72" t="s">
        <v>641</v>
      </c>
      <c r="B1" s="72"/>
      <c r="C1" s="72"/>
      <c r="D1" s="112"/>
      <c r="E1" s="112"/>
      <c r="F1" s="112"/>
      <c r="G1" s="112"/>
      <c r="H1" s="397" t="s">
        <v>642</v>
      </c>
      <c r="I1" s="397"/>
      <c r="J1" s="397"/>
      <c r="K1" s="397"/>
      <c r="L1" s="397"/>
      <c r="M1" s="397"/>
      <c r="N1" s="397"/>
      <c r="O1" s="397"/>
      <c r="P1" s="397"/>
    </row>
    <row r="2" spans="1:38" s="73" customFormat="1" ht="15" hidden="1" customHeight="1">
      <c r="A2" s="72" t="s">
        <v>596</v>
      </c>
      <c r="B2" s="72"/>
      <c r="C2" s="72"/>
      <c r="D2" s="112"/>
      <c r="E2" s="112"/>
      <c r="F2" s="112"/>
      <c r="G2" s="112"/>
      <c r="H2" s="398" t="s">
        <v>643</v>
      </c>
      <c r="I2" s="398"/>
      <c r="J2" s="398"/>
      <c r="K2" s="398"/>
      <c r="L2" s="398"/>
      <c r="M2" s="398"/>
      <c r="N2" s="398"/>
      <c r="O2" s="398"/>
      <c r="P2" s="398"/>
    </row>
    <row r="3" spans="1:38" s="73" customFormat="1" ht="22.5" hidden="1" customHeight="1">
      <c r="A3" s="397" t="s">
        <v>644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</row>
    <row r="4" spans="1:38" s="73" customFormat="1" ht="15" hidden="1" customHeight="1">
      <c r="A4" s="272"/>
      <c r="B4" s="272"/>
      <c r="C4" s="272"/>
      <c r="D4" s="272"/>
      <c r="E4" s="272"/>
      <c r="F4" s="272"/>
      <c r="G4" s="272"/>
      <c r="H4" s="398" t="s">
        <v>645</v>
      </c>
      <c r="I4" s="398"/>
      <c r="J4" s="398"/>
      <c r="K4" s="398"/>
      <c r="L4" s="398"/>
      <c r="M4" s="398"/>
      <c r="N4" s="398"/>
      <c r="O4" s="398"/>
      <c r="P4" s="398"/>
    </row>
    <row r="5" spans="1:38" s="73" customFormat="1" ht="15" hidden="1" customHeight="1">
      <c r="A5" s="272"/>
      <c r="B5" s="272"/>
      <c r="C5" s="272"/>
      <c r="D5" s="272"/>
      <c r="E5" s="272"/>
      <c r="F5" s="272"/>
      <c r="G5" s="272"/>
      <c r="H5" s="273"/>
      <c r="I5" s="273"/>
      <c r="J5" s="273"/>
      <c r="K5" s="273"/>
      <c r="L5" s="219"/>
      <c r="M5" s="273"/>
      <c r="N5" s="273"/>
      <c r="O5" s="74"/>
      <c r="P5" s="273"/>
    </row>
    <row r="6" spans="1:38" s="73" customFormat="1" ht="15.75">
      <c r="A6" s="72" t="s">
        <v>641</v>
      </c>
      <c r="B6" s="72"/>
      <c r="C6" s="72"/>
      <c r="D6" s="112"/>
      <c r="E6" s="112"/>
      <c r="F6" s="112"/>
      <c r="G6" s="112"/>
      <c r="H6" s="397" t="s">
        <v>642</v>
      </c>
      <c r="I6" s="397"/>
      <c r="J6" s="397"/>
      <c r="K6" s="397"/>
      <c r="L6" s="397"/>
      <c r="M6" s="397"/>
      <c r="N6" s="397"/>
      <c r="O6" s="397"/>
      <c r="P6" s="397"/>
      <c r="Q6" s="272"/>
      <c r="R6" s="272"/>
      <c r="S6" s="272"/>
      <c r="T6" s="272"/>
      <c r="W6" s="72"/>
      <c r="X6" s="72"/>
      <c r="Y6" s="72"/>
      <c r="Z6" s="72"/>
    </row>
    <row r="7" spans="1:38" s="73" customFormat="1" ht="15.75">
      <c r="A7" s="72" t="s">
        <v>596</v>
      </c>
      <c r="B7" s="72"/>
      <c r="C7" s="72"/>
      <c r="D7" s="112"/>
      <c r="E7" s="112"/>
      <c r="F7" s="112"/>
      <c r="G7" s="112"/>
      <c r="H7" s="398"/>
      <c r="I7" s="398"/>
      <c r="J7" s="398"/>
      <c r="K7" s="398"/>
      <c r="L7" s="398"/>
      <c r="M7" s="398"/>
      <c r="N7" s="398"/>
      <c r="O7" s="398"/>
      <c r="P7" s="398"/>
      <c r="Q7" s="273"/>
      <c r="R7" s="273"/>
      <c r="S7" s="273"/>
      <c r="T7" s="273"/>
      <c r="W7" s="72"/>
      <c r="X7" s="72"/>
      <c r="Y7" s="72"/>
      <c r="Z7" s="72"/>
    </row>
    <row r="8" spans="1:38" s="73" customFormat="1" ht="15.75">
      <c r="A8" s="272"/>
      <c r="B8" s="272"/>
      <c r="C8" s="272"/>
      <c r="D8" s="272"/>
      <c r="E8" s="272"/>
      <c r="F8" s="272"/>
      <c r="G8" s="272"/>
      <c r="H8" s="398"/>
      <c r="I8" s="398"/>
      <c r="J8" s="398"/>
      <c r="K8" s="398"/>
      <c r="L8" s="398"/>
      <c r="M8" s="398"/>
      <c r="N8" s="398"/>
      <c r="O8" s="398"/>
      <c r="P8" s="398"/>
      <c r="X8" s="272"/>
      <c r="Y8" s="272"/>
      <c r="Z8" s="272"/>
      <c r="AA8" s="272"/>
    </row>
    <row r="9" spans="1:38" s="73" customFormat="1" ht="15.75">
      <c r="A9" s="272"/>
      <c r="B9" s="272"/>
      <c r="C9" s="272"/>
      <c r="D9" s="272"/>
      <c r="E9" s="272"/>
      <c r="F9" s="272"/>
      <c r="G9" s="272"/>
      <c r="H9" s="273"/>
      <c r="I9" s="273"/>
      <c r="J9" s="273"/>
      <c r="K9" s="273"/>
      <c r="L9" s="219"/>
      <c r="M9" s="273"/>
      <c r="N9" s="273"/>
      <c r="O9" s="74"/>
      <c r="P9" s="273"/>
      <c r="X9" s="272"/>
      <c r="Y9" s="272"/>
      <c r="Z9" s="272"/>
      <c r="AA9" s="272"/>
    </row>
    <row r="10" spans="1:38" s="73" customFormat="1" ht="44.25" customHeight="1">
      <c r="A10" s="399" t="s">
        <v>1015</v>
      </c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</row>
    <row r="11" spans="1:38" s="73" customFormat="1" ht="15.75">
      <c r="A11" s="394" t="s">
        <v>1132</v>
      </c>
      <c r="B11" s="394"/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</row>
    <row r="12" spans="1:38" s="73" customFormat="1" ht="15.75">
      <c r="A12" s="73" t="s">
        <v>1002</v>
      </c>
      <c r="D12" s="273" t="s">
        <v>1003</v>
      </c>
      <c r="E12" s="272"/>
      <c r="F12" s="273"/>
      <c r="G12" s="273"/>
      <c r="H12" s="273"/>
      <c r="I12" s="273"/>
      <c r="J12" s="273"/>
      <c r="K12" s="272"/>
      <c r="L12" s="219"/>
      <c r="M12" s="83" t="s">
        <v>600</v>
      </c>
      <c r="N12" s="272"/>
      <c r="O12" s="74"/>
      <c r="U12" s="271"/>
      <c r="V12" s="77"/>
      <c r="Y12" s="78"/>
      <c r="Z12" s="272"/>
      <c r="AB12" s="272"/>
      <c r="AC12" s="272"/>
      <c r="AD12" s="271"/>
      <c r="AH12" s="273"/>
      <c r="AI12" s="271" t="s">
        <v>600</v>
      </c>
      <c r="AJ12" s="273"/>
      <c r="AK12" s="273"/>
      <c r="AL12" s="79"/>
    </row>
    <row r="13" spans="1:38" s="73" customFormat="1" ht="15.75">
      <c r="A13" s="393" t="s">
        <v>1045</v>
      </c>
      <c r="B13" s="393"/>
      <c r="D13" s="273" t="s">
        <v>602</v>
      </c>
      <c r="E13" s="273"/>
      <c r="F13" s="273"/>
      <c r="G13" s="273"/>
      <c r="H13" s="273"/>
      <c r="I13" s="273"/>
      <c r="J13" s="273"/>
      <c r="K13" s="272"/>
      <c r="L13" s="219"/>
      <c r="M13" s="83" t="s">
        <v>603</v>
      </c>
      <c r="N13" s="272"/>
      <c r="O13" s="74"/>
      <c r="U13" s="271"/>
      <c r="V13" s="77"/>
      <c r="Y13" s="78"/>
      <c r="Z13" s="272"/>
      <c r="AB13" s="272"/>
      <c r="AC13" s="272"/>
      <c r="AD13" s="271"/>
      <c r="AH13" s="273"/>
      <c r="AI13" s="271" t="s">
        <v>603</v>
      </c>
      <c r="AJ13" s="273"/>
      <c r="AK13" s="273"/>
      <c r="AL13" s="79"/>
    </row>
    <row r="14" spans="1:38" s="73" customFormat="1" ht="15.75">
      <c r="A14" s="393" t="s">
        <v>604</v>
      </c>
      <c r="B14" s="393"/>
      <c r="D14" s="273" t="s">
        <v>605</v>
      </c>
      <c r="E14" s="272"/>
      <c r="F14" s="273"/>
      <c r="G14" s="273"/>
      <c r="H14" s="273"/>
      <c r="I14" s="273"/>
      <c r="J14" s="273"/>
      <c r="K14" s="272"/>
      <c r="L14" s="219"/>
      <c r="M14" s="83" t="s">
        <v>606</v>
      </c>
      <c r="N14" s="272"/>
      <c r="O14" s="74"/>
      <c r="U14" s="271"/>
      <c r="V14" s="77"/>
      <c r="Y14" s="78"/>
      <c r="Z14" s="272"/>
      <c r="AB14" s="272"/>
      <c r="AC14" s="272"/>
      <c r="AD14" s="271"/>
      <c r="AH14" s="273"/>
      <c r="AI14" s="271" t="s">
        <v>606</v>
      </c>
      <c r="AJ14" s="273"/>
      <c r="AK14" s="273"/>
      <c r="AL14" s="79"/>
    </row>
    <row r="15" spans="1:38" s="73" customFormat="1" ht="15.75">
      <c r="A15" s="393" t="s">
        <v>966</v>
      </c>
      <c r="B15" s="393"/>
      <c r="D15" s="273" t="s">
        <v>967</v>
      </c>
      <c r="E15" s="273"/>
      <c r="F15" s="273"/>
      <c r="G15" s="273"/>
      <c r="H15" s="273"/>
      <c r="I15" s="273"/>
      <c r="J15" s="273"/>
      <c r="K15" s="273"/>
      <c r="L15" s="219"/>
      <c r="M15" s="83" t="s">
        <v>607</v>
      </c>
      <c r="O15" s="74"/>
      <c r="AH15" s="273"/>
      <c r="AI15" s="271" t="s">
        <v>607</v>
      </c>
      <c r="AJ15" s="273"/>
      <c r="AK15" s="273"/>
    </row>
    <row r="16" spans="1:38" s="73" customFormat="1" ht="15.75">
      <c r="A16" s="393" t="s">
        <v>608</v>
      </c>
      <c r="B16" s="393"/>
      <c r="D16" s="273"/>
      <c r="E16" s="273"/>
      <c r="F16" s="273"/>
      <c r="G16" s="273"/>
      <c r="H16" s="273"/>
      <c r="I16" s="273"/>
      <c r="J16" s="273"/>
      <c r="K16" s="273"/>
      <c r="L16" s="219"/>
      <c r="M16" s="273"/>
      <c r="O16" s="74"/>
      <c r="AH16" s="273"/>
      <c r="AI16" s="273"/>
      <c r="AJ16" s="273"/>
      <c r="AK16" s="273"/>
    </row>
    <row r="17" spans="1:38" s="73" customFormat="1" ht="15.75">
      <c r="A17" s="393" t="s">
        <v>609</v>
      </c>
      <c r="B17" s="393"/>
      <c r="D17" s="273"/>
      <c r="E17" s="273"/>
      <c r="F17" s="113"/>
      <c r="G17" s="273"/>
      <c r="H17" s="273"/>
      <c r="I17" s="273"/>
      <c r="J17" s="273"/>
      <c r="K17" s="273"/>
      <c r="L17" s="219"/>
      <c r="M17" s="273"/>
      <c r="O17" s="74"/>
      <c r="Z17" s="273"/>
      <c r="AC17" s="81"/>
      <c r="AH17" s="273"/>
      <c r="AI17" s="273"/>
      <c r="AJ17" s="273"/>
      <c r="AK17" s="273"/>
      <c r="AL17" s="79"/>
    </row>
    <row r="18" spans="1:38" s="73" customFormat="1" ht="18" hidden="1" customHeight="1">
      <c r="A18" s="394" t="s">
        <v>597</v>
      </c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4"/>
      <c r="O18" s="394"/>
      <c r="P18" s="394"/>
    </row>
    <row r="19" spans="1:38" s="73" customFormat="1" ht="15" hidden="1" customHeight="1">
      <c r="A19" s="393" t="s">
        <v>598</v>
      </c>
      <c r="B19" s="393"/>
      <c r="C19" s="393"/>
      <c r="D19" s="273" t="s">
        <v>599</v>
      </c>
      <c r="E19" s="272"/>
      <c r="F19" s="273"/>
      <c r="G19" s="273"/>
      <c r="H19" s="273"/>
      <c r="I19" s="273"/>
      <c r="J19" s="273"/>
      <c r="K19" s="272"/>
      <c r="L19" s="219"/>
      <c r="M19" s="83" t="s">
        <v>600</v>
      </c>
      <c r="N19" s="272"/>
      <c r="O19" s="74"/>
    </row>
    <row r="20" spans="1:38" s="73" customFormat="1" ht="15" hidden="1" customHeight="1">
      <c r="A20" s="393" t="s">
        <v>601</v>
      </c>
      <c r="B20" s="393"/>
      <c r="D20" s="273" t="s">
        <v>602</v>
      </c>
      <c r="E20" s="273"/>
      <c r="F20" s="273"/>
      <c r="G20" s="273"/>
      <c r="H20" s="273"/>
      <c r="I20" s="273"/>
      <c r="J20" s="273"/>
      <c r="K20" s="272"/>
      <c r="L20" s="219"/>
      <c r="M20" s="83" t="s">
        <v>603</v>
      </c>
      <c r="N20" s="272"/>
      <c r="O20" s="74"/>
    </row>
    <row r="21" spans="1:38" s="73" customFormat="1" ht="15" hidden="1" customHeight="1">
      <c r="A21" s="393" t="s">
        <v>604</v>
      </c>
      <c r="B21" s="393"/>
      <c r="D21" s="273" t="s">
        <v>605</v>
      </c>
      <c r="E21" s="272"/>
      <c r="F21" s="273"/>
      <c r="G21" s="273"/>
      <c r="H21" s="273"/>
      <c r="I21" s="273"/>
      <c r="J21" s="273"/>
      <c r="K21" s="272"/>
      <c r="L21" s="219"/>
      <c r="M21" s="83" t="s">
        <v>606</v>
      </c>
      <c r="N21" s="272"/>
      <c r="O21" s="74"/>
    </row>
    <row r="22" spans="1:38" s="73" customFormat="1" ht="15" hidden="1" customHeight="1">
      <c r="A22" s="393" t="s">
        <v>646</v>
      </c>
      <c r="B22" s="393"/>
      <c r="D22" s="273" t="s">
        <v>647</v>
      </c>
      <c r="E22" s="273"/>
      <c r="F22" s="273"/>
      <c r="G22" s="273"/>
      <c r="H22" s="273"/>
      <c r="I22" s="273"/>
      <c r="J22" s="273"/>
      <c r="K22" s="273"/>
      <c r="L22" s="219"/>
      <c r="M22" s="83" t="s">
        <v>607</v>
      </c>
      <c r="O22" s="74"/>
    </row>
    <row r="23" spans="1:38" s="73" customFormat="1" ht="15" hidden="1" customHeight="1">
      <c r="A23" s="393" t="s">
        <v>608</v>
      </c>
      <c r="B23" s="393"/>
      <c r="D23" s="273"/>
      <c r="E23" s="273"/>
      <c r="F23" s="273"/>
      <c r="G23" s="273"/>
      <c r="H23" s="273"/>
      <c r="I23" s="273"/>
      <c r="J23" s="273"/>
      <c r="K23" s="273"/>
      <c r="L23" s="219"/>
      <c r="M23" s="273"/>
      <c r="O23" s="74"/>
    </row>
    <row r="24" spans="1:38" s="73" customFormat="1" ht="15.75" hidden="1" customHeight="1">
      <c r="A24" s="393" t="s">
        <v>609</v>
      </c>
      <c r="B24" s="393"/>
      <c r="D24" s="273"/>
      <c r="E24" s="273"/>
      <c r="F24" s="113"/>
      <c r="G24" s="273"/>
      <c r="H24" s="273"/>
      <c r="I24" s="273"/>
      <c r="J24" s="273"/>
      <c r="K24" s="273"/>
      <c r="L24" s="219"/>
      <c r="M24" s="273"/>
      <c r="O24" s="74"/>
    </row>
    <row r="25" spans="1:38" s="83" customFormat="1" ht="53.25" customHeight="1">
      <c r="A25" s="395" t="s">
        <v>610</v>
      </c>
      <c r="B25" s="396" t="s">
        <v>611</v>
      </c>
      <c r="C25" s="395" t="s">
        <v>612</v>
      </c>
      <c r="D25" s="395" t="s">
        <v>613</v>
      </c>
      <c r="E25" s="395" t="s">
        <v>614</v>
      </c>
      <c r="F25" s="396"/>
      <c r="G25" s="114" t="s">
        <v>615</v>
      </c>
      <c r="H25" s="114" t="s">
        <v>616</v>
      </c>
      <c r="I25" s="403" t="s">
        <v>1074</v>
      </c>
      <c r="J25" s="403" t="s">
        <v>1075</v>
      </c>
      <c r="K25" s="395" t="s">
        <v>617</v>
      </c>
      <c r="L25" s="395" t="s">
        <v>618</v>
      </c>
      <c r="M25" s="395" t="s">
        <v>619</v>
      </c>
      <c r="N25" s="395" t="s">
        <v>620</v>
      </c>
      <c r="O25" s="395" t="s">
        <v>621</v>
      </c>
      <c r="P25" s="287"/>
    </row>
    <row r="26" spans="1:38" s="83" customFormat="1" ht="39" customHeight="1">
      <c r="A26" s="396"/>
      <c r="B26" s="396"/>
      <c r="C26" s="395"/>
      <c r="D26" s="396"/>
      <c r="E26" s="276" t="s">
        <v>7</v>
      </c>
      <c r="F26" s="114" t="s">
        <v>622</v>
      </c>
      <c r="G26" s="276" t="s">
        <v>7</v>
      </c>
      <c r="H26" s="276" t="s">
        <v>7</v>
      </c>
      <c r="I26" s="404"/>
      <c r="J26" s="404"/>
      <c r="K26" s="402"/>
      <c r="L26" s="400"/>
      <c r="M26" s="395"/>
      <c r="N26" s="395"/>
      <c r="O26" s="400"/>
      <c r="P26" s="287"/>
    </row>
    <row r="27" spans="1:38" s="87" customFormat="1" ht="21.75" hidden="1" customHeight="1">
      <c r="A27" s="401" t="s">
        <v>3</v>
      </c>
      <c r="B27" s="401"/>
      <c r="C27" s="401"/>
      <c r="D27" s="401"/>
      <c r="E27" s="401"/>
      <c r="F27" s="86"/>
      <c r="G27" s="86"/>
      <c r="H27" s="86"/>
      <c r="I27" s="86"/>
      <c r="J27" s="86"/>
      <c r="K27" s="86"/>
      <c r="L27" s="86"/>
      <c r="M27" s="86"/>
      <c r="N27" s="115"/>
      <c r="O27" s="281"/>
      <c r="P27" s="86"/>
    </row>
    <row r="28" spans="1:38" s="100" customFormat="1" ht="36" customHeight="1">
      <c r="A28" s="283" t="s">
        <v>681</v>
      </c>
      <c r="B28" s="281" t="s">
        <v>639</v>
      </c>
      <c r="C28" s="110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94"/>
      <c r="O28" s="110"/>
      <c r="P28" s="94"/>
    </row>
    <row r="29" spans="1:38" s="100" customFormat="1" ht="82.5" customHeight="1">
      <c r="A29" s="282">
        <v>1</v>
      </c>
      <c r="B29" s="110" t="s">
        <v>754</v>
      </c>
      <c r="C29" s="282" t="s">
        <v>753</v>
      </c>
      <c r="D29" s="282">
        <v>2022</v>
      </c>
      <c r="E29" s="282">
        <v>1</v>
      </c>
      <c r="F29" s="282"/>
      <c r="G29" s="282">
        <v>1</v>
      </c>
      <c r="H29" s="282">
        <v>0</v>
      </c>
      <c r="I29" s="220">
        <v>20700000</v>
      </c>
      <c r="J29" s="220">
        <v>20700000</v>
      </c>
      <c r="K29" s="282" t="s">
        <v>631</v>
      </c>
      <c r="L29" s="282" t="s">
        <v>664</v>
      </c>
      <c r="M29" s="282" t="s">
        <v>649</v>
      </c>
      <c r="N29" s="94"/>
      <c r="O29" s="110"/>
      <c r="P29" s="94"/>
    </row>
    <row r="30" spans="1:38" s="73" customFormat="1" ht="15.75">
      <c r="A30" s="276" t="s">
        <v>690</v>
      </c>
      <c r="B30" s="159" t="s">
        <v>978</v>
      </c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2"/>
    </row>
    <row r="31" spans="1:38" s="73" customFormat="1" ht="110.25">
      <c r="A31" s="123">
        <v>1</v>
      </c>
      <c r="B31" s="124" t="s">
        <v>854</v>
      </c>
      <c r="C31" s="123"/>
      <c r="D31" s="126">
        <v>2018</v>
      </c>
      <c r="E31" s="123">
        <v>1</v>
      </c>
      <c r="F31" s="123"/>
      <c r="G31" s="123">
        <v>1</v>
      </c>
      <c r="H31" s="123">
        <v>0</v>
      </c>
      <c r="I31" s="289">
        <v>67500000</v>
      </c>
      <c r="J31" s="289">
        <v>67500000</v>
      </c>
      <c r="K31" s="123" t="s">
        <v>631</v>
      </c>
      <c r="L31" s="132" t="s">
        <v>664</v>
      </c>
      <c r="M31" s="123" t="s">
        <v>649</v>
      </c>
      <c r="N31" s="123" t="s">
        <v>833</v>
      </c>
      <c r="O31" s="290" t="s">
        <v>979</v>
      </c>
      <c r="P31" s="123"/>
    </row>
    <row r="32" spans="1:38" s="73" customFormat="1" ht="54.75" customHeight="1">
      <c r="A32" s="276" t="s">
        <v>693</v>
      </c>
      <c r="B32" s="159" t="s">
        <v>1016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2"/>
    </row>
    <row r="33" spans="1:16" s="73" customFormat="1" ht="92.25" customHeight="1">
      <c r="A33" s="282">
        <v>1</v>
      </c>
      <c r="B33" s="94" t="s">
        <v>629</v>
      </c>
      <c r="C33" s="282" t="s">
        <v>1017</v>
      </c>
      <c r="D33" s="282">
        <v>2022</v>
      </c>
      <c r="E33" s="282">
        <v>1</v>
      </c>
      <c r="F33" s="123"/>
      <c r="G33" s="123">
        <v>1</v>
      </c>
      <c r="H33" s="134">
        <v>0</v>
      </c>
      <c r="I33" s="220">
        <v>19500000</v>
      </c>
      <c r="J33" s="220">
        <v>19500000</v>
      </c>
      <c r="K33" s="123" t="s">
        <v>631</v>
      </c>
      <c r="L33" s="132" t="s">
        <v>1014</v>
      </c>
      <c r="M33" s="123" t="s">
        <v>649</v>
      </c>
      <c r="N33" s="123"/>
      <c r="O33" s="125"/>
      <c r="P33" s="123"/>
    </row>
    <row r="34" spans="1:16" s="100" customFormat="1" ht="84" customHeight="1">
      <c r="A34" s="282">
        <v>2</v>
      </c>
      <c r="B34" s="125" t="s">
        <v>1032</v>
      </c>
      <c r="C34" s="287" t="s">
        <v>1020</v>
      </c>
      <c r="D34" s="287">
        <v>2022</v>
      </c>
      <c r="E34" s="287">
        <v>1</v>
      </c>
      <c r="F34" s="282"/>
      <c r="G34" s="282">
        <v>1</v>
      </c>
      <c r="H34" s="120">
        <v>0</v>
      </c>
      <c r="I34" s="220">
        <v>20700000</v>
      </c>
      <c r="J34" s="220">
        <v>20700000</v>
      </c>
      <c r="K34" s="282" t="s">
        <v>631</v>
      </c>
      <c r="L34" s="132" t="s">
        <v>1014</v>
      </c>
      <c r="M34" s="282" t="s">
        <v>649</v>
      </c>
      <c r="N34" s="94"/>
      <c r="O34" s="110"/>
      <c r="P34" s="94"/>
    </row>
    <row r="35" spans="1:16" s="100" customFormat="1">
      <c r="A35" s="283"/>
      <c r="B35" s="281" t="s">
        <v>1155</v>
      </c>
      <c r="C35" s="110"/>
      <c r="D35" s="282"/>
      <c r="E35" s="282"/>
      <c r="F35" s="282"/>
      <c r="G35" s="282"/>
      <c r="H35" s="282"/>
      <c r="I35" s="282"/>
      <c r="J35" s="223">
        <f>SUM(J29:J34)</f>
        <v>128400000</v>
      </c>
      <c r="K35" s="282"/>
      <c r="L35" s="282"/>
      <c r="M35" s="282"/>
      <c r="N35" s="94"/>
      <c r="O35" s="110"/>
      <c r="P35" s="94"/>
    </row>
    <row r="36" spans="1:16" s="100" customFormat="1">
      <c r="A36" s="283"/>
      <c r="B36" s="281" t="s">
        <v>1156</v>
      </c>
      <c r="C36" s="110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94"/>
      <c r="O36" s="110"/>
      <c r="P36" s="94"/>
    </row>
    <row r="37" spans="1:16" ht="34.5" customHeight="1">
      <c r="A37" s="284" t="s">
        <v>10</v>
      </c>
      <c r="B37" s="224" t="s">
        <v>113</v>
      </c>
      <c r="C37" s="109"/>
      <c r="D37" s="116"/>
      <c r="E37" s="116"/>
      <c r="F37" s="116"/>
      <c r="G37" s="116"/>
      <c r="H37" s="116"/>
      <c r="I37" s="116"/>
      <c r="J37" s="116"/>
      <c r="K37" s="116"/>
      <c r="L37" s="282"/>
      <c r="M37" s="116"/>
      <c r="N37" s="117"/>
      <c r="O37" s="110"/>
      <c r="P37" s="94"/>
    </row>
    <row r="38" spans="1:16" s="100" customFormat="1" ht="76.5" customHeight="1">
      <c r="A38" s="282">
        <v>1</v>
      </c>
      <c r="B38" s="94" t="s">
        <v>749</v>
      </c>
      <c r="C38" s="282" t="s">
        <v>1050</v>
      </c>
      <c r="D38" s="282">
        <v>2022</v>
      </c>
      <c r="E38" s="282">
        <v>2</v>
      </c>
      <c r="F38" s="282"/>
      <c r="G38" s="282">
        <v>2</v>
      </c>
      <c r="H38" s="120">
        <v>0</v>
      </c>
      <c r="I38" s="216">
        <v>2500000</v>
      </c>
      <c r="J38" s="216">
        <f>+G38*I38</f>
        <v>5000000</v>
      </c>
      <c r="K38" s="282" t="s">
        <v>631</v>
      </c>
      <c r="L38" s="282" t="s">
        <v>648</v>
      </c>
      <c r="M38" s="282" t="s">
        <v>649</v>
      </c>
      <c r="N38" s="94"/>
      <c r="O38" s="110"/>
      <c r="P38" s="94"/>
    </row>
    <row r="39" spans="1:16" ht="82.5">
      <c r="A39" s="116">
        <v>2</v>
      </c>
      <c r="B39" s="94" t="s">
        <v>624</v>
      </c>
      <c r="C39" s="282" t="s">
        <v>650</v>
      </c>
      <c r="D39" s="282">
        <v>2022</v>
      </c>
      <c r="E39" s="282">
        <v>1</v>
      </c>
      <c r="F39" s="116"/>
      <c r="G39" s="282">
        <v>1</v>
      </c>
      <c r="H39" s="118">
        <v>0</v>
      </c>
      <c r="I39" s="225">
        <v>660000</v>
      </c>
      <c r="J39" s="225">
        <f>+G39*I39</f>
        <v>660000</v>
      </c>
      <c r="K39" s="282" t="s">
        <v>631</v>
      </c>
      <c r="L39" s="282" t="s">
        <v>648</v>
      </c>
      <c r="M39" s="282" t="s">
        <v>649</v>
      </c>
      <c r="N39" s="117"/>
      <c r="O39" s="110"/>
      <c r="P39" s="94"/>
    </row>
    <row r="40" spans="1:16" ht="72" customHeight="1">
      <c r="A40" s="116">
        <v>3</v>
      </c>
      <c r="B40" s="110" t="s">
        <v>627</v>
      </c>
      <c r="C40" s="116" t="s">
        <v>1038</v>
      </c>
      <c r="D40" s="282">
        <v>2022</v>
      </c>
      <c r="E40" s="116">
        <v>2</v>
      </c>
      <c r="F40" s="116"/>
      <c r="G40" s="116">
        <v>2</v>
      </c>
      <c r="H40" s="116">
        <v>0</v>
      </c>
      <c r="I40" s="220">
        <v>2590000</v>
      </c>
      <c r="J40" s="217">
        <f>+G40*I40</f>
        <v>5180000</v>
      </c>
      <c r="K40" s="282" t="s">
        <v>631</v>
      </c>
      <c r="L40" s="282" t="s">
        <v>648</v>
      </c>
      <c r="M40" s="282" t="s">
        <v>649</v>
      </c>
      <c r="N40" s="117"/>
      <c r="O40" s="110"/>
      <c r="P40" s="94"/>
    </row>
    <row r="41" spans="1:16" ht="42.75" customHeight="1">
      <c r="A41" s="116">
        <v>4</v>
      </c>
      <c r="B41" s="110" t="s">
        <v>832</v>
      </c>
      <c r="C41" s="119"/>
      <c r="D41" s="282"/>
      <c r="E41" s="116">
        <v>10</v>
      </c>
      <c r="F41" s="116"/>
      <c r="G41" s="116">
        <v>10</v>
      </c>
      <c r="H41" s="116">
        <v>0</v>
      </c>
      <c r="I41" s="291">
        <f>2250000</f>
        <v>2250000</v>
      </c>
      <c r="J41" s="291">
        <f>2250000*10</f>
        <v>22500000</v>
      </c>
      <c r="K41" s="282" t="s">
        <v>631</v>
      </c>
      <c r="L41" s="282" t="s">
        <v>648</v>
      </c>
      <c r="M41" s="282" t="s">
        <v>649</v>
      </c>
      <c r="N41" s="117" t="s">
        <v>833</v>
      </c>
      <c r="O41" s="110"/>
      <c r="P41" s="94"/>
    </row>
    <row r="42" spans="1:16" ht="42.75" customHeight="1">
      <c r="A42" s="116">
        <v>5</v>
      </c>
      <c r="B42" s="119" t="s">
        <v>522</v>
      </c>
      <c r="C42" s="119"/>
      <c r="D42" s="116"/>
      <c r="E42" s="116">
        <v>1</v>
      </c>
      <c r="F42" s="116"/>
      <c r="G42" s="116">
        <v>1</v>
      </c>
      <c r="H42" s="116">
        <v>0</v>
      </c>
      <c r="I42" s="116"/>
      <c r="J42" s="116"/>
      <c r="K42" s="282" t="s">
        <v>631</v>
      </c>
      <c r="L42" s="282" t="s">
        <v>648</v>
      </c>
      <c r="M42" s="282" t="s">
        <v>649</v>
      </c>
      <c r="N42" s="117" t="s">
        <v>833</v>
      </c>
      <c r="O42" s="110"/>
      <c r="P42" s="94" t="s">
        <v>594</v>
      </c>
    </row>
    <row r="43" spans="1:16" s="100" customFormat="1" ht="39" customHeight="1">
      <c r="A43" s="283" t="s">
        <v>193</v>
      </c>
      <c r="B43" s="224" t="s">
        <v>114</v>
      </c>
      <c r="C43" s="109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94"/>
      <c r="O43" s="110"/>
      <c r="P43" s="94"/>
    </row>
    <row r="44" spans="1:16" s="100" customFormat="1" ht="75.75" customHeight="1">
      <c r="A44" s="282">
        <v>1</v>
      </c>
      <c r="B44" s="94" t="s">
        <v>623</v>
      </c>
      <c r="C44" s="282" t="s">
        <v>651</v>
      </c>
      <c r="D44" s="282">
        <v>2022</v>
      </c>
      <c r="E44" s="282">
        <v>1</v>
      </c>
      <c r="F44" s="282"/>
      <c r="G44" s="282">
        <v>1</v>
      </c>
      <c r="H44" s="282">
        <v>0</v>
      </c>
      <c r="I44" s="216">
        <v>2500000</v>
      </c>
      <c r="J44" s="216">
        <f>+G44*I44</f>
        <v>2500000</v>
      </c>
      <c r="K44" s="282" t="s">
        <v>631</v>
      </c>
      <c r="L44" s="282" t="s">
        <v>652</v>
      </c>
      <c r="M44" s="282" t="s">
        <v>649</v>
      </c>
      <c r="N44" s="94"/>
      <c r="O44" s="110"/>
      <c r="P44" s="94"/>
    </row>
    <row r="45" spans="1:16" s="100" customFormat="1" ht="82.5">
      <c r="A45" s="282">
        <v>2</v>
      </c>
      <c r="B45" s="94" t="s">
        <v>624</v>
      </c>
      <c r="C45" s="282" t="s">
        <v>588</v>
      </c>
      <c r="D45" s="282">
        <v>2022</v>
      </c>
      <c r="E45" s="282">
        <v>1</v>
      </c>
      <c r="F45" s="282"/>
      <c r="G45" s="282">
        <v>1</v>
      </c>
      <c r="H45" s="282">
        <v>0</v>
      </c>
      <c r="I45" s="225">
        <v>660000</v>
      </c>
      <c r="J45" s="225">
        <f>+G45*I45</f>
        <v>660000</v>
      </c>
      <c r="K45" s="282" t="s">
        <v>631</v>
      </c>
      <c r="L45" s="282" t="s">
        <v>652</v>
      </c>
      <c r="M45" s="282" t="s">
        <v>649</v>
      </c>
      <c r="N45" s="94"/>
      <c r="O45" s="281"/>
      <c r="P45" s="101"/>
    </row>
    <row r="46" spans="1:16" s="100" customFormat="1" ht="75.75" customHeight="1">
      <c r="A46" s="282">
        <v>3</v>
      </c>
      <c r="B46" s="110" t="s">
        <v>628</v>
      </c>
      <c r="C46" s="282" t="s">
        <v>658</v>
      </c>
      <c r="D46" s="282">
        <v>2022</v>
      </c>
      <c r="E46" s="282">
        <v>1</v>
      </c>
      <c r="F46" s="282"/>
      <c r="G46" s="282">
        <v>1</v>
      </c>
      <c r="H46" s="282">
        <v>0</v>
      </c>
      <c r="I46" s="220">
        <v>650000</v>
      </c>
      <c r="J46" s="217">
        <f>+G46*I46</f>
        <v>650000</v>
      </c>
      <c r="K46" s="282" t="s">
        <v>631</v>
      </c>
      <c r="L46" s="282" t="s">
        <v>652</v>
      </c>
      <c r="M46" s="282" t="s">
        <v>649</v>
      </c>
      <c r="N46" s="94"/>
      <c r="O46" s="110"/>
      <c r="P46" s="94"/>
    </row>
    <row r="47" spans="1:16" s="100" customFormat="1" ht="55.5" customHeight="1">
      <c r="A47" s="282">
        <v>4</v>
      </c>
      <c r="B47" s="110" t="s">
        <v>518</v>
      </c>
      <c r="C47" s="110"/>
      <c r="D47" s="282"/>
      <c r="E47" s="282">
        <v>1</v>
      </c>
      <c r="F47" s="282"/>
      <c r="G47" s="282">
        <v>1</v>
      </c>
      <c r="H47" s="120">
        <v>0</v>
      </c>
      <c r="I47" s="120"/>
      <c r="J47" s="120"/>
      <c r="K47" s="282" t="s">
        <v>631</v>
      </c>
      <c r="L47" s="282" t="s">
        <v>652</v>
      </c>
      <c r="M47" s="282" t="s">
        <v>649</v>
      </c>
      <c r="N47" s="94" t="s">
        <v>833</v>
      </c>
      <c r="O47" s="110" t="s">
        <v>1004</v>
      </c>
      <c r="P47" s="94"/>
    </row>
    <row r="48" spans="1:16" s="100" customFormat="1" ht="28.5" customHeight="1">
      <c r="A48" s="283" t="s">
        <v>199</v>
      </c>
      <c r="B48" s="224" t="s">
        <v>655</v>
      </c>
      <c r="C48" s="109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94"/>
      <c r="O48" s="110"/>
      <c r="P48" s="94"/>
    </row>
    <row r="49" spans="1:16" s="100" customFormat="1" ht="80.25" customHeight="1">
      <c r="A49" s="282">
        <v>1</v>
      </c>
      <c r="B49" s="94" t="s">
        <v>623</v>
      </c>
      <c r="C49" s="282" t="s">
        <v>653</v>
      </c>
      <c r="D49" s="282">
        <v>2022</v>
      </c>
      <c r="E49" s="282">
        <v>3</v>
      </c>
      <c r="F49" s="282"/>
      <c r="G49" s="282">
        <v>3</v>
      </c>
      <c r="H49" s="120">
        <v>0</v>
      </c>
      <c r="I49" s="216">
        <v>2500000</v>
      </c>
      <c r="J49" s="216">
        <f>+G49*I49</f>
        <v>7500000</v>
      </c>
      <c r="K49" s="282" t="s">
        <v>631</v>
      </c>
      <c r="L49" s="282" t="s">
        <v>654</v>
      </c>
      <c r="M49" s="282" t="s">
        <v>649</v>
      </c>
      <c r="N49" s="94"/>
      <c r="O49" s="110"/>
      <c r="P49" s="94"/>
    </row>
    <row r="50" spans="1:16" s="100" customFormat="1" ht="82.5">
      <c r="A50" s="282">
        <v>2</v>
      </c>
      <c r="B50" s="94" t="s">
        <v>624</v>
      </c>
      <c r="C50" s="282" t="s">
        <v>992</v>
      </c>
      <c r="D50" s="282">
        <v>2022</v>
      </c>
      <c r="E50" s="282">
        <v>7</v>
      </c>
      <c r="F50" s="282"/>
      <c r="G50" s="282">
        <v>7</v>
      </c>
      <c r="H50" s="120">
        <v>0</v>
      </c>
      <c r="I50" s="225">
        <v>660000</v>
      </c>
      <c r="J50" s="225">
        <f>+G50*I50</f>
        <v>4620000</v>
      </c>
      <c r="K50" s="282" t="s">
        <v>631</v>
      </c>
      <c r="L50" s="282" t="s">
        <v>654</v>
      </c>
      <c r="M50" s="282" t="s">
        <v>649</v>
      </c>
      <c r="N50" s="94"/>
      <c r="O50" s="110" t="s">
        <v>1048</v>
      </c>
      <c r="P50" s="94"/>
    </row>
    <row r="51" spans="1:16" s="100" customFormat="1" ht="98.25" customHeight="1">
      <c r="A51" s="282">
        <v>3</v>
      </c>
      <c r="B51" s="94" t="s">
        <v>637</v>
      </c>
      <c r="C51" s="282" t="s">
        <v>656</v>
      </c>
      <c r="D51" s="282">
        <v>2022</v>
      </c>
      <c r="E51" s="282">
        <v>3</v>
      </c>
      <c r="F51" s="282"/>
      <c r="G51" s="282">
        <v>3</v>
      </c>
      <c r="H51" s="120">
        <v>0</v>
      </c>
      <c r="I51" s="220">
        <v>3280000</v>
      </c>
      <c r="J51" s="217">
        <f>+G51*I51</f>
        <v>9840000</v>
      </c>
      <c r="K51" s="282" t="s">
        <v>631</v>
      </c>
      <c r="L51" s="282" t="s">
        <v>654</v>
      </c>
      <c r="M51" s="282" t="s">
        <v>649</v>
      </c>
      <c r="N51" s="94"/>
      <c r="O51" s="110"/>
      <c r="P51" s="101"/>
    </row>
    <row r="52" spans="1:16" ht="72" customHeight="1">
      <c r="A52" s="116">
        <v>4</v>
      </c>
      <c r="B52" s="110" t="s">
        <v>627</v>
      </c>
      <c r="C52" s="116" t="s">
        <v>1039</v>
      </c>
      <c r="D52" s="282">
        <v>2022</v>
      </c>
      <c r="E52" s="116">
        <v>1</v>
      </c>
      <c r="F52" s="116"/>
      <c r="G52" s="116">
        <v>1</v>
      </c>
      <c r="H52" s="118">
        <v>0</v>
      </c>
      <c r="I52" s="220">
        <v>2590000</v>
      </c>
      <c r="J52" s="217">
        <f>+G52*I52</f>
        <v>2590000</v>
      </c>
      <c r="K52" s="282" t="s">
        <v>631</v>
      </c>
      <c r="L52" s="282" t="s">
        <v>801</v>
      </c>
      <c r="M52" s="282" t="s">
        <v>649</v>
      </c>
      <c r="N52" s="117"/>
      <c r="O52" s="110"/>
      <c r="P52" s="94"/>
    </row>
    <row r="53" spans="1:16" s="100" customFormat="1" ht="75.75" customHeight="1">
      <c r="A53" s="282">
        <v>5</v>
      </c>
      <c r="B53" s="110" t="s">
        <v>628</v>
      </c>
      <c r="C53" s="282" t="s">
        <v>657</v>
      </c>
      <c r="D53" s="282">
        <v>2022</v>
      </c>
      <c r="E53" s="282">
        <v>5</v>
      </c>
      <c r="F53" s="282"/>
      <c r="G53" s="282">
        <v>5</v>
      </c>
      <c r="H53" s="282">
        <v>0</v>
      </c>
      <c r="I53" s="220">
        <v>650000</v>
      </c>
      <c r="J53" s="217">
        <f>+G53*I53</f>
        <v>3250000</v>
      </c>
      <c r="K53" s="282" t="s">
        <v>631</v>
      </c>
      <c r="L53" s="282" t="s">
        <v>654</v>
      </c>
      <c r="M53" s="282" t="s">
        <v>649</v>
      </c>
      <c r="N53" s="94"/>
      <c r="O53" s="281"/>
      <c r="P53" s="101"/>
    </row>
    <row r="54" spans="1:16" s="121" customFormat="1" ht="35.25" customHeight="1">
      <c r="A54" s="282">
        <v>6</v>
      </c>
      <c r="B54" s="110" t="s">
        <v>519</v>
      </c>
      <c r="C54" s="110"/>
      <c r="D54" s="282">
        <v>2020</v>
      </c>
      <c r="E54" s="282">
        <v>2</v>
      </c>
      <c r="F54" s="283"/>
      <c r="G54" s="282">
        <v>2</v>
      </c>
      <c r="H54" s="282">
        <v>0</v>
      </c>
      <c r="I54" s="282"/>
      <c r="J54" s="282"/>
      <c r="K54" s="282" t="s">
        <v>631</v>
      </c>
      <c r="L54" s="282" t="s">
        <v>654</v>
      </c>
      <c r="M54" s="282" t="s">
        <v>649</v>
      </c>
      <c r="N54" s="282" t="s">
        <v>833</v>
      </c>
      <c r="O54" s="110"/>
      <c r="P54" s="101"/>
    </row>
    <row r="55" spans="1:16" s="121" customFormat="1" ht="35.25" customHeight="1">
      <c r="A55" s="282">
        <v>7</v>
      </c>
      <c r="B55" s="110" t="s">
        <v>520</v>
      </c>
      <c r="C55" s="110"/>
      <c r="D55" s="282">
        <v>2022</v>
      </c>
      <c r="E55" s="282">
        <v>1</v>
      </c>
      <c r="F55" s="283"/>
      <c r="G55" s="282">
        <v>1</v>
      </c>
      <c r="H55" s="120">
        <v>0</v>
      </c>
      <c r="I55" s="120"/>
      <c r="J55" s="120"/>
      <c r="K55" s="282" t="s">
        <v>631</v>
      </c>
      <c r="L55" s="282" t="s">
        <v>654</v>
      </c>
      <c r="M55" s="282" t="s">
        <v>649</v>
      </c>
      <c r="N55" s="282"/>
      <c r="O55" s="110"/>
      <c r="P55" s="101"/>
    </row>
    <row r="56" spans="1:16" s="100" customFormat="1" ht="34.5" customHeight="1">
      <c r="A56" s="283" t="s">
        <v>667</v>
      </c>
      <c r="B56" s="224" t="s">
        <v>969</v>
      </c>
      <c r="C56" s="109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94"/>
      <c r="O56" s="110"/>
      <c r="P56" s="94"/>
    </row>
    <row r="57" spans="1:16" s="100" customFormat="1" ht="73.5" customHeight="1">
      <c r="A57" s="282">
        <v>1</v>
      </c>
      <c r="B57" s="226" t="s">
        <v>626</v>
      </c>
      <c r="C57" s="122" t="s">
        <v>991</v>
      </c>
      <c r="D57" s="282">
        <v>2022</v>
      </c>
      <c r="E57" s="282">
        <v>1</v>
      </c>
      <c r="F57" s="282"/>
      <c r="G57" s="282">
        <v>1</v>
      </c>
      <c r="H57" s="120">
        <v>0</v>
      </c>
      <c r="I57" s="220">
        <v>7900000</v>
      </c>
      <c r="J57" s="220">
        <v>7900000</v>
      </c>
      <c r="K57" s="282" t="s">
        <v>631</v>
      </c>
      <c r="L57" s="282" t="s">
        <v>970</v>
      </c>
      <c r="M57" s="282" t="s">
        <v>649</v>
      </c>
      <c r="N57" s="94"/>
      <c r="O57" s="110"/>
      <c r="P57" s="94"/>
    </row>
    <row r="58" spans="1:16" s="100" customFormat="1" ht="72.75" customHeight="1">
      <c r="A58" s="282">
        <v>2</v>
      </c>
      <c r="B58" s="226" t="s">
        <v>971</v>
      </c>
      <c r="C58" s="122" t="s">
        <v>972</v>
      </c>
      <c r="D58" s="116">
        <v>2022</v>
      </c>
      <c r="E58" s="282">
        <v>1</v>
      </c>
      <c r="F58" s="282"/>
      <c r="G58" s="282">
        <v>1</v>
      </c>
      <c r="H58" s="120">
        <v>0</v>
      </c>
      <c r="I58" s="220">
        <v>5150000</v>
      </c>
      <c r="J58" s="220">
        <v>5150000</v>
      </c>
      <c r="K58" s="282" t="s">
        <v>631</v>
      </c>
      <c r="L58" s="282" t="s">
        <v>970</v>
      </c>
      <c r="M58" s="282" t="s">
        <v>649</v>
      </c>
      <c r="N58" s="94"/>
      <c r="O58" s="110"/>
      <c r="P58" s="94"/>
    </row>
    <row r="59" spans="1:16" s="100" customFormat="1" ht="72.75" customHeight="1">
      <c r="A59" s="282">
        <v>3</v>
      </c>
      <c r="B59" s="94" t="s">
        <v>751</v>
      </c>
      <c r="C59" s="111" t="s">
        <v>989</v>
      </c>
      <c r="D59" s="282">
        <v>2022</v>
      </c>
      <c r="E59" s="282">
        <v>1</v>
      </c>
      <c r="F59" s="282"/>
      <c r="G59" s="282">
        <v>1</v>
      </c>
      <c r="H59" s="120">
        <v>0</v>
      </c>
      <c r="I59" s="220">
        <v>1100000</v>
      </c>
      <c r="J59" s="220">
        <v>1100000</v>
      </c>
      <c r="K59" s="282" t="s">
        <v>631</v>
      </c>
      <c r="L59" s="282" t="s">
        <v>970</v>
      </c>
      <c r="M59" s="282" t="s">
        <v>649</v>
      </c>
      <c r="N59" s="94"/>
      <c r="O59" s="110"/>
      <c r="P59" s="94"/>
    </row>
    <row r="60" spans="1:16" s="100" customFormat="1" ht="29.25" customHeight="1">
      <c r="A60" s="282">
        <v>4</v>
      </c>
      <c r="B60" s="94" t="s">
        <v>820</v>
      </c>
      <c r="C60" s="111"/>
      <c r="D60" s="282">
        <v>2016</v>
      </c>
      <c r="E60" s="282">
        <v>1</v>
      </c>
      <c r="F60" s="282"/>
      <c r="G60" s="282">
        <v>1</v>
      </c>
      <c r="H60" s="120">
        <v>0</v>
      </c>
      <c r="I60" s="216">
        <v>700000</v>
      </c>
      <c r="J60" s="216">
        <v>700000</v>
      </c>
      <c r="K60" s="282" t="s">
        <v>631</v>
      </c>
      <c r="L60" s="282" t="s">
        <v>970</v>
      </c>
      <c r="M60" s="282" t="s">
        <v>649</v>
      </c>
      <c r="N60" s="94"/>
      <c r="O60" s="110"/>
      <c r="P60" s="94"/>
    </row>
    <row r="61" spans="1:16" s="100" customFormat="1" ht="29.25" customHeight="1">
      <c r="A61" s="282">
        <v>5</v>
      </c>
      <c r="B61" s="226" t="s">
        <v>973</v>
      </c>
      <c r="C61" s="122" t="s">
        <v>974</v>
      </c>
      <c r="D61" s="116">
        <v>2012</v>
      </c>
      <c r="E61" s="282">
        <v>1</v>
      </c>
      <c r="F61" s="282"/>
      <c r="G61" s="282">
        <v>1</v>
      </c>
      <c r="H61" s="120">
        <v>0</v>
      </c>
      <c r="I61" s="120"/>
      <c r="J61" s="120"/>
      <c r="K61" s="282" t="s">
        <v>631</v>
      </c>
      <c r="L61" s="282" t="s">
        <v>970</v>
      </c>
      <c r="M61" s="282" t="s">
        <v>649</v>
      </c>
      <c r="N61" s="94"/>
      <c r="O61" s="110"/>
      <c r="P61" s="94"/>
    </row>
    <row r="62" spans="1:16" s="100" customFormat="1" ht="89.25" customHeight="1">
      <c r="A62" s="282">
        <v>6</v>
      </c>
      <c r="B62" s="94" t="s">
        <v>637</v>
      </c>
      <c r="C62" s="111" t="s">
        <v>994</v>
      </c>
      <c r="D62" s="282">
        <v>2022</v>
      </c>
      <c r="E62" s="282">
        <v>1</v>
      </c>
      <c r="F62" s="282"/>
      <c r="G62" s="282">
        <v>1</v>
      </c>
      <c r="H62" s="120">
        <v>0</v>
      </c>
      <c r="I62" s="220">
        <v>3280000</v>
      </c>
      <c r="J62" s="217">
        <f>+G62*I62</f>
        <v>3280000</v>
      </c>
      <c r="K62" s="282" t="s">
        <v>631</v>
      </c>
      <c r="L62" s="282" t="s">
        <v>970</v>
      </c>
      <c r="M62" s="282" t="s">
        <v>649</v>
      </c>
      <c r="N62" s="94"/>
      <c r="O62" s="110"/>
      <c r="P62" s="94"/>
    </row>
    <row r="63" spans="1:16" s="100" customFormat="1" ht="54.75" customHeight="1">
      <c r="A63" s="283" t="s">
        <v>670</v>
      </c>
      <c r="B63" s="224" t="s">
        <v>1040</v>
      </c>
      <c r="C63" s="109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94"/>
      <c r="O63" s="110"/>
      <c r="P63" s="94"/>
    </row>
    <row r="64" spans="1:16" s="100" customFormat="1" ht="80.25" customHeight="1">
      <c r="A64" s="282">
        <v>1</v>
      </c>
      <c r="B64" s="94" t="s">
        <v>623</v>
      </c>
      <c r="C64" s="109" t="s">
        <v>659</v>
      </c>
      <c r="D64" s="282">
        <v>2022</v>
      </c>
      <c r="E64" s="282">
        <v>5</v>
      </c>
      <c r="F64" s="282"/>
      <c r="G64" s="282">
        <v>5</v>
      </c>
      <c r="H64" s="282">
        <v>0</v>
      </c>
      <c r="I64" s="216">
        <v>2500000</v>
      </c>
      <c r="J64" s="216">
        <f>+G64*I64</f>
        <v>12500000</v>
      </c>
      <c r="K64" s="282" t="s">
        <v>631</v>
      </c>
      <c r="L64" s="282" t="s">
        <v>975</v>
      </c>
      <c r="M64" s="282" t="s">
        <v>649</v>
      </c>
      <c r="N64" s="94"/>
      <c r="O64" s="110"/>
      <c r="P64" s="94"/>
    </row>
    <row r="65" spans="1:16" s="100" customFormat="1" ht="80.25" customHeight="1">
      <c r="A65" s="282">
        <v>2</v>
      </c>
      <c r="B65" s="94" t="s">
        <v>624</v>
      </c>
      <c r="C65" s="111" t="s">
        <v>995</v>
      </c>
      <c r="D65" s="282">
        <v>2022</v>
      </c>
      <c r="E65" s="282">
        <v>3</v>
      </c>
      <c r="F65" s="282"/>
      <c r="G65" s="282">
        <v>3</v>
      </c>
      <c r="H65" s="120">
        <v>0</v>
      </c>
      <c r="I65" s="225">
        <v>660000</v>
      </c>
      <c r="J65" s="225">
        <f>+G65*I65</f>
        <v>1980000</v>
      </c>
      <c r="K65" s="282" t="s">
        <v>631</v>
      </c>
      <c r="L65" s="282" t="s">
        <v>783</v>
      </c>
      <c r="M65" s="282" t="s">
        <v>649</v>
      </c>
      <c r="N65" s="94"/>
      <c r="O65" s="110"/>
      <c r="P65" s="94"/>
    </row>
    <row r="66" spans="1:16" s="100" customFormat="1" ht="72.75" customHeight="1">
      <c r="A66" s="282">
        <v>3</v>
      </c>
      <c r="B66" s="100" t="s">
        <v>751</v>
      </c>
      <c r="C66" s="111" t="s">
        <v>1054</v>
      </c>
      <c r="D66" s="282">
        <v>2022</v>
      </c>
      <c r="E66" s="282">
        <v>1</v>
      </c>
      <c r="F66" s="282"/>
      <c r="G66" s="282">
        <v>1</v>
      </c>
      <c r="H66" s="120">
        <v>0</v>
      </c>
      <c r="I66" s="220">
        <v>1100000</v>
      </c>
      <c r="J66" s="220">
        <v>1100000</v>
      </c>
      <c r="K66" s="282" t="s">
        <v>631</v>
      </c>
      <c r="L66" s="282" t="s">
        <v>783</v>
      </c>
      <c r="M66" s="282" t="s">
        <v>649</v>
      </c>
      <c r="N66" s="94"/>
      <c r="O66" s="110"/>
      <c r="P66" s="94"/>
    </row>
    <row r="67" spans="1:16" s="100" customFormat="1" ht="89.25" customHeight="1">
      <c r="A67" s="282">
        <v>4</v>
      </c>
      <c r="B67" s="94" t="s">
        <v>637</v>
      </c>
      <c r="C67" s="111" t="s">
        <v>993</v>
      </c>
      <c r="D67" s="282">
        <v>2022</v>
      </c>
      <c r="E67" s="282">
        <v>3</v>
      </c>
      <c r="F67" s="282"/>
      <c r="G67" s="282">
        <v>3</v>
      </c>
      <c r="H67" s="120">
        <v>0</v>
      </c>
      <c r="I67" s="220">
        <v>3280000</v>
      </c>
      <c r="J67" s="217">
        <f>+G67*I67</f>
        <v>9840000</v>
      </c>
      <c r="K67" s="282" t="s">
        <v>631</v>
      </c>
      <c r="L67" s="282" t="s">
        <v>783</v>
      </c>
      <c r="M67" s="282" t="s">
        <v>649</v>
      </c>
      <c r="N67" s="94"/>
      <c r="O67" s="110"/>
      <c r="P67" s="94"/>
    </row>
    <row r="68" spans="1:16" s="100" customFormat="1" ht="70.5" customHeight="1">
      <c r="A68" s="282">
        <v>6</v>
      </c>
      <c r="B68" s="110" t="s">
        <v>638</v>
      </c>
      <c r="C68" s="111" t="s">
        <v>660</v>
      </c>
      <c r="D68" s="282">
        <v>2022</v>
      </c>
      <c r="E68" s="282">
        <v>5</v>
      </c>
      <c r="F68" s="282"/>
      <c r="G68" s="282">
        <v>5</v>
      </c>
      <c r="H68" s="120">
        <v>0</v>
      </c>
      <c r="I68" s="220">
        <v>650000</v>
      </c>
      <c r="J68" s="217">
        <f>+G68*I68</f>
        <v>3250000</v>
      </c>
      <c r="K68" s="282" t="s">
        <v>631</v>
      </c>
      <c r="L68" s="282" t="s">
        <v>783</v>
      </c>
      <c r="M68" s="282" t="s">
        <v>649</v>
      </c>
      <c r="N68" s="94"/>
      <c r="O68" s="110"/>
      <c r="P68" s="94"/>
    </row>
    <row r="69" spans="1:16" s="100" customFormat="1" ht="23.25" customHeight="1">
      <c r="A69" s="282">
        <v>7</v>
      </c>
      <c r="B69" s="109" t="s">
        <v>834</v>
      </c>
      <c r="C69" s="111"/>
      <c r="D69" s="282">
        <v>2019</v>
      </c>
      <c r="E69" s="282">
        <v>3</v>
      </c>
      <c r="F69" s="282"/>
      <c r="G69" s="282">
        <v>3</v>
      </c>
      <c r="H69" s="120">
        <v>0</v>
      </c>
      <c r="I69" s="120"/>
      <c r="J69" s="120"/>
      <c r="K69" s="282" t="s">
        <v>631</v>
      </c>
      <c r="L69" s="282" t="s">
        <v>783</v>
      </c>
      <c r="M69" s="282" t="s">
        <v>649</v>
      </c>
      <c r="N69" s="94" t="s">
        <v>833</v>
      </c>
      <c r="O69" s="110"/>
      <c r="P69" s="94" t="s">
        <v>589</v>
      </c>
    </row>
    <row r="70" spans="1:16" s="100" customFormat="1" ht="31.5" customHeight="1">
      <c r="A70" s="282">
        <v>8</v>
      </c>
      <c r="B70" s="109" t="s">
        <v>519</v>
      </c>
      <c r="C70" s="109"/>
      <c r="D70" s="282">
        <v>2020</v>
      </c>
      <c r="E70" s="282">
        <v>2</v>
      </c>
      <c r="F70" s="282"/>
      <c r="G70" s="282">
        <v>1</v>
      </c>
      <c r="H70" s="282">
        <v>-1</v>
      </c>
      <c r="I70" s="282"/>
      <c r="J70" s="282"/>
      <c r="K70" s="282" t="s">
        <v>631</v>
      </c>
      <c r="L70" s="282" t="s">
        <v>783</v>
      </c>
      <c r="M70" s="282" t="s">
        <v>649</v>
      </c>
      <c r="N70" s="94" t="s">
        <v>833</v>
      </c>
      <c r="O70" s="110" t="s">
        <v>1010</v>
      </c>
      <c r="P70" s="94"/>
    </row>
    <row r="71" spans="1:16" s="121" customFormat="1" ht="20.25" customHeight="1">
      <c r="A71" s="282">
        <v>9</v>
      </c>
      <c r="B71" s="110" t="s">
        <v>520</v>
      </c>
      <c r="C71" s="110"/>
      <c r="D71" s="282"/>
      <c r="E71" s="282">
        <v>1</v>
      </c>
      <c r="F71" s="283"/>
      <c r="G71" s="282">
        <v>1</v>
      </c>
      <c r="H71" s="120">
        <v>0</v>
      </c>
      <c r="I71" s="120"/>
      <c r="J71" s="120"/>
      <c r="K71" s="282" t="s">
        <v>631</v>
      </c>
      <c r="L71" s="282" t="s">
        <v>783</v>
      </c>
      <c r="M71" s="282" t="s">
        <v>649</v>
      </c>
      <c r="N71" s="282" t="s">
        <v>830</v>
      </c>
      <c r="O71" s="110"/>
      <c r="P71" s="101"/>
    </row>
    <row r="72" spans="1:16" s="100" customFormat="1" ht="33.75" customHeight="1">
      <c r="A72" s="283" t="s">
        <v>677</v>
      </c>
      <c r="B72" s="281" t="s">
        <v>1033</v>
      </c>
      <c r="C72" s="110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94"/>
      <c r="O72" s="281"/>
      <c r="P72" s="101"/>
    </row>
    <row r="73" spans="1:16" s="121" customFormat="1" ht="78" customHeight="1">
      <c r="A73" s="282">
        <v>1</v>
      </c>
      <c r="B73" s="110" t="s">
        <v>627</v>
      </c>
      <c r="C73" s="282" t="s">
        <v>661</v>
      </c>
      <c r="D73" s="282">
        <v>2022</v>
      </c>
      <c r="E73" s="282">
        <v>3</v>
      </c>
      <c r="F73" s="283"/>
      <c r="G73" s="282">
        <v>3</v>
      </c>
      <c r="H73" s="282">
        <v>0</v>
      </c>
      <c r="I73" s="220">
        <v>2590000</v>
      </c>
      <c r="J73" s="217">
        <f>+G73*I73</f>
        <v>7770000</v>
      </c>
      <c r="K73" s="282" t="s">
        <v>631</v>
      </c>
      <c r="L73" s="282" t="s">
        <v>662</v>
      </c>
      <c r="M73" s="282" t="s">
        <v>649</v>
      </c>
      <c r="N73" s="101"/>
      <c r="O73" s="110"/>
      <c r="P73" s="94"/>
    </row>
    <row r="74" spans="1:16" s="121" customFormat="1" ht="35.25" customHeight="1">
      <c r="A74" s="282">
        <v>2</v>
      </c>
      <c r="B74" s="110" t="s">
        <v>520</v>
      </c>
      <c r="C74" s="110"/>
      <c r="D74" s="282"/>
      <c r="E74" s="282">
        <v>1</v>
      </c>
      <c r="F74" s="283"/>
      <c r="G74" s="282">
        <v>1</v>
      </c>
      <c r="H74" s="120">
        <v>0</v>
      </c>
      <c r="I74" s="120"/>
      <c r="J74" s="120"/>
      <c r="K74" s="282" t="s">
        <v>631</v>
      </c>
      <c r="L74" s="282" t="s">
        <v>654</v>
      </c>
      <c r="M74" s="282" t="s">
        <v>649</v>
      </c>
      <c r="N74" s="282" t="s">
        <v>830</v>
      </c>
      <c r="O74" s="110"/>
      <c r="P74" s="101"/>
    </row>
    <row r="75" spans="1:16" s="100" customFormat="1" ht="36" customHeight="1">
      <c r="A75" s="283" t="s">
        <v>681</v>
      </c>
      <c r="B75" s="281" t="s">
        <v>639</v>
      </c>
      <c r="C75" s="110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94"/>
      <c r="O75" s="110"/>
      <c r="P75" s="94"/>
    </row>
    <row r="76" spans="1:16" s="100" customFormat="1" ht="82.5">
      <c r="A76" s="282">
        <v>2</v>
      </c>
      <c r="B76" s="94" t="s">
        <v>624</v>
      </c>
      <c r="C76" s="282" t="s">
        <v>663</v>
      </c>
      <c r="D76" s="282">
        <v>2022</v>
      </c>
      <c r="E76" s="282">
        <v>1</v>
      </c>
      <c r="F76" s="282"/>
      <c r="G76" s="282">
        <v>1</v>
      </c>
      <c r="H76" s="282">
        <v>0</v>
      </c>
      <c r="I76" s="225">
        <v>660000</v>
      </c>
      <c r="J76" s="225">
        <f>+G76*I76</f>
        <v>660000</v>
      </c>
      <c r="K76" s="282" t="s">
        <v>631</v>
      </c>
      <c r="L76" s="282" t="s">
        <v>664</v>
      </c>
      <c r="M76" s="282" t="s">
        <v>649</v>
      </c>
      <c r="N76" s="94"/>
      <c r="O76" s="110"/>
      <c r="P76" s="94"/>
    </row>
    <row r="77" spans="1:16" s="100" customFormat="1" ht="80.25" customHeight="1">
      <c r="A77" s="282">
        <v>3</v>
      </c>
      <c r="B77" s="110" t="s">
        <v>627</v>
      </c>
      <c r="C77" s="282" t="s">
        <v>665</v>
      </c>
      <c r="D77" s="282">
        <v>2022</v>
      </c>
      <c r="E77" s="282">
        <v>12</v>
      </c>
      <c r="F77" s="282"/>
      <c r="G77" s="282">
        <v>12</v>
      </c>
      <c r="H77" s="282">
        <v>0</v>
      </c>
      <c r="I77" s="220">
        <v>2590000</v>
      </c>
      <c r="J77" s="217">
        <f>+G77*I77</f>
        <v>31080000</v>
      </c>
      <c r="K77" s="282" t="s">
        <v>631</v>
      </c>
      <c r="L77" s="282" t="s">
        <v>664</v>
      </c>
      <c r="M77" s="282" t="s">
        <v>649</v>
      </c>
      <c r="N77" s="94"/>
      <c r="O77" s="110" t="s">
        <v>1035</v>
      </c>
      <c r="P77" s="94"/>
    </row>
    <row r="78" spans="1:16" s="100" customFormat="1" ht="24" customHeight="1">
      <c r="A78" s="282">
        <v>4</v>
      </c>
      <c r="B78" s="110" t="s">
        <v>832</v>
      </c>
      <c r="C78" s="110"/>
      <c r="D78" s="282"/>
      <c r="E78" s="282">
        <v>2</v>
      </c>
      <c r="F78" s="282"/>
      <c r="G78" s="282">
        <v>2</v>
      </c>
      <c r="H78" s="120">
        <v>0</v>
      </c>
      <c r="I78" s="288">
        <f>281250</f>
        <v>281250</v>
      </c>
      <c r="J78" s="288">
        <f>281250*2</f>
        <v>562500</v>
      </c>
      <c r="K78" s="282" t="s">
        <v>631</v>
      </c>
      <c r="L78" s="282" t="s">
        <v>664</v>
      </c>
      <c r="M78" s="282" t="s">
        <v>649</v>
      </c>
      <c r="N78" s="94" t="s">
        <v>833</v>
      </c>
      <c r="O78" s="110" t="s">
        <v>1034</v>
      </c>
      <c r="P78" s="94"/>
    </row>
    <row r="79" spans="1:16" s="100" customFormat="1" ht="24" customHeight="1">
      <c r="A79" s="282">
        <v>5</v>
      </c>
      <c r="B79" s="110" t="s">
        <v>832</v>
      </c>
      <c r="C79" s="110"/>
      <c r="D79" s="282"/>
      <c r="E79" s="282">
        <v>1</v>
      </c>
      <c r="F79" s="282"/>
      <c r="G79" s="282">
        <v>1</v>
      </c>
      <c r="H79" s="120">
        <v>0</v>
      </c>
      <c r="I79" s="227"/>
      <c r="J79" s="227"/>
      <c r="K79" s="282" t="s">
        <v>631</v>
      </c>
      <c r="L79" s="282" t="s">
        <v>664</v>
      </c>
      <c r="M79" s="282" t="s">
        <v>649</v>
      </c>
      <c r="N79" s="94" t="s">
        <v>833</v>
      </c>
      <c r="O79" s="110" t="s">
        <v>1034</v>
      </c>
      <c r="P79" s="94"/>
    </row>
    <row r="80" spans="1:16" s="100" customFormat="1" ht="53.1" customHeight="1">
      <c r="A80" s="282">
        <v>6</v>
      </c>
      <c r="B80" s="110" t="s">
        <v>824</v>
      </c>
      <c r="C80" s="110"/>
      <c r="D80" s="282"/>
      <c r="E80" s="282">
        <v>1</v>
      </c>
      <c r="F80" s="282"/>
      <c r="G80" s="282">
        <v>1</v>
      </c>
      <c r="H80" s="120">
        <v>0</v>
      </c>
      <c r="I80" s="216"/>
      <c r="J80" s="216"/>
      <c r="K80" s="282" t="s">
        <v>631</v>
      </c>
      <c r="L80" s="282" t="s">
        <v>664</v>
      </c>
      <c r="M80" s="282" t="s">
        <v>649</v>
      </c>
      <c r="N80" s="94" t="s">
        <v>830</v>
      </c>
      <c r="O80" s="110" t="s">
        <v>1037</v>
      </c>
      <c r="P80" s="94"/>
    </row>
    <row r="81" spans="1:39" s="121" customFormat="1">
      <c r="A81" s="283" t="s">
        <v>689</v>
      </c>
      <c r="B81" s="281" t="s">
        <v>521</v>
      </c>
      <c r="C81" s="110"/>
      <c r="D81" s="283"/>
      <c r="E81" s="282"/>
      <c r="F81" s="283"/>
      <c r="G81" s="282"/>
      <c r="H81" s="283"/>
      <c r="I81" s="283"/>
      <c r="J81" s="283"/>
      <c r="K81" s="283"/>
      <c r="L81" s="283"/>
      <c r="M81" s="283"/>
      <c r="N81" s="101"/>
      <c r="O81" s="281"/>
      <c r="P81" s="101"/>
    </row>
    <row r="82" spans="1:39" ht="25.5" customHeight="1">
      <c r="A82" s="116">
        <v>1</v>
      </c>
      <c r="B82" s="110" t="s">
        <v>832</v>
      </c>
      <c r="C82" s="119"/>
      <c r="D82" s="282"/>
      <c r="E82" s="116">
        <v>10</v>
      </c>
      <c r="F82" s="116"/>
      <c r="G82" s="116">
        <v>10</v>
      </c>
      <c r="H82" s="116">
        <v>0</v>
      </c>
      <c r="I82" s="288">
        <f>2250000</f>
        <v>2250000</v>
      </c>
      <c r="J82" s="288">
        <f>2250000*10</f>
        <v>22500000</v>
      </c>
      <c r="K82" s="282" t="s">
        <v>631</v>
      </c>
      <c r="L82" s="282" t="s">
        <v>976</v>
      </c>
      <c r="M82" s="282" t="s">
        <v>649</v>
      </c>
      <c r="N82" s="116" t="s">
        <v>833</v>
      </c>
      <c r="O82" s="110"/>
      <c r="P82" s="94"/>
    </row>
    <row r="83" spans="1:39" s="100" customFormat="1" ht="87" customHeight="1">
      <c r="A83" s="282">
        <v>2</v>
      </c>
      <c r="B83" s="110" t="s">
        <v>627</v>
      </c>
      <c r="C83" s="111" t="s">
        <v>752</v>
      </c>
      <c r="D83" s="282">
        <v>2022</v>
      </c>
      <c r="E83" s="282">
        <v>2</v>
      </c>
      <c r="F83" s="282"/>
      <c r="G83" s="282">
        <v>2</v>
      </c>
      <c r="H83" s="120">
        <v>0</v>
      </c>
      <c r="I83" s="220">
        <v>2590000</v>
      </c>
      <c r="J83" s="217">
        <f>+G83*I83</f>
        <v>5180000</v>
      </c>
      <c r="K83" s="282" t="s">
        <v>631</v>
      </c>
      <c r="L83" s="282" t="s">
        <v>976</v>
      </c>
      <c r="M83" s="282" t="s">
        <v>1041</v>
      </c>
      <c r="N83" s="94"/>
      <c r="O83" s="110"/>
      <c r="P83" s="94"/>
    </row>
    <row r="84" spans="1:39" s="121" customFormat="1" ht="33">
      <c r="A84" s="282">
        <v>3</v>
      </c>
      <c r="B84" s="110" t="s">
        <v>520</v>
      </c>
      <c r="C84" s="110"/>
      <c r="D84" s="282">
        <v>2022</v>
      </c>
      <c r="E84" s="282">
        <v>1</v>
      </c>
      <c r="F84" s="283"/>
      <c r="G84" s="282">
        <v>1</v>
      </c>
      <c r="H84" s="120">
        <v>0</v>
      </c>
      <c r="I84" s="120"/>
      <c r="J84" s="120"/>
      <c r="K84" s="282" t="s">
        <v>631</v>
      </c>
      <c r="L84" s="282" t="s">
        <v>976</v>
      </c>
      <c r="M84" s="282" t="s">
        <v>649</v>
      </c>
      <c r="N84" s="282" t="s">
        <v>833</v>
      </c>
      <c r="O84" s="110"/>
      <c r="P84" s="101"/>
    </row>
    <row r="85" spans="1:39" s="73" customFormat="1" ht="24.75" customHeight="1">
      <c r="A85" s="276" t="s">
        <v>693</v>
      </c>
      <c r="B85" s="159" t="s">
        <v>1016</v>
      </c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2"/>
    </row>
    <row r="86" spans="1:39" s="73" customFormat="1" ht="99">
      <c r="A86" s="123">
        <v>1</v>
      </c>
      <c r="B86" s="94" t="s">
        <v>637</v>
      </c>
      <c r="C86" s="111" t="s">
        <v>1019</v>
      </c>
      <c r="D86" s="282">
        <v>2022</v>
      </c>
      <c r="E86" s="282">
        <v>2</v>
      </c>
      <c r="F86" s="123"/>
      <c r="G86" s="123">
        <v>2</v>
      </c>
      <c r="H86" s="134">
        <v>0</v>
      </c>
      <c r="I86" s="220">
        <v>3280000</v>
      </c>
      <c r="J86" s="217">
        <f>+G86*I86</f>
        <v>6560000</v>
      </c>
      <c r="K86" s="123" t="s">
        <v>631</v>
      </c>
      <c r="L86" s="132" t="s">
        <v>1014</v>
      </c>
      <c r="M86" s="123" t="s">
        <v>649</v>
      </c>
      <c r="N86" s="123"/>
      <c r="O86" s="125"/>
      <c r="P86" s="123"/>
    </row>
    <row r="87" spans="1:39" s="100" customFormat="1" ht="82.5">
      <c r="A87" s="282">
        <v>2</v>
      </c>
      <c r="B87" s="94" t="s">
        <v>624</v>
      </c>
      <c r="C87" s="282" t="s">
        <v>1018</v>
      </c>
      <c r="D87" s="282">
        <v>2022</v>
      </c>
      <c r="E87" s="282">
        <v>4</v>
      </c>
      <c r="F87" s="282"/>
      <c r="G87" s="282">
        <v>4</v>
      </c>
      <c r="H87" s="120">
        <v>0</v>
      </c>
      <c r="I87" s="218">
        <v>660000</v>
      </c>
      <c r="J87" s="218">
        <f>+G87*I87</f>
        <v>2640000</v>
      </c>
      <c r="K87" s="282" t="s">
        <v>631</v>
      </c>
      <c r="L87" s="132" t="s">
        <v>1014</v>
      </c>
      <c r="M87" s="282" t="s">
        <v>649</v>
      </c>
      <c r="N87" s="94"/>
      <c r="O87" s="110"/>
      <c r="P87" s="94"/>
    </row>
    <row r="88" spans="1:39" s="100" customFormat="1" ht="66">
      <c r="A88" s="282">
        <v>3</v>
      </c>
      <c r="B88" s="94" t="s">
        <v>668</v>
      </c>
      <c r="C88" s="282" t="s">
        <v>1060</v>
      </c>
      <c r="D88" s="282">
        <v>2022</v>
      </c>
      <c r="E88" s="282">
        <v>2</v>
      </c>
      <c r="F88" s="282"/>
      <c r="G88" s="282">
        <v>2</v>
      </c>
      <c r="H88" s="120">
        <v>0</v>
      </c>
      <c r="I88" s="220">
        <v>1100000</v>
      </c>
      <c r="J88" s="217">
        <f>+G88*I88</f>
        <v>2200000</v>
      </c>
      <c r="K88" s="282" t="s">
        <v>631</v>
      </c>
      <c r="L88" s="132" t="s">
        <v>1014</v>
      </c>
      <c r="M88" s="282" t="s">
        <v>649</v>
      </c>
      <c r="N88" s="94"/>
      <c r="O88" s="110"/>
      <c r="P88" s="94"/>
    </row>
    <row r="89" spans="1:39" s="100" customFormat="1">
      <c r="A89" s="257"/>
      <c r="B89" s="258" t="s">
        <v>1155</v>
      </c>
      <c r="C89" s="259"/>
      <c r="D89" s="258"/>
      <c r="E89" s="257"/>
      <c r="F89" s="257"/>
      <c r="G89" s="260"/>
      <c r="H89" s="260"/>
      <c r="I89" s="260"/>
      <c r="J89" s="261">
        <f>SUM(J37:J88)</f>
        <v>190902500</v>
      </c>
      <c r="K89" s="261"/>
      <c r="L89" s="262"/>
      <c r="M89" s="261"/>
      <c r="N89" s="261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57"/>
      <c r="Z89" s="261"/>
      <c r="AA89" s="260"/>
      <c r="AB89" s="263"/>
      <c r="AC89" s="261"/>
      <c r="AD89" s="261"/>
      <c r="AE89" s="264"/>
      <c r="AF89" s="265"/>
      <c r="AG89" s="266"/>
      <c r="AH89" s="267">
        <f>SUM(AH28:AH88)</f>
        <v>0</v>
      </c>
      <c r="AI89" s="257"/>
      <c r="AJ89" s="257"/>
      <c r="AK89" s="268"/>
      <c r="AL89" s="269"/>
      <c r="AM89" s="270"/>
    </row>
    <row r="90" spans="1:39" s="131" customFormat="1">
      <c r="A90" s="107"/>
      <c r="B90" s="107"/>
      <c r="C90" s="107"/>
      <c r="D90" s="127"/>
      <c r="E90" s="127"/>
      <c r="F90" s="127"/>
      <c r="G90" s="127"/>
      <c r="H90" s="127"/>
      <c r="I90" s="127"/>
      <c r="J90" s="127"/>
      <c r="K90" s="127"/>
      <c r="L90" s="228"/>
      <c r="M90" s="127"/>
      <c r="N90" s="107"/>
      <c r="O90" s="128"/>
      <c r="P90" s="107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</row>
    <row r="91" spans="1:39" s="73" customFormat="1" ht="15.75">
      <c r="A91" s="103"/>
      <c r="B91" s="103"/>
      <c r="C91" s="103"/>
      <c r="D91" s="272"/>
      <c r="E91" s="272"/>
      <c r="F91" s="129"/>
      <c r="G91" s="272"/>
      <c r="H91" s="272"/>
      <c r="I91" s="272"/>
      <c r="J91" s="272"/>
      <c r="K91" s="130"/>
      <c r="L91" s="405" t="s">
        <v>1134</v>
      </c>
      <c r="M91" s="405"/>
      <c r="N91" s="405"/>
      <c r="O91" s="405"/>
      <c r="P91" s="405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</row>
    <row r="92" spans="1:39" s="73" customFormat="1" ht="15.75">
      <c r="A92" s="103" t="s">
        <v>633</v>
      </c>
      <c r="B92" s="103"/>
      <c r="C92" s="397" t="s">
        <v>967</v>
      </c>
      <c r="D92" s="397"/>
      <c r="E92" s="397"/>
      <c r="F92" s="397"/>
      <c r="G92" s="397"/>
      <c r="H92" s="397" t="s">
        <v>772</v>
      </c>
      <c r="I92" s="397"/>
      <c r="J92" s="397"/>
      <c r="K92" s="397"/>
      <c r="L92" s="397"/>
      <c r="M92" s="397"/>
      <c r="N92" s="397" t="s">
        <v>773</v>
      </c>
      <c r="O92" s="397"/>
      <c r="P92" s="397"/>
    </row>
    <row r="93" spans="1:39" s="73" customFormat="1" ht="20.25" customHeight="1">
      <c r="A93" s="103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29"/>
      <c r="M93" s="272"/>
      <c r="N93" s="272"/>
      <c r="O93" s="278"/>
    </row>
    <row r="94" spans="1:39" s="73" customFormat="1" ht="20.25" customHeight="1">
      <c r="A94" s="389" t="s">
        <v>959</v>
      </c>
      <c r="B94" s="389"/>
      <c r="C94" s="272"/>
      <c r="D94" s="272"/>
      <c r="E94" s="272"/>
      <c r="F94" s="272"/>
      <c r="G94" s="272"/>
      <c r="H94" s="272"/>
      <c r="I94" s="272"/>
      <c r="J94" s="272"/>
      <c r="K94" s="272"/>
      <c r="L94" s="229"/>
      <c r="M94" s="272"/>
      <c r="N94" s="272"/>
      <c r="O94" s="278"/>
    </row>
    <row r="95" spans="1:39" s="73" customFormat="1" ht="20.25" customHeight="1">
      <c r="A95" s="389" t="s">
        <v>960</v>
      </c>
      <c r="B95" s="389"/>
      <c r="C95" s="272"/>
      <c r="D95" s="272"/>
      <c r="E95" s="272"/>
      <c r="F95" s="272"/>
      <c r="G95" s="272"/>
      <c r="H95" s="272"/>
      <c r="I95" s="272"/>
      <c r="J95" s="272"/>
      <c r="K95" s="272"/>
      <c r="L95" s="229"/>
      <c r="M95" s="272"/>
      <c r="N95" s="272"/>
      <c r="O95" s="278"/>
    </row>
    <row r="96" spans="1:39" s="73" customFormat="1" ht="20.25" customHeight="1">
      <c r="A96" s="389" t="s">
        <v>1012</v>
      </c>
      <c r="B96" s="389"/>
      <c r="C96" s="272"/>
      <c r="D96" s="272"/>
      <c r="E96" s="272"/>
      <c r="F96" s="272"/>
      <c r="G96" s="272"/>
      <c r="H96" s="272"/>
      <c r="I96" s="272"/>
      <c r="J96" s="272"/>
      <c r="K96" s="272"/>
      <c r="L96" s="229"/>
      <c r="M96" s="272"/>
      <c r="N96" s="103"/>
      <c r="O96" s="278"/>
      <c r="P96" s="103"/>
    </row>
    <row r="97" spans="1:39" s="131" customFormat="1" ht="24" customHeight="1">
      <c r="A97" s="389" t="s">
        <v>1133</v>
      </c>
      <c r="B97" s="389"/>
      <c r="C97" s="397" t="s">
        <v>968</v>
      </c>
      <c r="D97" s="397"/>
      <c r="E97" s="397"/>
      <c r="F97" s="397"/>
      <c r="G97" s="397"/>
      <c r="H97" s="397" t="s">
        <v>1046</v>
      </c>
      <c r="I97" s="397"/>
      <c r="J97" s="397"/>
      <c r="K97" s="397"/>
      <c r="L97" s="397"/>
      <c r="M97" s="397"/>
      <c r="N97" s="397" t="s">
        <v>1005</v>
      </c>
      <c r="O97" s="397"/>
      <c r="P97" s="397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</row>
    <row r="98" spans="1:39">
      <c r="A98" s="131"/>
      <c r="B98" s="131"/>
      <c r="C98" s="103"/>
      <c r="D98" s="272"/>
      <c r="E98" s="272"/>
      <c r="F98" s="129"/>
      <c r="G98" s="272"/>
      <c r="H98" s="272"/>
      <c r="I98" s="272"/>
      <c r="J98" s="272"/>
      <c r="K98" s="130"/>
      <c r="L98" s="397"/>
      <c r="M98" s="397"/>
      <c r="N98" s="397"/>
      <c r="O98" s="397"/>
      <c r="P98" s="397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</row>
    <row r="124" spans="1:39">
      <c r="A124" s="398" t="s">
        <v>977</v>
      </c>
      <c r="B124" s="398"/>
      <c r="C124" s="398"/>
      <c r="D124" s="398"/>
      <c r="E124" s="398"/>
      <c r="F124" s="398"/>
      <c r="G124" s="398"/>
      <c r="H124" s="398"/>
      <c r="I124" s="398"/>
      <c r="J124" s="398"/>
      <c r="K124" s="398"/>
      <c r="L124" s="398"/>
      <c r="M124" s="398"/>
      <c r="N124" s="398"/>
      <c r="O124" s="398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</row>
    <row r="125" spans="1:39" s="83" customFormat="1" ht="53.25" customHeight="1">
      <c r="A125" s="95"/>
      <c r="B125" s="95"/>
      <c r="C125" s="95"/>
      <c r="D125" s="138"/>
      <c r="E125" s="138"/>
      <c r="F125" s="138"/>
      <c r="G125" s="138"/>
      <c r="H125" s="138"/>
      <c r="I125" s="138"/>
      <c r="J125" s="138"/>
      <c r="K125" s="138"/>
      <c r="L125" s="193"/>
      <c r="M125" s="138"/>
      <c r="N125" s="95"/>
      <c r="O125" s="128"/>
      <c r="P125" s="100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</row>
    <row r="126" spans="1:39" s="83" customFormat="1" ht="39" customHeight="1">
      <c r="A126" s="395" t="s">
        <v>610</v>
      </c>
      <c r="B126" s="396" t="s">
        <v>611</v>
      </c>
      <c r="C126" s="395" t="s">
        <v>612</v>
      </c>
      <c r="D126" s="395" t="s">
        <v>613</v>
      </c>
      <c r="E126" s="395" t="s">
        <v>614</v>
      </c>
      <c r="F126" s="396"/>
      <c r="G126" s="114" t="s">
        <v>615</v>
      </c>
      <c r="H126" s="114" t="s">
        <v>616</v>
      </c>
      <c r="I126" s="114"/>
      <c r="J126" s="114"/>
      <c r="K126" s="395" t="s">
        <v>617</v>
      </c>
      <c r="L126" s="395" t="s">
        <v>618</v>
      </c>
      <c r="M126" s="395" t="s">
        <v>619</v>
      </c>
      <c r="N126" s="395" t="s">
        <v>620</v>
      </c>
      <c r="O126" s="406" t="s">
        <v>621</v>
      </c>
      <c r="P126" s="287"/>
    </row>
    <row r="127" spans="1:39" s="131" customFormat="1" ht="66" customHeight="1">
      <c r="A127" s="396"/>
      <c r="B127" s="396"/>
      <c r="C127" s="395"/>
      <c r="D127" s="396"/>
      <c r="E127" s="276" t="s">
        <v>7</v>
      </c>
      <c r="F127" s="114" t="s">
        <v>622</v>
      </c>
      <c r="G127" s="276" t="s">
        <v>7</v>
      </c>
      <c r="H127" s="276" t="s">
        <v>7</v>
      </c>
      <c r="I127" s="276"/>
      <c r="J127" s="276"/>
      <c r="K127" s="402"/>
      <c r="L127" s="400"/>
      <c r="M127" s="395"/>
      <c r="N127" s="395"/>
      <c r="O127" s="407"/>
      <c r="P127" s="287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</row>
    <row r="128" spans="1:39" s="73" customFormat="1" ht="38.25" customHeight="1">
      <c r="A128" s="123">
        <v>2</v>
      </c>
      <c r="B128" s="124" t="s">
        <v>840</v>
      </c>
      <c r="C128" s="124"/>
      <c r="D128" s="132" t="s">
        <v>839</v>
      </c>
      <c r="E128" s="123">
        <v>5</v>
      </c>
      <c r="F128" s="123"/>
      <c r="G128" s="123">
        <v>5</v>
      </c>
      <c r="H128" s="123">
        <v>0</v>
      </c>
      <c r="I128" s="123"/>
      <c r="J128" s="123"/>
      <c r="K128" s="123" t="s">
        <v>631</v>
      </c>
      <c r="L128" s="132" t="s">
        <v>956</v>
      </c>
      <c r="M128" s="123" t="s">
        <v>809</v>
      </c>
      <c r="N128" s="123" t="s">
        <v>833</v>
      </c>
      <c r="O128" s="133" t="s">
        <v>849</v>
      </c>
      <c r="P128" s="123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</row>
    <row r="129" spans="1:39" s="131" customFormat="1" ht="38.25" customHeight="1">
      <c r="A129" s="123">
        <v>3</v>
      </c>
      <c r="B129" s="124" t="s">
        <v>832</v>
      </c>
      <c r="C129" s="123"/>
      <c r="D129" s="123"/>
      <c r="E129" s="123">
        <v>2</v>
      </c>
      <c r="F129" s="123"/>
      <c r="G129" s="123">
        <v>2</v>
      </c>
      <c r="H129" s="123">
        <v>0</v>
      </c>
      <c r="I129" s="123"/>
      <c r="J129" s="123"/>
      <c r="K129" s="123" t="s">
        <v>631</v>
      </c>
      <c r="L129" s="132" t="s">
        <v>956</v>
      </c>
      <c r="M129" s="123" t="s">
        <v>809</v>
      </c>
      <c r="N129" s="123" t="s">
        <v>833</v>
      </c>
      <c r="O129" s="133" t="s">
        <v>849</v>
      </c>
      <c r="P129" s="12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</row>
    <row r="130" spans="1:39" s="131" customFormat="1" ht="38.25" customHeight="1">
      <c r="A130" s="123">
        <v>4</v>
      </c>
      <c r="B130" s="124" t="s">
        <v>841</v>
      </c>
      <c r="C130" s="123"/>
      <c r="D130" s="123"/>
      <c r="E130" s="123">
        <v>3</v>
      </c>
      <c r="F130" s="123"/>
      <c r="G130" s="123">
        <v>3</v>
      </c>
      <c r="H130" s="123">
        <v>0</v>
      </c>
      <c r="I130" s="123"/>
      <c r="J130" s="123"/>
      <c r="K130" s="123" t="s">
        <v>631</v>
      </c>
      <c r="L130" s="132" t="s">
        <v>956</v>
      </c>
      <c r="M130" s="123" t="s">
        <v>809</v>
      </c>
      <c r="N130" s="123" t="s">
        <v>833</v>
      </c>
      <c r="O130" s="133" t="s">
        <v>849</v>
      </c>
      <c r="P130" s="123"/>
    </row>
    <row r="131" spans="1:39" s="131" customFormat="1" ht="38.25" customHeight="1">
      <c r="A131" s="123">
        <v>5</v>
      </c>
      <c r="B131" s="124" t="s">
        <v>823</v>
      </c>
      <c r="C131" s="123"/>
      <c r="D131" s="126">
        <v>2010</v>
      </c>
      <c r="E131" s="123">
        <v>1</v>
      </c>
      <c r="F131" s="123"/>
      <c r="G131" s="123">
        <v>1</v>
      </c>
      <c r="H131" s="123">
        <v>0</v>
      </c>
      <c r="I131" s="123"/>
      <c r="J131" s="123"/>
      <c r="K131" s="123" t="s">
        <v>631</v>
      </c>
      <c r="L131" s="132" t="s">
        <v>956</v>
      </c>
      <c r="M131" s="123" t="s">
        <v>809</v>
      </c>
      <c r="N131" s="123" t="s">
        <v>833</v>
      </c>
      <c r="O131" s="133" t="s">
        <v>849</v>
      </c>
      <c r="P131" s="123"/>
    </row>
    <row r="132" spans="1:39" s="73" customFormat="1" ht="38.25" customHeight="1">
      <c r="A132" s="123">
        <v>6</v>
      </c>
      <c r="B132" s="124" t="s">
        <v>534</v>
      </c>
      <c r="C132" s="123"/>
      <c r="D132" s="126">
        <v>2011</v>
      </c>
      <c r="E132" s="123">
        <v>1</v>
      </c>
      <c r="F132" s="123"/>
      <c r="G132" s="123">
        <v>1</v>
      </c>
      <c r="H132" s="123">
        <v>0</v>
      </c>
      <c r="I132" s="123"/>
      <c r="J132" s="123"/>
      <c r="K132" s="123" t="s">
        <v>631</v>
      </c>
      <c r="L132" s="132" t="s">
        <v>956</v>
      </c>
      <c r="M132" s="123" t="s">
        <v>809</v>
      </c>
      <c r="N132" s="123" t="s">
        <v>833</v>
      </c>
      <c r="O132" s="133" t="s">
        <v>849</v>
      </c>
      <c r="P132" s="123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</row>
    <row r="133" spans="1:39" s="73" customFormat="1" ht="38.25" customHeight="1">
      <c r="A133" s="123">
        <v>7</v>
      </c>
      <c r="B133" s="124" t="s">
        <v>805</v>
      </c>
      <c r="C133" s="123"/>
      <c r="D133" s="123"/>
      <c r="E133" s="123">
        <v>3</v>
      </c>
      <c r="F133" s="123"/>
      <c r="G133" s="123">
        <v>3</v>
      </c>
      <c r="H133" s="123">
        <v>0</v>
      </c>
      <c r="I133" s="123"/>
      <c r="J133" s="123"/>
      <c r="K133" s="123" t="s">
        <v>631</v>
      </c>
      <c r="L133" s="132" t="s">
        <v>956</v>
      </c>
      <c r="M133" s="123" t="s">
        <v>809</v>
      </c>
      <c r="N133" s="123" t="s">
        <v>833</v>
      </c>
      <c r="O133" s="133" t="s">
        <v>849</v>
      </c>
      <c r="P133" s="123"/>
    </row>
    <row r="134" spans="1:39" s="131" customFormat="1" ht="38.25" customHeight="1">
      <c r="A134" s="123">
        <v>8</v>
      </c>
      <c r="B134" s="124" t="s">
        <v>843</v>
      </c>
      <c r="C134" s="123"/>
      <c r="D134" s="123"/>
      <c r="E134" s="123">
        <v>1</v>
      </c>
      <c r="F134" s="123"/>
      <c r="G134" s="123">
        <v>1</v>
      </c>
      <c r="H134" s="123">
        <v>0</v>
      </c>
      <c r="I134" s="123"/>
      <c r="J134" s="123"/>
      <c r="K134" s="123" t="s">
        <v>631</v>
      </c>
      <c r="L134" s="132" t="s">
        <v>956</v>
      </c>
      <c r="M134" s="123" t="s">
        <v>809</v>
      </c>
      <c r="N134" s="123" t="s">
        <v>833</v>
      </c>
      <c r="O134" s="133" t="s">
        <v>849</v>
      </c>
      <c r="P134" s="12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</row>
    <row r="135" spans="1:39" s="73" customFormat="1" ht="38.25" customHeight="1">
      <c r="A135" s="123">
        <v>9</v>
      </c>
      <c r="B135" s="124" t="s">
        <v>842</v>
      </c>
      <c r="C135" s="123"/>
      <c r="D135" s="123"/>
      <c r="E135" s="123">
        <v>1</v>
      </c>
      <c r="F135" s="123"/>
      <c r="G135" s="123">
        <v>1</v>
      </c>
      <c r="H135" s="123">
        <v>0</v>
      </c>
      <c r="I135" s="123"/>
      <c r="J135" s="123"/>
      <c r="K135" s="123" t="s">
        <v>631</v>
      </c>
      <c r="L135" s="132" t="s">
        <v>956</v>
      </c>
      <c r="M135" s="123" t="s">
        <v>809</v>
      </c>
      <c r="N135" s="123" t="s">
        <v>833</v>
      </c>
      <c r="O135" s="133" t="s">
        <v>849</v>
      </c>
      <c r="P135" s="123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</row>
    <row r="136" spans="1:39" s="131" customFormat="1" ht="38.25" customHeight="1">
      <c r="A136" s="123">
        <v>10</v>
      </c>
      <c r="B136" s="124" t="s">
        <v>848</v>
      </c>
      <c r="C136" s="123"/>
      <c r="D136" s="123"/>
      <c r="E136" s="123">
        <v>1</v>
      </c>
      <c r="F136" s="123"/>
      <c r="G136" s="123">
        <v>1</v>
      </c>
      <c r="H136" s="123">
        <v>0</v>
      </c>
      <c r="I136" s="123"/>
      <c r="J136" s="123"/>
      <c r="K136" s="123" t="s">
        <v>631</v>
      </c>
      <c r="L136" s="132" t="s">
        <v>956</v>
      </c>
      <c r="M136" s="123" t="s">
        <v>809</v>
      </c>
      <c r="N136" s="123" t="s">
        <v>833</v>
      </c>
      <c r="O136" s="133" t="s">
        <v>849</v>
      </c>
      <c r="P136" s="12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</row>
    <row r="137" spans="1:39" s="131" customFormat="1" ht="38.25" customHeight="1">
      <c r="A137" s="123">
        <v>11</v>
      </c>
      <c r="B137" s="124" t="s">
        <v>847</v>
      </c>
      <c r="C137" s="123"/>
      <c r="D137" s="123"/>
      <c r="E137" s="123">
        <v>3</v>
      </c>
      <c r="F137" s="123"/>
      <c r="G137" s="123">
        <v>3</v>
      </c>
      <c r="H137" s="123">
        <v>0</v>
      </c>
      <c r="I137" s="123"/>
      <c r="J137" s="123"/>
      <c r="K137" s="123" t="s">
        <v>631</v>
      </c>
      <c r="L137" s="132" t="s">
        <v>956</v>
      </c>
      <c r="M137" s="123" t="s">
        <v>809</v>
      </c>
      <c r="N137" s="123" t="s">
        <v>833</v>
      </c>
      <c r="O137" s="133" t="s">
        <v>849</v>
      </c>
      <c r="P137" s="123"/>
    </row>
    <row r="138" spans="1:39" s="131" customFormat="1" ht="38.25" customHeight="1">
      <c r="A138" s="123">
        <v>12</v>
      </c>
      <c r="B138" s="124" t="s">
        <v>846</v>
      </c>
      <c r="C138" s="123"/>
      <c r="D138" s="123"/>
      <c r="E138" s="123">
        <v>1</v>
      </c>
      <c r="F138" s="123"/>
      <c r="G138" s="123">
        <v>1</v>
      </c>
      <c r="H138" s="123">
        <v>0</v>
      </c>
      <c r="I138" s="123"/>
      <c r="J138" s="123"/>
      <c r="K138" s="123" t="s">
        <v>631</v>
      </c>
      <c r="L138" s="132" t="s">
        <v>956</v>
      </c>
      <c r="M138" s="123" t="s">
        <v>809</v>
      </c>
      <c r="N138" s="123" t="s">
        <v>833</v>
      </c>
      <c r="O138" s="133" t="s">
        <v>849</v>
      </c>
      <c r="P138" s="123"/>
    </row>
    <row r="139" spans="1:39" s="131" customFormat="1" ht="38.25" customHeight="1">
      <c r="A139" s="123">
        <v>13</v>
      </c>
      <c r="B139" s="124" t="s">
        <v>823</v>
      </c>
      <c r="C139" s="123"/>
      <c r="D139" s="123"/>
      <c r="E139" s="123">
        <v>2</v>
      </c>
      <c r="F139" s="123"/>
      <c r="G139" s="123">
        <v>2</v>
      </c>
      <c r="H139" s="123">
        <v>0</v>
      </c>
      <c r="I139" s="123"/>
      <c r="J139" s="123"/>
      <c r="K139" s="123" t="s">
        <v>631</v>
      </c>
      <c r="L139" s="132" t="s">
        <v>956</v>
      </c>
      <c r="M139" s="123" t="s">
        <v>809</v>
      </c>
      <c r="N139" s="123" t="s">
        <v>833</v>
      </c>
      <c r="O139" s="133" t="s">
        <v>849</v>
      </c>
      <c r="P139" s="123"/>
    </row>
    <row r="140" spans="1:39" s="131" customFormat="1" ht="38.25" customHeight="1">
      <c r="A140" s="123">
        <v>14</v>
      </c>
      <c r="B140" s="124" t="s">
        <v>805</v>
      </c>
      <c r="C140" s="123"/>
      <c r="D140" s="123"/>
      <c r="E140" s="123">
        <v>1</v>
      </c>
      <c r="F140" s="123"/>
      <c r="G140" s="123">
        <v>1</v>
      </c>
      <c r="H140" s="123">
        <v>0</v>
      </c>
      <c r="I140" s="123"/>
      <c r="J140" s="123"/>
      <c r="K140" s="123" t="s">
        <v>631</v>
      </c>
      <c r="L140" s="132" t="s">
        <v>956</v>
      </c>
      <c r="M140" s="123" t="s">
        <v>809</v>
      </c>
      <c r="N140" s="123" t="s">
        <v>833</v>
      </c>
      <c r="O140" s="133" t="s">
        <v>849</v>
      </c>
      <c r="P140" s="123"/>
    </row>
    <row r="141" spans="1:39" s="131" customFormat="1" ht="38.25" customHeight="1">
      <c r="A141" s="123">
        <v>15</v>
      </c>
      <c r="B141" s="124" t="s">
        <v>534</v>
      </c>
      <c r="C141" s="123"/>
      <c r="D141" s="123"/>
      <c r="E141" s="123">
        <v>1</v>
      </c>
      <c r="F141" s="123"/>
      <c r="G141" s="123">
        <v>1</v>
      </c>
      <c r="H141" s="123">
        <v>0</v>
      </c>
      <c r="I141" s="123"/>
      <c r="J141" s="123"/>
      <c r="K141" s="123" t="s">
        <v>631</v>
      </c>
      <c r="L141" s="132" t="s">
        <v>965</v>
      </c>
      <c r="M141" s="123" t="s">
        <v>809</v>
      </c>
      <c r="N141" s="123" t="s">
        <v>833</v>
      </c>
      <c r="O141" s="133" t="s">
        <v>849</v>
      </c>
      <c r="P141" s="123"/>
    </row>
    <row r="142" spans="1:39" s="131" customFormat="1" ht="38.25" customHeight="1">
      <c r="A142" s="123">
        <v>16</v>
      </c>
      <c r="B142" s="124" t="s">
        <v>845</v>
      </c>
      <c r="C142" s="123"/>
      <c r="D142" s="134" t="s">
        <v>844</v>
      </c>
      <c r="E142" s="123">
        <v>1</v>
      </c>
      <c r="F142" s="123"/>
      <c r="G142" s="123">
        <v>1</v>
      </c>
      <c r="H142" s="123">
        <v>0</v>
      </c>
      <c r="I142" s="123"/>
      <c r="J142" s="123"/>
      <c r="K142" s="123" t="s">
        <v>631</v>
      </c>
      <c r="L142" s="132" t="s">
        <v>956</v>
      </c>
      <c r="M142" s="123" t="s">
        <v>809</v>
      </c>
      <c r="N142" s="123" t="s">
        <v>833</v>
      </c>
      <c r="O142" s="133" t="s">
        <v>849</v>
      </c>
      <c r="P142" s="123"/>
    </row>
    <row r="143" spans="1:39" s="137" customFormat="1" ht="38.25" customHeight="1">
      <c r="A143" s="123">
        <v>17</v>
      </c>
      <c r="B143" s="124" t="s">
        <v>845</v>
      </c>
      <c r="C143" s="123"/>
      <c r="D143" s="134" t="s">
        <v>844</v>
      </c>
      <c r="E143" s="123">
        <v>1</v>
      </c>
      <c r="F143" s="123"/>
      <c r="G143" s="123">
        <v>1</v>
      </c>
      <c r="H143" s="123">
        <v>0</v>
      </c>
      <c r="I143" s="123"/>
      <c r="J143" s="123"/>
      <c r="K143" s="123" t="s">
        <v>631</v>
      </c>
      <c r="L143" s="132" t="s">
        <v>956</v>
      </c>
      <c r="M143" s="123" t="s">
        <v>809</v>
      </c>
      <c r="N143" s="123" t="s">
        <v>833</v>
      </c>
      <c r="O143" s="133" t="s">
        <v>849</v>
      </c>
      <c r="P143" s="123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</row>
    <row r="144" spans="1:39" s="131" customFormat="1" ht="38.25" customHeight="1">
      <c r="A144" s="123">
        <v>18</v>
      </c>
      <c r="B144" s="125" t="s">
        <v>793</v>
      </c>
      <c r="C144" s="135"/>
      <c r="D144" s="136">
        <v>2020</v>
      </c>
      <c r="E144" s="123">
        <v>1</v>
      </c>
      <c r="F144" s="123"/>
      <c r="G144" s="123">
        <v>1</v>
      </c>
      <c r="H144" s="123">
        <v>0</v>
      </c>
      <c r="I144" s="123"/>
      <c r="J144" s="123"/>
      <c r="K144" s="123" t="s">
        <v>631</v>
      </c>
      <c r="L144" s="132" t="s">
        <v>956</v>
      </c>
      <c r="M144" s="123" t="s">
        <v>809</v>
      </c>
      <c r="N144" s="123" t="s">
        <v>833</v>
      </c>
      <c r="O144" s="133" t="s">
        <v>849</v>
      </c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</row>
    <row r="145" spans="1:39" s="73" customFormat="1" ht="38.25" customHeight="1">
      <c r="A145" s="123">
        <v>19</v>
      </c>
      <c r="B145" s="124" t="s">
        <v>845</v>
      </c>
      <c r="C145" s="123"/>
      <c r="D145" s="134" t="s">
        <v>850</v>
      </c>
      <c r="E145" s="123">
        <v>2</v>
      </c>
      <c r="F145" s="123"/>
      <c r="G145" s="123">
        <v>2</v>
      </c>
      <c r="H145" s="123">
        <v>0</v>
      </c>
      <c r="I145" s="123"/>
      <c r="J145" s="123"/>
      <c r="K145" s="123" t="s">
        <v>631</v>
      </c>
      <c r="L145" s="132" t="s">
        <v>957</v>
      </c>
      <c r="M145" s="123" t="s">
        <v>809</v>
      </c>
      <c r="N145" s="123" t="s">
        <v>833</v>
      </c>
      <c r="O145" s="133" t="s">
        <v>849</v>
      </c>
      <c r="P145" s="123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</row>
    <row r="146" spans="1:39" s="73" customFormat="1" ht="42.75" customHeight="1">
      <c r="A146" s="276" t="s">
        <v>690</v>
      </c>
      <c r="B146" s="390" t="s">
        <v>882</v>
      </c>
      <c r="C146" s="391"/>
      <c r="D146" s="391"/>
      <c r="E146" s="391"/>
      <c r="F146" s="391"/>
      <c r="G146" s="391"/>
      <c r="H146" s="391"/>
      <c r="I146" s="391"/>
      <c r="J146" s="391"/>
      <c r="K146" s="391"/>
      <c r="L146" s="391"/>
      <c r="M146" s="391"/>
      <c r="N146" s="391"/>
      <c r="O146" s="391"/>
      <c r="P146" s="392"/>
      <c r="Q146" s="73">
        <v>1</v>
      </c>
    </row>
    <row r="147" spans="1:39">
      <c r="A147" s="123">
        <v>1</v>
      </c>
      <c r="B147" s="124" t="s">
        <v>837</v>
      </c>
      <c r="C147" s="123"/>
      <c r="D147" s="126">
        <v>2012</v>
      </c>
      <c r="E147" s="123">
        <v>1</v>
      </c>
      <c r="F147" s="123"/>
      <c r="G147" s="123">
        <v>1</v>
      </c>
      <c r="H147" s="123">
        <v>0</v>
      </c>
      <c r="I147" s="123"/>
      <c r="J147" s="123"/>
      <c r="K147" s="123" t="s">
        <v>631</v>
      </c>
      <c r="L147" s="132" t="s">
        <v>838</v>
      </c>
      <c r="M147" s="123" t="s">
        <v>836</v>
      </c>
      <c r="N147" s="123" t="s">
        <v>833</v>
      </c>
      <c r="O147" s="124"/>
      <c r="P147" s="123"/>
      <c r="Q147" s="73">
        <v>2</v>
      </c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</row>
    <row r="154" spans="1:39" s="73" customFormat="1" ht="38.25" customHeight="1">
      <c r="A154" s="95"/>
      <c r="B154" s="95"/>
      <c r="C154" s="95"/>
      <c r="D154" s="138"/>
      <c r="E154" s="138"/>
      <c r="F154" s="138"/>
      <c r="G154" s="138"/>
      <c r="H154" s="138"/>
      <c r="I154" s="138"/>
      <c r="J154" s="138"/>
      <c r="K154" s="138"/>
      <c r="L154" s="193"/>
      <c r="M154" s="138"/>
      <c r="N154" s="95"/>
      <c r="O154" s="128"/>
      <c r="P154" s="100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</row>
    <row r="155" spans="1:39" s="73" customFormat="1" ht="42.75" customHeight="1">
      <c r="A155" s="276"/>
      <c r="B155" s="390" t="s">
        <v>962</v>
      </c>
      <c r="C155" s="391"/>
      <c r="D155" s="391"/>
      <c r="E155" s="391"/>
      <c r="F155" s="391"/>
      <c r="G155" s="391"/>
      <c r="H155" s="391"/>
      <c r="I155" s="391"/>
      <c r="J155" s="391"/>
      <c r="K155" s="391"/>
      <c r="L155" s="391"/>
      <c r="M155" s="391"/>
      <c r="N155" s="391"/>
      <c r="O155" s="391"/>
      <c r="P155" s="392"/>
    </row>
    <row r="156" spans="1:39" s="131" customFormat="1" ht="42.75" customHeight="1">
      <c r="A156" s="123">
        <v>3</v>
      </c>
      <c r="B156" s="124" t="s">
        <v>853</v>
      </c>
      <c r="C156" s="123"/>
      <c r="D156" s="123"/>
      <c r="E156" s="123">
        <v>1</v>
      </c>
      <c r="F156" s="123"/>
      <c r="G156" s="123">
        <v>1</v>
      </c>
      <c r="H156" s="123">
        <v>0</v>
      </c>
      <c r="I156" s="123"/>
      <c r="J156" s="123"/>
      <c r="K156" s="123" t="s">
        <v>631</v>
      </c>
      <c r="L156" s="132" t="s">
        <v>855</v>
      </c>
      <c r="M156" s="123" t="s">
        <v>836</v>
      </c>
      <c r="N156" s="123" t="s">
        <v>833</v>
      </c>
      <c r="O156" s="124"/>
      <c r="P156" s="12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</row>
    <row r="157" spans="1:39" s="73" customFormat="1" ht="42.75" customHeight="1">
      <c r="A157" s="123">
        <v>4</v>
      </c>
      <c r="B157" s="124" t="s">
        <v>852</v>
      </c>
      <c r="C157" s="123"/>
      <c r="D157" s="123"/>
      <c r="E157" s="123">
        <v>1</v>
      </c>
      <c r="F157" s="123"/>
      <c r="G157" s="123">
        <v>1</v>
      </c>
      <c r="H157" s="123">
        <v>0</v>
      </c>
      <c r="I157" s="123"/>
      <c r="J157" s="123"/>
      <c r="K157" s="123" t="s">
        <v>631</v>
      </c>
      <c r="L157" s="132" t="s">
        <v>856</v>
      </c>
      <c r="M157" s="123" t="s">
        <v>836</v>
      </c>
      <c r="N157" s="123" t="s">
        <v>833</v>
      </c>
      <c r="O157" s="124"/>
      <c r="P157" s="123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</row>
    <row r="158" spans="1:39" s="131" customFormat="1" ht="42.75" customHeight="1">
      <c r="A158" s="123">
        <v>5</v>
      </c>
      <c r="B158" s="124" t="s">
        <v>827</v>
      </c>
      <c r="C158" s="123"/>
      <c r="D158" s="123"/>
      <c r="E158" s="123">
        <v>2</v>
      </c>
      <c r="F158" s="123"/>
      <c r="G158" s="123">
        <v>2</v>
      </c>
      <c r="H158" s="123">
        <v>0</v>
      </c>
      <c r="I158" s="123"/>
      <c r="J158" s="123"/>
      <c r="K158" s="123" t="s">
        <v>631</v>
      </c>
      <c r="L158" s="132" t="s">
        <v>857</v>
      </c>
      <c r="M158" s="123" t="s">
        <v>836</v>
      </c>
      <c r="N158" s="123" t="s">
        <v>833</v>
      </c>
      <c r="O158" s="124"/>
      <c r="P158" s="12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</row>
    <row r="159" spans="1:39" s="73" customFormat="1" ht="42.75" customHeight="1">
      <c r="A159" s="123">
        <v>6</v>
      </c>
      <c r="B159" s="124" t="s">
        <v>827</v>
      </c>
      <c r="C159" s="123"/>
      <c r="D159" s="123"/>
      <c r="E159" s="123">
        <v>1</v>
      </c>
      <c r="F159" s="123"/>
      <c r="G159" s="123">
        <v>1</v>
      </c>
      <c r="H159" s="123">
        <v>0</v>
      </c>
      <c r="I159" s="123"/>
      <c r="J159" s="123"/>
      <c r="K159" s="123" t="s">
        <v>631</v>
      </c>
      <c r="L159" s="132" t="s">
        <v>856</v>
      </c>
      <c r="M159" s="123" t="s">
        <v>836</v>
      </c>
      <c r="N159" s="123" t="s">
        <v>833</v>
      </c>
      <c r="O159" s="124"/>
      <c r="P159" s="123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</row>
    <row r="160" spans="1:39" s="73" customFormat="1" ht="42.75" customHeight="1">
      <c r="A160" s="123">
        <v>7</v>
      </c>
      <c r="B160" s="124" t="s">
        <v>827</v>
      </c>
      <c r="C160" s="123"/>
      <c r="D160" s="123"/>
      <c r="E160" s="123">
        <v>4</v>
      </c>
      <c r="F160" s="123"/>
      <c r="G160" s="123">
        <v>4</v>
      </c>
      <c r="H160" s="123">
        <v>0</v>
      </c>
      <c r="I160" s="123"/>
      <c r="J160" s="123"/>
      <c r="K160" s="123" t="s">
        <v>631</v>
      </c>
      <c r="L160" s="132" t="s">
        <v>436</v>
      </c>
      <c r="M160" s="123" t="s">
        <v>836</v>
      </c>
      <c r="N160" s="123" t="s">
        <v>833</v>
      </c>
      <c r="O160" s="124"/>
      <c r="P160" s="123"/>
    </row>
    <row r="161" spans="1:39" s="131" customFormat="1" ht="42.75" customHeight="1">
      <c r="A161" s="123">
        <v>8</v>
      </c>
      <c r="B161" s="124" t="s">
        <v>851</v>
      </c>
      <c r="C161" s="123"/>
      <c r="D161" s="123"/>
      <c r="E161" s="123">
        <v>1</v>
      </c>
      <c r="F161" s="123"/>
      <c r="G161" s="123">
        <v>1</v>
      </c>
      <c r="H161" s="123">
        <v>0</v>
      </c>
      <c r="I161" s="123"/>
      <c r="J161" s="123"/>
      <c r="K161" s="123" t="s">
        <v>631</v>
      </c>
      <c r="L161" s="132" t="s">
        <v>858</v>
      </c>
      <c r="M161" s="123" t="s">
        <v>836</v>
      </c>
      <c r="N161" s="123" t="s">
        <v>833</v>
      </c>
      <c r="O161" s="124" t="s">
        <v>958</v>
      </c>
      <c r="P161" s="12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</row>
    <row r="162" spans="1:39" s="131" customFormat="1" ht="42.75" customHeight="1">
      <c r="A162" s="123">
        <v>9</v>
      </c>
      <c r="B162" s="124" t="s">
        <v>827</v>
      </c>
      <c r="C162" s="123"/>
      <c r="D162" s="123"/>
      <c r="E162" s="123">
        <v>2</v>
      </c>
      <c r="F162" s="123"/>
      <c r="G162" s="123">
        <v>2</v>
      </c>
      <c r="H162" s="123">
        <v>0</v>
      </c>
      <c r="I162" s="123"/>
      <c r="J162" s="123"/>
      <c r="K162" s="123" t="s">
        <v>631</v>
      </c>
      <c r="L162" s="132" t="s">
        <v>838</v>
      </c>
      <c r="M162" s="123" t="s">
        <v>836</v>
      </c>
      <c r="N162" s="123" t="s">
        <v>833</v>
      </c>
      <c r="O162" s="124"/>
      <c r="P162" s="123"/>
    </row>
    <row r="163" spans="1:39">
      <c r="A163" s="123">
        <v>10</v>
      </c>
      <c r="B163" s="124" t="s">
        <v>827</v>
      </c>
      <c r="C163" s="123"/>
      <c r="D163" s="123"/>
      <c r="E163" s="123">
        <v>2</v>
      </c>
      <c r="F163" s="123"/>
      <c r="G163" s="123">
        <v>2</v>
      </c>
      <c r="H163" s="123">
        <v>0</v>
      </c>
      <c r="I163" s="123"/>
      <c r="J163" s="123"/>
      <c r="K163" s="123" t="s">
        <v>631</v>
      </c>
      <c r="L163" s="132" t="s">
        <v>858</v>
      </c>
      <c r="M163" s="123" t="s">
        <v>836</v>
      </c>
      <c r="N163" s="123" t="s">
        <v>833</v>
      </c>
      <c r="O163" s="124"/>
      <c r="P163" s="123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</row>
  </sheetData>
  <mergeCells count="59">
    <mergeCell ref="O126:O127"/>
    <mergeCell ref="C126:C127"/>
    <mergeCell ref="D126:D127"/>
    <mergeCell ref="E126:F126"/>
    <mergeCell ref="K126:K127"/>
    <mergeCell ref="L126:L127"/>
    <mergeCell ref="B146:P146"/>
    <mergeCell ref="L91:P91"/>
    <mergeCell ref="H92:M92"/>
    <mergeCell ref="N92:P92"/>
    <mergeCell ref="H97:M97"/>
    <mergeCell ref="N97:P97"/>
    <mergeCell ref="A94:B94"/>
    <mergeCell ref="A95:B95"/>
    <mergeCell ref="A97:B97"/>
    <mergeCell ref="C92:G92"/>
    <mergeCell ref="C97:G97"/>
    <mergeCell ref="A124:O124"/>
    <mergeCell ref="A126:A127"/>
    <mergeCell ref="B126:B127"/>
    <mergeCell ref="M126:M127"/>
    <mergeCell ref="N126:N127"/>
    <mergeCell ref="M25:M26"/>
    <mergeCell ref="N25:N26"/>
    <mergeCell ref="O25:O26"/>
    <mergeCell ref="A27:E27"/>
    <mergeCell ref="C25:C26"/>
    <mergeCell ref="D25:D26"/>
    <mergeCell ref="E25:F25"/>
    <mergeCell ref="K25:K26"/>
    <mergeCell ref="L25:L26"/>
    <mergeCell ref="I25:I26"/>
    <mergeCell ref="J25:J26"/>
    <mergeCell ref="H1:P1"/>
    <mergeCell ref="H2:P2"/>
    <mergeCell ref="A3:P3"/>
    <mergeCell ref="H4:P4"/>
    <mergeCell ref="A18:P18"/>
    <mergeCell ref="H6:P6"/>
    <mergeCell ref="H7:P7"/>
    <mergeCell ref="H8:P8"/>
    <mergeCell ref="A10:P10"/>
    <mergeCell ref="A16:B16"/>
    <mergeCell ref="A96:B96"/>
    <mergeCell ref="B155:P155"/>
    <mergeCell ref="A17:B17"/>
    <mergeCell ref="A11:AL11"/>
    <mergeCell ref="A13:B13"/>
    <mergeCell ref="A14:B14"/>
    <mergeCell ref="A15:B15"/>
    <mergeCell ref="A24:B24"/>
    <mergeCell ref="A19:C19"/>
    <mergeCell ref="A20:B20"/>
    <mergeCell ref="A21:B21"/>
    <mergeCell ref="A22:B22"/>
    <mergeCell ref="A23:B23"/>
    <mergeCell ref="A25:A26"/>
    <mergeCell ref="B25:B26"/>
    <mergeCell ref="L98:P98"/>
  </mergeCells>
  <pageMargins left="0.28999999999999998" right="0" top="0.39" bottom="0" header="0.11811023622047245" footer="0"/>
  <pageSetup paperSize="9"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253"/>
  <sheetViews>
    <sheetView topLeftCell="A11" zoomScale="85" zoomScaleNormal="85" workbookViewId="0">
      <selection activeCell="A11" sqref="A1:XFD1048576"/>
    </sheetView>
  </sheetViews>
  <sheetFormatPr defaultColWidth="9.140625" defaultRowHeight="15.75"/>
  <cols>
    <col min="1" max="1" width="8.85546875" style="73" customWidth="1"/>
    <col min="2" max="2" width="40" style="232" customWidth="1"/>
    <col min="3" max="3" width="12.85546875" style="73" customWidth="1"/>
    <col min="4" max="4" width="9" style="273" customWidth="1"/>
    <col min="5" max="5" width="7.42578125" style="273" customWidth="1"/>
    <col min="6" max="6" width="0" style="273" hidden="1" customWidth="1"/>
    <col min="7" max="8" width="8.42578125" style="273" customWidth="1"/>
    <col min="9" max="9" width="10.42578125" style="73" customWidth="1"/>
    <col min="10" max="10" width="13.5703125" style="240" customWidth="1"/>
    <col min="11" max="11" width="14.7109375" style="240" customWidth="1"/>
    <col min="12" max="12" width="13.140625" style="73" customWidth="1"/>
    <col min="13" max="13" width="11.42578125" style="273" customWidth="1"/>
    <col min="14" max="14" width="11.42578125" style="73" customWidth="1"/>
    <col min="15" max="15" width="9.5703125" style="164" customWidth="1"/>
    <col min="16" max="16" width="1" style="73" hidden="1" customWidth="1"/>
    <col min="17" max="16384" width="9.140625" style="73"/>
  </cols>
  <sheetData>
    <row r="1" spans="1:38">
      <c r="A1" s="72" t="s">
        <v>641</v>
      </c>
      <c r="B1" s="230"/>
      <c r="C1" s="72"/>
      <c r="D1" s="72"/>
      <c r="E1" s="112"/>
      <c r="F1" s="112"/>
      <c r="G1" s="112"/>
      <c r="H1" s="397" t="s">
        <v>642</v>
      </c>
      <c r="I1" s="397"/>
      <c r="J1" s="397"/>
      <c r="K1" s="397"/>
      <c r="L1" s="397"/>
      <c r="M1" s="397"/>
      <c r="N1" s="397"/>
      <c r="O1" s="397"/>
      <c r="P1" s="397"/>
      <c r="Q1" s="272"/>
      <c r="R1" s="272"/>
      <c r="S1" s="272"/>
      <c r="T1" s="272"/>
      <c r="W1" s="72"/>
      <c r="X1" s="72"/>
      <c r="Y1" s="72"/>
      <c r="Z1" s="72"/>
    </row>
    <row r="2" spans="1:38">
      <c r="A2" s="72" t="s">
        <v>596</v>
      </c>
      <c r="B2" s="230"/>
      <c r="C2" s="72"/>
      <c r="D2" s="72"/>
      <c r="E2" s="112"/>
      <c r="F2" s="112"/>
      <c r="G2" s="112"/>
      <c r="H2" s="398"/>
      <c r="I2" s="398"/>
      <c r="J2" s="398"/>
      <c r="K2" s="398"/>
      <c r="L2" s="398"/>
      <c r="M2" s="398"/>
      <c r="N2" s="398"/>
      <c r="O2" s="398"/>
      <c r="P2" s="398"/>
      <c r="Q2" s="273"/>
      <c r="R2" s="273"/>
      <c r="S2" s="273"/>
      <c r="T2" s="273"/>
      <c r="W2" s="72"/>
      <c r="X2" s="72"/>
      <c r="Y2" s="72"/>
      <c r="Z2" s="72"/>
    </row>
    <row r="3" spans="1:38">
      <c r="A3" s="272"/>
      <c r="B3" s="229"/>
      <c r="C3" s="272"/>
      <c r="D3" s="272"/>
      <c r="E3" s="272"/>
      <c r="F3" s="272"/>
      <c r="G3" s="272"/>
      <c r="H3" s="398"/>
      <c r="I3" s="398"/>
      <c r="J3" s="398"/>
      <c r="K3" s="398"/>
      <c r="L3" s="398"/>
      <c r="M3" s="398"/>
      <c r="N3" s="398"/>
      <c r="O3" s="398"/>
      <c r="P3" s="398"/>
      <c r="X3" s="272"/>
      <c r="Y3" s="272"/>
      <c r="Z3" s="272"/>
      <c r="AA3" s="272"/>
    </row>
    <row r="4" spans="1:38">
      <c r="A4" s="272"/>
      <c r="B4" s="229"/>
      <c r="C4" s="272"/>
      <c r="D4" s="272"/>
      <c r="E4" s="272"/>
      <c r="F4" s="272"/>
      <c r="G4" s="272"/>
      <c r="I4" s="273"/>
      <c r="L4" s="273"/>
      <c r="N4" s="273"/>
      <c r="O4" s="74"/>
      <c r="P4" s="273"/>
      <c r="X4" s="272"/>
      <c r="Y4" s="272"/>
      <c r="Z4" s="272"/>
      <c r="AA4" s="272"/>
    </row>
    <row r="5" spans="1:38" ht="18.75">
      <c r="A5" s="399" t="s">
        <v>1021</v>
      </c>
      <c r="B5" s="399"/>
      <c r="C5" s="399"/>
      <c r="D5" s="399"/>
      <c r="E5" s="399"/>
      <c r="F5" s="399"/>
      <c r="G5" s="399"/>
      <c r="H5" s="399"/>
      <c r="I5" s="399"/>
      <c r="J5" s="399"/>
      <c r="K5" s="399"/>
      <c r="L5" s="399"/>
      <c r="M5" s="399"/>
      <c r="N5" s="399"/>
      <c r="O5" s="399"/>
      <c r="P5" s="399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</row>
    <row r="6" spans="1:38">
      <c r="A6" s="394" t="s">
        <v>1132</v>
      </c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4"/>
      <c r="S6" s="394"/>
      <c r="T6" s="394"/>
      <c r="U6" s="394"/>
      <c r="V6" s="394"/>
      <c r="W6" s="394"/>
      <c r="X6" s="394"/>
      <c r="Y6" s="394"/>
      <c r="Z6" s="394"/>
      <c r="AA6" s="394"/>
      <c r="AB6" s="394"/>
      <c r="AC6" s="394"/>
      <c r="AD6" s="394"/>
      <c r="AE6" s="394"/>
      <c r="AF6" s="394"/>
      <c r="AG6" s="394"/>
      <c r="AH6" s="394"/>
      <c r="AI6" s="394"/>
      <c r="AJ6" s="394"/>
      <c r="AK6" s="394"/>
      <c r="AL6" s="394"/>
    </row>
    <row r="7" spans="1:38">
      <c r="A7" s="393" t="s">
        <v>1002</v>
      </c>
      <c r="B7" s="393"/>
      <c r="C7" s="393"/>
      <c r="D7" s="73" t="s">
        <v>1003</v>
      </c>
      <c r="E7" s="272"/>
      <c r="I7" s="272"/>
      <c r="J7" s="241"/>
      <c r="K7" s="241"/>
      <c r="M7" s="83" t="s">
        <v>600</v>
      </c>
      <c r="N7" s="272"/>
      <c r="O7" s="74"/>
      <c r="U7" s="271"/>
      <c r="V7" s="77"/>
      <c r="Y7" s="78"/>
      <c r="Z7" s="272"/>
      <c r="AB7" s="272"/>
      <c r="AC7" s="272"/>
      <c r="AD7" s="271"/>
      <c r="AH7" s="273"/>
      <c r="AI7" s="271" t="s">
        <v>600</v>
      </c>
      <c r="AJ7" s="273"/>
      <c r="AK7" s="273"/>
      <c r="AL7" s="79"/>
    </row>
    <row r="8" spans="1:38">
      <c r="A8" s="393" t="s">
        <v>1045</v>
      </c>
      <c r="B8" s="393"/>
      <c r="D8" s="73" t="s">
        <v>602</v>
      </c>
      <c r="I8" s="272"/>
      <c r="J8" s="241"/>
      <c r="K8" s="241"/>
      <c r="M8" s="83" t="s">
        <v>603</v>
      </c>
      <c r="N8" s="272"/>
      <c r="O8" s="74"/>
      <c r="U8" s="271"/>
      <c r="V8" s="77"/>
      <c r="Y8" s="78"/>
      <c r="Z8" s="272"/>
      <c r="AB8" s="272"/>
      <c r="AC8" s="272"/>
      <c r="AD8" s="271"/>
      <c r="AH8" s="273"/>
      <c r="AI8" s="271" t="s">
        <v>603</v>
      </c>
      <c r="AJ8" s="273"/>
      <c r="AK8" s="273"/>
      <c r="AL8" s="79"/>
    </row>
    <row r="9" spans="1:38">
      <c r="A9" s="393" t="s">
        <v>604</v>
      </c>
      <c r="B9" s="393"/>
      <c r="D9" s="73" t="s">
        <v>605</v>
      </c>
      <c r="E9" s="272"/>
      <c r="I9" s="272"/>
      <c r="J9" s="241"/>
      <c r="K9" s="241"/>
      <c r="M9" s="83" t="s">
        <v>606</v>
      </c>
      <c r="N9" s="272"/>
      <c r="O9" s="74"/>
      <c r="U9" s="271"/>
      <c r="V9" s="77"/>
      <c r="Y9" s="78"/>
      <c r="Z9" s="272"/>
      <c r="AB9" s="272"/>
      <c r="AC9" s="272"/>
      <c r="AD9" s="271"/>
      <c r="AH9" s="273"/>
      <c r="AI9" s="271" t="s">
        <v>606</v>
      </c>
      <c r="AJ9" s="273"/>
      <c r="AK9" s="273"/>
      <c r="AL9" s="79"/>
    </row>
    <row r="10" spans="1:38">
      <c r="A10" s="393" t="s">
        <v>966</v>
      </c>
      <c r="B10" s="393"/>
      <c r="D10" s="73" t="s">
        <v>967</v>
      </c>
      <c r="M10" s="83" t="s">
        <v>607</v>
      </c>
      <c r="O10" s="74"/>
      <c r="AH10" s="273"/>
      <c r="AI10" s="271" t="s">
        <v>607</v>
      </c>
      <c r="AJ10" s="273"/>
      <c r="AK10" s="273"/>
    </row>
    <row r="11" spans="1:38">
      <c r="A11" s="393" t="s">
        <v>608</v>
      </c>
      <c r="B11" s="393"/>
      <c r="D11" s="73"/>
      <c r="O11" s="74"/>
      <c r="AH11" s="273"/>
      <c r="AI11" s="273"/>
      <c r="AJ11" s="273"/>
      <c r="AK11" s="273"/>
    </row>
    <row r="12" spans="1:38">
      <c r="A12" s="393" t="s">
        <v>609</v>
      </c>
      <c r="B12" s="393"/>
      <c r="D12" s="73"/>
      <c r="F12" s="113"/>
      <c r="O12" s="74"/>
      <c r="Z12" s="273"/>
      <c r="AC12" s="81"/>
      <c r="AH12" s="273"/>
      <c r="AI12" s="273"/>
      <c r="AJ12" s="273"/>
      <c r="AK12" s="273"/>
      <c r="AL12" s="79"/>
    </row>
    <row r="13" spans="1:38" s="83" customFormat="1" ht="31.5">
      <c r="A13" s="413" t="s">
        <v>4</v>
      </c>
      <c r="B13" s="395" t="s">
        <v>611</v>
      </c>
      <c r="C13" s="395" t="s">
        <v>612</v>
      </c>
      <c r="D13" s="395" t="s">
        <v>613</v>
      </c>
      <c r="E13" s="395" t="s">
        <v>614</v>
      </c>
      <c r="F13" s="395"/>
      <c r="G13" s="114" t="s">
        <v>615</v>
      </c>
      <c r="H13" s="114" t="s">
        <v>616</v>
      </c>
      <c r="I13" s="395" t="s">
        <v>617</v>
      </c>
      <c r="J13" s="403" t="s">
        <v>1074</v>
      </c>
      <c r="K13" s="403" t="s">
        <v>1075</v>
      </c>
      <c r="L13" s="395" t="s">
        <v>618</v>
      </c>
      <c r="M13" s="395" t="s">
        <v>619</v>
      </c>
      <c r="N13" s="395" t="s">
        <v>620</v>
      </c>
      <c r="O13" s="395" t="s">
        <v>961</v>
      </c>
      <c r="P13" s="396" t="s">
        <v>640</v>
      </c>
    </row>
    <row r="14" spans="1:38" s="83" customFormat="1" ht="31.5">
      <c r="A14" s="414"/>
      <c r="B14" s="395"/>
      <c r="C14" s="395"/>
      <c r="D14" s="395"/>
      <c r="E14" s="276" t="s">
        <v>7</v>
      </c>
      <c r="F14" s="114" t="s">
        <v>622</v>
      </c>
      <c r="G14" s="276" t="s">
        <v>7</v>
      </c>
      <c r="H14" s="276" t="s">
        <v>7</v>
      </c>
      <c r="I14" s="395"/>
      <c r="J14" s="404"/>
      <c r="K14" s="404"/>
      <c r="L14" s="395"/>
      <c r="M14" s="395"/>
      <c r="N14" s="395"/>
      <c r="O14" s="395"/>
      <c r="P14" s="396"/>
    </row>
    <row r="15" spans="1:38" s="143" customFormat="1">
      <c r="A15" s="276" t="s">
        <v>762</v>
      </c>
      <c r="B15" s="159" t="s">
        <v>592</v>
      </c>
      <c r="C15" s="152"/>
      <c r="D15" s="287"/>
      <c r="E15" s="287"/>
      <c r="F15" s="287"/>
      <c r="G15" s="287"/>
      <c r="H15" s="287"/>
      <c r="I15" s="287"/>
      <c r="J15" s="233"/>
      <c r="K15" s="233"/>
      <c r="L15" s="125"/>
      <c r="M15" s="287"/>
      <c r="N15" s="125"/>
      <c r="O15" s="133"/>
      <c r="P15" s="125"/>
    </row>
    <row r="16" spans="1:38" s="143" customFormat="1">
      <c r="A16" s="287">
        <v>1</v>
      </c>
      <c r="B16" s="145" t="s">
        <v>540</v>
      </c>
      <c r="C16" s="287" t="s">
        <v>705</v>
      </c>
      <c r="D16" s="287">
        <v>2022</v>
      </c>
      <c r="E16" s="287">
        <v>1</v>
      </c>
      <c r="F16" s="287"/>
      <c r="G16" s="287">
        <v>1</v>
      </c>
      <c r="H16" s="287">
        <v>0</v>
      </c>
      <c r="I16" s="287" t="s">
        <v>631</v>
      </c>
      <c r="J16" s="234">
        <v>32000000</v>
      </c>
      <c r="K16" s="234">
        <v>32000000</v>
      </c>
      <c r="L16" s="125" t="s">
        <v>706</v>
      </c>
      <c r="M16" s="287" t="s">
        <v>649</v>
      </c>
      <c r="N16" s="125"/>
      <c r="O16" s="133"/>
      <c r="P16" s="125"/>
    </row>
    <row r="17" spans="1:16" s="143" customFormat="1">
      <c r="A17" s="276" t="s">
        <v>770</v>
      </c>
      <c r="B17" s="157" t="s">
        <v>574</v>
      </c>
      <c r="C17" s="157"/>
      <c r="D17" s="287"/>
      <c r="E17" s="287"/>
      <c r="F17" s="287"/>
      <c r="G17" s="287"/>
      <c r="H17" s="287"/>
      <c r="I17" s="287"/>
      <c r="J17" s="233"/>
      <c r="K17" s="233"/>
      <c r="L17" s="125"/>
      <c r="M17" s="287"/>
      <c r="N17" s="125"/>
      <c r="O17" s="133"/>
      <c r="P17" s="125"/>
    </row>
    <row r="18" spans="1:16" s="143" customFormat="1">
      <c r="A18" s="287">
        <v>2</v>
      </c>
      <c r="B18" s="125" t="s">
        <v>559</v>
      </c>
      <c r="C18" s="287"/>
      <c r="D18" s="287">
        <v>2022</v>
      </c>
      <c r="E18" s="287">
        <v>1</v>
      </c>
      <c r="F18" s="287"/>
      <c r="G18" s="287">
        <v>1</v>
      </c>
      <c r="H18" s="287">
        <v>0</v>
      </c>
      <c r="I18" s="287" t="s">
        <v>631</v>
      </c>
      <c r="J18" s="234">
        <v>90000000</v>
      </c>
      <c r="K18" s="234">
        <v>90000000</v>
      </c>
      <c r="L18" s="125" t="s">
        <v>728</v>
      </c>
      <c r="M18" s="287" t="s">
        <v>649</v>
      </c>
      <c r="N18" s="125"/>
      <c r="O18" s="133"/>
      <c r="P18" s="125"/>
    </row>
    <row r="19" spans="1:16" s="83" customFormat="1">
      <c r="A19" s="280"/>
      <c r="B19" s="276" t="s">
        <v>1155</v>
      </c>
      <c r="C19" s="276"/>
      <c r="D19" s="276"/>
      <c r="E19" s="276"/>
      <c r="F19" s="114"/>
      <c r="G19" s="276"/>
      <c r="H19" s="276"/>
      <c r="I19" s="276"/>
      <c r="J19" s="286"/>
      <c r="K19" s="286">
        <f>SUM(K16:K18)</f>
        <v>122000000</v>
      </c>
      <c r="L19" s="276"/>
      <c r="M19" s="276"/>
      <c r="N19" s="276"/>
      <c r="O19" s="276"/>
      <c r="P19" s="277"/>
    </row>
    <row r="20" spans="1:16" s="83" customFormat="1">
      <c r="A20" s="280"/>
      <c r="B20" s="276" t="s">
        <v>1156</v>
      </c>
      <c r="C20" s="276"/>
      <c r="D20" s="276"/>
      <c r="E20" s="276"/>
      <c r="F20" s="114"/>
      <c r="G20" s="276"/>
      <c r="H20" s="276"/>
      <c r="I20" s="276"/>
      <c r="J20" s="286"/>
      <c r="K20" s="286"/>
      <c r="L20" s="276"/>
      <c r="M20" s="276"/>
      <c r="N20" s="276"/>
      <c r="O20" s="276"/>
      <c r="P20" s="277"/>
    </row>
    <row r="21" spans="1:16">
      <c r="A21" s="277" t="s">
        <v>10</v>
      </c>
      <c r="B21" s="152" t="s">
        <v>748</v>
      </c>
      <c r="C21" s="153"/>
      <c r="D21" s="140"/>
      <c r="E21" s="140"/>
      <c r="F21" s="140"/>
      <c r="G21" s="140"/>
      <c r="H21" s="140"/>
      <c r="I21" s="142"/>
      <c r="J21" s="242"/>
      <c r="K21" s="242"/>
      <c r="L21" s="142"/>
      <c r="M21" s="140"/>
      <c r="N21" s="142"/>
      <c r="O21" s="141"/>
      <c r="P21" s="142"/>
    </row>
    <row r="22" spans="1:16" s="143" customFormat="1" ht="47.25">
      <c r="A22" s="287">
        <v>1</v>
      </c>
      <c r="B22" s="125" t="s">
        <v>623</v>
      </c>
      <c r="C22" s="287" t="s">
        <v>755</v>
      </c>
      <c r="D22" s="287">
        <v>2022</v>
      </c>
      <c r="E22" s="287">
        <v>1</v>
      </c>
      <c r="F22" s="287"/>
      <c r="G22" s="287">
        <v>1</v>
      </c>
      <c r="H22" s="287">
        <v>0</v>
      </c>
      <c r="I22" s="287" t="s">
        <v>631</v>
      </c>
      <c r="J22" s="225">
        <v>2500000</v>
      </c>
      <c r="K22" s="225">
        <f>+G22*J22</f>
        <v>2500000</v>
      </c>
      <c r="L22" s="125" t="s">
        <v>756</v>
      </c>
      <c r="M22" s="287" t="s">
        <v>649</v>
      </c>
      <c r="N22" s="125"/>
      <c r="O22" s="133"/>
      <c r="P22" s="125"/>
    </row>
    <row r="23" spans="1:16" s="143" customFormat="1" ht="47.25">
      <c r="A23" s="287">
        <v>2</v>
      </c>
      <c r="B23" s="125" t="s">
        <v>624</v>
      </c>
      <c r="C23" s="287" t="s">
        <v>575</v>
      </c>
      <c r="D23" s="287">
        <v>2022</v>
      </c>
      <c r="E23" s="287">
        <v>1</v>
      </c>
      <c r="F23" s="287"/>
      <c r="G23" s="287">
        <v>1</v>
      </c>
      <c r="H23" s="287">
        <v>0</v>
      </c>
      <c r="I23" s="287" t="s">
        <v>631</v>
      </c>
      <c r="J23" s="225">
        <v>660000</v>
      </c>
      <c r="K23" s="225">
        <f>+J23*G23</f>
        <v>660000</v>
      </c>
      <c r="L23" s="125" t="s">
        <v>756</v>
      </c>
      <c r="M23" s="287" t="s">
        <v>649</v>
      </c>
      <c r="N23" s="125"/>
      <c r="O23" s="133"/>
      <c r="P23" s="125"/>
    </row>
    <row r="24" spans="1:16" ht="31.5">
      <c r="A24" s="287">
        <v>3</v>
      </c>
      <c r="B24" s="139" t="s">
        <v>534</v>
      </c>
      <c r="C24" s="139"/>
      <c r="D24" s="140"/>
      <c r="E24" s="140">
        <v>1</v>
      </c>
      <c r="F24" s="140">
        <v>1</v>
      </c>
      <c r="G24" s="140">
        <v>1</v>
      </c>
      <c r="H24" s="140">
        <v>0</v>
      </c>
      <c r="I24" s="287" t="s">
        <v>631</v>
      </c>
      <c r="J24" s="288">
        <v>1200000</v>
      </c>
      <c r="K24" s="288">
        <v>1200000</v>
      </c>
      <c r="L24" s="125" t="s">
        <v>756</v>
      </c>
      <c r="M24" s="287" t="s">
        <v>649</v>
      </c>
      <c r="N24" s="140" t="s">
        <v>830</v>
      </c>
      <c r="O24" s="141"/>
      <c r="P24" s="142"/>
    </row>
    <row r="25" spans="1:16" ht="31.5">
      <c r="A25" s="287">
        <v>4</v>
      </c>
      <c r="B25" s="139" t="s">
        <v>535</v>
      </c>
      <c r="C25" s="139"/>
      <c r="D25" s="140"/>
      <c r="E25" s="140">
        <v>1</v>
      </c>
      <c r="F25" s="140">
        <v>1</v>
      </c>
      <c r="G25" s="140">
        <v>1</v>
      </c>
      <c r="H25" s="140">
        <v>0</v>
      </c>
      <c r="I25" s="287" t="s">
        <v>631</v>
      </c>
      <c r="J25" s="233"/>
      <c r="K25" s="233"/>
      <c r="L25" s="125" t="s">
        <v>756</v>
      </c>
      <c r="M25" s="287" t="s">
        <v>649</v>
      </c>
      <c r="N25" s="140" t="s">
        <v>830</v>
      </c>
      <c r="O25" s="141"/>
      <c r="P25" s="142"/>
    </row>
    <row r="26" spans="1:16" s="131" customFormat="1" ht="31.5">
      <c r="A26" s="287">
        <v>5</v>
      </c>
      <c r="B26" s="154" t="s">
        <v>536</v>
      </c>
      <c r="C26" s="154"/>
      <c r="D26" s="126"/>
      <c r="E26" s="126">
        <v>2</v>
      </c>
      <c r="F26" s="126">
        <v>2</v>
      </c>
      <c r="G26" s="126">
        <v>2</v>
      </c>
      <c r="H26" s="140">
        <v>0</v>
      </c>
      <c r="I26" s="287" t="s">
        <v>631</v>
      </c>
      <c r="J26" s="233"/>
      <c r="K26" s="233"/>
      <c r="L26" s="125" t="s">
        <v>756</v>
      </c>
      <c r="M26" s="287" t="s">
        <v>649</v>
      </c>
      <c r="N26" s="140" t="s">
        <v>830</v>
      </c>
      <c r="O26" s="141"/>
      <c r="P26" s="125"/>
    </row>
    <row r="27" spans="1:16">
      <c r="A27" s="277" t="s">
        <v>193</v>
      </c>
      <c r="B27" s="152" t="s">
        <v>527</v>
      </c>
      <c r="C27" s="152"/>
      <c r="D27" s="126"/>
      <c r="E27" s="126"/>
      <c r="F27" s="126"/>
      <c r="G27" s="126"/>
      <c r="H27" s="126"/>
      <c r="I27" s="126"/>
      <c r="J27" s="233"/>
      <c r="K27" s="233"/>
      <c r="L27" s="155"/>
      <c r="M27" s="126"/>
      <c r="N27" s="155"/>
      <c r="O27" s="133"/>
      <c r="P27" s="155"/>
    </row>
    <row r="28" spans="1:16" s="143" customFormat="1" ht="47.25">
      <c r="A28" s="287">
        <v>1</v>
      </c>
      <c r="B28" s="125" t="s">
        <v>623</v>
      </c>
      <c r="C28" s="287" t="s">
        <v>669</v>
      </c>
      <c r="D28" s="287">
        <v>2022</v>
      </c>
      <c r="E28" s="287">
        <v>1</v>
      </c>
      <c r="F28" s="287"/>
      <c r="G28" s="287">
        <v>1</v>
      </c>
      <c r="H28" s="287">
        <v>0</v>
      </c>
      <c r="I28" s="287" t="s">
        <v>631</v>
      </c>
      <c r="J28" s="225">
        <v>2500000</v>
      </c>
      <c r="K28" s="225">
        <f>+G28*J28</f>
        <v>2500000</v>
      </c>
      <c r="L28" s="125" t="s">
        <v>572</v>
      </c>
      <c r="M28" s="287" t="s">
        <v>649</v>
      </c>
      <c r="N28" s="125"/>
      <c r="O28" s="133"/>
      <c r="P28" s="125"/>
    </row>
    <row r="29" spans="1:16" s="143" customFormat="1" ht="78.75">
      <c r="A29" s="287">
        <v>2</v>
      </c>
      <c r="B29" s="125" t="s">
        <v>637</v>
      </c>
      <c r="C29" s="287" t="s">
        <v>980</v>
      </c>
      <c r="D29" s="287">
        <v>2022</v>
      </c>
      <c r="E29" s="287">
        <v>1</v>
      </c>
      <c r="F29" s="287"/>
      <c r="G29" s="287">
        <v>1</v>
      </c>
      <c r="H29" s="144">
        <v>0</v>
      </c>
      <c r="I29" s="287" t="s">
        <v>631</v>
      </c>
      <c r="J29" s="234">
        <v>3280000</v>
      </c>
      <c r="K29" s="235">
        <f>+G29*J29</f>
        <v>3280000</v>
      </c>
      <c r="L29" s="125" t="s">
        <v>572</v>
      </c>
      <c r="M29" s="287" t="s">
        <v>649</v>
      </c>
      <c r="N29" s="125"/>
      <c r="O29" s="133"/>
      <c r="P29" s="125"/>
    </row>
    <row r="30" spans="1:16" s="143" customFormat="1" ht="47.25">
      <c r="A30" s="287">
        <v>3</v>
      </c>
      <c r="B30" s="125" t="s">
        <v>624</v>
      </c>
      <c r="C30" s="287" t="s">
        <v>666</v>
      </c>
      <c r="D30" s="287">
        <v>2022</v>
      </c>
      <c r="E30" s="287">
        <v>1</v>
      </c>
      <c r="F30" s="287"/>
      <c r="G30" s="287">
        <v>1</v>
      </c>
      <c r="H30" s="287">
        <v>0</v>
      </c>
      <c r="I30" s="287" t="s">
        <v>631</v>
      </c>
      <c r="J30" s="225">
        <v>660000</v>
      </c>
      <c r="K30" s="225">
        <f>+J30*G30</f>
        <v>660000</v>
      </c>
      <c r="L30" s="125" t="s">
        <v>572</v>
      </c>
      <c r="M30" s="287" t="s">
        <v>649</v>
      </c>
      <c r="N30" s="125"/>
      <c r="O30" s="133"/>
      <c r="P30" s="125"/>
    </row>
    <row r="31" spans="1:16" s="143" customFormat="1" ht="63">
      <c r="A31" s="287">
        <v>4</v>
      </c>
      <c r="B31" s="125" t="s">
        <v>668</v>
      </c>
      <c r="C31" s="287" t="s">
        <v>1061</v>
      </c>
      <c r="D31" s="287">
        <v>2022</v>
      </c>
      <c r="E31" s="287">
        <v>1</v>
      </c>
      <c r="F31" s="287"/>
      <c r="G31" s="287">
        <v>1</v>
      </c>
      <c r="H31" s="287">
        <v>0</v>
      </c>
      <c r="I31" s="287" t="s">
        <v>631</v>
      </c>
      <c r="J31" s="234">
        <v>1100000</v>
      </c>
      <c r="K31" s="236">
        <f>+G31*J31</f>
        <v>1100000</v>
      </c>
      <c r="L31" s="125" t="s">
        <v>572</v>
      </c>
      <c r="M31" s="287" t="s">
        <v>649</v>
      </c>
      <c r="N31" s="125"/>
      <c r="O31" s="133"/>
      <c r="P31" s="125"/>
    </row>
    <row r="32" spans="1:16" s="143" customFormat="1" ht="33" customHeight="1">
      <c r="A32" s="287">
        <v>5</v>
      </c>
      <c r="B32" s="125" t="s">
        <v>541</v>
      </c>
      <c r="C32" s="125"/>
      <c r="D32" s="287"/>
      <c r="E32" s="287">
        <v>1</v>
      </c>
      <c r="F32" s="287"/>
      <c r="G32" s="287">
        <v>1</v>
      </c>
      <c r="H32" s="287">
        <v>0</v>
      </c>
      <c r="I32" s="287" t="s">
        <v>632</v>
      </c>
      <c r="J32" s="233"/>
      <c r="K32" s="233"/>
      <c r="L32" s="125" t="s">
        <v>572</v>
      </c>
      <c r="M32" s="287" t="s">
        <v>649</v>
      </c>
      <c r="N32" s="126" t="s">
        <v>830</v>
      </c>
      <c r="O32" s="133"/>
      <c r="P32" s="125" t="s">
        <v>570</v>
      </c>
    </row>
    <row r="33" spans="1:16" s="131" customFormat="1">
      <c r="A33" s="277" t="s">
        <v>199</v>
      </c>
      <c r="B33" s="152" t="s">
        <v>757</v>
      </c>
      <c r="C33" s="152"/>
      <c r="D33" s="126"/>
      <c r="E33" s="126"/>
      <c r="F33" s="126"/>
      <c r="G33" s="126"/>
      <c r="H33" s="126"/>
      <c r="I33" s="155"/>
      <c r="J33" s="233"/>
      <c r="K33" s="233"/>
      <c r="L33" s="155"/>
      <c r="M33" s="126"/>
      <c r="N33" s="155"/>
      <c r="O33" s="133"/>
      <c r="P33" s="155"/>
    </row>
    <row r="34" spans="1:16" s="143" customFormat="1" ht="47.25">
      <c r="A34" s="287">
        <v>1</v>
      </c>
      <c r="B34" s="125" t="s">
        <v>623</v>
      </c>
      <c r="C34" s="287" t="s">
        <v>577</v>
      </c>
      <c r="D34" s="287">
        <v>2022</v>
      </c>
      <c r="E34" s="287">
        <v>1</v>
      </c>
      <c r="F34" s="287"/>
      <c r="G34" s="287">
        <v>1</v>
      </c>
      <c r="H34" s="287">
        <v>0</v>
      </c>
      <c r="I34" s="287" t="s">
        <v>631</v>
      </c>
      <c r="J34" s="225">
        <v>2500000</v>
      </c>
      <c r="K34" s="225">
        <f>+G34*J34</f>
        <v>2500000</v>
      </c>
      <c r="L34" s="125" t="s">
        <v>671</v>
      </c>
      <c r="M34" s="287" t="s">
        <v>649</v>
      </c>
      <c r="N34" s="125"/>
      <c r="O34" s="133"/>
      <c r="P34" s="125"/>
    </row>
    <row r="35" spans="1:16" s="143" customFormat="1" ht="47.25">
      <c r="A35" s="287">
        <f>A34+1</f>
        <v>2</v>
      </c>
      <c r="B35" s="125" t="s">
        <v>624</v>
      </c>
      <c r="C35" s="287" t="s">
        <v>578</v>
      </c>
      <c r="D35" s="287">
        <v>2022</v>
      </c>
      <c r="E35" s="287">
        <v>1</v>
      </c>
      <c r="F35" s="287"/>
      <c r="G35" s="287">
        <v>1</v>
      </c>
      <c r="H35" s="287">
        <v>0</v>
      </c>
      <c r="I35" s="287" t="s">
        <v>631</v>
      </c>
      <c r="J35" s="225">
        <v>660000</v>
      </c>
      <c r="K35" s="225">
        <f>+J35*G35</f>
        <v>660000</v>
      </c>
      <c r="L35" s="125" t="s">
        <v>671</v>
      </c>
      <c r="M35" s="287" t="s">
        <v>649</v>
      </c>
      <c r="N35" s="125"/>
      <c r="O35" s="133"/>
      <c r="P35" s="125"/>
    </row>
    <row r="36" spans="1:16" s="143" customFormat="1" ht="78.75">
      <c r="A36" s="287">
        <v>3</v>
      </c>
      <c r="B36" s="125" t="s">
        <v>637</v>
      </c>
      <c r="C36" s="287" t="s">
        <v>1022</v>
      </c>
      <c r="D36" s="287">
        <v>2022</v>
      </c>
      <c r="E36" s="287">
        <v>1</v>
      </c>
      <c r="F36" s="287"/>
      <c r="G36" s="287">
        <v>1</v>
      </c>
      <c r="H36" s="144">
        <v>0</v>
      </c>
      <c r="I36" s="287" t="s">
        <v>631</v>
      </c>
      <c r="J36" s="234">
        <v>3280000</v>
      </c>
      <c r="K36" s="235">
        <f>+G36*J36</f>
        <v>3280000</v>
      </c>
      <c r="L36" s="125" t="s">
        <v>671</v>
      </c>
      <c r="M36" s="287" t="s">
        <v>649</v>
      </c>
      <c r="N36" s="125"/>
      <c r="O36" s="133"/>
      <c r="P36" s="125"/>
    </row>
    <row r="37" spans="1:16" s="143" customFormat="1" ht="47.25">
      <c r="A37" s="287">
        <v>4</v>
      </c>
      <c r="B37" s="125" t="s">
        <v>672</v>
      </c>
      <c r="C37" s="287" t="s">
        <v>1055</v>
      </c>
      <c r="D37" s="287">
        <v>2022</v>
      </c>
      <c r="E37" s="287">
        <v>1</v>
      </c>
      <c r="F37" s="287"/>
      <c r="G37" s="287">
        <v>1</v>
      </c>
      <c r="H37" s="287">
        <v>0</v>
      </c>
      <c r="I37" s="287" t="s">
        <v>631</v>
      </c>
      <c r="J37" s="234">
        <v>1100000</v>
      </c>
      <c r="K37" s="236">
        <f>+G37*J37</f>
        <v>1100000</v>
      </c>
      <c r="L37" s="125" t="s">
        <v>671</v>
      </c>
      <c r="M37" s="287" t="s">
        <v>649</v>
      </c>
      <c r="N37" s="125"/>
      <c r="O37" s="133"/>
      <c r="P37" s="125"/>
    </row>
    <row r="38" spans="1:16">
      <c r="A38" s="277" t="s">
        <v>667</v>
      </c>
      <c r="B38" s="152" t="s">
        <v>526</v>
      </c>
      <c r="C38" s="152"/>
      <c r="D38" s="126"/>
      <c r="E38" s="126"/>
      <c r="F38" s="126"/>
      <c r="G38" s="126"/>
      <c r="H38" s="126"/>
      <c r="I38" s="126"/>
      <c r="J38" s="233"/>
      <c r="K38" s="233"/>
      <c r="L38" s="155"/>
      <c r="M38" s="126"/>
      <c r="N38" s="155"/>
      <c r="O38" s="133"/>
      <c r="P38" s="155"/>
    </row>
    <row r="39" spans="1:16" s="143" customFormat="1" ht="47.25">
      <c r="A39" s="287">
        <v>1</v>
      </c>
      <c r="B39" s="125" t="s">
        <v>623</v>
      </c>
      <c r="C39" s="287" t="s">
        <v>673</v>
      </c>
      <c r="D39" s="287">
        <v>2022</v>
      </c>
      <c r="E39" s="287">
        <v>1</v>
      </c>
      <c r="F39" s="287"/>
      <c r="G39" s="287">
        <v>1</v>
      </c>
      <c r="H39" s="287">
        <v>0</v>
      </c>
      <c r="I39" s="287" t="s">
        <v>631</v>
      </c>
      <c r="J39" s="225">
        <v>2500000</v>
      </c>
      <c r="K39" s="225">
        <f>+G39*J39</f>
        <v>2500000</v>
      </c>
      <c r="L39" s="133" t="s">
        <v>674</v>
      </c>
      <c r="M39" s="287" t="s">
        <v>649</v>
      </c>
      <c r="N39" s="125"/>
      <c r="O39" s="133"/>
      <c r="P39" s="125"/>
    </row>
    <row r="40" spans="1:16" s="143" customFormat="1" ht="47.25">
      <c r="A40" s="287">
        <f>A39+1</f>
        <v>2</v>
      </c>
      <c r="B40" s="125" t="s">
        <v>624</v>
      </c>
      <c r="C40" s="287" t="s">
        <v>996</v>
      </c>
      <c r="D40" s="287">
        <v>2022</v>
      </c>
      <c r="E40" s="287">
        <v>7</v>
      </c>
      <c r="F40" s="287"/>
      <c r="G40" s="287">
        <v>7</v>
      </c>
      <c r="H40" s="144">
        <v>0</v>
      </c>
      <c r="I40" s="287" t="s">
        <v>631</v>
      </c>
      <c r="J40" s="225">
        <v>660000</v>
      </c>
      <c r="K40" s="225">
        <f>+J40*G40</f>
        <v>4620000</v>
      </c>
      <c r="L40" s="133" t="s">
        <v>674</v>
      </c>
      <c r="M40" s="287" t="s">
        <v>649</v>
      </c>
      <c r="N40" s="125"/>
      <c r="O40" s="133"/>
      <c r="P40" s="125"/>
    </row>
    <row r="41" spans="1:16" s="143" customFormat="1" ht="78.75">
      <c r="A41" s="287">
        <v>3</v>
      </c>
      <c r="B41" s="125" t="s">
        <v>637</v>
      </c>
      <c r="C41" s="287" t="s">
        <v>675</v>
      </c>
      <c r="D41" s="287">
        <v>2022</v>
      </c>
      <c r="E41" s="287">
        <v>2</v>
      </c>
      <c r="F41" s="287"/>
      <c r="G41" s="287">
        <v>2</v>
      </c>
      <c r="H41" s="287">
        <v>0</v>
      </c>
      <c r="I41" s="287" t="s">
        <v>631</v>
      </c>
      <c r="J41" s="234">
        <v>3280000</v>
      </c>
      <c r="K41" s="235">
        <f>+G41*J41</f>
        <v>6560000</v>
      </c>
      <c r="L41" s="133" t="s">
        <v>674</v>
      </c>
      <c r="M41" s="287" t="s">
        <v>649</v>
      </c>
      <c r="N41" s="125"/>
      <c r="O41" s="133"/>
      <c r="P41" s="125"/>
    </row>
    <row r="42" spans="1:16" s="143" customFormat="1" ht="63">
      <c r="A42" s="287">
        <v>4</v>
      </c>
      <c r="B42" s="125" t="s">
        <v>676</v>
      </c>
      <c r="C42" s="287" t="s">
        <v>1062</v>
      </c>
      <c r="D42" s="287">
        <v>2022</v>
      </c>
      <c r="E42" s="287">
        <v>2</v>
      </c>
      <c r="F42" s="287"/>
      <c r="G42" s="287">
        <v>2</v>
      </c>
      <c r="H42" s="287">
        <v>0</v>
      </c>
      <c r="I42" s="287" t="s">
        <v>631</v>
      </c>
      <c r="J42" s="234">
        <v>1100000</v>
      </c>
      <c r="K42" s="236">
        <f>+G42*J42</f>
        <v>2200000</v>
      </c>
      <c r="L42" s="133" t="s">
        <v>674</v>
      </c>
      <c r="M42" s="287" t="s">
        <v>649</v>
      </c>
      <c r="N42" s="125"/>
      <c r="O42" s="133"/>
      <c r="P42" s="125"/>
    </row>
    <row r="43" spans="1:16" s="143" customFormat="1" ht="75" customHeight="1">
      <c r="A43" s="287">
        <v>5</v>
      </c>
      <c r="B43" s="125" t="s">
        <v>545</v>
      </c>
      <c r="C43" s="125"/>
      <c r="D43" s="287"/>
      <c r="E43" s="287">
        <v>2</v>
      </c>
      <c r="F43" s="287"/>
      <c r="G43" s="287">
        <v>2</v>
      </c>
      <c r="H43" s="287">
        <v>0</v>
      </c>
      <c r="I43" s="287" t="s">
        <v>631</v>
      </c>
      <c r="J43" s="233"/>
      <c r="K43" s="233"/>
      <c r="L43" s="125" t="s">
        <v>981</v>
      </c>
      <c r="M43" s="287" t="s">
        <v>649</v>
      </c>
      <c r="N43" s="126" t="s">
        <v>830</v>
      </c>
      <c r="O43" s="133"/>
      <c r="P43" s="125" t="s">
        <v>580</v>
      </c>
    </row>
    <row r="44" spans="1:16" s="143" customFormat="1" ht="50.25" customHeight="1">
      <c r="A44" s="287">
        <v>6</v>
      </c>
      <c r="B44" s="125" t="s">
        <v>546</v>
      </c>
      <c r="C44" s="125"/>
      <c r="D44" s="287"/>
      <c r="E44" s="287">
        <v>1</v>
      </c>
      <c r="F44" s="287"/>
      <c r="G44" s="287">
        <v>1</v>
      </c>
      <c r="H44" s="287">
        <v>0</v>
      </c>
      <c r="I44" s="287" t="s">
        <v>631</v>
      </c>
      <c r="J44" s="233"/>
      <c r="K44" s="233"/>
      <c r="L44" s="133" t="s">
        <v>674</v>
      </c>
      <c r="M44" s="287" t="s">
        <v>649</v>
      </c>
      <c r="N44" s="140" t="s">
        <v>830</v>
      </c>
      <c r="O44" s="141"/>
      <c r="P44" s="125" t="s">
        <v>573</v>
      </c>
    </row>
    <row r="45" spans="1:16" s="143" customFormat="1" ht="30.75" customHeight="1">
      <c r="A45" s="287">
        <v>7</v>
      </c>
      <c r="B45" s="145" t="s">
        <v>547</v>
      </c>
      <c r="C45" s="125"/>
      <c r="D45" s="287"/>
      <c r="E45" s="287">
        <v>3</v>
      </c>
      <c r="F45" s="287"/>
      <c r="G45" s="287">
        <v>3</v>
      </c>
      <c r="H45" s="287">
        <v>0</v>
      </c>
      <c r="I45" s="287" t="s">
        <v>631</v>
      </c>
      <c r="J45" s="233"/>
      <c r="K45" s="233"/>
      <c r="L45" s="133" t="s">
        <v>674</v>
      </c>
      <c r="M45" s="287" t="s">
        <v>649</v>
      </c>
      <c r="N45" s="126" t="s">
        <v>830</v>
      </c>
      <c r="O45" s="133"/>
      <c r="P45" s="125" t="s">
        <v>566</v>
      </c>
    </row>
    <row r="46" spans="1:16" s="158" customFormat="1" ht="31.5">
      <c r="A46" s="276" t="s">
        <v>670</v>
      </c>
      <c r="B46" s="156" t="s">
        <v>680</v>
      </c>
      <c r="C46" s="157"/>
      <c r="D46" s="276"/>
      <c r="E46" s="276"/>
      <c r="F46" s="276"/>
      <c r="G46" s="276"/>
      <c r="H46" s="276"/>
      <c r="I46" s="157"/>
      <c r="J46" s="237"/>
      <c r="K46" s="237"/>
      <c r="L46" s="157"/>
      <c r="M46" s="276"/>
      <c r="N46" s="157"/>
      <c r="O46" s="275"/>
      <c r="P46" s="157"/>
    </row>
    <row r="47" spans="1:16" s="143" customFormat="1" ht="47.25">
      <c r="A47" s="287">
        <v>1</v>
      </c>
      <c r="B47" s="125" t="s">
        <v>623</v>
      </c>
      <c r="C47" s="287" t="s">
        <v>1047</v>
      </c>
      <c r="D47" s="287">
        <v>2022</v>
      </c>
      <c r="E47" s="287">
        <v>3</v>
      </c>
      <c r="F47" s="287"/>
      <c r="G47" s="287">
        <v>3</v>
      </c>
      <c r="H47" s="287">
        <v>0</v>
      </c>
      <c r="I47" s="287" t="s">
        <v>631</v>
      </c>
      <c r="J47" s="225">
        <v>2500000</v>
      </c>
      <c r="K47" s="225">
        <f>+G47*J47</f>
        <v>7500000</v>
      </c>
      <c r="L47" s="125" t="s">
        <v>678</v>
      </c>
      <c r="M47" s="287" t="s">
        <v>649</v>
      </c>
      <c r="N47" s="125"/>
      <c r="O47" s="133"/>
      <c r="P47" s="125"/>
    </row>
    <row r="48" spans="1:16" s="143" customFormat="1" ht="47.25">
      <c r="A48" s="287">
        <v>2</v>
      </c>
      <c r="B48" s="125" t="s">
        <v>624</v>
      </c>
      <c r="C48" s="287" t="s">
        <v>679</v>
      </c>
      <c r="D48" s="287">
        <v>2022</v>
      </c>
      <c r="E48" s="287">
        <v>5</v>
      </c>
      <c r="F48" s="287"/>
      <c r="G48" s="287">
        <v>5</v>
      </c>
      <c r="H48" s="287">
        <v>0</v>
      </c>
      <c r="I48" s="287" t="s">
        <v>631</v>
      </c>
      <c r="J48" s="225">
        <v>660000</v>
      </c>
      <c r="K48" s="225">
        <f>+J48*G48</f>
        <v>3300000</v>
      </c>
      <c r="L48" s="125" t="s">
        <v>678</v>
      </c>
      <c r="M48" s="287" t="s">
        <v>1006</v>
      </c>
      <c r="N48" s="125"/>
      <c r="O48" s="133"/>
      <c r="P48" s="125"/>
    </row>
    <row r="49" spans="1:16" s="143" customFormat="1" ht="78.75">
      <c r="A49" s="287">
        <f>A48+1</f>
        <v>3</v>
      </c>
      <c r="B49" s="125" t="s">
        <v>637</v>
      </c>
      <c r="C49" s="287" t="s">
        <v>982</v>
      </c>
      <c r="D49" s="287">
        <v>2022</v>
      </c>
      <c r="E49" s="287">
        <v>1</v>
      </c>
      <c r="F49" s="287"/>
      <c r="G49" s="287">
        <v>1</v>
      </c>
      <c r="H49" s="144">
        <v>0</v>
      </c>
      <c r="I49" s="287" t="s">
        <v>631</v>
      </c>
      <c r="J49" s="234">
        <v>3280000</v>
      </c>
      <c r="K49" s="235">
        <f>+G49*J49</f>
        <v>3280000</v>
      </c>
      <c r="L49" s="125" t="s">
        <v>678</v>
      </c>
      <c r="M49" s="287" t="s">
        <v>649</v>
      </c>
      <c r="N49" s="125"/>
      <c r="O49" s="133"/>
      <c r="P49" s="125"/>
    </row>
    <row r="50" spans="1:16" s="143" customFormat="1" ht="63">
      <c r="A50" s="287">
        <v>4</v>
      </c>
      <c r="B50" s="125" t="s">
        <v>668</v>
      </c>
      <c r="C50" s="287" t="s">
        <v>1063</v>
      </c>
      <c r="D50" s="287">
        <v>2022</v>
      </c>
      <c r="E50" s="287">
        <v>1</v>
      </c>
      <c r="F50" s="287"/>
      <c r="G50" s="287">
        <v>1</v>
      </c>
      <c r="H50" s="287">
        <v>0</v>
      </c>
      <c r="I50" s="287" t="s">
        <v>631</v>
      </c>
      <c r="J50" s="234">
        <v>1100000</v>
      </c>
      <c r="K50" s="236">
        <f>+G50*J50</f>
        <v>1100000</v>
      </c>
      <c r="L50" s="125" t="s">
        <v>678</v>
      </c>
      <c r="M50" s="287" t="s">
        <v>649</v>
      </c>
      <c r="N50" s="125"/>
      <c r="O50" s="133"/>
      <c r="P50" s="125"/>
    </row>
    <row r="51" spans="1:16" s="143" customFormat="1" ht="31.5">
      <c r="A51" s="287">
        <f>A50+1</f>
        <v>5</v>
      </c>
      <c r="B51" s="125" t="s">
        <v>636</v>
      </c>
      <c r="C51" s="287"/>
      <c r="D51" s="287"/>
      <c r="E51" s="287">
        <v>2</v>
      </c>
      <c r="F51" s="287"/>
      <c r="G51" s="287">
        <v>2</v>
      </c>
      <c r="H51" s="287">
        <v>0</v>
      </c>
      <c r="I51" s="287" t="s">
        <v>631</v>
      </c>
      <c r="J51" s="233"/>
      <c r="K51" s="233"/>
      <c r="L51" s="125" t="s">
        <v>678</v>
      </c>
      <c r="M51" s="287" t="s">
        <v>649</v>
      </c>
      <c r="N51" s="126" t="s">
        <v>830</v>
      </c>
      <c r="O51" s="133"/>
      <c r="P51" s="125"/>
    </row>
    <row r="52" spans="1:16" s="143" customFormat="1" ht="31.5">
      <c r="A52" s="287">
        <v>6</v>
      </c>
      <c r="B52" s="145" t="s">
        <v>529</v>
      </c>
      <c r="C52" s="287"/>
      <c r="D52" s="287"/>
      <c r="E52" s="287">
        <v>2</v>
      </c>
      <c r="F52" s="287"/>
      <c r="G52" s="287">
        <v>2</v>
      </c>
      <c r="H52" s="287">
        <v>0</v>
      </c>
      <c r="I52" s="287" t="s">
        <v>631</v>
      </c>
      <c r="J52" s="233"/>
      <c r="K52" s="233"/>
      <c r="L52" s="125" t="s">
        <v>678</v>
      </c>
      <c r="M52" s="287" t="s">
        <v>649</v>
      </c>
      <c r="N52" s="126" t="s">
        <v>830</v>
      </c>
      <c r="O52" s="133"/>
      <c r="P52" s="125"/>
    </row>
    <row r="53" spans="1:16" s="143" customFormat="1" ht="31.5">
      <c r="A53" s="287">
        <f>A52+1</f>
        <v>7</v>
      </c>
      <c r="B53" s="145" t="s">
        <v>813</v>
      </c>
      <c r="C53" s="125"/>
      <c r="D53" s="287"/>
      <c r="E53" s="287">
        <v>3</v>
      </c>
      <c r="F53" s="287"/>
      <c r="G53" s="287">
        <v>3</v>
      </c>
      <c r="H53" s="287">
        <v>0</v>
      </c>
      <c r="I53" s="287" t="s">
        <v>631</v>
      </c>
      <c r="J53" s="233"/>
      <c r="K53" s="233"/>
      <c r="L53" s="125" t="s">
        <v>678</v>
      </c>
      <c r="M53" s="287" t="s">
        <v>649</v>
      </c>
      <c r="N53" s="126" t="s">
        <v>830</v>
      </c>
      <c r="O53" s="133"/>
      <c r="P53" s="125"/>
    </row>
    <row r="54" spans="1:16" s="143" customFormat="1" ht="31.5">
      <c r="A54" s="287">
        <v>8</v>
      </c>
      <c r="B54" s="145" t="s">
        <v>534</v>
      </c>
      <c r="C54" s="125"/>
      <c r="D54" s="287"/>
      <c r="E54" s="287">
        <v>1</v>
      </c>
      <c r="F54" s="287"/>
      <c r="G54" s="287">
        <v>1</v>
      </c>
      <c r="H54" s="287">
        <v>0</v>
      </c>
      <c r="I54" s="287" t="s">
        <v>631</v>
      </c>
      <c r="J54" s="288">
        <v>1200000</v>
      </c>
      <c r="K54" s="288">
        <v>1200000</v>
      </c>
      <c r="L54" s="125" t="s">
        <v>678</v>
      </c>
      <c r="M54" s="287" t="s">
        <v>649</v>
      </c>
      <c r="N54" s="126" t="s">
        <v>830</v>
      </c>
      <c r="O54" s="133"/>
      <c r="P54" s="125"/>
    </row>
    <row r="55" spans="1:16" s="131" customFormat="1">
      <c r="A55" s="277" t="s">
        <v>758</v>
      </c>
      <c r="B55" s="159" t="s">
        <v>682</v>
      </c>
      <c r="C55" s="152"/>
      <c r="D55" s="126"/>
      <c r="E55" s="126"/>
      <c r="F55" s="126"/>
      <c r="G55" s="126"/>
      <c r="H55" s="126"/>
      <c r="I55" s="126"/>
      <c r="J55" s="233"/>
      <c r="K55" s="233"/>
      <c r="L55" s="155"/>
      <c r="M55" s="126"/>
      <c r="N55" s="155"/>
      <c r="O55" s="133"/>
      <c r="P55" s="155"/>
    </row>
    <row r="56" spans="1:16" s="143" customFormat="1" ht="47.25">
      <c r="A56" s="287">
        <v>1</v>
      </c>
      <c r="B56" s="145" t="s">
        <v>623</v>
      </c>
      <c r="C56" s="287" t="s">
        <v>683</v>
      </c>
      <c r="D56" s="287">
        <v>2022</v>
      </c>
      <c r="E56" s="287">
        <v>2</v>
      </c>
      <c r="F56" s="287"/>
      <c r="G56" s="287">
        <v>2</v>
      </c>
      <c r="H56" s="287">
        <v>0</v>
      </c>
      <c r="I56" s="287" t="s">
        <v>631</v>
      </c>
      <c r="J56" s="225">
        <v>2500000</v>
      </c>
      <c r="K56" s="225">
        <f>+G56*J56</f>
        <v>5000000</v>
      </c>
      <c r="L56" s="125" t="s">
        <v>684</v>
      </c>
      <c r="M56" s="287" t="s">
        <v>649</v>
      </c>
      <c r="N56" s="125"/>
      <c r="O56" s="133"/>
      <c r="P56" s="125"/>
    </row>
    <row r="57" spans="1:16" s="143" customFormat="1" ht="78.75">
      <c r="A57" s="287">
        <f>A56+1</f>
        <v>2</v>
      </c>
      <c r="B57" s="125" t="s">
        <v>637</v>
      </c>
      <c r="C57" s="287" t="s">
        <v>685</v>
      </c>
      <c r="D57" s="287">
        <v>2022</v>
      </c>
      <c r="E57" s="287">
        <v>2</v>
      </c>
      <c r="F57" s="287"/>
      <c r="G57" s="287">
        <v>2</v>
      </c>
      <c r="H57" s="287">
        <v>0</v>
      </c>
      <c r="I57" s="287" t="s">
        <v>631</v>
      </c>
      <c r="J57" s="234">
        <v>3280000</v>
      </c>
      <c r="K57" s="235">
        <f>+G57*J57</f>
        <v>6560000</v>
      </c>
      <c r="L57" s="125" t="s">
        <v>684</v>
      </c>
      <c r="M57" s="287" t="s">
        <v>649</v>
      </c>
      <c r="N57" s="125"/>
      <c r="O57" s="133"/>
      <c r="P57" s="125"/>
    </row>
    <row r="58" spans="1:16" s="143" customFormat="1" ht="63">
      <c r="A58" s="287">
        <v>3</v>
      </c>
      <c r="B58" s="143" t="s">
        <v>668</v>
      </c>
      <c r="C58" s="287" t="s">
        <v>1064</v>
      </c>
      <c r="D58" s="287">
        <v>2022</v>
      </c>
      <c r="E58" s="287">
        <v>2</v>
      </c>
      <c r="F58" s="287"/>
      <c r="G58" s="287">
        <v>2</v>
      </c>
      <c r="H58" s="287">
        <v>0</v>
      </c>
      <c r="I58" s="287" t="s">
        <v>631</v>
      </c>
      <c r="J58" s="234">
        <v>1100000</v>
      </c>
      <c r="K58" s="236">
        <f>+G58*J58</f>
        <v>2200000</v>
      </c>
      <c r="L58" s="125" t="s">
        <v>684</v>
      </c>
      <c r="M58" s="287" t="s">
        <v>649</v>
      </c>
      <c r="N58" s="125"/>
      <c r="O58" s="133"/>
      <c r="P58" s="125"/>
    </row>
    <row r="59" spans="1:16" s="143" customFormat="1" ht="47.25">
      <c r="A59" s="287">
        <v>4</v>
      </c>
      <c r="B59" s="125" t="s">
        <v>624</v>
      </c>
      <c r="C59" s="287" t="s">
        <v>686</v>
      </c>
      <c r="D59" s="287">
        <v>2022</v>
      </c>
      <c r="E59" s="287">
        <v>1</v>
      </c>
      <c r="F59" s="287"/>
      <c r="G59" s="287">
        <v>1</v>
      </c>
      <c r="H59" s="287">
        <v>0</v>
      </c>
      <c r="I59" s="287" t="s">
        <v>631</v>
      </c>
      <c r="J59" s="225">
        <v>660000</v>
      </c>
      <c r="K59" s="225">
        <f>+J59*G59</f>
        <v>660000</v>
      </c>
      <c r="L59" s="125" t="s">
        <v>684</v>
      </c>
      <c r="M59" s="287" t="s">
        <v>649</v>
      </c>
      <c r="N59" s="125"/>
      <c r="O59" s="133"/>
      <c r="P59" s="125"/>
    </row>
    <row r="60" spans="1:16" s="143" customFormat="1">
      <c r="A60" s="287">
        <v>5</v>
      </c>
      <c r="B60" s="145" t="s">
        <v>806</v>
      </c>
      <c r="C60" s="287"/>
      <c r="D60" s="287"/>
      <c r="E60" s="287">
        <v>2</v>
      </c>
      <c r="F60" s="287"/>
      <c r="G60" s="287">
        <v>2</v>
      </c>
      <c r="H60" s="287">
        <v>0</v>
      </c>
      <c r="I60" s="287" t="s">
        <v>631</v>
      </c>
      <c r="J60" s="233"/>
      <c r="K60" s="233"/>
      <c r="L60" s="125" t="s">
        <v>684</v>
      </c>
      <c r="M60" s="287" t="s">
        <v>649</v>
      </c>
      <c r="N60" s="126" t="s">
        <v>830</v>
      </c>
      <c r="O60" s="133"/>
      <c r="P60" s="125"/>
    </row>
    <row r="61" spans="1:16" s="143" customFormat="1">
      <c r="A61" s="287">
        <v>6</v>
      </c>
      <c r="B61" s="145" t="s">
        <v>534</v>
      </c>
      <c r="C61" s="125"/>
      <c r="D61" s="287">
        <v>2020</v>
      </c>
      <c r="E61" s="287">
        <v>1</v>
      </c>
      <c r="F61" s="287"/>
      <c r="G61" s="287">
        <v>1</v>
      </c>
      <c r="H61" s="287">
        <v>0</v>
      </c>
      <c r="I61" s="287" t="s">
        <v>631</v>
      </c>
      <c r="J61" s="288">
        <v>1200000</v>
      </c>
      <c r="K61" s="288">
        <v>1200000</v>
      </c>
      <c r="L61" s="125" t="s">
        <v>684</v>
      </c>
      <c r="M61" s="287" t="s">
        <v>649</v>
      </c>
      <c r="N61" s="126" t="s">
        <v>830</v>
      </c>
      <c r="O61" s="133"/>
      <c r="P61" s="125"/>
    </row>
    <row r="62" spans="1:16" s="131" customFormat="1">
      <c r="A62" s="277" t="s">
        <v>681</v>
      </c>
      <c r="B62" s="159" t="s">
        <v>525</v>
      </c>
      <c r="C62" s="152"/>
      <c r="D62" s="126"/>
      <c r="E62" s="126"/>
      <c r="F62" s="126"/>
      <c r="G62" s="126"/>
      <c r="H62" s="126"/>
      <c r="I62" s="126"/>
      <c r="J62" s="233"/>
      <c r="K62" s="233"/>
      <c r="L62" s="155"/>
      <c r="M62" s="126"/>
      <c r="N62" s="155"/>
      <c r="O62" s="133"/>
      <c r="P62" s="155"/>
    </row>
    <row r="63" spans="1:16" s="143" customFormat="1" ht="47.25">
      <c r="A63" s="287">
        <v>1</v>
      </c>
      <c r="B63" s="125" t="s">
        <v>624</v>
      </c>
      <c r="C63" s="287" t="s">
        <v>759</v>
      </c>
      <c r="D63" s="287">
        <v>2022</v>
      </c>
      <c r="E63" s="287">
        <v>1</v>
      </c>
      <c r="F63" s="287"/>
      <c r="G63" s="287">
        <v>1</v>
      </c>
      <c r="H63" s="287">
        <v>0</v>
      </c>
      <c r="I63" s="287" t="s">
        <v>631</v>
      </c>
      <c r="J63" s="225">
        <v>660000</v>
      </c>
      <c r="K63" s="225">
        <f>+J63*G63</f>
        <v>660000</v>
      </c>
      <c r="L63" s="125" t="s">
        <v>688</v>
      </c>
      <c r="M63" s="287" t="s">
        <v>649</v>
      </c>
      <c r="N63" s="125"/>
      <c r="O63" s="133"/>
      <c r="P63" s="125"/>
    </row>
    <row r="64" spans="1:16" s="143" customFormat="1" ht="78.75">
      <c r="A64" s="287">
        <v>2</v>
      </c>
      <c r="B64" s="125" t="s">
        <v>637</v>
      </c>
      <c r="C64" s="287" t="s">
        <v>687</v>
      </c>
      <c r="D64" s="287">
        <v>2022</v>
      </c>
      <c r="E64" s="287">
        <v>1</v>
      </c>
      <c r="F64" s="287"/>
      <c r="G64" s="287">
        <v>1</v>
      </c>
      <c r="H64" s="287">
        <v>0</v>
      </c>
      <c r="I64" s="287" t="s">
        <v>631</v>
      </c>
      <c r="J64" s="234">
        <v>3280000</v>
      </c>
      <c r="K64" s="235">
        <f>+G64*J64</f>
        <v>3280000</v>
      </c>
      <c r="L64" s="125" t="s">
        <v>688</v>
      </c>
      <c r="M64" s="287" t="s">
        <v>649</v>
      </c>
      <c r="N64" s="125"/>
      <c r="O64" s="133"/>
      <c r="P64" s="125"/>
    </row>
    <row r="65" spans="1:16" s="143" customFormat="1">
      <c r="A65" s="276" t="s">
        <v>689</v>
      </c>
      <c r="B65" s="159" t="s">
        <v>524</v>
      </c>
      <c r="C65" s="152"/>
      <c r="D65" s="287"/>
      <c r="E65" s="287"/>
      <c r="F65" s="287"/>
      <c r="G65" s="287"/>
      <c r="H65" s="287"/>
      <c r="I65" s="287"/>
      <c r="J65" s="233"/>
      <c r="K65" s="233"/>
      <c r="L65" s="125"/>
      <c r="M65" s="287"/>
      <c r="N65" s="125"/>
      <c r="O65" s="133"/>
      <c r="P65" s="125"/>
    </row>
    <row r="66" spans="1:16" s="143" customFormat="1" ht="47.25">
      <c r="A66" s="287">
        <v>1</v>
      </c>
      <c r="B66" s="125" t="s">
        <v>624</v>
      </c>
      <c r="C66" s="287" t="s">
        <v>691</v>
      </c>
      <c r="D66" s="287">
        <v>2022</v>
      </c>
      <c r="E66" s="287">
        <v>1</v>
      </c>
      <c r="F66" s="287"/>
      <c r="G66" s="287">
        <v>1</v>
      </c>
      <c r="H66" s="144">
        <v>0</v>
      </c>
      <c r="I66" s="287" t="s">
        <v>631</v>
      </c>
      <c r="J66" s="225">
        <v>660000</v>
      </c>
      <c r="K66" s="225">
        <f>+J66*G66</f>
        <v>660000</v>
      </c>
      <c r="L66" s="125" t="s">
        <v>692</v>
      </c>
      <c r="M66" s="287" t="s">
        <v>649</v>
      </c>
      <c r="N66" s="125"/>
      <c r="O66" s="133"/>
      <c r="P66" s="125"/>
    </row>
    <row r="67" spans="1:16" s="143" customFormat="1" ht="28.5" customHeight="1">
      <c r="A67" s="287">
        <v>2</v>
      </c>
      <c r="B67" s="145" t="s">
        <v>530</v>
      </c>
      <c r="C67" s="125"/>
      <c r="D67" s="287"/>
      <c r="E67" s="287">
        <v>1</v>
      </c>
      <c r="F67" s="287"/>
      <c r="G67" s="287">
        <v>1</v>
      </c>
      <c r="H67" s="287">
        <v>0</v>
      </c>
      <c r="I67" s="287" t="s">
        <v>631</v>
      </c>
      <c r="J67" s="233"/>
      <c r="K67" s="233"/>
      <c r="L67" s="125" t="s">
        <v>692</v>
      </c>
      <c r="M67" s="287" t="s">
        <v>649</v>
      </c>
      <c r="N67" s="126" t="s">
        <v>830</v>
      </c>
      <c r="O67" s="133"/>
      <c r="P67" s="125" t="s">
        <v>581</v>
      </c>
    </row>
    <row r="68" spans="1:16" s="143" customFormat="1">
      <c r="A68" s="276" t="s">
        <v>690</v>
      </c>
      <c r="B68" s="159" t="s">
        <v>553</v>
      </c>
      <c r="C68" s="152"/>
      <c r="D68" s="287"/>
      <c r="E68" s="287"/>
      <c r="F68" s="287"/>
      <c r="G68" s="287"/>
      <c r="H68" s="287"/>
      <c r="I68" s="287"/>
      <c r="J68" s="233"/>
      <c r="K68" s="233"/>
      <c r="L68" s="125"/>
      <c r="M68" s="287"/>
      <c r="N68" s="125"/>
      <c r="O68" s="133"/>
      <c r="P68" s="125"/>
    </row>
    <row r="69" spans="1:16" s="143" customFormat="1" ht="47.25">
      <c r="A69" s="287">
        <v>1</v>
      </c>
      <c r="B69" s="145" t="s">
        <v>623</v>
      </c>
      <c r="C69" s="287" t="s">
        <v>696</v>
      </c>
      <c r="D69" s="287">
        <v>2022</v>
      </c>
      <c r="E69" s="287">
        <v>1</v>
      </c>
      <c r="F69" s="287"/>
      <c r="G69" s="287">
        <v>1</v>
      </c>
      <c r="H69" s="287">
        <v>0</v>
      </c>
      <c r="I69" s="287" t="s">
        <v>631</v>
      </c>
      <c r="J69" s="225">
        <v>2500000</v>
      </c>
      <c r="K69" s="225">
        <f>+G69*J69</f>
        <v>2500000</v>
      </c>
      <c r="L69" s="125" t="s">
        <v>553</v>
      </c>
      <c r="M69" s="287" t="s">
        <v>649</v>
      </c>
      <c r="N69" s="125"/>
      <c r="O69" s="133"/>
      <c r="P69" s="125"/>
    </row>
    <row r="70" spans="1:16" s="143" customFormat="1" ht="47.25">
      <c r="A70" s="287">
        <f>A69+1</f>
        <v>2</v>
      </c>
      <c r="B70" s="125" t="s">
        <v>624</v>
      </c>
      <c r="C70" s="287" t="s">
        <v>697</v>
      </c>
      <c r="D70" s="287">
        <v>2022</v>
      </c>
      <c r="E70" s="287">
        <v>1</v>
      </c>
      <c r="F70" s="287"/>
      <c r="G70" s="287">
        <v>1</v>
      </c>
      <c r="H70" s="287">
        <v>0</v>
      </c>
      <c r="I70" s="287" t="s">
        <v>631</v>
      </c>
      <c r="J70" s="225">
        <v>660000</v>
      </c>
      <c r="K70" s="225">
        <f>+J70*G70</f>
        <v>660000</v>
      </c>
      <c r="L70" s="125" t="s">
        <v>553</v>
      </c>
      <c r="M70" s="287" t="s">
        <v>649</v>
      </c>
      <c r="N70" s="125"/>
      <c r="O70" s="133"/>
      <c r="P70" s="125"/>
    </row>
    <row r="71" spans="1:16" s="143" customFormat="1" ht="63">
      <c r="A71" s="287">
        <v>3</v>
      </c>
      <c r="B71" s="143" t="s">
        <v>668</v>
      </c>
      <c r="C71" s="287" t="s">
        <v>1065</v>
      </c>
      <c r="D71" s="287">
        <v>2022</v>
      </c>
      <c r="E71" s="287">
        <v>1</v>
      </c>
      <c r="F71" s="287"/>
      <c r="G71" s="287">
        <v>1</v>
      </c>
      <c r="H71" s="287">
        <v>0</v>
      </c>
      <c r="I71" s="287" t="s">
        <v>631</v>
      </c>
      <c r="J71" s="234">
        <v>1100000</v>
      </c>
      <c r="K71" s="236">
        <f>+G71*J71</f>
        <v>1100000</v>
      </c>
      <c r="L71" s="125" t="s">
        <v>553</v>
      </c>
      <c r="M71" s="287" t="s">
        <v>649</v>
      </c>
      <c r="N71" s="125"/>
      <c r="O71" s="133"/>
      <c r="P71" s="125"/>
    </row>
    <row r="72" spans="1:16" s="143" customFormat="1" ht="31.5">
      <c r="A72" s="287">
        <f>A71+1</f>
        <v>4</v>
      </c>
      <c r="B72" s="145" t="s">
        <v>806</v>
      </c>
      <c r="C72" s="125"/>
      <c r="D72" s="287"/>
      <c r="E72" s="287">
        <v>1</v>
      </c>
      <c r="F72" s="287"/>
      <c r="G72" s="287">
        <v>1</v>
      </c>
      <c r="H72" s="287">
        <v>0</v>
      </c>
      <c r="I72" s="287" t="s">
        <v>631</v>
      </c>
      <c r="J72" s="233"/>
      <c r="K72" s="233"/>
      <c r="L72" s="125" t="s">
        <v>553</v>
      </c>
      <c r="M72" s="287" t="s">
        <v>649</v>
      </c>
      <c r="N72" s="126" t="s">
        <v>830</v>
      </c>
      <c r="O72" s="133"/>
      <c r="P72" s="125"/>
    </row>
    <row r="73" spans="1:16" s="143" customFormat="1" ht="31.5">
      <c r="A73" s="287">
        <v>5</v>
      </c>
      <c r="B73" s="145" t="s">
        <v>534</v>
      </c>
      <c r="C73" s="125"/>
      <c r="D73" s="287"/>
      <c r="E73" s="287">
        <v>1</v>
      </c>
      <c r="F73" s="287"/>
      <c r="G73" s="287">
        <v>1</v>
      </c>
      <c r="H73" s="287">
        <v>0</v>
      </c>
      <c r="I73" s="287" t="s">
        <v>631</v>
      </c>
      <c r="J73" s="233"/>
      <c r="K73" s="233"/>
      <c r="L73" s="125" t="s">
        <v>553</v>
      </c>
      <c r="M73" s="287" t="s">
        <v>649</v>
      </c>
      <c r="N73" s="126" t="s">
        <v>830</v>
      </c>
      <c r="O73" s="133"/>
      <c r="P73" s="125"/>
    </row>
    <row r="74" spans="1:16" s="143" customFormat="1">
      <c r="A74" s="276" t="s">
        <v>693</v>
      </c>
      <c r="B74" s="159" t="s">
        <v>554</v>
      </c>
      <c r="C74" s="152"/>
      <c r="D74" s="287"/>
      <c r="E74" s="287"/>
      <c r="F74" s="287"/>
      <c r="G74" s="287"/>
      <c r="H74" s="287"/>
      <c r="I74" s="287"/>
      <c r="J74" s="233"/>
      <c r="K74" s="233"/>
      <c r="L74" s="125"/>
      <c r="M74" s="287"/>
      <c r="N74" s="125"/>
      <c r="O74" s="133"/>
      <c r="P74" s="125"/>
    </row>
    <row r="75" spans="1:16" s="143" customFormat="1" ht="47.25">
      <c r="A75" s="287">
        <v>1</v>
      </c>
      <c r="B75" s="145" t="s">
        <v>623</v>
      </c>
      <c r="C75" s="287" t="s">
        <v>698</v>
      </c>
      <c r="D75" s="287">
        <v>2022</v>
      </c>
      <c r="E75" s="287">
        <v>1</v>
      </c>
      <c r="F75" s="287"/>
      <c r="G75" s="287">
        <v>1</v>
      </c>
      <c r="H75" s="287">
        <v>0</v>
      </c>
      <c r="I75" s="287" t="s">
        <v>631</v>
      </c>
      <c r="J75" s="225">
        <v>2500000</v>
      </c>
      <c r="K75" s="225">
        <f>+G75*J75</f>
        <v>2500000</v>
      </c>
      <c r="L75" s="125" t="s">
        <v>699</v>
      </c>
      <c r="M75" s="287" t="s">
        <v>649</v>
      </c>
      <c r="N75" s="125"/>
      <c r="O75" s="133"/>
      <c r="P75" s="125"/>
    </row>
    <row r="76" spans="1:16" s="143" customFormat="1" ht="63">
      <c r="A76" s="287">
        <v>2</v>
      </c>
      <c r="B76" s="143" t="s">
        <v>668</v>
      </c>
      <c r="C76" s="287" t="s">
        <v>1066</v>
      </c>
      <c r="D76" s="287">
        <v>2022</v>
      </c>
      <c r="E76" s="287">
        <v>1</v>
      </c>
      <c r="F76" s="287"/>
      <c r="G76" s="287">
        <v>1</v>
      </c>
      <c r="H76" s="287">
        <v>0</v>
      </c>
      <c r="I76" s="287" t="s">
        <v>631</v>
      </c>
      <c r="J76" s="234">
        <v>1100000</v>
      </c>
      <c r="K76" s="236">
        <f>+G76*J76</f>
        <v>1100000</v>
      </c>
      <c r="L76" s="125" t="s">
        <v>699</v>
      </c>
      <c r="M76" s="287" t="s">
        <v>649</v>
      </c>
      <c r="N76" s="125"/>
      <c r="O76" s="133"/>
      <c r="P76" s="125"/>
    </row>
    <row r="77" spans="1:16" s="143" customFormat="1" ht="52.5" customHeight="1">
      <c r="A77" s="287">
        <v>3</v>
      </c>
      <c r="B77" s="145" t="s">
        <v>555</v>
      </c>
      <c r="C77" s="125"/>
      <c r="D77" s="287"/>
      <c r="E77" s="287">
        <v>1</v>
      </c>
      <c r="F77" s="287"/>
      <c r="G77" s="287">
        <v>1</v>
      </c>
      <c r="H77" s="287">
        <v>0</v>
      </c>
      <c r="I77" s="287" t="s">
        <v>631</v>
      </c>
      <c r="J77" s="233"/>
      <c r="K77" s="233"/>
      <c r="L77" s="125" t="s">
        <v>699</v>
      </c>
      <c r="M77" s="287" t="s">
        <v>649</v>
      </c>
      <c r="N77" s="126" t="s">
        <v>830</v>
      </c>
      <c r="O77" s="133"/>
      <c r="P77" s="125" t="s">
        <v>560</v>
      </c>
    </row>
    <row r="78" spans="1:16" s="143" customFormat="1">
      <c r="A78" s="276" t="s">
        <v>694</v>
      </c>
      <c r="B78" s="159" t="s">
        <v>556</v>
      </c>
      <c r="C78" s="152"/>
      <c r="D78" s="287"/>
      <c r="E78" s="287"/>
      <c r="F78" s="287"/>
      <c r="G78" s="287"/>
      <c r="H78" s="287"/>
      <c r="I78" s="287"/>
      <c r="J78" s="233"/>
      <c r="K78" s="233"/>
      <c r="L78" s="125"/>
      <c r="M78" s="287"/>
      <c r="N78" s="125"/>
      <c r="O78" s="133"/>
      <c r="P78" s="125"/>
    </row>
    <row r="79" spans="1:16" s="143" customFormat="1" ht="47.25">
      <c r="A79" s="287">
        <v>1</v>
      </c>
      <c r="B79" s="145" t="s">
        <v>623</v>
      </c>
      <c r="C79" s="287" t="s">
        <v>700</v>
      </c>
      <c r="D79" s="287">
        <v>2022</v>
      </c>
      <c r="E79" s="287">
        <v>1</v>
      </c>
      <c r="F79" s="287"/>
      <c r="G79" s="287">
        <v>1</v>
      </c>
      <c r="H79" s="287">
        <v>0</v>
      </c>
      <c r="I79" s="287" t="s">
        <v>631</v>
      </c>
      <c r="J79" s="225">
        <v>2500000</v>
      </c>
      <c r="K79" s="225">
        <f>+G79*J79</f>
        <v>2500000</v>
      </c>
      <c r="L79" s="125" t="s">
        <v>556</v>
      </c>
      <c r="M79" s="287" t="s">
        <v>649</v>
      </c>
      <c r="N79" s="125"/>
      <c r="O79" s="133"/>
      <c r="P79" s="125"/>
    </row>
    <row r="80" spans="1:16" s="143" customFormat="1" ht="47.25">
      <c r="A80" s="287">
        <f>A79+1</f>
        <v>2</v>
      </c>
      <c r="B80" s="125" t="s">
        <v>624</v>
      </c>
      <c r="C80" s="287" t="s">
        <v>701</v>
      </c>
      <c r="D80" s="287">
        <v>2022</v>
      </c>
      <c r="E80" s="287">
        <v>1</v>
      </c>
      <c r="F80" s="287"/>
      <c r="G80" s="287">
        <v>1</v>
      </c>
      <c r="H80" s="287">
        <v>0</v>
      </c>
      <c r="I80" s="287" t="s">
        <v>631</v>
      </c>
      <c r="J80" s="225">
        <v>660000</v>
      </c>
      <c r="K80" s="225">
        <f>+J80*G80</f>
        <v>660000</v>
      </c>
      <c r="L80" s="125" t="s">
        <v>556</v>
      </c>
      <c r="M80" s="287" t="s">
        <v>649</v>
      </c>
      <c r="N80" s="125"/>
      <c r="O80" s="133"/>
      <c r="P80" s="125"/>
    </row>
    <row r="81" spans="1:16" s="143" customFormat="1" ht="63">
      <c r="A81" s="287">
        <f>A80+1</f>
        <v>3</v>
      </c>
      <c r="B81" s="143" t="s">
        <v>668</v>
      </c>
      <c r="C81" s="287" t="s">
        <v>1067</v>
      </c>
      <c r="D81" s="287">
        <v>2022</v>
      </c>
      <c r="E81" s="287">
        <v>1</v>
      </c>
      <c r="F81" s="287"/>
      <c r="G81" s="287">
        <v>1</v>
      </c>
      <c r="H81" s="287">
        <v>0</v>
      </c>
      <c r="I81" s="287" t="s">
        <v>631</v>
      </c>
      <c r="J81" s="234">
        <v>1100000</v>
      </c>
      <c r="K81" s="236">
        <f>+G81*J81</f>
        <v>1100000</v>
      </c>
      <c r="L81" s="125" t="s">
        <v>556</v>
      </c>
      <c r="M81" s="287" t="s">
        <v>649</v>
      </c>
      <c r="N81" s="125"/>
      <c r="O81" s="133"/>
      <c r="P81" s="125"/>
    </row>
    <row r="82" spans="1:16" s="143" customFormat="1" ht="54" customHeight="1">
      <c r="A82" s="287">
        <v>4</v>
      </c>
      <c r="B82" s="145" t="s">
        <v>555</v>
      </c>
      <c r="C82" s="125"/>
      <c r="D82" s="287">
        <v>2022</v>
      </c>
      <c r="E82" s="287">
        <v>1</v>
      </c>
      <c r="F82" s="287"/>
      <c r="G82" s="287">
        <v>1</v>
      </c>
      <c r="H82" s="287">
        <v>0</v>
      </c>
      <c r="I82" s="287" t="s">
        <v>631</v>
      </c>
      <c r="J82" s="233"/>
      <c r="K82" s="233"/>
      <c r="L82" s="125" t="s">
        <v>556</v>
      </c>
      <c r="M82" s="287" t="s">
        <v>649</v>
      </c>
      <c r="N82" s="126" t="s">
        <v>830</v>
      </c>
      <c r="O82" s="133"/>
      <c r="P82" s="125" t="s">
        <v>560</v>
      </c>
    </row>
    <row r="83" spans="1:16" s="143" customFormat="1" ht="31.5">
      <c r="A83" s="287">
        <v>5</v>
      </c>
      <c r="B83" s="145" t="s">
        <v>534</v>
      </c>
      <c r="C83" s="125"/>
      <c r="D83" s="287">
        <v>2019</v>
      </c>
      <c r="E83" s="287">
        <v>1</v>
      </c>
      <c r="F83" s="287"/>
      <c r="G83" s="287">
        <v>1</v>
      </c>
      <c r="H83" s="287">
        <v>0</v>
      </c>
      <c r="I83" s="287" t="s">
        <v>631</v>
      </c>
      <c r="J83" s="233"/>
      <c r="K83" s="233"/>
      <c r="L83" s="125" t="s">
        <v>556</v>
      </c>
      <c r="M83" s="287" t="s">
        <v>649</v>
      </c>
      <c r="N83" s="126" t="s">
        <v>830</v>
      </c>
      <c r="O83" s="133"/>
      <c r="P83" s="125"/>
    </row>
    <row r="84" spans="1:16" s="143" customFormat="1">
      <c r="A84" s="276" t="s">
        <v>695</v>
      </c>
      <c r="B84" s="159" t="s">
        <v>557</v>
      </c>
      <c r="C84" s="152"/>
      <c r="D84" s="287"/>
      <c r="E84" s="287"/>
      <c r="F84" s="287"/>
      <c r="G84" s="287"/>
      <c r="H84" s="287"/>
      <c r="I84" s="125"/>
      <c r="J84" s="233"/>
      <c r="K84" s="233"/>
      <c r="L84" s="125"/>
      <c r="M84" s="287"/>
      <c r="N84" s="125"/>
      <c r="O84" s="133"/>
      <c r="P84" s="125"/>
    </row>
    <row r="85" spans="1:16" s="143" customFormat="1" ht="47.25">
      <c r="A85" s="287">
        <v>1</v>
      </c>
      <c r="B85" s="145" t="s">
        <v>623</v>
      </c>
      <c r="C85" s="287" t="s">
        <v>702</v>
      </c>
      <c r="D85" s="287">
        <v>2022</v>
      </c>
      <c r="E85" s="287">
        <v>1</v>
      </c>
      <c r="F85" s="287"/>
      <c r="G85" s="287">
        <v>1</v>
      </c>
      <c r="H85" s="287">
        <v>0</v>
      </c>
      <c r="I85" s="287" t="s">
        <v>631</v>
      </c>
      <c r="J85" s="225">
        <v>2500000</v>
      </c>
      <c r="K85" s="225">
        <f>+G85*J85</f>
        <v>2500000</v>
      </c>
      <c r="L85" s="125" t="s">
        <v>557</v>
      </c>
      <c r="M85" s="287" t="s">
        <v>649</v>
      </c>
      <c r="N85" s="125"/>
      <c r="O85" s="133"/>
      <c r="P85" s="125"/>
    </row>
    <row r="86" spans="1:16" s="143" customFormat="1" ht="63">
      <c r="A86" s="287">
        <v>2</v>
      </c>
      <c r="B86" s="143" t="s">
        <v>668</v>
      </c>
      <c r="C86" s="287" t="s">
        <v>1068</v>
      </c>
      <c r="D86" s="287">
        <v>2022</v>
      </c>
      <c r="E86" s="287">
        <v>1</v>
      </c>
      <c r="F86" s="287"/>
      <c r="G86" s="287">
        <v>1</v>
      </c>
      <c r="H86" s="287">
        <v>0</v>
      </c>
      <c r="I86" s="287" t="s">
        <v>631</v>
      </c>
      <c r="J86" s="234">
        <v>1100000</v>
      </c>
      <c r="K86" s="236">
        <f>+G86*J86</f>
        <v>1100000</v>
      </c>
      <c r="L86" s="125" t="s">
        <v>557</v>
      </c>
      <c r="M86" s="287" t="s">
        <v>649</v>
      </c>
      <c r="N86" s="125"/>
      <c r="O86" s="133"/>
      <c r="P86" s="125"/>
    </row>
    <row r="87" spans="1:16" s="143" customFormat="1" ht="51" customHeight="1">
      <c r="A87" s="287">
        <v>3</v>
      </c>
      <c r="B87" s="145" t="s">
        <v>555</v>
      </c>
      <c r="C87" s="125"/>
      <c r="D87" s="287"/>
      <c r="E87" s="287">
        <v>1</v>
      </c>
      <c r="F87" s="287"/>
      <c r="G87" s="287">
        <v>1</v>
      </c>
      <c r="H87" s="287">
        <v>0</v>
      </c>
      <c r="I87" s="287" t="s">
        <v>631</v>
      </c>
      <c r="J87" s="233"/>
      <c r="K87" s="233"/>
      <c r="L87" s="125" t="s">
        <v>557</v>
      </c>
      <c r="M87" s="287" t="s">
        <v>649</v>
      </c>
      <c r="N87" s="126" t="s">
        <v>830</v>
      </c>
      <c r="O87" s="133"/>
      <c r="P87" s="125" t="s">
        <v>560</v>
      </c>
    </row>
    <row r="88" spans="1:16" s="143" customFormat="1">
      <c r="A88" s="276" t="s">
        <v>760</v>
      </c>
      <c r="B88" s="159" t="s">
        <v>558</v>
      </c>
      <c r="C88" s="152"/>
      <c r="D88" s="287"/>
      <c r="E88" s="287"/>
      <c r="F88" s="287"/>
      <c r="G88" s="287"/>
      <c r="H88" s="287"/>
      <c r="I88" s="125"/>
      <c r="J88" s="233"/>
      <c r="K88" s="233"/>
      <c r="L88" s="125"/>
      <c r="M88" s="287"/>
      <c r="N88" s="125"/>
      <c r="O88" s="133"/>
      <c r="P88" s="125"/>
    </row>
    <row r="89" spans="1:16" s="143" customFormat="1" ht="47.25">
      <c r="A89" s="287">
        <v>1</v>
      </c>
      <c r="B89" s="145" t="s">
        <v>623</v>
      </c>
      <c r="C89" s="287" t="s">
        <v>703</v>
      </c>
      <c r="D89" s="287">
        <v>2022</v>
      </c>
      <c r="E89" s="287">
        <v>1</v>
      </c>
      <c r="F89" s="287"/>
      <c r="G89" s="287">
        <v>1</v>
      </c>
      <c r="H89" s="287">
        <v>0</v>
      </c>
      <c r="I89" s="287" t="s">
        <v>631</v>
      </c>
      <c r="J89" s="225">
        <v>2500000</v>
      </c>
      <c r="K89" s="225">
        <f>+G89*J89</f>
        <v>2500000</v>
      </c>
      <c r="L89" s="125" t="s">
        <v>558</v>
      </c>
      <c r="M89" s="287" t="s">
        <v>649</v>
      </c>
      <c r="N89" s="125"/>
      <c r="O89" s="133"/>
      <c r="P89" s="125"/>
    </row>
    <row r="90" spans="1:16" s="143" customFormat="1" ht="63">
      <c r="A90" s="287">
        <v>2</v>
      </c>
      <c r="B90" s="143" t="s">
        <v>668</v>
      </c>
      <c r="C90" s="287" t="s">
        <v>1069</v>
      </c>
      <c r="D90" s="287">
        <v>2022</v>
      </c>
      <c r="E90" s="287">
        <v>1</v>
      </c>
      <c r="F90" s="287"/>
      <c r="G90" s="287">
        <v>1</v>
      </c>
      <c r="H90" s="287">
        <v>0</v>
      </c>
      <c r="I90" s="287" t="s">
        <v>631</v>
      </c>
      <c r="J90" s="234">
        <v>1100000</v>
      </c>
      <c r="K90" s="236">
        <f>+G90*J90</f>
        <v>1100000</v>
      </c>
      <c r="L90" s="125" t="s">
        <v>558</v>
      </c>
      <c r="M90" s="287" t="s">
        <v>649</v>
      </c>
      <c r="N90" s="125"/>
      <c r="O90" s="133"/>
      <c r="P90" s="125"/>
    </row>
    <row r="91" spans="1:16" s="143" customFormat="1">
      <c r="A91" s="276" t="s">
        <v>761</v>
      </c>
      <c r="B91" s="159" t="s">
        <v>523</v>
      </c>
      <c r="C91" s="152"/>
      <c r="D91" s="287"/>
      <c r="E91" s="287"/>
      <c r="F91" s="287"/>
      <c r="G91" s="287"/>
      <c r="H91" s="287"/>
      <c r="I91" s="125"/>
      <c r="J91" s="233"/>
      <c r="K91" s="233"/>
      <c r="L91" s="125"/>
      <c r="M91" s="287"/>
      <c r="N91" s="125"/>
      <c r="O91" s="133"/>
      <c r="P91" s="125"/>
    </row>
    <row r="92" spans="1:16" s="143" customFormat="1" ht="47.25">
      <c r="A92" s="287">
        <v>1</v>
      </c>
      <c r="B92" s="125" t="s">
        <v>625</v>
      </c>
      <c r="C92" s="287" t="s">
        <v>593</v>
      </c>
      <c r="D92" s="287">
        <v>2022</v>
      </c>
      <c r="E92" s="287">
        <v>1</v>
      </c>
      <c r="F92" s="287"/>
      <c r="G92" s="287">
        <v>1</v>
      </c>
      <c r="H92" s="287">
        <v>0</v>
      </c>
      <c r="I92" s="287" t="s">
        <v>631</v>
      </c>
      <c r="J92" s="234">
        <v>3700000</v>
      </c>
      <c r="K92" s="234">
        <v>3700000</v>
      </c>
      <c r="L92" s="125" t="s">
        <v>704</v>
      </c>
      <c r="M92" s="287" t="s">
        <v>649</v>
      </c>
      <c r="N92" s="125"/>
      <c r="O92" s="133"/>
      <c r="P92" s="125"/>
    </row>
    <row r="93" spans="1:16" ht="31.5">
      <c r="A93" s="287">
        <v>2</v>
      </c>
      <c r="B93" s="160" t="s">
        <v>537</v>
      </c>
      <c r="C93" s="139"/>
      <c r="D93" s="140"/>
      <c r="E93" s="140">
        <v>4</v>
      </c>
      <c r="F93" s="140"/>
      <c r="G93" s="140">
        <v>4</v>
      </c>
      <c r="H93" s="140">
        <v>0</v>
      </c>
      <c r="I93" s="287" t="s">
        <v>631</v>
      </c>
      <c r="J93" s="233"/>
      <c r="K93" s="233"/>
      <c r="L93" s="125" t="s">
        <v>704</v>
      </c>
      <c r="M93" s="287" t="s">
        <v>649</v>
      </c>
      <c r="N93" s="126" t="s">
        <v>830</v>
      </c>
      <c r="O93" s="133"/>
      <c r="P93" s="142"/>
    </row>
    <row r="94" spans="1:16" ht="31.5">
      <c r="A94" s="287">
        <v>3</v>
      </c>
      <c r="B94" s="160" t="s">
        <v>538</v>
      </c>
      <c r="C94" s="139"/>
      <c r="D94" s="140"/>
      <c r="E94" s="140">
        <v>3</v>
      </c>
      <c r="F94" s="140"/>
      <c r="G94" s="140">
        <v>3</v>
      </c>
      <c r="H94" s="140">
        <v>0</v>
      </c>
      <c r="I94" s="287" t="s">
        <v>631</v>
      </c>
      <c r="J94" s="233"/>
      <c r="K94" s="233"/>
      <c r="L94" s="125" t="s">
        <v>704</v>
      </c>
      <c r="M94" s="287" t="s">
        <v>649</v>
      </c>
      <c r="N94" s="126" t="s">
        <v>830</v>
      </c>
      <c r="O94" s="133"/>
      <c r="P94" s="161"/>
    </row>
    <row r="95" spans="1:16" ht="31.5">
      <c r="A95" s="287">
        <v>4</v>
      </c>
      <c r="B95" s="160" t="s">
        <v>530</v>
      </c>
      <c r="C95" s="139"/>
      <c r="D95" s="140"/>
      <c r="E95" s="140">
        <v>1</v>
      </c>
      <c r="F95" s="140"/>
      <c r="G95" s="140">
        <v>1</v>
      </c>
      <c r="H95" s="140">
        <v>0</v>
      </c>
      <c r="I95" s="287" t="s">
        <v>631</v>
      </c>
      <c r="J95" s="233"/>
      <c r="K95" s="233"/>
      <c r="L95" s="125" t="s">
        <v>704</v>
      </c>
      <c r="M95" s="287" t="s">
        <v>649</v>
      </c>
      <c r="N95" s="126" t="s">
        <v>830</v>
      </c>
      <c r="O95" s="133"/>
      <c r="P95" s="142"/>
    </row>
    <row r="96" spans="1:16" s="143" customFormat="1">
      <c r="A96" s="276" t="s">
        <v>762</v>
      </c>
      <c r="B96" s="159" t="s">
        <v>592</v>
      </c>
      <c r="C96" s="152"/>
      <c r="D96" s="287"/>
      <c r="E96" s="287"/>
      <c r="F96" s="287"/>
      <c r="G96" s="287"/>
      <c r="H96" s="287"/>
      <c r="I96" s="287"/>
      <c r="J96" s="233"/>
      <c r="K96" s="233"/>
      <c r="L96" s="125"/>
      <c r="M96" s="287"/>
      <c r="N96" s="125"/>
      <c r="O96" s="133"/>
      <c r="P96" s="125"/>
    </row>
    <row r="97" spans="1:16" s="143" customFormat="1" ht="31.5">
      <c r="A97" s="287">
        <f>A16+1</f>
        <v>2</v>
      </c>
      <c r="B97" s="145" t="s">
        <v>539</v>
      </c>
      <c r="C97" s="287" t="s">
        <v>707</v>
      </c>
      <c r="D97" s="287">
        <v>2022</v>
      </c>
      <c r="E97" s="287">
        <v>30</v>
      </c>
      <c r="F97" s="287"/>
      <c r="G97" s="287">
        <v>30</v>
      </c>
      <c r="H97" s="287">
        <v>0</v>
      </c>
      <c r="I97" s="287" t="s">
        <v>631</v>
      </c>
      <c r="J97" s="234">
        <v>960000</v>
      </c>
      <c r="K97" s="236">
        <f>+G97*J97</f>
        <v>28800000</v>
      </c>
      <c r="L97" s="125" t="s">
        <v>706</v>
      </c>
      <c r="M97" s="287" t="s">
        <v>649</v>
      </c>
      <c r="N97" s="125"/>
      <c r="O97" s="133"/>
      <c r="P97" s="125"/>
    </row>
    <row r="98" spans="1:16" s="143" customFormat="1" ht="47.25">
      <c r="A98" s="287">
        <v>3</v>
      </c>
      <c r="B98" s="125" t="s">
        <v>624</v>
      </c>
      <c r="C98" s="287" t="s">
        <v>997</v>
      </c>
      <c r="D98" s="287">
        <v>2022</v>
      </c>
      <c r="E98" s="287">
        <v>10</v>
      </c>
      <c r="F98" s="287"/>
      <c r="G98" s="287">
        <v>10</v>
      </c>
      <c r="H98" s="144">
        <v>0</v>
      </c>
      <c r="I98" s="287" t="s">
        <v>631</v>
      </c>
      <c r="J98" s="225">
        <v>660000</v>
      </c>
      <c r="K98" s="225">
        <f>+J98*G98</f>
        <v>6600000</v>
      </c>
      <c r="L98" s="125" t="s">
        <v>706</v>
      </c>
      <c r="M98" s="287" t="s">
        <v>649</v>
      </c>
      <c r="N98" s="125"/>
      <c r="O98" s="133"/>
      <c r="P98" s="125"/>
    </row>
    <row r="99" spans="1:16" s="143" customFormat="1" ht="78.75">
      <c r="A99" s="287">
        <v>4</v>
      </c>
      <c r="B99" s="125" t="s">
        <v>637</v>
      </c>
      <c r="C99" s="287" t="s">
        <v>983</v>
      </c>
      <c r="D99" s="287">
        <v>2022</v>
      </c>
      <c r="E99" s="287">
        <v>2</v>
      </c>
      <c r="F99" s="287"/>
      <c r="G99" s="287">
        <v>2</v>
      </c>
      <c r="H99" s="144">
        <v>0</v>
      </c>
      <c r="I99" s="287" t="s">
        <v>631</v>
      </c>
      <c r="J99" s="234">
        <v>3280000</v>
      </c>
      <c r="K99" s="235">
        <f>+G99*J99</f>
        <v>6560000</v>
      </c>
      <c r="L99" s="125" t="s">
        <v>706</v>
      </c>
      <c r="M99" s="287" t="s">
        <v>649</v>
      </c>
      <c r="N99" s="125"/>
      <c r="O99" s="133"/>
      <c r="P99" s="125"/>
    </row>
    <row r="100" spans="1:16" s="143" customFormat="1" ht="31.5">
      <c r="A100" s="276" t="s">
        <v>763</v>
      </c>
      <c r="B100" s="159" t="s">
        <v>708</v>
      </c>
      <c r="C100" s="152"/>
      <c r="D100" s="287"/>
      <c r="E100" s="287"/>
      <c r="F100" s="287"/>
      <c r="G100" s="287"/>
      <c r="H100" s="287"/>
      <c r="I100" s="125"/>
      <c r="J100" s="233"/>
      <c r="K100" s="233"/>
      <c r="L100" s="125"/>
      <c r="M100" s="287"/>
      <c r="N100" s="125"/>
      <c r="O100" s="133"/>
      <c r="P100" s="125"/>
    </row>
    <row r="101" spans="1:16" s="143" customFormat="1" ht="47.25">
      <c r="A101" s="287">
        <v>1</v>
      </c>
      <c r="B101" s="145" t="s">
        <v>623</v>
      </c>
      <c r="C101" s="287" t="s">
        <v>984</v>
      </c>
      <c r="D101" s="287">
        <v>2022</v>
      </c>
      <c r="E101" s="287">
        <v>2</v>
      </c>
      <c r="F101" s="287"/>
      <c r="G101" s="287">
        <v>2</v>
      </c>
      <c r="H101" s="144">
        <v>0</v>
      </c>
      <c r="I101" s="287" t="s">
        <v>631</v>
      </c>
      <c r="J101" s="225">
        <v>2500000</v>
      </c>
      <c r="K101" s="225">
        <f>+G101*J101</f>
        <v>5000000</v>
      </c>
      <c r="L101" s="125" t="s">
        <v>709</v>
      </c>
      <c r="M101" s="287" t="s">
        <v>649</v>
      </c>
      <c r="N101" s="125"/>
      <c r="O101" s="133"/>
      <c r="P101" s="125"/>
    </row>
    <row r="102" spans="1:16" s="143" customFormat="1" ht="47.25">
      <c r="A102" s="287">
        <f>A101+1</f>
        <v>2</v>
      </c>
      <c r="B102" s="125" t="s">
        <v>624</v>
      </c>
      <c r="C102" s="287" t="s">
        <v>998</v>
      </c>
      <c r="D102" s="287">
        <v>2022</v>
      </c>
      <c r="E102" s="287">
        <v>5</v>
      </c>
      <c r="F102" s="287"/>
      <c r="G102" s="287">
        <v>5</v>
      </c>
      <c r="H102" s="144">
        <v>0</v>
      </c>
      <c r="I102" s="287" t="s">
        <v>631</v>
      </c>
      <c r="J102" s="225">
        <v>660000</v>
      </c>
      <c r="K102" s="225">
        <f>+J102*G102</f>
        <v>3300000</v>
      </c>
      <c r="L102" s="125" t="s">
        <v>709</v>
      </c>
      <c r="M102" s="287" t="s">
        <v>649</v>
      </c>
      <c r="N102" s="125"/>
      <c r="O102" s="133"/>
      <c r="P102" s="125"/>
    </row>
    <row r="103" spans="1:16" s="143" customFormat="1" ht="78.75">
      <c r="A103" s="287">
        <f>A102+1</f>
        <v>3</v>
      </c>
      <c r="B103" s="125" t="s">
        <v>637</v>
      </c>
      <c r="C103" s="287" t="s">
        <v>710</v>
      </c>
      <c r="D103" s="287">
        <v>2022</v>
      </c>
      <c r="E103" s="287">
        <v>2</v>
      </c>
      <c r="F103" s="287"/>
      <c r="G103" s="287">
        <v>2</v>
      </c>
      <c r="H103" s="287">
        <v>0</v>
      </c>
      <c r="I103" s="287" t="s">
        <v>631</v>
      </c>
      <c r="J103" s="234">
        <v>3280000</v>
      </c>
      <c r="K103" s="235">
        <f>+G103*J103</f>
        <v>6560000</v>
      </c>
      <c r="L103" s="125" t="s">
        <v>709</v>
      </c>
      <c r="M103" s="287" t="s">
        <v>649</v>
      </c>
      <c r="N103" s="125"/>
      <c r="O103" s="133"/>
      <c r="P103" s="125"/>
    </row>
    <row r="104" spans="1:16" s="143" customFormat="1" ht="47.25">
      <c r="A104" s="287">
        <f>A103+1</f>
        <v>4</v>
      </c>
      <c r="B104" s="125" t="s">
        <v>626</v>
      </c>
      <c r="C104" s="287" t="s">
        <v>711</v>
      </c>
      <c r="D104" s="287">
        <v>2022</v>
      </c>
      <c r="E104" s="287">
        <v>1</v>
      </c>
      <c r="F104" s="287"/>
      <c r="G104" s="287">
        <v>1</v>
      </c>
      <c r="H104" s="287">
        <v>0</v>
      </c>
      <c r="I104" s="287" t="s">
        <v>631</v>
      </c>
      <c r="J104" s="234">
        <v>7900000</v>
      </c>
      <c r="K104" s="234">
        <v>7900000</v>
      </c>
      <c r="L104" s="125" t="s">
        <v>709</v>
      </c>
      <c r="M104" s="287" t="s">
        <v>649</v>
      </c>
      <c r="N104" s="125"/>
      <c r="O104" s="133"/>
      <c r="P104" s="125"/>
    </row>
    <row r="105" spans="1:16">
      <c r="A105" s="277" t="s">
        <v>764</v>
      </c>
      <c r="B105" s="159" t="s">
        <v>569</v>
      </c>
      <c r="C105" s="162"/>
      <c r="D105" s="126"/>
      <c r="E105" s="126"/>
      <c r="F105" s="126"/>
      <c r="G105" s="126"/>
      <c r="H105" s="126"/>
      <c r="I105" s="126"/>
      <c r="J105" s="233"/>
      <c r="K105" s="233"/>
      <c r="L105" s="155"/>
      <c r="M105" s="126"/>
      <c r="N105" s="155"/>
      <c r="O105" s="133"/>
      <c r="P105" s="155"/>
    </row>
    <row r="106" spans="1:16" s="143" customFormat="1" ht="47.25">
      <c r="A106" s="287">
        <v>1</v>
      </c>
      <c r="B106" s="145" t="s">
        <v>623</v>
      </c>
      <c r="C106" s="287" t="s">
        <v>1007</v>
      </c>
      <c r="D106" s="287">
        <v>2022</v>
      </c>
      <c r="E106" s="287">
        <v>3</v>
      </c>
      <c r="F106" s="287"/>
      <c r="G106" s="287">
        <v>3</v>
      </c>
      <c r="H106" s="144">
        <v>0</v>
      </c>
      <c r="I106" s="287" t="s">
        <v>631</v>
      </c>
      <c r="J106" s="225">
        <v>2500000</v>
      </c>
      <c r="K106" s="225">
        <f>+G106*J106</f>
        <v>7500000</v>
      </c>
      <c r="L106" s="125" t="s">
        <v>712</v>
      </c>
      <c r="M106" s="287" t="s">
        <v>649</v>
      </c>
      <c r="N106" s="125"/>
      <c r="O106" s="133"/>
      <c r="P106" s="125"/>
    </row>
    <row r="107" spans="1:16" s="143" customFormat="1" ht="47.25">
      <c r="A107" s="287">
        <f>A106+1</f>
        <v>2</v>
      </c>
      <c r="B107" s="125" t="s">
        <v>624</v>
      </c>
      <c r="C107" s="287" t="s">
        <v>713</v>
      </c>
      <c r="D107" s="287">
        <v>2022</v>
      </c>
      <c r="E107" s="287">
        <v>2</v>
      </c>
      <c r="F107" s="287"/>
      <c r="G107" s="287">
        <v>2</v>
      </c>
      <c r="H107" s="287">
        <v>0</v>
      </c>
      <c r="I107" s="287" t="s">
        <v>631</v>
      </c>
      <c r="J107" s="225">
        <v>660000</v>
      </c>
      <c r="K107" s="225">
        <f>+J107*G107</f>
        <v>1320000</v>
      </c>
      <c r="L107" s="125" t="s">
        <v>712</v>
      </c>
      <c r="M107" s="287" t="s">
        <v>649</v>
      </c>
      <c r="N107" s="125"/>
      <c r="O107" s="133"/>
      <c r="P107" s="125"/>
    </row>
    <row r="108" spans="1:16" s="143" customFormat="1" ht="78.75">
      <c r="A108" s="287">
        <f>A107+1</f>
        <v>3</v>
      </c>
      <c r="B108" s="125" t="s">
        <v>637</v>
      </c>
      <c r="C108" s="287" t="s">
        <v>1023</v>
      </c>
      <c r="D108" s="287">
        <v>2022</v>
      </c>
      <c r="E108" s="287">
        <v>2</v>
      </c>
      <c r="F108" s="287"/>
      <c r="G108" s="287">
        <v>2</v>
      </c>
      <c r="H108" s="144">
        <v>0</v>
      </c>
      <c r="I108" s="287" t="s">
        <v>631</v>
      </c>
      <c r="J108" s="234">
        <v>3280000</v>
      </c>
      <c r="K108" s="235">
        <f>+G108*J108</f>
        <v>6560000</v>
      </c>
      <c r="L108" s="125" t="s">
        <v>712</v>
      </c>
      <c r="M108" s="287" t="s">
        <v>649</v>
      </c>
      <c r="N108" s="125"/>
      <c r="O108" s="133"/>
      <c r="P108" s="125"/>
    </row>
    <row r="109" spans="1:16" s="143" customFormat="1" ht="47.25">
      <c r="A109" s="287">
        <v>4</v>
      </c>
      <c r="B109" s="145" t="s">
        <v>672</v>
      </c>
      <c r="C109" s="287" t="s">
        <v>1056</v>
      </c>
      <c r="D109" s="287">
        <v>2022</v>
      </c>
      <c r="E109" s="287">
        <v>2</v>
      </c>
      <c r="F109" s="287"/>
      <c r="G109" s="287">
        <v>2</v>
      </c>
      <c r="H109" s="144">
        <v>0</v>
      </c>
      <c r="I109" s="287" t="s">
        <v>631</v>
      </c>
      <c r="J109" s="234">
        <v>1100000</v>
      </c>
      <c r="K109" s="236">
        <f>+G109*J109</f>
        <v>2200000</v>
      </c>
      <c r="L109" s="125" t="s">
        <v>712</v>
      </c>
      <c r="M109" s="287" t="s">
        <v>649</v>
      </c>
      <c r="N109" s="125"/>
      <c r="O109" s="133"/>
      <c r="P109" s="125"/>
    </row>
    <row r="110" spans="1:16" s="143" customFormat="1" ht="42.75" customHeight="1">
      <c r="A110" s="287">
        <v>5</v>
      </c>
      <c r="B110" s="145" t="s">
        <v>555</v>
      </c>
      <c r="C110" s="125"/>
      <c r="D110" s="287"/>
      <c r="E110" s="287">
        <v>2</v>
      </c>
      <c r="F110" s="287"/>
      <c r="G110" s="287">
        <v>2</v>
      </c>
      <c r="H110" s="287">
        <v>0</v>
      </c>
      <c r="I110" s="287" t="s">
        <v>631</v>
      </c>
      <c r="J110" s="233"/>
      <c r="K110" s="233"/>
      <c r="L110" s="125" t="s">
        <v>712</v>
      </c>
      <c r="M110" s="287" t="s">
        <v>1008</v>
      </c>
      <c r="N110" s="125"/>
      <c r="O110" s="133"/>
      <c r="P110" s="125" t="s">
        <v>571</v>
      </c>
    </row>
    <row r="111" spans="1:16" s="143" customFormat="1">
      <c r="A111" s="287">
        <v>6</v>
      </c>
      <c r="B111" s="145" t="s">
        <v>816</v>
      </c>
      <c r="C111" s="125"/>
      <c r="D111" s="287"/>
      <c r="E111" s="287">
        <v>1</v>
      </c>
      <c r="F111" s="287"/>
      <c r="G111" s="287">
        <v>1</v>
      </c>
      <c r="H111" s="287">
        <v>0</v>
      </c>
      <c r="I111" s="287" t="s">
        <v>631</v>
      </c>
      <c r="J111" s="233"/>
      <c r="K111" s="233"/>
      <c r="L111" s="125" t="s">
        <v>712</v>
      </c>
      <c r="M111" s="287" t="s">
        <v>649</v>
      </c>
      <c r="N111" s="126" t="s">
        <v>830</v>
      </c>
      <c r="O111" s="133"/>
      <c r="P111" s="125"/>
    </row>
    <row r="112" spans="1:16" s="143" customFormat="1">
      <c r="A112" s="287">
        <v>7</v>
      </c>
      <c r="B112" s="125" t="s">
        <v>543</v>
      </c>
      <c r="C112" s="125"/>
      <c r="D112" s="287"/>
      <c r="E112" s="287">
        <v>1</v>
      </c>
      <c r="F112" s="287">
        <v>1</v>
      </c>
      <c r="G112" s="287">
        <v>1</v>
      </c>
      <c r="H112" s="144">
        <v>0</v>
      </c>
      <c r="I112" s="287" t="s">
        <v>631</v>
      </c>
      <c r="J112" s="233"/>
      <c r="K112" s="233"/>
      <c r="L112" s="125" t="s">
        <v>864</v>
      </c>
      <c r="M112" s="287" t="s">
        <v>649</v>
      </c>
      <c r="N112" s="126" t="s">
        <v>830</v>
      </c>
      <c r="O112" s="133"/>
      <c r="P112" s="125"/>
    </row>
    <row r="113" spans="1:16" s="143" customFormat="1">
      <c r="A113" s="276" t="s">
        <v>765</v>
      </c>
      <c r="B113" s="159" t="s">
        <v>563</v>
      </c>
      <c r="C113" s="152"/>
      <c r="D113" s="287"/>
      <c r="E113" s="287"/>
      <c r="F113" s="287"/>
      <c r="G113" s="287"/>
      <c r="H113" s="287"/>
      <c r="I113" s="125"/>
      <c r="J113" s="233"/>
      <c r="K113" s="233"/>
      <c r="L113" s="125"/>
      <c r="M113" s="287"/>
      <c r="N113" s="125"/>
      <c r="O113" s="133"/>
      <c r="P113" s="125"/>
    </row>
    <row r="114" spans="1:16" s="143" customFormat="1" ht="47.25">
      <c r="A114" s="287">
        <v>1</v>
      </c>
      <c r="B114" s="145" t="s">
        <v>623</v>
      </c>
      <c r="C114" s="287" t="s">
        <v>714</v>
      </c>
      <c r="D114" s="287">
        <v>2022</v>
      </c>
      <c r="E114" s="287">
        <v>1</v>
      </c>
      <c r="F114" s="287"/>
      <c r="G114" s="287">
        <v>1</v>
      </c>
      <c r="H114" s="287">
        <v>0</v>
      </c>
      <c r="I114" s="287" t="s">
        <v>631</v>
      </c>
      <c r="J114" s="225">
        <v>2500000</v>
      </c>
      <c r="K114" s="225">
        <f>+G114*J114</f>
        <v>2500000</v>
      </c>
      <c r="L114" s="125" t="s">
        <v>715</v>
      </c>
      <c r="M114" s="287" t="s">
        <v>649</v>
      </c>
      <c r="N114" s="125"/>
      <c r="O114" s="133"/>
      <c r="P114" s="125"/>
    </row>
    <row r="115" spans="1:16" s="143" customFormat="1" ht="47.25">
      <c r="A115" s="287">
        <f>A114+1</f>
        <v>2</v>
      </c>
      <c r="B115" s="125" t="s">
        <v>624</v>
      </c>
      <c r="C115" s="287" t="s">
        <v>999</v>
      </c>
      <c r="D115" s="287">
        <v>2022</v>
      </c>
      <c r="E115" s="287">
        <v>2</v>
      </c>
      <c r="F115" s="287"/>
      <c r="G115" s="287">
        <v>2</v>
      </c>
      <c r="H115" s="144">
        <v>0</v>
      </c>
      <c r="I115" s="287" t="s">
        <v>631</v>
      </c>
      <c r="J115" s="225">
        <v>660000</v>
      </c>
      <c r="K115" s="225">
        <f>+J115*G115</f>
        <v>1320000</v>
      </c>
      <c r="L115" s="125" t="s">
        <v>715</v>
      </c>
      <c r="M115" s="287" t="s">
        <v>649</v>
      </c>
      <c r="N115" s="125"/>
      <c r="O115" s="133"/>
      <c r="P115" s="125"/>
    </row>
    <row r="116" spans="1:16" s="143" customFormat="1" ht="78.75">
      <c r="A116" s="287">
        <f>A115+1</f>
        <v>3</v>
      </c>
      <c r="B116" s="125" t="s">
        <v>637</v>
      </c>
      <c r="C116" s="287" t="s">
        <v>716</v>
      </c>
      <c r="D116" s="287">
        <v>2022</v>
      </c>
      <c r="E116" s="287">
        <v>1</v>
      </c>
      <c r="F116" s="287"/>
      <c r="G116" s="287">
        <v>1</v>
      </c>
      <c r="H116" s="287">
        <v>0</v>
      </c>
      <c r="I116" s="287" t="s">
        <v>631</v>
      </c>
      <c r="J116" s="234">
        <v>3280000</v>
      </c>
      <c r="K116" s="235">
        <f>+G116*J116</f>
        <v>3280000</v>
      </c>
      <c r="L116" s="125" t="s">
        <v>715</v>
      </c>
      <c r="M116" s="287" t="s">
        <v>649</v>
      </c>
      <c r="N116" s="125"/>
      <c r="O116" s="133"/>
      <c r="P116" s="125"/>
    </row>
    <row r="117" spans="1:16" s="143" customFormat="1">
      <c r="A117" s="287">
        <v>4</v>
      </c>
      <c r="B117" s="145" t="s">
        <v>883</v>
      </c>
      <c r="C117" s="125"/>
      <c r="D117" s="287"/>
      <c r="E117" s="287">
        <v>2</v>
      </c>
      <c r="F117" s="287"/>
      <c r="G117" s="287">
        <v>2</v>
      </c>
      <c r="H117" s="144">
        <v>0</v>
      </c>
      <c r="I117" s="287" t="s">
        <v>631</v>
      </c>
      <c r="J117" s="233"/>
      <c r="K117" s="233"/>
      <c r="L117" s="125" t="s">
        <v>715</v>
      </c>
      <c r="M117" s="287" t="s">
        <v>649</v>
      </c>
      <c r="N117" s="126" t="s">
        <v>830</v>
      </c>
      <c r="O117" s="133"/>
      <c r="P117" s="125"/>
    </row>
    <row r="118" spans="1:16" s="143" customFormat="1">
      <c r="A118" s="276" t="s">
        <v>766</v>
      </c>
      <c r="B118" s="159" t="s">
        <v>562</v>
      </c>
      <c r="C118" s="152"/>
      <c r="D118" s="287"/>
      <c r="E118" s="287"/>
      <c r="F118" s="287"/>
      <c r="G118" s="287"/>
      <c r="H118" s="287"/>
      <c r="I118" s="287"/>
      <c r="J118" s="233"/>
      <c r="K118" s="233"/>
      <c r="L118" s="125"/>
      <c r="M118" s="287"/>
      <c r="N118" s="125"/>
      <c r="O118" s="133"/>
      <c r="P118" s="125"/>
    </row>
    <row r="119" spans="1:16" s="143" customFormat="1" ht="78.75">
      <c r="A119" s="287">
        <v>1</v>
      </c>
      <c r="B119" s="125" t="s">
        <v>637</v>
      </c>
      <c r="C119" s="287" t="s">
        <v>717</v>
      </c>
      <c r="D119" s="287">
        <v>2022</v>
      </c>
      <c r="E119" s="287">
        <v>1</v>
      </c>
      <c r="F119" s="287"/>
      <c r="G119" s="287">
        <v>1</v>
      </c>
      <c r="H119" s="287">
        <v>0</v>
      </c>
      <c r="I119" s="287" t="s">
        <v>631</v>
      </c>
      <c r="J119" s="234">
        <v>3280000</v>
      </c>
      <c r="K119" s="235">
        <f>+G119*J119</f>
        <v>3280000</v>
      </c>
      <c r="L119" s="125" t="s">
        <v>718</v>
      </c>
      <c r="M119" s="287" t="s">
        <v>649</v>
      </c>
      <c r="N119" s="125"/>
      <c r="O119" s="133"/>
      <c r="P119" s="125"/>
    </row>
    <row r="120" spans="1:16" s="143" customFormat="1" ht="47.25">
      <c r="A120" s="287">
        <v>2</v>
      </c>
      <c r="B120" s="125" t="s">
        <v>624</v>
      </c>
      <c r="C120" s="287" t="s">
        <v>985</v>
      </c>
      <c r="D120" s="287">
        <v>2022</v>
      </c>
      <c r="E120" s="287">
        <v>2</v>
      </c>
      <c r="F120" s="287"/>
      <c r="G120" s="287">
        <v>2</v>
      </c>
      <c r="H120" s="144">
        <v>0</v>
      </c>
      <c r="I120" s="287" t="s">
        <v>631</v>
      </c>
      <c r="J120" s="225">
        <v>660000</v>
      </c>
      <c r="K120" s="225">
        <f>+J120*G120</f>
        <v>1320000</v>
      </c>
      <c r="L120" s="125" t="s">
        <v>718</v>
      </c>
      <c r="M120" s="287" t="s">
        <v>649</v>
      </c>
      <c r="N120" s="125"/>
      <c r="O120" s="133"/>
      <c r="P120" s="125"/>
    </row>
    <row r="121" spans="1:16" s="143" customFormat="1" ht="47.25">
      <c r="A121" s="287">
        <v>3</v>
      </c>
      <c r="B121" s="145" t="s">
        <v>623</v>
      </c>
      <c r="C121" s="287" t="s">
        <v>986</v>
      </c>
      <c r="D121" s="287">
        <v>2022</v>
      </c>
      <c r="E121" s="287">
        <v>1</v>
      </c>
      <c r="F121" s="287"/>
      <c r="G121" s="287">
        <v>1</v>
      </c>
      <c r="H121" s="144">
        <v>0</v>
      </c>
      <c r="I121" s="287" t="s">
        <v>631</v>
      </c>
      <c r="J121" s="225">
        <v>2500000</v>
      </c>
      <c r="K121" s="225">
        <f>+G121*J121</f>
        <v>2500000</v>
      </c>
      <c r="L121" s="125" t="s">
        <v>718</v>
      </c>
      <c r="M121" s="287" t="s">
        <v>649</v>
      </c>
      <c r="N121" s="125"/>
      <c r="O121" s="133"/>
      <c r="P121" s="125"/>
    </row>
    <row r="122" spans="1:16" s="143" customFormat="1" ht="34.5" customHeight="1">
      <c r="A122" s="287">
        <v>4</v>
      </c>
      <c r="B122" s="145" t="s">
        <v>541</v>
      </c>
      <c r="C122" s="125"/>
      <c r="D122" s="287"/>
      <c r="E122" s="287">
        <v>1</v>
      </c>
      <c r="F122" s="287"/>
      <c r="G122" s="287">
        <v>1</v>
      </c>
      <c r="H122" s="287">
        <v>0</v>
      </c>
      <c r="I122" s="287" t="s">
        <v>631</v>
      </c>
      <c r="J122" s="233"/>
      <c r="K122" s="233"/>
      <c r="L122" s="125" t="s">
        <v>718</v>
      </c>
      <c r="M122" s="287" t="s">
        <v>649</v>
      </c>
      <c r="N122" s="126" t="s">
        <v>830</v>
      </c>
      <c r="O122" s="133"/>
      <c r="P122" s="125" t="s">
        <v>567</v>
      </c>
    </row>
    <row r="123" spans="1:16" s="143" customFormat="1">
      <c r="A123" s="276" t="s">
        <v>767</v>
      </c>
      <c r="B123" s="159" t="s">
        <v>564</v>
      </c>
      <c r="C123" s="152"/>
      <c r="D123" s="287"/>
      <c r="E123" s="287"/>
      <c r="F123" s="287"/>
      <c r="G123" s="287"/>
      <c r="H123" s="287"/>
      <c r="I123" s="125"/>
      <c r="J123" s="233"/>
      <c r="K123" s="233"/>
      <c r="L123" s="125"/>
      <c r="M123" s="287"/>
      <c r="N123" s="125"/>
      <c r="O123" s="133"/>
      <c r="P123" s="125"/>
    </row>
    <row r="124" spans="1:16" s="143" customFormat="1" ht="47.25">
      <c r="A124" s="287">
        <v>1</v>
      </c>
      <c r="B124" s="145" t="s">
        <v>623</v>
      </c>
      <c r="C124" s="287" t="s">
        <v>987</v>
      </c>
      <c r="D124" s="287">
        <v>2022</v>
      </c>
      <c r="E124" s="287">
        <v>1</v>
      </c>
      <c r="F124" s="287"/>
      <c r="G124" s="287">
        <v>1</v>
      </c>
      <c r="H124" s="144">
        <v>0</v>
      </c>
      <c r="I124" s="287" t="s">
        <v>631</v>
      </c>
      <c r="J124" s="225">
        <v>2500000</v>
      </c>
      <c r="K124" s="225">
        <f>+G124*J124</f>
        <v>2500000</v>
      </c>
      <c r="L124" s="125" t="s">
        <v>719</v>
      </c>
      <c r="M124" s="287" t="s">
        <v>649</v>
      </c>
      <c r="N124" s="125"/>
      <c r="O124" s="133"/>
      <c r="P124" s="411"/>
    </row>
    <row r="125" spans="1:16" s="143" customFormat="1" ht="47.25">
      <c r="A125" s="287">
        <f>A124+1</f>
        <v>2</v>
      </c>
      <c r="B125" s="125" t="s">
        <v>624</v>
      </c>
      <c r="C125" s="287" t="s">
        <v>988</v>
      </c>
      <c r="D125" s="287">
        <v>2022</v>
      </c>
      <c r="E125" s="287">
        <v>1</v>
      </c>
      <c r="F125" s="287"/>
      <c r="G125" s="287">
        <v>1</v>
      </c>
      <c r="H125" s="144">
        <v>0</v>
      </c>
      <c r="I125" s="287" t="s">
        <v>631</v>
      </c>
      <c r="J125" s="225">
        <v>660000</v>
      </c>
      <c r="K125" s="225">
        <f>+J125*G125</f>
        <v>660000</v>
      </c>
      <c r="L125" s="125" t="s">
        <v>719</v>
      </c>
      <c r="M125" s="287" t="s">
        <v>649</v>
      </c>
      <c r="N125" s="125"/>
      <c r="O125" s="133"/>
      <c r="P125" s="412"/>
    </row>
    <row r="126" spans="1:16" s="143" customFormat="1" ht="78.75">
      <c r="A126" s="287">
        <f>A125+1</f>
        <v>3</v>
      </c>
      <c r="B126" s="125" t="s">
        <v>637</v>
      </c>
      <c r="C126" s="287" t="s">
        <v>720</v>
      </c>
      <c r="D126" s="287">
        <v>2022</v>
      </c>
      <c r="E126" s="287">
        <v>1</v>
      </c>
      <c r="F126" s="287"/>
      <c r="G126" s="287">
        <v>1</v>
      </c>
      <c r="H126" s="287">
        <v>0</v>
      </c>
      <c r="I126" s="287" t="s">
        <v>631</v>
      </c>
      <c r="J126" s="234">
        <v>3280000</v>
      </c>
      <c r="K126" s="235">
        <f>+G126*J126</f>
        <v>3280000</v>
      </c>
      <c r="L126" s="125" t="s">
        <v>719</v>
      </c>
      <c r="M126" s="287" t="s">
        <v>649</v>
      </c>
      <c r="N126" s="125"/>
      <c r="O126" s="133"/>
      <c r="P126" s="125"/>
    </row>
    <row r="127" spans="1:16" s="143" customFormat="1" ht="47.25">
      <c r="A127" s="287">
        <v>4</v>
      </c>
      <c r="B127" s="145" t="s">
        <v>672</v>
      </c>
      <c r="C127" s="287" t="s">
        <v>1057</v>
      </c>
      <c r="D127" s="287">
        <v>2022</v>
      </c>
      <c r="E127" s="287">
        <v>1</v>
      </c>
      <c r="F127" s="287"/>
      <c r="G127" s="287">
        <v>1</v>
      </c>
      <c r="H127" s="144">
        <v>0</v>
      </c>
      <c r="I127" s="287" t="s">
        <v>631</v>
      </c>
      <c r="J127" s="234">
        <v>1100000</v>
      </c>
      <c r="K127" s="236">
        <f>+G127*J127</f>
        <v>1100000</v>
      </c>
      <c r="L127" s="125" t="s">
        <v>719</v>
      </c>
      <c r="M127" s="287" t="s">
        <v>649</v>
      </c>
      <c r="N127" s="125"/>
      <c r="O127" s="133"/>
      <c r="P127" s="125"/>
    </row>
    <row r="128" spans="1:16" s="143" customFormat="1" ht="31.5">
      <c r="A128" s="276" t="s">
        <v>768</v>
      </c>
      <c r="B128" s="159" t="s">
        <v>721</v>
      </c>
      <c r="C128" s="152"/>
      <c r="D128" s="287"/>
      <c r="E128" s="287"/>
      <c r="F128" s="287"/>
      <c r="G128" s="287"/>
      <c r="H128" s="287"/>
      <c r="I128" s="287"/>
      <c r="J128" s="233"/>
      <c r="K128" s="233"/>
      <c r="L128" s="125"/>
      <c r="M128" s="287"/>
      <c r="N128" s="125"/>
      <c r="O128" s="133"/>
      <c r="P128" s="125"/>
    </row>
    <row r="129" spans="1:23" s="143" customFormat="1" ht="47.25">
      <c r="A129" s="287">
        <v>1</v>
      </c>
      <c r="B129" s="145" t="s">
        <v>623</v>
      </c>
      <c r="C129" s="287" t="s">
        <v>722</v>
      </c>
      <c r="D129" s="287">
        <v>2022</v>
      </c>
      <c r="E129" s="287">
        <v>1</v>
      </c>
      <c r="F129" s="287"/>
      <c r="G129" s="287">
        <v>1</v>
      </c>
      <c r="H129" s="287">
        <v>0</v>
      </c>
      <c r="I129" s="287" t="s">
        <v>631</v>
      </c>
      <c r="J129" s="225">
        <v>2500000</v>
      </c>
      <c r="K129" s="225">
        <f>+G129*J129</f>
        <v>2500000</v>
      </c>
      <c r="L129" s="125" t="s">
        <v>724</v>
      </c>
      <c r="M129" s="287" t="s">
        <v>649</v>
      </c>
      <c r="N129" s="125"/>
      <c r="O129" s="133"/>
      <c r="P129" s="125"/>
    </row>
    <row r="130" spans="1:23" s="143" customFormat="1" ht="47.25">
      <c r="A130" s="287">
        <f>A129+1</f>
        <v>2</v>
      </c>
      <c r="B130" s="125" t="s">
        <v>624</v>
      </c>
      <c r="C130" s="287" t="s">
        <v>1001</v>
      </c>
      <c r="D130" s="287">
        <v>2022</v>
      </c>
      <c r="E130" s="287">
        <v>2</v>
      </c>
      <c r="F130" s="287"/>
      <c r="G130" s="287">
        <v>2</v>
      </c>
      <c r="H130" s="144">
        <v>0</v>
      </c>
      <c r="I130" s="287" t="s">
        <v>631</v>
      </c>
      <c r="J130" s="225">
        <v>660000</v>
      </c>
      <c r="K130" s="225">
        <f>+J130*G130</f>
        <v>1320000</v>
      </c>
      <c r="L130" s="125" t="s">
        <v>724</v>
      </c>
      <c r="M130" s="287" t="s">
        <v>649</v>
      </c>
      <c r="N130" s="125"/>
      <c r="O130" s="133" t="s">
        <v>1000</v>
      </c>
      <c r="P130" s="125"/>
    </row>
    <row r="131" spans="1:23" s="143" customFormat="1" ht="88.5" customHeight="1">
      <c r="A131" s="287">
        <f>A130+1</f>
        <v>3</v>
      </c>
      <c r="B131" s="125" t="s">
        <v>637</v>
      </c>
      <c r="C131" s="287" t="s">
        <v>723</v>
      </c>
      <c r="D131" s="287">
        <v>2022</v>
      </c>
      <c r="E131" s="287">
        <v>1</v>
      </c>
      <c r="F131" s="287"/>
      <c r="G131" s="287">
        <v>1</v>
      </c>
      <c r="H131" s="287">
        <v>0</v>
      </c>
      <c r="I131" s="287" t="s">
        <v>631</v>
      </c>
      <c r="J131" s="234">
        <v>3280000</v>
      </c>
      <c r="K131" s="235">
        <f>+G131*J131</f>
        <v>3280000</v>
      </c>
      <c r="L131" s="125" t="s">
        <v>724</v>
      </c>
      <c r="M131" s="287" t="s">
        <v>649</v>
      </c>
      <c r="N131" s="125"/>
      <c r="O131" s="133"/>
      <c r="P131" s="125"/>
    </row>
    <row r="132" spans="1:23" s="143" customFormat="1" ht="35.25" customHeight="1">
      <c r="A132" s="287">
        <v>4</v>
      </c>
      <c r="B132" s="125" t="s">
        <v>541</v>
      </c>
      <c r="C132" s="125"/>
      <c r="D132" s="287"/>
      <c r="E132" s="287">
        <v>1</v>
      </c>
      <c r="F132" s="287"/>
      <c r="G132" s="287">
        <v>1</v>
      </c>
      <c r="H132" s="287">
        <v>0</v>
      </c>
      <c r="I132" s="287" t="s">
        <v>631</v>
      </c>
      <c r="J132" s="233"/>
      <c r="K132" s="233"/>
      <c r="L132" s="125" t="s">
        <v>724</v>
      </c>
      <c r="M132" s="287" t="s">
        <v>649</v>
      </c>
      <c r="N132" s="126" t="s">
        <v>830</v>
      </c>
      <c r="O132" s="133"/>
      <c r="P132" s="125" t="s">
        <v>561</v>
      </c>
    </row>
    <row r="133" spans="1:23" s="143" customFormat="1">
      <c r="A133" s="276" t="s">
        <v>769</v>
      </c>
      <c r="B133" s="152" t="s">
        <v>565</v>
      </c>
      <c r="C133" s="152"/>
      <c r="D133" s="287"/>
      <c r="E133" s="287"/>
      <c r="F133" s="287"/>
      <c r="G133" s="287"/>
      <c r="H133" s="287"/>
      <c r="I133" s="125"/>
      <c r="J133" s="233"/>
      <c r="K133" s="233"/>
      <c r="L133" s="125"/>
      <c r="M133" s="287"/>
      <c r="N133" s="125"/>
      <c r="O133" s="133"/>
      <c r="P133" s="125"/>
    </row>
    <row r="134" spans="1:23" s="143" customFormat="1" ht="78.75">
      <c r="A134" s="287">
        <v>1</v>
      </c>
      <c r="B134" s="125" t="s">
        <v>637</v>
      </c>
      <c r="C134" s="287" t="s">
        <v>576</v>
      </c>
      <c r="D134" s="287">
        <v>2022</v>
      </c>
      <c r="E134" s="287">
        <v>1</v>
      </c>
      <c r="F134" s="287"/>
      <c r="G134" s="287">
        <v>1</v>
      </c>
      <c r="H134" s="287">
        <v>0</v>
      </c>
      <c r="I134" s="287" t="s">
        <v>631</v>
      </c>
      <c r="J134" s="234">
        <v>3280000</v>
      </c>
      <c r="K134" s="235">
        <f>+G134*J134</f>
        <v>3280000</v>
      </c>
      <c r="L134" s="125" t="s">
        <v>726</v>
      </c>
      <c r="M134" s="287" t="s">
        <v>649</v>
      </c>
      <c r="N134" s="125"/>
      <c r="O134" s="133"/>
      <c r="P134" s="125"/>
    </row>
    <row r="135" spans="1:23" s="143" customFormat="1" ht="47.25">
      <c r="A135" s="287">
        <f>A134+1</f>
        <v>2</v>
      </c>
      <c r="B135" s="125" t="s">
        <v>623</v>
      </c>
      <c r="C135" s="287" t="s">
        <v>725</v>
      </c>
      <c r="D135" s="287">
        <v>2022</v>
      </c>
      <c r="E135" s="287">
        <v>2</v>
      </c>
      <c r="F135" s="287"/>
      <c r="G135" s="287">
        <v>2</v>
      </c>
      <c r="H135" s="287">
        <v>0</v>
      </c>
      <c r="I135" s="287" t="s">
        <v>631</v>
      </c>
      <c r="J135" s="225">
        <v>2500000</v>
      </c>
      <c r="K135" s="225">
        <f>+G135*J135</f>
        <v>5000000</v>
      </c>
      <c r="L135" s="125" t="s">
        <v>726</v>
      </c>
      <c r="M135" s="287" t="s">
        <v>649</v>
      </c>
      <c r="N135" s="125"/>
      <c r="O135" s="133"/>
      <c r="P135" s="125"/>
    </row>
    <row r="136" spans="1:23" s="143" customFormat="1" ht="63">
      <c r="A136" s="287">
        <v>3</v>
      </c>
      <c r="B136" s="125" t="s">
        <v>668</v>
      </c>
      <c r="C136" s="287" t="s">
        <v>1070</v>
      </c>
      <c r="D136" s="287">
        <v>2022</v>
      </c>
      <c r="E136" s="287">
        <v>2</v>
      </c>
      <c r="F136" s="287"/>
      <c r="G136" s="287">
        <v>2</v>
      </c>
      <c r="H136" s="287">
        <v>0</v>
      </c>
      <c r="I136" s="287" t="s">
        <v>631</v>
      </c>
      <c r="J136" s="234">
        <v>1100000</v>
      </c>
      <c r="K136" s="236">
        <f>+G136*J136</f>
        <v>2200000</v>
      </c>
      <c r="L136" s="125" t="s">
        <v>726</v>
      </c>
      <c r="M136" s="287" t="s">
        <v>649</v>
      </c>
      <c r="N136" s="125"/>
      <c r="O136" s="133"/>
      <c r="P136" s="125"/>
    </row>
    <row r="137" spans="1:23" s="143" customFormat="1" ht="47.25" customHeight="1">
      <c r="A137" s="287">
        <f>A136+1</f>
        <v>4</v>
      </c>
      <c r="B137" s="125" t="s">
        <v>541</v>
      </c>
      <c r="C137" s="287"/>
      <c r="D137" s="287"/>
      <c r="E137" s="287">
        <v>2</v>
      </c>
      <c r="F137" s="287"/>
      <c r="G137" s="287">
        <v>2</v>
      </c>
      <c r="H137" s="287">
        <v>0</v>
      </c>
      <c r="I137" s="287" t="s">
        <v>631</v>
      </c>
      <c r="J137" s="233"/>
      <c r="K137" s="233"/>
      <c r="L137" s="125" t="s">
        <v>726</v>
      </c>
      <c r="M137" s="287" t="s">
        <v>649</v>
      </c>
      <c r="N137" s="126" t="s">
        <v>830</v>
      </c>
      <c r="O137" s="133"/>
      <c r="P137" s="125" t="s">
        <v>568</v>
      </c>
    </row>
    <row r="138" spans="1:23" s="143" customFormat="1" ht="47.25" customHeight="1">
      <c r="A138" s="287">
        <v>5</v>
      </c>
      <c r="B138" s="125" t="s">
        <v>816</v>
      </c>
      <c r="C138" s="287"/>
      <c r="D138" s="287"/>
      <c r="E138" s="287">
        <v>1</v>
      </c>
      <c r="F138" s="287"/>
      <c r="G138" s="287">
        <v>1</v>
      </c>
      <c r="H138" s="287">
        <v>0</v>
      </c>
      <c r="I138" s="287" t="s">
        <v>631</v>
      </c>
      <c r="J138" s="233"/>
      <c r="K138" s="233"/>
      <c r="L138" s="125" t="s">
        <v>726</v>
      </c>
      <c r="M138" s="287" t="s">
        <v>649</v>
      </c>
      <c r="N138" s="126" t="s">
        <v>830</v>
      </c>
      <c r="O138" s="133"/>
      <c r="P138" s="125" t="s">
        <v>568</v>
      </c>
    </row>
    <row r="139" spans="1:23" s="143" customFormat="1">
      <c r="A139" s="276" t="s">
        <v>770</v>
      </c>
      <c r="B139" s="157" t="s">
        <v>574</v>
      </c>
      <c r="C139" s="157"/>
      <c r="D139" s="287"/>
      <c r="E139" s="287"/>
      <c r="F139" s="287"/>
      <c r="G139" s="287"/>
      <c r="H139" s="287"/>
      <c r="I139" s="287"/>
      <c r="J139" s="233"/>
      <c r="K139" s="233"/>
      <c r="L139" s="125"/>
      <c r="M139" s="287"/>
      <c r="N139" s="125"/>
      <c r="O139" s="133"/>
      <c r="P139" s="125"/>
    </row>
    <row r="140" spans="1:23" s="143" customFormat="1" ht="126">
      <c r="A140" s="287">
        <v>1</v>
      </c>
      <c r="B140" s="110" t="s">
        <v>627</v>
      </c>
      <c r="C140" s="287" t="s">
        <v>1052</v>
      </c>
      <c r="D140" s="287">
        <v>2022</v>
      </c>
      <c r="E140" s="287">
        <v>10</v>
      </c>
      <c r="F140" s="287"/>
      <c r="G140" s="287">
        <v>8</v>
      </c>
      <c r="H140" s="287">
        <v>-2</v>
      </c>
      <c r="I140" s="287" t="s">
        <v>631</v>
      </c>
      <c r="J140" s="234">
        <v>2590000</v>
      </c>
      <c r="K140" s="236">
        <f>+G140*J140</f>
        <v>20720000</v>
      </c>
      <c r="L140" s="125" t="s">
        <v>728</v>
      </c>
      <c r="M140" s="287" t="s">
        <v>649</v>
      </c>
      <c r="N140" s="125"/>
      <c r="O140" s="133" t="s">
        <v>1053</v>
      </c>
      <c r="P140" s="125"/>
    </row>
    <row r="141" spans="1:23" s="143" customFormat="1" ht="47.25">
      <c r="A141" s="287">
        <v>3</v>
      </c>
      <c r="B141" s="125" t="s">
        <v>624</v>
      </c>
      <c r="C141" s="287" t="s">
        <v>729</v>
      </c>
      <c r="D141" s="287">
        <v>2022</v>
      </c>
      <c r="E141" s="287">
        <v>2</v>
      </c>
      <c r="F141" s="287"/>
      <c r="G141" s="287">
        <v>2</v>
      </c>
      <c r="H141" s="287">
        <v>0</v>
      </c>
      <c r="I141" s="287" t="s">
        <v>631</v>
      </c>
      <c r="J141" s="225">
        <v>660000</v>
      </c>
      <c r="K141" s="225">
        <f>+J141*G141</f>
        <v>1320000</v>
      </c>
      <c r="L141" s="125" t="s">
        <v>728</v>
      </c>
      <c r="M141" s="287" t="s">
        <v>649</v>
      </c>
      <c r="N141" s="125"/>
      <c r="O141" s="133"/>
      <c r="P141" s="125"/>
    </row>
    <row r="142" spans="1:23" s="143" customFormat="1" ht="47.25">
      <c r="A142" s="287">
        <v>4</v>
      </c>
      <c r="B142" s="125" t="s">
        <v>672</v>
      </c>
      <c r="C142" s="287" t="s">
        <v>1058</v>
      </c>
      <c r="D142" s="287">
        <v>2022</v>
      </c>
      <c r="E142" s="287">
        <v>1</v>
      </c>
      <c r="F142" s="287"/>
      <c r="G142" s="287">
        <v>1</v>
      </c>
      <c r="H142" s="287">
        <v>0</v>
      </c>
      <c r="I142" s="287" t="s">
        <v>631</v>
      </c>
      <c r="J142" s="234">
        <v>1100000</v>
      </c>
      <c r="K142" s="236">
        <f>+G142*J142</f>
        <v>1100000</v>
      </c>
      <c r="L142" s="125" t="s">
        <v>728</v>
      </c>
      <c r="M142" s="287" t="s">
        <v>649</v>
      </c>
      <c r="N142" s="125"/>
      <c r="O142" s="133"/>
      <c r="P142" s="125"/>
    </row>
    <row r="143" spans="1:23" s="143" customFormat="1">
      <c r="A143" s="287">
        <v>5</v>
      </c>
      <c r="B143" s="125" t="s">
        <v>520</v>
      </c>
      <c r="C143" s="125"/>
      <c r="D143" s="287"/>
      <c r="E143" s="287">
        <v>1</v>
      </c>
      <c r="F143" s="287"/>
      <c r="G143" s="287">
        <v>1</v>
      </c>
      <c r="H143" s="287">
        <v>0</v>
      </c>
      <c r="I143" s="125" t="s">
        <v>631</v>
      </c>
      <c r="J143" s="233"/>
      <c r="K143" s="233"/>
      <c r="L143" s="125" t="s">
        <v>728</v>
      </c>
      <c r="M143" s="287" t="s">
        <v>649</v>
      </c>
      <c r="N143" s="126" t="s">
        <v>830</v>
      </c>
      <c r="O143" s="133"/>
      <c r="P143" s="125"/>
    </row>
    <row r="144" spans="1:23" ht="16.5">
      <c r="A144" s="287">
        <v>6</v>
      </c>
      <c r="B144" s="94" t="s">
        <v>792</v>
      </c>
      <c r="C144" s="119"/>
      <c r="D144" s="116"/>
      <c r="E144" s="146">
        <v>1</v>
      </c>
      <c r="F144" s="146"/>
      <c r="G144" s="146">
        <v>1</v>
      </c>
      <c r="H144" s="146">
        <v>0</v>
      </c>
      <c r="I144" s="125" t="s">
        <v>631</v>
      </c>
      <c r="J144" s="233"/>
      <c r="K144" s="233"/>
      <c r="L144" s="125" t="s">
        <v>728</v>
      </c>
      <c r="M144" s="287" t="s">
        <v>649</v>
      </c>
      <c r="N144" s="126" t="s">
        <v>830</v>
      </c>
      <c r="O144" s="133"/>
      <c r="P144" s="147"/>
      <c r="S144" s="273"/>
      <c r="T144" s="273"/>
      <c r="U144" s="273"/>
      <c r="W144" s="273"/>
    </row>
    <row r="145" spans="1:23" ht="220.5">
      <c r="A145" s="287"/>
      <c r="B145" s="109" t="s">
        <v>519</v>
      </c>
      <c r="C145" s="109"/>
      <c r="D145" s="282">
        <v>2020</v>
      </c>
      <c r="E145" s="146">
        <v>0</v>
      </c>
      <c r="F145" s="146"/>
      <c r="G145" s="146">
        <v>1</v>
      </c>
      <c r="H145" s="212" t="s">
        <v>1051</v>
      </c>
      <c r="I145" s="125"/>
      <c r="J145" s="233"/>
      <c r="K145" s="233"/>
      <c r="L145" s="125"/>
      <c r="M145" s="287"/>
      <c r="N145" s="126"/>
      <c r="O145" s="133" t="s">
        <v>1049</v>
      </c>
      <c r="P145" s="147"/>
      <c r="S145" s="273"/>
      <c r="T145" s="273"/>
      <c r="U145" s="273"/>
      <c r="W145" s="273"/>
    </row>
    <row r="146" spans="1:23" s="143" customFormat="1" ht="31.5">
      <c r="A146" s="276" t="s">
        <v>771</v>
      </c>
      <c r="B146" s="157" t="s">
        <v>1042</v>
      </c>
      <c r="C146" s="157"/>
      <c r="D146" s="287"/>
      <c r="E146" s="287"/>
      <c r="F146" s="287"/>
      <c r="G146" s="287"/>
      <c r="H146" s="287"/>
      <c r="I146" s="287"/>
      <c r="J146" s="233"/>
      <c r="K146" s="233"/>
      <c r="L146" s="125"/>
      <c r="M146" s="287"/>
      <c r="N146" s="125"/>
      <c r="O146" s="133"/>
      <c r="P146" s="125"/>
    </row>
    <row r="147" spans="1:23" s="100" customFormat="1" ht="31.5">
      <c r="A147" s="282">
        <v>1</v>
      </c>
      <c r="B147" s="110" t="s">
        <v>835</v>
      </c>
      <c r="C147" s="110"/>
      <c r="D147" s="282">
        <v>2001</v>
      </c>
      <c r="E147" s="282">
        <v>1</v>
      </c>
      <c r="F147" s="282"/>
      <c r="G147" s="282">
        <v>1</v>
      </c>
      <c r="H147" s="120">
        <v>0</v>
      </c>
      <c r="I147" s="282" t="s">
        <v>631</v>
      </c>
      <c r="J147" s="238"/>
      <c r="K147" s="238"/>
      <c r="L147" s="125" t="s">
        <v>860</v>
      </c>
      <c r="M147" s="282" t="s">
        <v>809</v>
      </c>
      <c r="N147" s="282" t="s">
        <v>833</v>
      </c>
      <c r="O147" s="110"/>
      <c r="P147" s="94"/>
    </row>
    <row r="148" spans="1:23" s="100" customFormat="1" ht="31.5">
      <c r="A148" s="282">
        <v>2</v>
      </c>
      <c r="B148" s="110" t="s">
        <v>793</v>
      </c>
      <c r="C148" s="110"/>
      <c r="D148" s="282"/>
      <c r="E148" s="282">
        <v>1</v>
      </c>
      <c r="F148" s="282"/>
      <c r="G148" s="282">
        <v>1</v>
      </c>
      <c r="H148" s="120">
        <v>0</v>
      </c>
      <c r="I148" s="282" t="s">
        <v>631</v>
      </c>
      <c r="J148" s="238"/>
      <c r="K148" s="238"/>
      <c r="L148" s="125" t="s">
        <v>860</v>
      </c>
      <c r="M148" s="282" t="s">
        <v>809</v>
      </c>
      <c r="N148" s="282"/>
      <c r="O148" s="110"/>
      <c r="P148" s="94"/>
    </row>
    <row r="149" spans="1:23" ht="99">
      <c r="A149" s="116">
        <v>3</v>
      </c>
      <c r="B149" s="94" t="s">
        <v>828</v>
      </c>
      <c r="C149" s="119"/>
      <c r="D149" s="116"/>
      <c r="E149" s="116">
        <v>1</v>
      </c>
      <c r="F149" s="116">
        <v>1</v>
      </c>
      <c r="G149" s="116">
        <v>1</v>
      </c>
      <c r="H149" s="149">
        <v>0</v>
      </c>
      <c r="I149" s="287" t="s">
        <v>631</v>
      </c>
      <c r="J149" s="233"/>
      <c r="K149" s="233"/>
      <c r="L149" s="125" t="s">
        <v>860</v>
      </c>
      <c r="M149" s="116" t="s">
        <v>809</v>
      </c>
      <c r="N149" s="116"/>
      <c r="O149" s="110" t="s">
        <v>1043</v>
      </c>
      <c r="P149" s="147"/>
      <c r="S149" s="273"/>
      <c r="T149" s="273"/>
      <c r="U149" s="273"/>
      <c r="W149" s="273"/>
    </row>
    <row r="150" spans="1:23" ht="82.5">
      <c r="A150" s="116">
        <v>4</v>
      </c>
      <c r="B150" s="125" t="s">
        <v>1152</v>
      </c>
      <c r="C150" s="119"/>
      <c r="D150" s="116"/>
      <c r="E150" s="116">
        <v>0</v>
      </c>
      <c r="F150" s="116"/>
      <c r="G150" s="116">
        <v>1</v>
      </c>
      <c r="H150" s="212" t="s">
        <v>1051</v>
      </c>
      <c r="I150" s="287" t="s">
        <v>631</v>
      </c>
      <c r="J150" s="233"/>
      <c r="K150" s="233"/>
      <c r="L150" s="125" t="s">
        <v>860</v>
      </c>
      <c r="M150" s="116" t="s">
        <v>809</v>
      </c>
      <c r="N150" s="116"/>
      <c r="O150" s="110" t="s">
        <v>1153</v>
      </c>
      <c r="P150" s="147"/>
      <c r="S150" s="273"/>
      <c r="T150" s="273"/>
      <c r="U150" s="273"/>
      <c r="W150" s="273"/>
    </row>
    <row r="151" spans="1:23">
      <c r="A151" s="277" t="s">
        <v>861</v>
      </c>
      <c r="B151" s="152" t="s">
        <v>552</v>
      </c>
      <c r="C151" s="152"/>
      <c r="D151" s="277"/>
      <c r="E151" s="277"/>
      <c r="F151" s="277"/>
      <c r="G151" s="277"/>
      <c r="H151" s="277"/>
      <c r="I151" s="277"/>
      <c r="J151" s="237"/>
      <c r="K151" s="237"/>
      <c r="L151" s="163"/>
      <c r="M151" s="277"/>
      <c r="N151" s="163"/>
      <c r="O151" s="275"/>
      <c r="P151" s="163"/>
    </row>
    <row r="152" spans="1:23" s="143" customFormat="1" ht="31.5">
      <c r="A152" s="287">
        <v>1</v>
      </c>
      <c r="B152" s="125" t="s">
        <v>530</v>
      </c>
      <c r="C152" s="125"/>
      <c r="D152" s="287"/>
      <c r="E152" s="287">
        <v>1</v>
      </c>
      <c r="F152" s="287"/>
      <c r="G152" s="287">
        <v>1</v>
      </c>
      <c r="H152" s="287">
        <v>0</v>
      </c>
      <c r="I152" s="287" t="s">
        <v>631</v>
      </c>
      <c r="J152" s="233"/>
      <c r="K152" s="233"/>
      <c r="L152" s="125" t="s">
        <v>862</v>
      </c>
      <c r="M152" s="287" t="s">
        <v>649</v>
      </c>
      <c r="N152" s="126" t="s">
        <v>830</v>
      </c>
      <c r="O152" s="133"/>
      <c r="P152" s="125"/>
    </row>
    <row r="153" spans="1:23" s="143" customFormat="1" ht="31.5">
      <c r="A153" s="287">
        <v>2</v>
      </c>
      <c r="B153" s="125" t="s">
        <v>520</v>
      </c>
      <c r="C153" s="125"/>
      <c r="D153" s="287">
        <v>2022</v>
      </c>
      <c r="E153" s="287">
        <v>1</v>
      </c>
      <c r="F153" s="287"/>
      <c r="G153" s="287">
        <v>1</v>
      </c>
      <c r="H153" s="287">
        <v>0</v>
      </c>
      <c r="I153" s="287" t="s">
        <v>631</v>
      </c>
      <c r="J153" s="233"/>
      <c r="K153" s="233"/>
      <c r="L153" s="125" t="s">
        <v>862</v>
      </c>
      <c r="M153" s="287" t="s">
        <v>649</v>
      </c>
      <c r="N153" s="126" t="s">
        <v>830</v>
      </c>
      <c r="O153" s="133"/>
      <c r="P153" s="125"/>
    </row>
    <row r="154" spans="1:23" s="143" customFormat="1" ht="49.5" customHeight="1">
      <c r="A154" s="287">
        <v>3</v>
      </c>
      <c r="B154" s="145" t="s">
        <v>630</v>
      </c>
      <c r="C154" s="125"/>
      <c r="D154" s="287"/>
      <c r="E154" s="287">
        <v>1</v>
      </c>
      <c r="F154" s="287"/>
      <c r="G154" s="287">
        <v>1</v>
      </c>
      <c r="H154" s="144">
        <v>0</v>
      </c>
      <c r="I154" s="287" t="s">
        <v>631</v>
      </c>
      <c r="J154" s="233"/>
      <c r="K154" s="233"/>
      <c r="L154" s="125" t="s">
        <v>862</v>
      </c>
      <c r="M154" s="287" t="s">
        <v>649</v>
      </c>
      <c r="N154" s="126" t="s">
        <v>830</v>
      </c>
      <c r="O154" s="133"/>
      <c r="P154" s="125" t="s">
        <v>584</v>
      </c>
    </row>
    <row r="155" spans="1:23" s="143" customFormat="1">
      <c r="A155" s="276" t="s">
        <v>863</v>
      </c>
      <c r="B155" s="157" t="s">
        <v>1036</v>
      </c>
      <c r="C155" s="157"/>
      <c r="D155" s="287"/>
      <c r="E155" s="287"/>
      <c r="F155" s="287"/>
      <c r="G155" s="287"/>
      <c r="H155" s="287"/>
      <c r="I155" s="125"/>
      <c r="J155" s="233"/>
      <c r="K155" s="233"/>
      <c r="L155" s="125"/>
      <c r="M155" s="287"/>
      <c r="N155" s="125"/>
      <c r="O155" s="133"/>
      <c r="P155" s="125"/>
    </row>
    <row r="156" spans="1:23" s="143" customFormat="1" ht="66">
      <c r="A156" s="287">
        <v>1</v>
      </c>
      <c r="B156" s="110" t="s">
        <v>627</v>
      </c>
      <c r="C156" s="287" t="s">
        <v>954</v>
      </c>
      <c r="D156" s="287">
        <v>2022</v>
      </c>
      <c r="E156" s="287">
        <v>2</v>
      </c>
      <c r="F156" s="287"/>
      <c r="G156" s="287">
        <v>2</v>
      </c>
      <c r="H156" s="287">
        <v>0</v>
      </c>
      <c r="I156" s="287" t="s">
        <v>631</v>
      </c>
      <c r="J156" s="234">
        <v>2590000</v>
      </c>
      <c r="K156" s="236">
        <f>+G156*J156</f>
        <v>5180000</v>
      </c>
      <c r="L156" s="125" t="s">
        <v>727</v>
      </c>
      <c r="M156" s="287" t="s">
        <v>649</v>
      </c>
      <c r="N156" s="125"/>
      <c r="O156" s="133"/>
      <c r="P156" s="125"/>
    </row>
    <row r="157" spans="1:23" s="143" customFormat="1" ht="35.25" customHeight="1">
      <c r="A157" s="287">
        <v>2</v>
      </c>
      <c r="B157" s="125" t="s">
        <v>529</v>
      </c>
      <c r="C157" s="125"/>
      <c r="D157" s="287"/>
      <c r="E157" s="287">
        <v>2</v>
      </c>
      <c r="F157" s="287"/>
      <c r="G157" s="287">
        <v>2</v>
      </c>
      <c r="H157" s="287">
        <v>0</v>
      </c>
      <c r="I157" s="287" t="s">
        <v>631</v>
      </c>
      <c r="J157" s="233"/>
      <c r="K157" s="233"/>
      <c r="L157" s="125" t="s">
        <v>864</v>
      </c>
      <c r="M157" s="287" t="s">
        <v>649</v>
      </c>
      <c r="N157" s="126" t="s">
        <v>830</v>
      </c>
      <c r="O157" s="133"/>
      <c r="P157" s="125" t="s">
        <v>572</v>
      </c>
    </row>
    <row r="158" spans="1:23" s="143" customFormat="1">
      <c r="A158" s="287">
        <v>3</v>
      </c>
      <c r="B158" s="125" t="s">
        <v>542</v>
      </c>
      <c r="C158" s="125"/>
      <c r="D158" s="287"/>
      <c r="E158" s="287">
        <v>1</v>
      </c>
      <c r="F158" s="287">
        <v>1</v>
      </c>
      <c r="G158" s="287">
        <v>1</v>
      </c>
      <c r="H158" s="287">
        <v>0</v>
      </c>
      <c r="I158" s="287" t="s">
        <v>631</v>
      </c>
      <c r="J158" s="233"/>
      <c r="K158" s="233"/>
      <c r="L158" s="125" t="s">
        <v>864</v>
      </c>
      <c r="M158" s="287" t="s">
        <v>649</v>
      </c>
      <c r="N158" s="126" t="s">
        <v>830</v>
      </c>
      <c r="O158" s="133"/>
      <c r="P158" s="125"/>
    </row>
    <row r="159" spans="1:23" s="143" customFormat="1" ht="47.25">
      <c r="A159" s="287">
        <v>4</v>
      </c>
      <c r="B159" s="125" t="s">
        <v>623</v>
      </c>
      <c r="C159" s="287" t="s">
        <v>1011</v>
      </c>
      <c r="D159" s="287">
        <v>2022</v>
      </c>
      <c r="E159" s="287">
        <v>1</v>
      </c>
      <c r="F159" s="287"/>
      <c r="G159" s="287">
        <v>1</v>
      </c>
      <c r="H159" s="287">
        <v>0</v>
      </c>
      <c r="I159" s="287" t="s">
        <v>631</v>
      </c>
      <c r="J159" s="225">
        <v>2500000</v>
      </c>
      <c r="K159" s="225">
        <f>+G159*J159</f>
        <v>2500000</v>
      </c>
      <c r="L159" s="125" t="s">
        <v>864</v>
      </c>
      <c r="M159" s="287" t="s">
        <v>649</v>
      </c>
      <c r="N159" s="125"/>
      <c r="O159" s="133"/>
      <c r="P159" s="125"/>
    </row>
    <row r="160" spans="1:23" s="143" customFormat="1">
      <c r="A160" s="287">
        <v>5</v>
      </c>
      <c r="B160" s="125" t="s">
        <v>544</v>
      </c>
      <c r="C160" s="125"/>
      <c r="D160" s="287"/>
      <c r="E160" s="287">
        <v>1</v>
      </c>
      <c r="F160" s="287">
        <v>1</v>
      </c>
      <c r="G160" s="287">
        <v>1</v>
      </c>
      <c r="H160" s="287">
        <v>0</v>
      </c>
      <c r="I160" s="287" t="s">
        <v>631</v>
      </c>
      <c r="J160" s="233"/>
      <c r="K160" s="233"/>
      <c r="L160" s="125" t="s">
        <v>864</v>
      </c>
      <c r="M160" s="287" t="s">
        <v>649</v>
      </c>
      <c r="N160" s="126" t="s">
        <v>830</v>
      </c>
      <c r="O160" s="133"/>
      <c r="P160" s="125"/>
    </row>
    <row r="161" spans="1:39" s="143" customFormat="1">
      <c r="A161" s="276" t="s">
        <v>865</v>
      </c>
      <c r="B161" s="157" t="s">
        <v>1009</v>
      </c>
      <c r="C161" s="157"/>
      <c r="D161" s="287"/>
      <c r="E161" s="287"/>
      <c r="F161" s="287"/>
      <c r="G161" s="287"/>
      <c r="H161" s="287"/>
      <c r="I161" s="287"/>
      <c r="J161" s="233"/>
      <c r="K161" s="233"/>
      <c r="L161" s="125"/>
      <c r="M161" s="287"/>
      <c r="N161" s="125"/>
      <c r="O161" s="133"/>
      <c r="P161" s="125"/>
    </row>
    <row r="162" spans="1:39" s="143" customFormat="1">
      <c r="A162" s="287">
        <v>1</v>
      </c>
      <c r="B162" s="125" t="s">
        <v>816</v>
      </c>
      <c r="C162" s="125"/>
      <c r="D162" s="287"/>
      <c r="E162" s="287">
        <v>9</v>
      </c>
      <c r="F162" s="287">
        <v>8</v>
      </c>
      <c r="G162" s="287">
        <v>9</v>
      </c>
      <c r="H162" s="287">
        <v>0</v>
      </c>
      <c r="I162" s="287" t="s">
        <v>631</v>
      </c>
      <c r="J162" s="233"/>
      <c r="K162" s="233"/>
      <c r="L162" s="125" t="s">
        <v>866</v>
      </c>
      <c r="M162" s="287" t="s">
        <v>649</v>
      </c>
      <c r="N162" s="126" t="s">
        <v>830</v>
      </c>
      <c r="O162" s="133"/>
      <c r="P162" s="125"/>
    </row>
    <row r="163" spans="1:39" s="143" customFormat="1" ht="30.75" customHeight="1">
      <c r="A163" s="287">
        <v>2</v>
      </c>
      <c r="B163" s="125" t="s">
        <v>816</v>
      </c>
      <c r="C163" s="125"/>
      <c r="D163" s="287"/>
      <c r="E163" s="287">
        <v>8</v>
      </c>
      <c r="F163" s="287"/>
      <c r="G163" s="287">
        <v>8</v>
      </c>
      <c r="H163" s="287">
        <v>0</v>
      </c>
      <c r="I163" s="287" t="s">
        <v>631</v>
      </c>
      <c r="J163" s="233"/>
      <c r="K163" s="233"/>
      <c r="L163" s="125" t="s">
        <v>866</v>
      </c>
      <c r="M163" s="287" t="s">
        <v>649</v>
      </c>
      <c r="N163" s="126" t="s">
        <v>830</v>
      </c>
      <c r="O163" s="133"/>
      <c r="P163" s="125" t="s">
        <v>579</v>
      </c>
    </row>
    <row r="164" spans="1:39" s="143" customFormat="1">
      <c r="A164" s="287">
        <v>3</v>
      </c>
      <c r="B164" s="125" t="s">
        <v>551</v>
      </c>
      <c r="C164" s="125"/>
      <c r="D164" s="287">
        <v>2022</v>
      </c>
      <c r="E164" s="287">
        <v>1</v>
      </c>
      <c r="F164" s="287"/>
      <c r="G164" s="287">
        <v>1</v>
      </c>
      <c r="H164" s="287">
        <v>0</v>
      </c>
      <c r="I164" s="287" t="s">
        <v>631</v>
      </c>
      <c r="J164" s="233"/>
      <c r="K164" s="233"/>
      <c r="L164" s="125" t="s">
        <v>866</v>
      </c>
      <c r="M164" s="287" t="s">
        <v>649</v>
      </c>
      <c r="N164" s="126" t="s">
        <v>830</v>
      </c>
      <c r="O164" s="133"/>
      <c r="P164" s="125"/>
    </row>
    <row r="165" spans="1:39" s="143" customFormat="1">
      <c r="A165" s="257"/>
      <c r="B165" s="258" t="s">
        <v>1155</v>
      </c>
      <c r="C165" s="259"/>
      <c r="D165" s="258"/>
      <c r="E165" s="257"/>
      <c r="F165" s="257"/>
      <c r="G165" s="260"/>
      <c r="H165" s="260"/>
      <c r="I165" s="260"/>
      <c r="J165" s="261"/>
      <c r="K165" s="261">
        <f>SUM(K22:K164)</f>
        <v>247380000</v>
      </c>
      <c r="L165" s="262"/>
      <c r="M165" s="261"/>
      <c r="N165" s="261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57"/>
      <c r="Z165" s="261"/>
      <c r="AA165" s="260"/>
      <c r="AB165" s="263"/>
      <c r="AC165" s="261"/>
      <c r="AD165" s="261"/>
      <c r="AE165" s="264"/>
      <c r="AF165" s="265"/>
      <c r="AG165" s="266"/>
      <c r="AH165" s="267">
        <f>SUM(AH104:AH164)</f>
        <v>0</v>
      </c>
      <c r="AI165" s="257"/>
      <c r="AJ165" s="257"/>
      <c r="AK165" s="268"/>
      <c r="AL165" s="269"/>
      <c r="AM165" s="270"/>
    </row>
    <row r="166" spans="1:39" s="131" customFormat="1">
      <c r="A166" s="103"/>
      <c r="B166" s="231"/>
      <c r="C166" s="103"/>
      <c r="D166" s="272"/>
      <c r="E166" s="272"/>
      <c r="F166" s="129"/>
      <c r="G166" s="272"/>
      <c r="H166" s="272"/>
      <c r="I166" s="130"/>
      <c r="J166" s="243"/>
      <c r="K166" s="243"/>
      <c r="L166" s="405" t="s">
        <v>1134</v>
      </c>
      <c r="M166" s="405"/>
      <c r="N166" s="405"/>
      <c r="O166" s="405"/>
      <c r="P166" s="405"/>
    </row>
    <row r="167" spans="1:39">
      <c r="A167" s="103" t="s">
        <v>633</v>
      </c>
      <c r="B167" s="231"/>
      <c r="C167" s="397" t="s">
        <v>967</v>
      </c>
      <c r="D167" s="397"/>
      <c r="E167" s="397"/>
      <c r="F167" s="397"/>
      <c r="G167" s="397"/>
      <c r="H167" s="397" t="s">
        <v>772</v>
      </c>
      <c r="I167" s="397"/>
      <c r="J167" s="397"/>
      <c r="K167" s="397"/>
      <c r="L167" s="397"/>
      <c r="M167" s="397"/>
      <c r="N167" s="397" t="s">
        <v>773</v>
      </c>
      <c r="O167" s="397"/>
      <c r="P167" s="397"/>
    </row>
    <row r="168" spans="1:39">
      <c r="A168" s="103"/>
      <c r="B168" s="229"/>
      <c r="C168" s="272"/>
      <c r="D168" s="272"/>
      <c r="E168" s="272"/>
      <c r="F168" s="272"/>
      <c r="G168" s="272"/>
      <c r="H168" s="272"/>
      <c r="I168" s="272"/>
      <c r="J168" s="241"/>
      <c r="K168" s="241"/>
      <c r="L168" s="272"/>
      <c r="M168" s="272"/>
      <c r="N168" s="272"/>
      <c r="O168" s="278"/>
    </row>
    <row r="169" spans="1:39">
      <c r="A169" s="389" t="s">
        <v>959</v>
      </c>
      <c r="B169" s="389"/>
      <c r="C169" s="272"/>
      <c r="D169" s="272"/>
      <c r="E169" s="272"/>
      <c r="F169" s="272"/>
      <c r="G169" s="272"/>
      <c r="H169" s="272"/>
      <c r="I169" s="272"/>
      <c r="J169" s="241"/>
      <c r="K169" s="241"/>
      <c r="L169" s="272"/>
      <c r="M169" s="272"/>
      <c r="N169" s="272"/>
      <c r="O169" s="278"/>
    </row>
    <row r="170" spans="1:39">
      <c r="A170" s="389" t="s">
        <v>960</v>
      </c>
      <c r="B170" s="389"/>
      <c r="C170" s="272"/>
      <c r="D170" s="272"/>
      <c r="E170" s="272"/>
      <c r="F170" s="272"/>
      <c r="G170" s="272"/>
      <c r="H170" s="272"/>
      <c r="I170" s="272"/>
      <c r="J170" s="241"/>
      <c r="K170" s="241"/>
      <c r="L170" s="272"/>
      <c r="M170" s="272"/>
      <c r="N170" s="272"/>
      <c r="O170" s="278"/>
    </row>
    <row r="171" spans="1:39">
      <c r="A171" s="389" t="s">
        <v>1012</v>
      </c>
      <c r="B171" s="389"/>
      <c r="C171" s="272"/>
      <c r="D171" s="272"/>
      <c r="E171" s="272"/>
      <c r="F171" s="272"/>
      <c r="G171" s="272"/>
      <c r="H171" s="272"/>
      <c r="I171" s="272"/>
      <c r="J171" s="241"/>
      <c r="K171" s="241"/>
      <c r="L171" s="272"/>
      <c r="M171" s="272"/>
      <c r="N171" s="103"/>
      <c r="O171" s="278"/>
      <c r="P171" s="103"/>
    </row>
    <row r="172" spans="1:39">
      <c r="A172" s="389" t="s">
        <v>1133</v>
      </c>
      <c r="B172" s="389"/>
      <c r="C172" s="397" t="s">
        <v>968</v>
      </c>
      <c r="D172" s="397"/>
      <c r="E172" s="397"/>
      <c r="F172" s="397"/>
      <c r="G172" s="397"/>
      <c r="H172" s="397" t="s">
        <v>1046</v>
      </c>
      <c r="I172" s="397"/>
      <c r="J172" s="397"/>
      <c r="K172" s="397"/>
      <c r="L172" s="397"/>
      <c r="M172" s="397"/>
      <c r="N172" s="397" t="s">
        <v>1005</v>
      </c>
      <c r="O172" s="397"/>
      <c r="P172" s="397"/>
    </row>
    <row r="173" spans="1:39">
      <c r="A173" s="389"/>
      <c r="B173" s="389"/>
    </row>
    <row r="188" spans="1:38" s="95" customFormat="1" ht="16.5">
      <c r="A188" s="398" t="s">
        <v>977</v>
      </c>
      <c r="B188" s="398"/>
      <c r="C188" s="398"/>
      <c r="D188" s="398"/>
      <c r="E188" s="398"/>
      <c r="F188" s="398"/>
      <c r="G188" s="398"/>
      <c r="H188" s="398"/>
      <c r="I188" s="398"/>
      <c r="J188" s="398"/>
      <c r="K188" s="398"/>
      <c r="L188" s="398"/>
      <c r="M188" s="398"/>
      <c r="N188" s="398"/>
      <c r="O188" s="398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</row>
    <row r="189" spans="1:38" s="95" customFormat="1" ht="16.5">
      <c r="B189" s="100"/>
      <c r="D189" s="138"/>
      <c r="E189" s="138"/>
      <c r="F189" s="138"/>
      <c r="G189" s="138"/>
      <c r="H189" s="138"/>
      <c r="I189" s="138"/>
      <c r="J189" s="244"/>
      <c r="K189" s="244"/>
      <c r="L189" s="138"/>
      <c r="M189" s="138"/>
      <c r="O189" s="128"/>
      <c r="P189" s="100"/>
    </row>
    <row r="190" spans="1:38" s="83" customFormat="1" ht="31.5">
      <c r="A190" s="395" t="s">
        <v>610</v>
      </c>
      <c r="B190" s="395" t="s">
        <v>611</v>
      </c>
      <c r="C190" s="395" t="s">
        <v>612</v>
      </c>
      <c r="D190" s="395" t="s">
        <v>613</v>
      </c>
      <c r="E190" s="395" t="s">
        <v>614</v>
      </c>
      <c r="F190" s="396"/>
      <c r="G190" s="114" t="s">
        <v>615</v>
      </c>
      <c r="H190" s="114" t="s">
        <v>616</v>
      </c>
      <c r="I190" s="395" t="s">
        <v>617</v>
      </c>
      <c r="J190" s="237"/>
      <c r="K190" s="237"/>
      <c r="L190" s="395" t="s">
        <v>618</v>
      </c>
      <c r="M190" s="395" t="s">
        <v>619</v>
      </c>
      <c r="N190" s="395" t="s">
        <v>620</v>
      </c>
      <c r="O190" s="406" t="s">
        <v>621</v>
      </c>
      <c r="P190" s="287"/>
    </row>
    <row r="191" spans="1:38" s="83" customFormat="1" ht="31.5">
      <c r="A191" s="396"/>
      <c r="B191" s="395"/>
      <c r="C191" s="395"/>
      <c r="D191" s="396"/>
      <c r="E191" s="276" t="s">
        <v>7</v>
      </c>
      <c r="F191" s="114" t="s">
        <v>622</v>
      </c>
      <c r="G191" s="276" t="s">
        <v>7</v>
      </c>
      <c r="H191" s="276" t="s">
        <v>7</v>
      </c>
      <c r="I191" s="402"/>
      <c r="J191" s="245"/>
      <c r="K191" s="245"/>
      <c r="L191" s="402"/>
      <c r="M191" s="395"/>
      <c r="N191" s="395"/>
      <c r="O191" s="407"/>
      <c r="P191" s="287"/>
    </row>
    <row r="192" spans="1:38" s="143" customFormat="1">
      <c r="A192" s="276" t="s">
        <v>771</v>
      </c>
      <c r="B192" s="157" t="s">
        <v>531</v>
      </c>
      <c r="C192" s="157"/>
      <c r="D192" s="287"/>
      <c r="E192" s="287"/>
      <c r="F192" s="287"/>
      <c r="G192" s="287"/>
      <c r="H192" s="287"/>
      <c r="I192" s="287"/>
      <c r="J192" s="233"/>
      <c r="K192" s="233"/>
      <c r="L192" s="125"/>
      <c r="M192" s="287"/>
      <c r="N192" s="125"/>
      <c r="O192" s="133"/>
      <c r="P192" s="125"/>
    </row>
    <row r="193" spans="1:23" s="143" customFormat="1" ht="47.25">
      <c r="A193" s="287">
        <v>1</v>
      </c>
      <c r="B193" s="125" t="s">
        <v>532</v>
      </c>
      <c r="C193" s="125"/>
      <c r="D193" s="287"/>
      <c r="E193" s="287">
        <v>1</v>
      </c>
      <c r="F193" s="287"/>
      <c r="G193" s="287">
        <v>1</v>
      </c>
      <c r="H193" s="287">
        <v>0</v>
      </c>
      <c r="I193" s="287" t="s">
        <v>631</v>
      </c>
      <c r="J193" s="233"/>
      <c r="K193" s="233"/>
      <c r="L193" s="125" t="s">
        <v>860</v>
      </c>
      <c r="M193" s="287" t="s">
        <v>809</v>
      </c>
      <c r="N193" s="126" t="s">
        <v>830</v>
      </c>
      <c r="O193" s="133" t="s">
        <v>859</v>
      </c>
      <c r="P193" s="125"/>
      <c r="Q193" s="408" t="s">
        <v>955</v>
      </c>
    </row>
    <row r="194" spans="1:23" s="143" customFormat="1" ht="47.25">
      <c r="A194" s="287">
        <v>2</v>
      </c>
      <c r="B194" s="125" t="s">
        <v>533</v>
      </c>
      <c r="C194" s="125"/>
      <c r="D194" s="287"/>
      <c r="E194" s="287">
        <v>1</v>
      </c>
      <c r="F194" s="287"/>
      <c r="G194" s="287">
        <v>1</v>
      </c>
      <c r="H194" s="287">
        <v>0</v>
      </c>
      <c r="I194" s="287" t="s">
        <v>631</v>
      </c>
      <c r="J194" s="233"/>
      <c r="K194" s="233"/>
      <c r="L194" s="125" t="s">
        <v>860</v>
      </c>
      <c r="M194" s="287" t="s">
        <v>809</v>
      </c>
      <c r="N194" s="126" t="s">
        <v>830</v>
      </c>
      <c r="O194" s="133" t="s">
        <v>859</v>
      </c>
      <c r="P194" s="125"/>
      <c r="Q194" s="408"/>
    </row>
    <row r="195" spans="1:23">
      <c r="A195" s="276" t="s">
        <v>879</v>
      </c>
      <c r="B195" s="390" t="s">
        <v>750</v>
      </c>
      <c r="C195" s="391"/>
      <c r="D195" s="391"/>
      <c r="E195" s="391"/>
      <c r="F195" s="391"/>
      <c r="G195" s="391"/>
      <c r="H195" s="391"/>
      <c r="I195" s="391"/>
      <c r="J195" s="391"/>
      <c r="K195" s="391"/>
      <c r="L195" s="391"/>
      <c r="M195" s="391"/>
      <c r="N195" s="391"/>
      <c r="O195" s="391"/>
      <c r="P195" s="392"/>
    </row>
    <row r="196" spans="1:23" s="107" customFormat="1" ht="33">
      <c r="A196" s="116">
        <v>2</v>
      </c>
      <c r="B196" s="94" t="s">
        <v>787</v>
      </c>
      <c r="C196" s="119"/>
      <c r="D196" s="116"/>
      <c r="E196" s="146">
        <v>3</v>
      </c>
      <c r="F196" s="146"/>
      <c r="G196" s="146">
        <v>3</v>
      </c>
      <c r="H196" s="146">
        <v>0</v>
      </c>
      <c r="I196" s="287" t="s">
        <v>631</v>
      </c>
      <c r="J196" s="233"/>
      <c r="K196" s="233"/>
      <c r="L196" s="282" t="s">
        <v>872</v>
      </c>
      <c r="M196" s="116" t="s">
        <v>829</v>
      </c>
      <c r="N196" s="116" t="s">
        <v>830</v>
      </c>
      <c r="O196" s="110"/>
      <c r="P196" s="147"/>
    </row>
    <row r="197" spans="1:23" ht="33">
      <c r="A197" s="116">
        <v>5</v>
      </c>
      <c r="B197" s="94" t="s">
        <v>794</v>
      </c>
      <c r="C197" s="119"/>
      <c r="D197" s="116"/>
      <c r="E197" s="116">
        <v>2</v>
      </c>
      <c r="F197" s="116">
        <v>2</v>
      </c>
      <c r="G197" s="116">
        <v>2</v>
      </c>
      <c r="H197" s="146">
        <v>0</v>
      </c>
      <c r="I197" s="287" t="s">
        <v>631</v>
      </c>
      <c r="J197" s="233"/>
      <c r="K197" s="233"/>
      <c r="L197" s="282" t="s">
        <v>872</v>
      </c>
      <c r="M197" s="116" t="s">
        <v>809</v>
      </c>
      <c r="N197" s="116" t="s">
        <v>830</v>
      </c>
      <c r="O197" s="110"/>
      <c r="P197" s="147"/>
      <c r="S197" s="273"/>
      <c r="T197" s="273"/>
      <c r="U197" s="273"/>
      <c r="W197" s="273"/>
    </row>
    <row r="198" spans="1:23" ht="33">
      <c r="A198" s="116">
        <v>6</v>
      </c>
      <c r="B198" s="94" t="s">
        <v>795</v>
      </c>
      <c r="C198" s="119"/>
      <c r="D198" s="116"/>
      <c r="E198" s="146">
        <v>1</v>
      </c>
      <c r="F198" s="146">
        <v>1</v>
      </c>
      <c r="G198" s="146">
        <v>1</v>
      </c>
      <c r="H198" s="146">
        <v>0</v>
      </c>
      <c r="I198" s="287" t="s">
        <v>631</v>
      </c>
      <c r="J198" s="233"/>
      <c r="K198" s="233"/>
      <c r="L198" s="282" t="s">
        <v>872</v>
      </c>
      <c r="M198" s="116" t="s">
        <v>809</v>
      </c>
      <c r="N198" s="116" t="s">
        <v>830</v>
      </c>
      <c r="O198" s="110"/>
      <c r="P198" s="147"/>
      <c r="S198" s="273"/>
      <c r="T198" s="273"/>
      <c r="U198" s="273"/>
      <c r="W198" s="273"/>
    </row>
    <row r="199" spans="1:23" ht="33">
      <c r="A199" s="116">
        <v>7</v>
      </c>
      <c r="B199" s="94" t="s">
        <v>875</v>
      </c>
      <c r="C199" s="119"/>
      <c r="D199" s="116">
        <v>2019</v>
      </c>
      <c r="E199" s="146">
        <v>1</v>
      </c>
      <c r="F199" s="146">
        <v>1</v>
      </c>
      <c r="G199" s="146">
        <v>1</v>
      </c>
      <c r="H199" s="146">
        <v>0</v>
      </c>
      <c r="I199" s="287" t="s">
        <v>631</v>
      </c>
      <c r="J199" s="233"/>
      <c r="K199" s="233"/>
      <c r="L199" s="282" t="s">
        <v>872</v>
      </c>
      <c r="M199" s="282" t="s">
        <v>809</v>
      </c>
      <c r="N199" s="116" t="s">
        <v>830</v>
      </c>
      <c r="O199" s="110"/>
      <c r="P199" s="147"/>
      <c r="S199" s="273"/>
      <c r="T199" s="273"/>
      <c r="U199" s="273"/>
      <c r="W199" s="273"/>
    </row>
    <row r="200" spans="1:23" ht="33">
      <c r="A200" s="116">
        <v>8</v>
      </c>
      <c r="B200" s="94" t="s">
        <v>796</v>
      </c>
      <c r="C200" s="119"/>
      <c r="D200" s="116"/>
      <c r="E200" s="116">
        <v>1</v>
      </c>
      <c r="F200" s="146"/>
      <c r="G200" s="146">
        <v>1</v>
      </c>
      <c r="H200" s="149">
        <v>0</v>
      </c>
      <c r="I200" s="287" t="s">
        <v>631</v>
      </c>
      <c r="J200" s="233"/>
      <c r="K200" s="233"/>
      <c r="L200" s="282" t="s">
        <v>872</v>
      </c>
      <c r="M200" s="116" t="s">
        <v>809</v>
      </c>
      <c r="N200" s="116" t="s">
        <v>830</v>
      </c>
      <c r="O200" s="110"/>
      <c r="P200" s="147"/>
      <c r="S200" s="273"/>
      <c r="T200" s="273"/>
      <c r="U200" s="273"/>
      <c r="W200" s="273"/>
    </row>
    <row r="201" spans="1:23" ht="33">
      <c r="A201" s="116">
        <v>9</v>
      </c>
      <c r="B201" s="94" t="s">
        <v>541</v>
      </c>
      <c r="C201" s="119"/>
      <c r="D201" s="116"/>
      <c r="E201" s="116">
        <v>3</v>
      </c>
      <c r="F201" s="146"/>
      <c r="G201" s="146">
        <v>3</v>
      </c>
      <c r="H201" s="149">
        <v>0</v>
      </c>
      <c r="I201" s="287" t="s">
        <v>631</v>
      </c>
      <c r="J201" s="233"/>
      <c r="K201" s="233"/>
      <c r="L201" s="282" t="s">
        <v>872</v>
      </c>
      <c r="M201" s="116" t="s">
        <v>809</v>
      </c>
      <c r="N201" s="116" t="s">
        <v>830</v>
      </c>
      <c r="O201" s="110"/>
      <c r="P201" s="147"/>
      <c r="S201" s="273"/>
      <c r="T201" s="273"/>
      <c r="U201" s="273"/>
      <c r="W201" s="273"/>
    </row>
    <row r="202" spans="1:23" ht="33">
      <c r="A202" s="116">
        <v>10</v>
      </c>
      <c r="B202" s="94" t="s">
        <v>548</v>
      </c>
      <c r="C202" s="119"/>
      <c r="D202" s="116"/>
      <c r="E202" s="116">
        <v>11</v>
      </c>
      <c r="F202" s="146"/>
      <c r="G202" s="146">
        <v>11</v>
      </c>
      <c r="H202" s="150">
        <v>0</v>
      </c>
      <c r="I202" s="287" t="s">
        <v>631</v>
      </c>
      <c r="J202" s="233"/>
      <c r="K202" s="233"/>
      <c r="L202" s="282" t="s">
        <v>872</v>
      </c>
      <c r="M202" s="116" t="s">
        <v>809</v>
      </c>
      <c r="N202" s="116" t="s">
        <v>830</v>
      </c>
      <c r="O202" s="110"/>
      <c r="P202" s="147"/>
      <c r="S202" s="273"/>
      <c r="T202" s="273"/>
      <c r="U202" s="273"/>
      <c r="W202" s="273"/>
    </row>
    <row r="203" spans="1:23" ht="33">
      <c r="A203" s="116">
        <v>11</v>
      </c>
      <c r="B203" s="94" t="s">
        <v>797</v>
      </c>
      <c r="C203" s="110"/>
      <c r="D203" s="116">
        <v>2021</v>
      </c>
      <c r="E203" s="146">
        <v>1</v>
      </c>
      <c r="F203" s="146"/>
      <c r="G203" s="146">
        <v>1</v>
      </c>
      <c r="H203" s="146">
        <v>0</v>
      </c>
      <c r="I203" s="287" t="s">
        <v>631</v>
      </c>
      <c r="J203" s="233"/>
      <c r="K203" s="233"/>
      <c r="L203" s="282" t="s">
        <v>872</v>
      </c>
      <c r="M203" s="116" t="s">
        <v>809</v>
      </c>
      <c r="N203" s="116" t="s">
        <v>830</v>
      </c>
      <c r="O203" s="110"/>
      <c r="P203" s="147"/>
      <c r="S203" s="273"/>
      <c r="T203" s="273"/>
      <c r="U203" s="273"/>
      <c r="W203" s="273"/>
    </row>
    <row r="204" spans="1:23" ht="33">
      <c r="A204" s="116">
        <v>14</v>
      </c>
      <c r="B204" s="110" t="s">
        <v>804</v>
      </c>
      <c r="C204" s="119"/>
      <c r="D204" s="116"/>
      <c r="E204" s="146">
        <v>1</v>
      </c>
      <c r="F204" s="146"/>
      <c r="G204" s="116">
        <v>1</v>
      </c>
      <c r="H204" s="149">
        <v>0</v>
      </c>
      <c r="I204" s="287" t="s">
        <v>631</v>
      </c>
      <c r="J204" s="233"/>
      <c r="K204" s="233"/>
      <c r="L204" s="282" t="s">
        <v>872</v>
      </c>
      <c r="M204" s="116" t="s">
        <v>809</v>
      </c>
      <c r="N204" s="116" t="s">
        <v>830</v>
      </c>
      <c r="O204" s="110"/>
      <c r="P204" s="147"/>
      <c r="S204" s="273"/>
      <c r="T204" s="273"/>
      <c r="U204" s="273"/>
      <c r="W204" s="273"/>
    </row>
    <row r="205" spans="1:23" ht="33">
      <c r="A205" s="116">
        <v>15</v>
      </c>
      <c r="B205" s="94" t="s">
        <v>794</v>
      </c>
      <c r="C205" s="119"/>
      <c r="D205" s="116"/>
      <c r="E205" s="146">
        <v>5</v>
      </c>
      <c r="F205" s="146"/>
      <c r="G205" s="116">
        <v>5</v>
      </c>
      <c r="H205" s="149">
        <v>0</v>
      </c>
      <c r="I205" s="287" t="s">
        <v>631</v>
      </c>
      <c r="J205" s="233"/>
      <c r="K205" s="233"/>
      <c r="L205" s="282" t="s">
        <v>872</v>
      </c>
      <c r="M205" s="116" t="s">
        <v>809</v>
      </c>
      <c r="N205" s="116" t="s">
        <v>830</v>
      </c>
      <c r="O205" s="110"/>
      <c r="P205" s="147"/>
      <c r="S205" s="273"/>
      <c r="T205" s="273"/>
      <c r="U205" s="273"/>
      <c r="W205" s="273"/>
    </row>
    <row r="206" spans="1:23" ht="33">
      <c r="A206" s="116">
        <v>16</v>
      </c>
      <c r="B206" s="110" t="s">
        <v>831</v>
      </c>
      <c r="C206" s="119"/>
      <c r="D206" s="116"/>
      <c r="E206" s="146">
        <v>2</v>
      </c>
      <c r="F206" s="146"/>
      <c r="G206" s="116">
        <v>2</v>
      </c>
      <c r="H206" s="149">
        <v>0</v>
      </c>
      <c r="I206" s="287" t="s">
        <v>631</v>
      </c>
      <c r="J206" s="233"/>
      <c r="K206" s="233"/>
      <c r="L206" s="282" t="s">
        <v>872</v>
      </c>
      <c r="M206" s="116" t="s">
        <v>829</v>
      </c>
      <c r="N206" s="116" t="s">
        <v>830</v>
      </c>
      <c r="O206" s="110"/>
      <c r="P206" s="147"/>
      <c r="S206" s="273"/>
      <c r="T206" s="273"/>
      <c r="U206" s="273"/>
      <c r="W206" s="273"/>
    </row>
    <row r="207" spans="1:23" ht="33">
      <c r="A207" s="116">
        <v>17</v>
      </c>
      <c r="B207" s="110" t="s">
        <v>803</v>
      </c>
      <c r="C207" s="119"/>
      <c r="D207" s="116"/>
      <c r="E207" s="146">
        <v>1</v>
      </c>
      <c r="F207" s="146"/>
      <c r="G207" s="116">
        <v>1</v>
      </c>
      <c r="H207" s="149">
        <v>0</v>
      </c>
      <c r="I207" s="287" t="s">
        <v>631</v>
      </c>
      <c r="J207" s="233"/>
      <c r="K207" s="233"/>
      <c r="L207" s="282" t="s">
        <v>872</v>
      </c>
      <c r="M207" s="116" t="s">
        <v>829</v>
      </c>
      <c r="N207" s="116" t="s">
        <v>830</v>
      </c>
      <c r="O207" s="110"/>
      <c r="P207" s="147"/>
      <c r="S207" s="273"/>
      <c r="T207" s="273"/>
      <c r="U207" s="273"/>
      <c r="W207" s="273"/>
    </row>
    <row r="208" spans="1:23" ht="33">
      <c r="A208" s="116">
        <v>18</v>
      </c>
      <c r="B208" s="94" t="s">
        <v>805</v>
      </c>
      <c r="C208" s="119"/>
      <c r="D208" s="116"/>
      <c r="E208" s="116">
        <v>1</v>
      </c>
      <c r="F208" s="146"/>
      <c r="G208" s="116">
        <v>1</v>
      </c>
      <c r="H208" s="149">
        <v>0</v>
      </c>
      <c r="I208" s="287" t="s">
        <v>631</v>
      </c>
      <c r="J208" s="233"/>
      <c r="K208" s="233"/>
      <c r="L208" s="282" t="s">
        <v>872</v>
      </c>
      <c r="M208" s="116" t="s">
        <v>829</v>
      </c>
      <c r="N208" s="116" t="s">
        <v>830</v>
      </c>
      <c r="O208" s="110"/>
      <c r="P208" s="147"/>
      <c r="S208" s="273"/>
      <c r="T208" s="273"/>
      <c r="U208" s="273"/>
      <c r="W208" s="273"/>
    </row>
    <row r="209" spans="1:23" ht="33">
      <c r="A209" s="116">
        <v>19</v>
      </c>
      <c r="B209" s="94" t="s">
        <v>807</v>
      </c>
      <c r="C209" s="284"/>
      <c r="D209" s="116"/>
      <c r="E209" s="116">
        <v>1</v>
      </c>
      <c r="F209" s="146"/>
      <c r="G209" s="116">
        <v>1</v>
      </c>
      <c r="H209" s="149">
        <v>0</v>
      </c>
      <c r="I209" s="287" t="s">
        <v>631</v>
      </c>
      <c r="J209" s="233"/>
      <c r="K209" s="233"/>
      <c r="L209" s="282" t="s">
        <v>872</v>
      </c>
      <c r="M209" s="116" t="s">
        <v>809</v>
      </c>
      <c r="N209" s="116" t="s">
        <v>830</v>
      </c>
      <c r="O209" s="110"/>
      <c r="P209" s="147"/>
      <c r="S209" s="273"/>
      <c r="T209" s="273"/>
      <c r="U209" s="273"/>
      <c r="W209" s="273"/>
    </row>
    <row r="210" spans="1:23" ht="33">
      <c r="A210" s="116">
        <v>20</v>
      </c>
      <c r="B210" s="94" t="s">
        <v>808</v>
      </c>
      <c r="C210" s="284"/>
      <c r="D210" s="116"/>
      <c r="E210" s="116">
        <v>1</v>
      </c>
      <c r="F210" s="146"/>
      <c r="G210" s="116">
        <v>1</v>
      </c>
      <c r="H210" s="149">
        <v>0</v>
      </c>
      <c r="I210" s="287" t="s">
        <v>631</v>
      </c>
      <c r="J210" s="233"/>
      <c r="K210" s="233"/>
      <c r="L210" s="282" t="s">
        <v>872</v>
      </c>
      <c r="M210" s="116" t="s">
        <v>809</v>
      </c>
      <c r="N210" s="116" t="s">
        <v>830</v>
      </c>
      <c r="O210" s="110"/>
      <c r="P210" s="147"/>
      <c r="S210" s="273"/>
      <c r="T210" s="273"/>
      <c r="U210" s="273"/>
      <c r="W210" s="273"/>
    </row>
    <row r="211" spans="1:23" ht="33">
      <c r="A211" s="116">
        <v>22</v>
      </c>
      <c r="B211" s="94" t="s">
        <v>636</v>
      </c>
      <c r="C211" s="284"/>
      <c r="D211" s="116"/>
      <c r="E211" s="116">
        <v>1</v>
      </c>
      <c r="F211" s="116">
        <v>1</v>
      </c>
      <c r="G211" s="116">
        <v>1</v>
      </c>
      <c r="H211" s="149">
        <v>0</v>
      </c>
      <c r="I211" s="287" t="s">
        <v>631</v>
      </c>
      <c r="J211" s="233"/>
      <c r="K211" s="233"/>
      <c r="L211" s="282" t="s">
        <v>872</v>
      </c>
      <c r="M211" s="116" t="s">
        <v>829</v>
      </c>
      <c r="N211" s="116" t="s">
        <v>830</v>
      </c>
      <c r="O211" s="110"/>
      <c r="P211" s="147"/>
      <c r="S211" s="273"/>
      <c r="T211" s="273"/>
      <c r="U211" s="273"/>
      <c r="W211" s="273"/>
    </row>
    <row r="212" spans="1:23" ht="33">
      <c r="A212" s="116">
        <v>23</v>
      </c>
      <c r="B212" s="94" t="s">
        <v>797</v>
      </c>
      <c r="C212" s="284"/>
      <c r="D212" s="116">
        <v>2021</v>
      </c>
      <c r="E212" s="116">
        <v>1</v>
      </c>
      <c r="F212" s="116">
        <v>1</v>
      </c>
      <c r="G212" s="116">
        <v>1</v>
      </c>
      <c r="H212" s="149">
        <v>0</v>
      </c>
      <c r="I212" s="287" t="s">
        <v>631</v>
      </c>
      <c r="J212" s="233"/>
      <c r="K212" s="233"/>
      <c r="L212" s="282" t="s">
        <v>872</v>
      </c>
      <c r="M212" s="116" t="s">
        <v>809</v>
      </c>
      <c r="N212" s="116" t="s">
        <v>830</v>
      </c>
      <c r="O212" s="110"/>
      <c r="P212" s="147"/>
      <c r="S212" s="273"/>
      <c r="T212" s="273"/>
      <c r="U212" s="273"/>
      <c r="W212" s="273"/>
    </row>
    <row r="213" spans="1:23" s="143" customFormat="1" ht="33">
      <c r="A213" s="116">
        <v>24</v>
      </c>
      <c r="B213" s="125" t="s">
        <v>533</v>
      </c>
      <c r="C213" s="125"/>
      <c r="D213" s="287"/>
      <c r="E213" s="287">
        <v>1</v>
      </c>
      <c r="F213" s="287"/>
      <c r="G213" s="287">
        <v>1</v>
      </c>
      <c r="H213" s="287">
        <v>0</v>
      </c>
      <c r="I213" s="287" t="s">
        <v>631</v>
      </c>
      <c r="J213" s="233"/>
      <c r="K213" s="233"/>
      <c r="L213" s="282" t="s">
        <v>872</v>
      </c>
      <c r="M213" s="287" t="s">
        <v>809</v>
      </c>
      <c r="N213" s="126" t="s">
        <v>830</v>
      </c>
      <c r="O213" s="133"/>
      <c r="P213" s="125"/>
    </row>
    <row r="214" spans="1:23" ht="33">
      <c r="A214" s="116">
        <v>25</v>
      </c>
      <c r="B214" s="94" t="s">
        <v>812</v>
      </c>
      <c r="C214" s="119"/>
      <c r="D214" s="116"/>
      <c r="E214" s="116">
        <v>1</v>
      </c>
      <c r="F214" s="146"/>
      <c r="G214" s="116">
        <v>1</v>
      </c>
      <c r="H214" s="149">
        <v>0</v>
      </c>
      <c r="I214" s="287" t="s">
        <v>631</v>
      </c>
      <c r="J214" s="233"/>
      <c r="K214" s="233"/>
      <c r="L214" s="282" t="s">
        <v>872</v>
      </c>
      <c r="M214" s="116" t="s">
        <v>809</v>
      </c>
      <c r="N214" s="116" t="s">
        <v>830</v>
      </c>
      <c r="O214" s="110"/>
      <c r="P214" s="147"/>
      <c r="S214" s="273"/>
      <c r="T214" s="273"/>
      <c r="U214" s="273"/>
      <c r="W214" s="273"/>
    </row>
    <row r="215" spans="1:23" ht="33">
      <c r="A215" s="116">
        <v>26</v>
      </c>
      <c r="B215" s="94" t="s">
        <v>813</v>
      </c>
      <c r="C215" s="119"/>
      <c r="D215" s="116"/>
      <c r="E215" s="116">
        <v>2</v>
      </c>
      <c r="F215" s="146"/>
      <c r="G215" s="116">
        <v>2</v>
      </c>
      <c r="H215" s="149">
        <v>0</v>
      </c>
      <c r="I215" s="287" t="s">
        <v>631</v>
      </c>
      <c r="J215" s="233"/>
      <c r="K215" s="233"/>
      <c r="L215" s="282" t="s">
        <v>872</v>
      </c>
      <c r="M215" s="116" t="s">
        <v>829</v>
      </c>
      <c r="N215" s="126" t="s">
        <v>830</v>
      </c>
      <c r="O215" s="110"/>
      <c r="P215" s="147"/>
      <c r="S215" s="273"/>
      <c r="T215" s="273"/>
      <c r="U215" s="273"/>
      <c r="W215" s="273"/>
    </row>
    <row r="216" spans="1:23" ht="33">
      <c r="A216" s="116">
        <v>29</v>
      </c>
      <c r="B216" s="94" t="s">
        <v>806</v>
      </c>
      <c r="C216" s="284"/>
      <c r="D216" s="116"/>
      <c r="E216" s="116">
        <v>3</v>
      </c>
      <c r="F216" s="146"/>
      <c r="G216" s="116">
        <v>3</v>
      </c>
      <c r="H216" s="149">
        <v>0</v>
      </c>
      <c r="I216" s="287" t="s">
        <v>631</v>
      </c>
      <c r="J216" s="233"/>
      <c r="K216" s="233"/>
      <c r="L216" s="282" t="s">
        <v>872</v>
      </c>
      <c r="M216" s="116" t="s">
        <v>829</v>
      </c>
      <c r="N216" s="126" t="s">
        <v>830</v>
      </c>
      <c r="O216" s="110"/>
      <c r="P216" s="147"/>
      <c r="S216" s="273"/>
      <c r="T216" s="273"/>
      <c r="U216" s="273"/>
      <c r="W216" s="273"/>
    </row>
    <row r="217" spans="1:23" ht="33">
      <c r="A217" s="116">
        <v>30</v>
      </c>
      <c r="B217" s="94" t="s">
        <v>817</v>
      </c>
      <c r="C217" s="284"/>
      <c r="D217" s="116"/>
      <c r="E217" s="116">
        <v>1</v>
      </c>
      <c r="F217" s="146"/>
      <c r="G217" s="116">
        <v>1</v>
      </c>
      <c r="H217" s="150">
        <v>0</v>
      </c>
      <c r="I217" s="287" t="s">
        <v>631</v>
      </c>
      <c r="J217" s="233"/>
      <c r="K217" s="233"/>
      <c r="L217" s="282" t="s">
        <v>872</v>
      </c>
      <c r="M217" s="282" t="s">
        <v>809</v>
      </c>
      <c r="N217" s="126" t="s">
        <v>830</v>
      </c>
      <c r="O217" s="110"/>
      <c r="P217" s="147"/>
      <c r="S217" s="273"/>
      <c r="T217" s="273"/>
      <c r="U217" s="273"/>
      <c r="W217" s="273"/>
    </row>
    <row r="218" spans="1:23" ht="33">
      <c r="A218" s="116">
        <v>31</v>
      </c>
      <c r="B218" s="94" t="s">
        <v>819</v>
      </c>
      <c r="C218" s="284"/>
      <c r="D218" s="116"/>
      <c r="E218" s="116">
        <v>1</v>
      </c>
      <c r="F218" s="116">
        <v>1</v>
      </c>
      <c r="G218" s="116">
        <v>1</v>
      </c>
      <c r="H218" s="150">
        <v>0</v>
      </c>
      <c r="I218" s="287" t="s">
        <v>631</v>
      </c>
      <c r="J218" s="233"/>
      <c r="K218" s="233"/>
      <c r="L218" s="282" t="s">
        <v>872</v>
      </c>
      <c r="M218" s="116" t="s">
        <v>809</v>
      </c>
      <c r="N218" s="126" t="s">
        <v>830</v>
      </c>
      <c r="O218" s="110"/>
      <c r="P218" s="147"/>
      <c r="S218" s="273"/>
      <c r="T218" s="273"/>
      <c r="U218" s="273"/>
      <c r="W218" s="273"/>
    </row>
    <row r="219" spans="1:23" ht="33">
      <c r="A219" s="116">
        <v>32</v>
      </c>
      <c r="B219" s="94" t="s">
        <v>820</v>
      </c>
      <c r="C219" s="284"/>
      <c r="D219" s="116"/>
      <c r="E219" s="116">
        <v>5</v>
      </c>
      <c r="F219" s="116">
        <v>5</v>
      </c>
      <c r="G219" s="116">
        <v>5</v>
      </c>
      <c r="H219" s="150">
        <v>0</v>
      </c>
      <c r="I219" s="287" t="s">
        <v>631</v>
      </c>
      <c r="J219" s="233"/>
      <c r="K219" s="233"/>
      <c r="L219" s="282" t="s">
        <v>872</v>
      </c>
      <c r="M219" s="116" t="s">
        <v>829</v>
      </c>
      <c r="N219" s="126" t="s">
        <v>830</v>
      </c>
      <c r="O219" s="110"/>
      <c r="P219" s="147"/>
      <c r="S219" s="273"/>
      <c r="T219" s="273"/>
      <c r="U219" s="273"/>
      <c r="W219" s="273"/>
    </row>
    <row r="220" spans="1:23" ht="33">
      <c r="A220" s="116">
        <v>33</v>
      </c>
      <c r="B220" s="94" t="s">
        <v>550</v>
      </c>
      <c r="C220" s="284"/>
      <c r="D220" s="116"/>
      <c r="E220" s="116">
        <v>4</v>
      </c>
      <c r="F220" s="116">
        <v>4</v>
      </c>
      <c r="G220" s="116">
        <v>4</v>
      </c>
      <c r="H220" s="150">
        <v>0</v>
      </c>
      <c r="I220" s="287" t="s">
        <v>631</v>
      </c>
      <c r="J220" s="233"/>
      <c r="K220" s="233"/>
      <c r="L220" s="282" t="s">
        <v>872</v>
      </c>
      <c r="M220" s="282" t="s">
        <v>809</v>
      </c>
      <c r="N220" s="126" t="s">
        <v>830</v>
      </c>
      <c r="O220" s="110"/>
      <c r="P220" s="147"/>
      <c r="S220" s="273"/>
      <c r="T220" s="273"/>
      <c r="U220" s="273"/>
      <c r="W220" s="273"/>
    </row>
    <row r="221" spans="1:23" ht="33">
      <c r="A221" s="116">
        <v>34</v>
      </c>
      <c r="B221" s="94" t="s">
        <v>821</v>
      </c>
      <c r="C221" s="284"/>
      <c r="D221" s="116"/>
      <c r="E221" s="116">
        <v>1</v>
      </c>
      <c r="F221" s="116">
        <v>1</v>
      </c>
      <c r="G221" s="116">
        <v>1</v>
      </c>
      <c r="H221" s="150">
        <v>0</v>
      </c>
      <c r="I221" s="287" t="s">
        <v>631</v>
      </c>
      <c r="J221" s="233"/>
      <c r="K221" s="233"/>
      <c r="L221" s="282" t="s">
        <v>872</v>
      </c>
      <c r="M221" s="116" t="s">
        <v>829</v>
      </c>
      <c r="N221" s="126" t="s">
        <v>830</v>
      </c>
      <c r="O221" s="110"/>
      <c r="P221" s="147"/>
      <c r="S221" s="273"/>
      <c r="T221" s="273"/>
      <c r="U221" s="273"/>
      <c r="W221" s="273"/>
    </row>
    <row r="222" spans="1:23" ht="33">
      <c r="A222" s="116">
        <v>35</v>
      </c>
      <c r="B222" s="94" t="s">
        <v>822</v>
      </c>
      <c r="C222" s="284"/>
      <c r="D222" s="116"/>
      <c r="E222" s="116">
        <v>1</v>
      </c>
      <c r="F222" s="146"/>
      <c r="G222" s="116">
        <v>1</v>
      </c>
      <c r="H222" s="149">
        <v>0</v>
      </c>
      <c r="I222" s="287" t="s">
        <v>631</v>
      </c>
      <c r="J222" s="233"/>
      <c r="K222" s="233"/>
      <c r="L222" s="282" t="s">
        <v>872</v>
      </c>
      <c r="M222" s="116" t="s">
        <v>809</v>
      </c>
      <c r="N222" s="126" t="s">
        <v>830</v>
      </c>
      <c r="O222" s="110"/>
      <c r="P222" s="147"/>
      <c r="S222" s="273"/>
      <c r="T222" s="273"/>
      <c r="U222" s="273"/>
      <c r="W222" s="273"/>
    </row>
    <row r="223" spans="1:23" ht="33">
      <c r="A223" s="116">
        <v>36</v>
      </c>
      <c r="B223" s="94" t="s">
        <v>802</v>
      </c>
      <c r="C223" s="284"/>
      <c r="D223" s="116"/>
      <c r="E223" s="282">
        <v>1</v>
      </c>
      <c r="F223" s="146"/>
      <c r="G223" s="116">
        <v>1</v>
      </c>
      <c r="H223" s="149">
        <v>0</v>
      </c>
      <c r="I223" s="287" t="s">
        <v>631</v>
      </c>
      <c r="J223" s="233"/>
      <c r="K223" s="233"/>
      <c r="L223" s="282" t="s">
        <v>872</v>
      </c>
      <c r="M223" s="116" t="s">
        <v>809</v>
      </c>
      <c r="N223" s="126" t="s">
        <v>830</v>
      </c>
      <c r="O223" s="110"/>
      <c r="P223" s="147"/>
      <c r="S223" s="273"/>
      <c r="T223" s="273"/>
      <c r="U223" s="273"/>
      <c r="W223" s="273"/>
    </row>
    <row r="224" spans="1:23" ht="33">
      <c r="A224" s="116">
        <v>37</v>
      </c>
      <c r="B224" s="94" t="s">
        <v>823</v>
      </c>
      <c r="C224" s="284"/>
      <c r="D224" s="116"/>
      <c r="E224" s="116">
        <v>1</v>
      </c>
      <c r="F224" s="146"/>
      <c r="G224" s="116">
        <v>1</v>
      </c>
      <c r="H224" s="149">
        <v>0</v>
      </c>
      <c r="I224" s="287" t="s">
        <v>631</v>
      </c>
      <c r="J224" s="233"/>
      <c r="K224" s="233"/>
      <c r="L224" s="282" t="s">
        <v>872</v>
      </c>
      <c r="M224" s="116" t="s">
        <v>829</v>
      </c>
      <c r="N224" s="126" t="s">
        <v>830</v>
      </c>
      <c r="O224" s="110"/>
      <c r="P224" s="147"/>
      <c r="S224" s="273"/>
      <c r="T224" s="273"/>
      <c r="U224" s="273"/>
      <c r="W224" s="273"/>
    </row>
    <row r="225" spans="1:29" ht="33">
      <c r="A225" s="116">
        <v>40</v>
      </c>
      <c r="B225" s="94" t="s">
        <v>813</v>
      </c>
      <c r="C225" s="284"/>
      <c r="D225" s="116"/>
      <c r="E225" s="282">
        <v>3</v>
      </c>
      <c r="F225" s="146"/>
      <c r="G225" s="116">
        <v>3</v>
      </c>
      <c r="H225" s="149">
        <v>0</v>
      </c>
      <c r="I225" s="287" t="s">
        <v>631</v>
      </c>
      <c r="J225" s="233"/>
      <c r="K225" s="233"/>
      <c r="L225" s="282" t="s">
        <v>872</v>
      </c>
      <c r="M225" s="116" t="s">
        <v>829</v>
      </c>
      <c r="N225" s="126" t="s">
        <v>830</v>
      </c>
      <c r="O225" s="110"/>
      <c r="P225" s="147"/>
      <c r="S225" s="273"/>
      <c r="T225" s="273"/>
      <c r="U225" s="273"/>
      <c r="W225" s="273"/>
    </row>
    <row r="226" spans="1:29" ht="33">
      <c r="A226" s="116">
        <v>41</v>
      </c>
      <c r="B226" s="94" t="s">
        <v>787</v>
      </c>
      <c r="C226" s="284"/>
      <c r="D226" s="116"/>
      <c r="E226" s="282">
        <v>1</v>
      </c>
      <c r="F226" s="146"/>
      <c r="G226" s="116">
        <v>1</v>
      </c>
      <c r="H226" s="149">
        <v>0</v>
      </c>
      <c r="I226" s="287" t="s">
        <v>631</v>
      </c>
      <c r="J226" s="233"/>
      <c r="K226" s="233"/>
      <c r="L226" s="282" t="s">
        <v>872</v>
      </c>
      <c r="M226" s="116" t="s">
        <v>829</v>
      </c>
      <c r="N226" s="126" t="s">
        <v>830</v>
      </c>
      <c r="O226" s="110"/>
      <c r="P226" s="147"/>
      <c r="S226" s="273"/>
      <c r="T226" s="273"/>
      <c r="U226" s="273"/>
      <c r="W226" s="273"/>
    </row>
    <row r="227" spans="1:29" ht="33">
      <c r="A227" s="116">
        <v>43</v>
      </c>
      <c r="B227" s="94" t="s">
        <v>550</v>
      </c>
      <c r="C227" s="284"/>
      <c r="D227" s="116"/>
      <c r="E227" s="282">
        <v>1</v>
      </c>
      <c r="F227" s="146"/>
      <c r="G227" s="116">
        <v>1</v>
      </c>
      <c r="H227" s="149">
        <v>0</v>
      </c>
      <c r="I227" s="287" t="s">
        <v>631</v>
      </c>
      <c r="J227" s="233"/>
      <c r="K227" s="233"/>
      <c r="L227" s="282" t="s">
        <v>872</v>
      </c>
      <c r="M227" s="116" t="s">
        <v>829</v>
      </c>
      <c r="N227" s="126" t="s">
        <v>830</v>
      </c>
      <c r="O227" s="110"/>
      <c r="P227" s="147"/>
      <c r="S227" s="273"/>
      <c r="T227" s="273"/>
      <c r="U227" s="273"/>
      <c r="W227" s="273"/>
    </row>
    <row r="228" spans="1:29" ht="33">
      <c r="A228" s="116">
        <v>44</v>
      </c>
      <c r="B228" s="94" t="s">
        <v>813</v>
      </c>
      <c r="C228" s="284"/>
      <c r="D228" s="116"/>
      <c r="E228" s="282">
        <v>1</v>
      </c>
      <c r="F228" s="146"/>
      <c r="G228" s="116">
        <v>1</v>
      </c>
      <c r="H228" s="149">
        <v>0</v>
      </c>
      <c r="I228" s="287" t="s">
        <v>631</v>
      </c>
      <c r="J228" s="233"/>
      <c r="K228" s="233"/>
      <c r="L228" s="282" t="s">
        <v>872</v>
      </c>
      <c r="M228" s="116" t="s">
        <v>829</v>
      </c>
      <c r="N228" s="126" t="s">
        <v>830</v>
      </c>
      <c r="O228" s="110"/>
      <c r="P228" s="147"/>
      <c r="S228" s="273"/>
      <c r="T228" s="273"/>
      <c r="U228" s="273"/>
      <c r="W228" s="273"/>
    </row>
    <row r="229" spans="1:29" ht="33">
      <c r="A229" s="116">
        <v>45</v>
      </c>
      <c r="B229" s="110" t="s">
        <v>813</v>
      </c>
      <c r="C229" s="284"/>
      <c r="D229" s="116"/>
      <c r="E229" s="282">
        <v>2</v>
      </c>
      <c r="F229" s="146"/>
      <c r="G229" s="116">
        <v>2</v>
      </c>
      <c r="H229" s="149">
        <v>0</v>
      </c>
      <c r="I229" s="287" t="s">
        <v>631</v>
      </c>
      <c r="J229" s="233"/>
      <c r="K229" s="233"/>
      <c r="L229" s="282" t="s">
        <v>872</v>
      </c>
      <c r="M229" s="116" t="s">
        <v>829</v>
      </c>
      <c r="N229" s="126" t="s">
        <v>830</v>
      </c>
      <c r="O229" s="110"/>
      <c r="P229" s="147"/>
      <c r="S229" s="273"/>
      <c r="T229" s="273"/>
      <c r="U229" s="273"/>
      <c r="W229" s="273"/>
    </row>
    <row r="230" spans="1:29" ht="33">
      <c r="A230" s="116">
        <v>46</v>
      </c>
      <c r="B230" s="94" t="s">
        <v>550</v>
      </c>
      <c r="C230" s="284"/>
      <c r="D230" s="116"/>
      <c r="E230" s="116">
        <v>2</v>
      </c>
      <c r="F230" s="116">
        <v>2</v>
      </c>
      <c r="G230" s="116">
        <v>2</v>
      </c>
      <c r="H230" s="149">
        <v>0</v>
      </c>
      <c r="I230" s="287" t="s">
        <v>631</v>
      </c>
      <c r="J230" s="233"/>
      <c r="K230" s="233"/>
      <c r="L230" s="282" t="s">
        <v>872</v>
      </c>
      <c r="M230" s="116" t="s">
        <v>829</v>
      </c>
      <c r="N230" s="126" t="s">
        <v>830</v>
      </c>
      <c r="O230" s="110"/>
      <c r="P230" s="147"/>
      <c r="S230" s="273"/>
      <c r="T230" s="273"/>
      <c r="U230" s="273"/>
      <c r="W230" s="273"/>
    </row>
    <row r="231" spans="1:29" ht="33">
      <c r="A231" s="116">
        <v>47</v>
      </c>
      <c r="B231" s="94" t="s">
        <v>825</v>
      </c>
      <c r="C231" s="284"/>
      <c r="D231" s="116"/>
      <c r="E231" s="116">
        <v>8</v>
      </c>
      <c r="F231" s="116">
        <v>8</v>
      </c>
      <c r="G231" s="116">
        <v>8</v>
      </c>
      <c r="H231" s="149">
        <v>0</v>
      </c>
      <c r="I231" s="287" t="s">
        <v>631</v>
      </c>
      <c r="J231" s="233"/>
      <c r="K231" s="233"/>
      <c r="L231" s="282" t="s">
        <v>872</v>
      </c>
      <c r="M231" s="116" t="s">
        <v>829</v>
      </c>
      <c r="N231" s="126" t="s">
        <v>830</v>
      </c>
      <c r="O231" s="110"/>
      <c r="P231" s="147"/>
      <c r="S231" s="273"/>
      <c r="T231" s="273"/>
      <c r="U231" s="273"/>
      <c r="W231" s="273"/>
    </row>
    <row r="232" spans="1:29" ht="33">
      <c r="A232" s="116">
        <v>48</v>
      </c>
      <c r="B232" s="94" t="s">
        <v>826</v>
      </c>
      <c r="C232" s="284"/>
      <c r="D232" s="116"/>
      <c r="E232" s="116">
        <v>1</v>
      </c>
      <c r="F232" s="116">
        <v>1</v>
      </c>
      <c r="G232" s="116">
        <v>1</v>
      </c>
      <c r="H232" s="149">
        <v>0</v>
      </c>
      <c r="I232" s="287" t="s">
        <v>631</v>
      </c>
      <c r="J232" s="233"/>
      <c r="K232" s="233"/>
      <c r="L232" s="282" t="s">
        <v>872</v>
      </c>
      <c r="M232" s="116" t="s">
        <v>829</v>
      </c>
      <c r="N232" s="126" t="s">
        <v>830</v>
      </c>
      <c r="O232" s="110"/>
      <c r="P232" s="147"/>
      <c r="S232" s="273"/>
      <c r="T232" s="273"/>
      <c r="U232" s="273"/>
      <c r="W232" s="273"/>
    </row>
    <row r="233" spans="1:29" ht="33">
      <c r="A233" s="116">
        <v>50</v>
      </c>
      <c r="B233" s="94" t="s">
        <v>823</v>
      </c>
      <c r="C233" s="284"/>
      <c r="D233" s="116"/>
      <c r="E233" s="282">
        <v>1</v>
      </c>
      <c r="F233" s="146"/>
      <c r="G233" s="116">
        <v>1</v>
      </c>
      <c r="H233" s="149">
        <v>0</v>
      </c>
      <c r="I233" s="287" t="s">
        <v>631</v>
      </c>
      <c r="J233" s="233"/>
      <c r="K233" s="233"/>
      <c r="L233" s="282" t="s">
        <v>872</v>
      </c>
      <c r="M233" s="116" t="s">
        <v>829</v>
      </c>
      <c r="N233" s="126" t="s">
        <v>830</v>
      </c>
      <c r="O233" s="110"/>
      <c r="P233" s="147"/>
      <c r="S233" s="273"/>
      <c r="T233" s="273"/>
      <c r="U233" s="273"/>
      <c r="W233" s="273"/>
    </row>
    <row r="234" spans="1:29" ht="33">
      <c r="A234" s="116">
        <v>51</v>
      </c>
      <c r="B234" s="94" t="s">
        <v>806</v>
      </c>
      <c r="C234" s="284"/>
      <c r="D234" s="116"/>
      <c r="E234" s="282">
        <v>2</v>
      </c>
      <c r="F234" s="146"/>
      <c r="G234" s="116">
        <v>2</v>
      </c>
      <c r="H234" s="150">
        <v>0</v>
      </c>
      <c r="I234" s="287" t="s">
        <v>631</v>
      </c>
      <c r="J234" s="233"/>
      <c r="K234" s="233"/>
      <c r="L234" s="282" t="s">
        <v>872</v>
      </c>
      <c r="M234" s="116" t="s">
        <v>829</v>
      </c>
      <c r="N234" s="126" t="s">
        <v>830</v>
      </c>
      <c r="O234" s="110"/>
      <c r="P234" s="147"/>
      <c r="S234" s="273"/>
      <c r="T234" s="273"/>
      <c r="U234" s="273"/>
      <c r="W234" s="273"/>
    </row>
    <row r="235" spans="1:29" ht="16.5">
      <c r="A235" s="116"/>
      <c r="B235" s="281" t="s">
        <v>784</v>
      </c>
      <c r="C235" s="279"/>
      <c r="D235" s="116"/>
      <c r="E235" s="148"/>
      <c r="F235" s="148"/>
      <c r="G235" s="148"/>
      <c r="H235" s="148"/>
      <c r="I235" s="146"/>
      <c r="J235" s="246"/>
      <c r="K235" s="246"/>
      <c r="L235" s="282"/>
      <c r="M235" s="116"/>
      <c r="N235" s="116"/>
      <c r="O235" s="110"/>
      <c r="P235" s="147"/>
      <c r="W235" s="273"/>
    </row>
    <row r="236" spans="1:29" ht="16.5">
      <c r="A236" s="410" t="s">
        <v>785</v>
      </c>
      <c r="B236" s="410"/>
      <c r="C236" s="119"/>
      <c r="D236" s="116"/>
      <c r="E236" s="146"/>
      <c r="F236" s="146"/>
      <c r="G236" s="146"/>
      <c r="H236" s="146"/>
      <c r="I236" s="146"/>
      <c r="J236" s="246"/>
      <c r="K236" s="246"/>
      <c r="L236" s="282"/>
      <c r="M236" s="116"/>
      <c r="N236" s="116"/>
      <c r="O236" s="110"/>
      <c r="P236" s="147"/>
    </row>
    <row r="237" spans="1:29" s="107" customFormat="1" ht="16.5">
      <c r="A237" s="116">
        <v>1</v>
      </c>
      <c r="B237" s="94" t="s">
        <v>786</v>
      </c>
      <c r="C237" s="119"/>
      <c r="D237" s="116"/>
      <c r="E237" s="146">
        <v>1</v>
      </c>
      <c r="F237" s="146"/>
      <c r="G237" s="146">
        <v>1</v>
      </c>
      <c r="H237" s="146">
        <v>0</v>
      </c>
      <c r="I237" s="287" t="s">
        <v>631</v>
      </c>
      <c r="J237" s="233"/>
      <c r="K237" s="233"/>
      <c r="L237" s="282" t="s">
        <v>873</v>
      </c>
      <c r="M237" s="116" t="s">
        <v>829</v>
      </c>
      <c r="N237" s="116"/>
      <c r="O237" s="110"/>
      <c r="P237" s="147"/>
    </row>
    <row r="238" spans="1:29" s="107" customFormat="1" ht="16.5">
      <c r="A238" s="410" t="s">
        <v>788</v>
      </c>
      <c r="B238" s="410"/>
      <c r="C238" s="119"/>
      <c r="D238" s="116"/>
      <c r="E238" s="146"/>
      <c r="F238" s="146"/>
      <c r="G238" s="146"/>
      <c r="H238" s="146"/>
      <c r="I238" s="146"/>
      <c r="J238" s="246"/>
      <c r="K238" s="246"/>
      <c r="L238" s="122"/>
      <c r="M238" s="116"/>
      <c r="N238" s="116"/>
      <c r="O238" s="110"/>
      <c r="P238" s="147"/>
    </row>
    <row r="239" spans="1:29" s="107" customFormat="1" ht="16.5">
      <c r="A239" s="116">
        <v>1</v>
      </c>
      <c r="B239" s="94" t="s">
        <v>789</v>
      </c>
      <c r="C239" s="119"/>
      <c r="D239" s="116"/>
      <c r="E239" s="146">
        <v>1</v>
      </c>
      <c r="F239" s="146"/>
      <c r="G239" s="146">
        <v>1</v>
      </c>
      <c r="H239" s="151">
        <v>0</v>
      </c>
      <c r="I239" s="287" t="s">
        <v>631</v>
      </c>
      <c r="J239" s="233"/>
      <c r="K239" s="233"/>
      <c r="L239" s="122" t="s">
        <v>874</v>
      </c>
      <c r="M239" s="116" t="s">
        <v>829</v>
      </c>
      <c r="N239" s="116"/>
      <c r="O239" s="110"/>
      <c r="P239" s="147"/>
    </row>
    <row r="240" spans="1:29" ht="16.5">
      <c r="A240" s="116">
        <v>2</v>
      </c>
      <c r="B240" s="94" t="s">
        <v>790</v>
      </c>
      <c r="C240" s="119"/>
      <c r="D240" s="116"/>
      <c r="E240" s="146">
        <v>1</v>
      </c>
      <c r="F240" s="146"/>
      <c r="G240" s="146">
        <v>1</v>
      </c>
      <c r="H240" s="146">
        <v>0</v>
      </c>
      <c r="I240" s="287" t="s">
        <v>631</v>
      </c>
      <c r="J240" s="233"/>
      <c r="K240" s="233"/>
      <c r="L240" s="122" t="s">
        <v>874</v>
      </c>
      <c r="M240" s="282" t="s">
        <v>829</v>
      </c>
      <c r="N240" s="116"/>
      <c r="O240" s="110"/>
      <c r="P240" s="117"/>
      <c r="Q240" s="95"/>
      <c r="R240" s="95"/>
      <c r="S240" s="138"/>
      <c r="T240" s="138"/>
      <c r="U240" s="138"/>
      <c r="V240" s="138"/>
      <c r="W240" s="138"/>
      <c r="X240" s="95"/>
      <c r="Y240" s="95"/>
      <c r="Z240" s="95"/>
      <c r="AA240" s="95"/>
      <c r="AB240" s="95"/>
      <c r="AC240" s="100"/>
    </row>
    <row r="241" spans="1:23" ht="16.5">
      <c r="A241" s="116">
        <v>3</v>
      </c>
      <c r="B241" s="94" t="s">
        <v>791</v>
      </c>
      <c r="C241" s="119"/>
      <c r="D241" s="116"/>
      <c r="E241" s="146">
        <v>1</v>
      </c>
      <c r="F241" s="146"/>
      <c r="G241" s="146">
        <v>1</v>
      </c>
      <c r="H241" s="146">
        <v>0</v>
      </c>
      <c r="I241" s="287" t="s">
        <v>631</v>
      </c>
      <c r="J241" s="233"/>
      <c r="K241" s="233"/>
      <c r="L241" s="122" t="s">
        <v>874</v>
      </c>
      <c r="M241" s="116" t="s">
        <v>829</v>
      </c>
      <c r="N241" s="116"/>
      <c r="O241" s="110"/>
      <c r="P241" s="147"/>
      <c r="S241" s="273"/>
      <c r="T241" s="273"/>
      <c r="U241" s="273"/>
      <c r="W241" s="273"/>
    </row>
    <row r="242" spans="1:23" ht="16.5">
      <c r="A242" s="116"/>
      <c r="B242" s="281" t="s">
        <v>798</v>
      </c>
      <c r="C242" s="119"/>
      <c r="D242" s="116"/>
      <c r="E242" s="116"/>
      <c r="F242" s="146"/>
      <c r="G242" s="116"/>
      <c r="H242" s="149"/>
      <c r="I242" s="116"/>
      <c r="J242" s="238"/>
      <c r="K242" s="238"/>
      <c r="L242" s="282"/>
      <c r="M242" s="116"/>
      <c r="N242" s="116"/>
      <c r="O242" s="110"/>
      <c r="P242" s="147"/>
      <c r="S242" s="273"/>
      <c r="T242" s="273"/>
      <c r="U242" s="273"/>
      <c r="W242" s="273"/>
    </row>
    <row r="243" spans="1:23" ht="16.5">
      <c r="A243" s="410" t="s">
        <v>799</v>
      </c>
      <c r="B243" s="410"/>
      <c r="C243" s="119"/>
      <c r="D243" s="116"/>
      <c r="E243" s="116"/>
      <c r="F243" s="146"/>
      <c r="G243" s="116"/>
      <c r="H243" s="149"/>
      <c r="I243" s="116"/>
      <c r="J243" s="238"/>
      <c r="K243" s="238"/>
      <c r="L243" s="282"/>
      <c r="M243" s="116"/>
      <c r="N243" s="116"/>
      <c r="O243" s="110"/>
      <c r="P243" s="147"/>
      <c r="S243" s="273"/>
      <c r="T243" s="273"/>
      <c r="U243" s="273"/>
      <c r="W243" s="273"/>
    </row>
    <row r="244" spans="1:23" ht="16.5">
      <c r="A244" s="116">
        <v>1</v>
      </c>
      <c r="B244" s="94" t="s">
        <v>800</v>
      </c>
      <c r="C244" s="119"/>
      <c r="D244" s="116"/>
      <c r="E244" s="116">
        <v>1</v>
      </c>
      <c r="F244" s="146"/>
      <c r="G244" s="116">
        <v>1</v>
      </c>
      <c r="H244" s="149">
        <v>0</v>
      </c>
      <c r="I244" s="287" t="s">
        <v>631</v>
      </c>
      <c r="J244" s="233"/>
      <c r="K244" s="233"/>
      <c r="L244" s="282" t="s">
        <v>436</v>
      </c>
      <c r="M244" s="116" t="s">
        <v>809</v>
      </c>
      <c r="N244" s="116"/>
      <c r="P244" s="147"/>
      <c r="S244" s="273"/>
      <c r="T244" s="273"/>
      <c r="U244" s="273"/>
      <c r="W244" s="273"/>
    </row>
    <row r="245" spans="1:23" ht="16.5">
      <c r="A245" s="410" t="s">
        <v>810</v>
      </c>
      <c r="B245" s="410"/>
      <c r="C245" s="284"/>
      <c r="D245" s="116"/>
      <c r="E245" s="146"/>
      <c r="F245" s="146"/>
      <c r="G245" s="116"/>
      <c r="H245" s="149"/>
      <c r="I245" s="116"/>
      <c r="J245" s="238"/>
      <c r="K245" s="238"/>
      <c r="L245" s="282"/>
      <c r="M245" s="116"/>
      <c r="N245" s="116"/>
      <c r="O245" s="110"/>
      <c r="P245" s="147"/>
      <c r="S245" s="273"/>
      <c r="T245" s="273"/>
      <c r="U245" s="273"/>
      <c r="W245" s="273"/>
    </row>
    <row r="246" spans="1:23" ht="16.5">
      <c r="A246" s="116">
        <v>1</v>
      </c>
      <c r="B246" s="94" t="s">
        <v>811</v>
      </c>
      <c r="C246" s="284"/>
      <c r="D246" s="116"/>
      <c r="E246" s="116">
        <v>1</v>
      </c>
      <c r="F246" s="146"/>
      <c r="G246" s="116">
        <v>1</v>
      </c>
      <c r="H246" s="149">
        <v>0</v>
      </c>
      <c r="I246" s="287" t="s">
        <v>631</v>
      </c>
      <c r="J246" s="233"/>
      <c r="K246" s="233"/>
      <c r="L246" s="282">
        <v>106</v>
      </c>
      <c r="M246" s="116" t="s">
        <v>809</v>
      </c>
      <c r="N246" s="116"/>
      <c r="O246" s="110"/>
      <c r="P246" s="147"/>
      <c r="S246" s="273"/>
      <c r="T246" s="273"/>
      <c r="U246" s="273"/>
      <c r="W246" s="273"/>
    </row>
    <row r="247" spans="1:23" ht="16.5">
      <c r="A247" s="116"/>
      <c r="B247" s="101" t="s">
        <v>814</v>
      </c>
      <c r="C247" s="284"/>
      <c r="D247" s="116"/>
      <c r="E247" s="146"/>
      <c r="F247" s="146"/>
      <c r="G247" s="116"/>
      <c r="H247" s="149"/>
      <c r="I247" s="116"/>
      <c r="J247" s="238"/>
      <c r="K247" s="238"/>
      <c r="L247" s="282"/>
      <c r="M247" s="116"/>
      <c r="N247" s="116"/>
      <c r="O247" s="110"/>
      <c r="P247" s="147"/>
      <c r="S247" s="273"/>
      <c r="T247" s="273"/>
      <c r="U247" s="273"/>
      <c r="W247" s="273"/>
    </row>
    <row r="248" spans="1:23" ht="16.5">
      <c r="A248" s="410" t="s">
        <v>815</v>
      </c>
      <c r="B248" s="410"/>
      <c r="C248" s="284"/>
      <c r="D248" s="116"/>
      <c r="E248" s="146"/>
      <c r="F248" s="146"/>
      <c r="G248" s="116"/>
      <c r="H248" s="149"/>
      <c r="I248" s="116"/>
      <c r="J248" s="238"/>
      <c r="K248" s="238"/>
      <c r="L248" s="282"/>
      <c r="M248" s="116"/>
      <c r="N248" s="116"/>
      <c r="O248" s="110"/>
      <c r="P248" s="147"/>
      <c r="S248" s="273"/>
      <c r="T248" s="273"/>
      <c r="U248" s="273"/>
      <c r="W248" s="273"/>
    </row>
    <row r="249" spans="1:23" ht="16.5">
      <c r="A249" s="116">
        <v>2</v>
      </c>
      <c r="B249" s="94" t="s">
        <v>786</v>
      </c>
      <c r="C249" s="284"/>
      <c r="D249" s="116"/>
      <c r="E249" s="116">
        <v>1</v>
      </c>
      <c r="F249" s="146"/>
      <c r="G249" s="116">
        <v>1</v>
      </c>
      <c r="H249" s="149">
        <v>0</v>
      </c>
      <c r="I249" s="287" t="s">
        <v>631</v>
      </c>
      <c r="J249" s="233"/>
      <c r="K249" s="233"/>
      <c r="L249" s="282" t="s">
        <v>876</v>
      </c>
      <c r="M249" s="116" t="s">
        <v>809</v>
      </c>
      <c r="N249" s="116"/>
      <c r="O249" s="110"/>
      <c r="P249" s="147"/>
      <c r="S249" s="273"/>
      <c r="T249" s="273"/>
      <c r="U249" s="273"/>
      <c r="W249" s="273"/>
    </row>
    <row r="250" spans="1:23" ht="16.5">
      <c r="A250" s="409" t="s">
        <v>818</v>
      </c>
      <c r="B250" s="409"/>
      <c r="C250" s="284"/>
      <c r="D250" s="116"/>
      <c r="E250" s="116"/>
      <c r="F250" s="146"/>
      <c r="G250" s="116"/>
      <c r="H250" s="149"/>
      <c r="I250" s="116"/>
      <c r="J250" s="238"/>
      <c r="K250" s="238"/>
      <c r="L250" s="282"/>
      <c r="M250" s="116"/>
      <c r="N250" s="116"/>
      <c r="O250" s="110"/>
      <c r="P250" s="147"/>
      <c r="S250" s="273"/>
      <c r="T250" s="273"/>
      <c r="U250" s="273"/>
      <c r="W250" s="273"/>
    </row>
    <row r="251" spans="1:23" ht="16.5">
      <c r="A251" s="116">
        <v>1</v>
      </c>
      <c r="B251" s="94" t="s">
        <v>816</v>
      </c>
      <c r="C251" s="284"/>
      <c r="D251" s="116"/>
      <c r="E251" s="116">
        <v>1</v>
      </c>
      <c r="F251" s="146"/>
      <c r="G251" s="116">
        <v>1</v>
      </c>
      <c r="H251" s="150">
        <v>0</v>
      </c>
      <c r="I251" s="287" t="s">
        <v>631</v>
      </c>
      <c r="J251" s="233"/>
      <c r="K251" s="233"/>
      <c r="L251" s="282" t="s">
        <v>878</v>
      </c>
      <c r="M251" s="116" t="s">
        <v>809</v>
      </c>
      <c r="N251" s="116"/>
      <c r="O251" s="110"/>
      <c r="P251" s="147"/>
      <c r="S251" s="273"/>
      <c r="T251" s="273"/>
      <c r="U251" s="273"/>
      <c r="W251" s="273"/>
    </row>
    <row r="252" spans="1:23" s="166" customFormat="1" ht="16.5">
      <c r="A252" s="283" t="s">
        <v>681</v>
      </c>
      <c r="B252" s="281" t="s">
        <v>549</v>
      </c>
      <c r="C252" s="281"/>
      <c r="D252" s="283"/>
      <c r="E252" s="165"/>
      <c r="F252" s="283"/>
      <c r="G252" s="283"/>
      <c r="H252" s="165"/>
      <c r="I252" s="165"/>
      <c r="J252" s="239"/>
      <c r="K252" s="239"/>
      <c r="L252" s="165"/>
      <c r="M252" s="165"/>
      <c r="N252" s="165"/>
      <c r="O252" s="283"/>
      <c r="P252" s="165"/>
    </row>
    <row r="253" spans="1:23" s="170" customFormat="1" ht="47.25">
      <c r="A253" s="287">
        <v>2</v>
      </c>
      <c r="B253" s="133" t="s">
        <v>550</v>
      </c>
      <c r="C253" s="133"/>
      <c r="D253" s="287"/>
      <c r="E253" s="167">
        <v>1</v>
      </c>
      <c r="F253" s="287"/>
      <c r="G253" s="287">
        <v>1</v>
      </c>
      <c r="H253" s="167">
        <v>0</v>
      </c>
      <c r="I253" s="287" t="s">
        <v>631</v>
      </c>
      <c r="J253" s="233"/>
      <c r="K253" s="233"/>
      <c r="L253" s="168" t="s">
        <v>870</v>
      </c>
      <c r="M253" s="168" t="s">
        <v>871</v>
      </c>
      <c r="N253" s="167" t="s">
        <v>830</v>
      </c>
      <c r="O253" s="287" t="s">
        <v>868</v>
      </c>
      <c r="P253" s="169"/>
    </row>
  </sheetData>
  <mergeCells count="56">
    <mergeCell ref="A12:B12"/>
    <mergeCell ref="A6:AL6"/>
    <mergeCell ref="A7:C7"/>
    <mergeCell ref="A8:B8"/>
    <mergeCell ref="A9:B9"/>
    <mergeCell ref="A10:B10"/>
    <mergeCell ref="H1:P1"/>
    <mergeCell ref="H2:P2"/>
    <mergeCell ref="H3:P3"/>
    <mergeCell ref="A5:P5"/>
    <mergeCell ref="A11:B11"/>
    <mergeCell ref="A236:B236"/>
    <mergeCell ref="A238:B238"/>
    <mergeCell ref="B195:P195"/>
    <mergeCell ref="I13:I14"/>
    <mergeCell ref="D13:D14"/>
    <mergeCell ref="E13:F13"/>
    <mergeCell ref="P13:P14"/>
    <mergeCell ref="P124:P125"/>
    <mergeCell ref="L13:L14"/>
    <mergeCell ref="M13:M14"/>
    <mergeCell ref="N13:N14"/>
    <mergeCell ref="O13:O14"/>
    <mergeCell ref="A188:O188"/>
    <mergeCell ref="J13:J14"/>
    <mergeCell ref="K13:K14"/>
    <mergeCell ref="A13:A14"/>
    <mergeCell ref="A250:B250"/>
    <mergeCell ref="L166:P166"/>
    <mergeCell ref="C167:G167"/>
    <mergeCell ref="H167:M167"/>
    <mergeCell ref="N167:P167"/>
    <mergeCell ref="A169:B169"/>
    <mergeCell ref="N172:P172"/>
    <mergeCell ref="A170:B170"/>
    <mergeCell ref="A171:B171"/>
    <mergeCell ref="A172:B172"/>
    <mergeCell ref="C172:G172"/>
    <mergeCell ref="H172:M172"/>
    <mergeCell ref="A173:B173"/>
    <mergeCell ref="A243:B243"/>
    <mergeCell ref="A248:B248"/>
    <mergeCell ref="A245:B245"/>
    <mergeCell ref="B13:B14"/>
    <mergeCell ref="C13:C14"/>
    <mergeCell ref="Q193:Q194"/>
    <mergeCell ref="A190:A191"/>
    <mergeCell ref="B190:B191"/>
    <mergeCell ref="C190:C191"/>
    <mergeCell ref="D190:D191"/>
    <mergeCell ref="E190:F190"/>
    <mergeCell ref="I190:I191"/>
    <mergeCell ref="L190:L191"/>
    <mergeCell ref="M190:M191"/>
    <mergeCell ref="N190:N191"/>
    <mergeCell ref="O190:O191"/>
  </mergeCells>
  <phoneticPr fontId="34" type="noConversion"/>
  <pageMargins left="0" right="0" top="0.5" bottom="0" header="0.31496062992126" footer="0.31496062992126"/>
  <pageSetup paperSize="9" scale="8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72"/>
  <sheetViews>
    <sheetView topLeftCell="A14" zoomScale="80" zoomScaleNormal="80" workbookViewId="0">
      <selection activeCell="A14" sqref="A1:XFD1048576"/>
    </sheetView>
  </sheetViews>
  <sheetFormatPr defaultColWidth="9.140625" defaultRowHeight="16.5"/>
  <cols>
    <col min="1" max="1" width="5.5703125" style="107" customWidth="1"/>
    <col min="2" max="2" width="45.28515625" style="107" customWidth="1"/>
    <col min="3" max="3" width="15.7109375" style="127" customWidth="1"/>
    <col min="4" max="4" width="9.140625" style="107"/>
    <col min="5" max="5" width="8.28515625" style="107" customWidth="1"/>
    <col min="6" max="6" width="8.28515625" style="107" hidden="1" customWidth="1"/>
    <col min="7" max="8" width="8.28515625" style="107" customWidth="1"/>
    <col min="9" max="9" width="14.5703125" style="249" customWidth="1"/>
    <col min="10" max="10" width="16.140625" style="249" customWidth="1"/>
    <col min="11" max="11" width="10" style="107" customWidth="1"/>
    <col min="12" max="12" width="16.5703125" style="107" customWidth="1"/>
    <col min="13" max="13" width="11.5703125" style="127" customWidth="1"/>
    <col min="14" max="14" width="11.28515625" style="127" customWidth="1"/>
    <col min="15" max="15" width="15.85546875" style="107" customWidth="1"/>
    <col min="16" max="16" width="0" style="107" hidden="1" customWidth="1"/>
    <col min="17" max="16384" width="9.140625" style="107"/>
  </cols>
  <sheetData>
    <row r="1" spans="1:38" s="73" customFormat="1" ht="15.75" hidden="1" customHeight="1">
      <c r="A1" s="191" t="s">
        <v>641</v>
      </c>
      <c r="B1" s="191"/>
      <c r="C1" s="192"/>
      <c r="D1" s="191"/>
      <c r="E1" s="191"/>
      <c r="F1" s="191"/>
      <c r="G1" s="191"/>
      <c r="H1" s="397" t="s">
        <v>642</v>
      </c>
      <c r="I1" s="397"/>
      <c r="J1" s="397"/>
      <c r="K1" s="397"/>
      <c r="L1" s="397"/>
      <c r="M1" s="397"/>
      <c r="N1" s="397"/>
      <c r="O1" s="397"/>
      <c r="P1" s="397"/>
      <c r="Q1" s="272"/>
      <c r="R1" s="272"/>
      <c r="S1" s="272"/>
      <c r="V1" s="72"/>
      <c r="W1" s="72"/>
      <c r="X1" s="72"/>
      <c r="Y1" s="72"/>
    </row>
    <row r="2" spans="1:38" s="73" customFormat="1" ht="15" hidden="1" customHeight="1">
      <c r="A2" s="191" t="s">
        <v>596</v>
      </c>
      <c r="B2" s="191"/>
      <c r="C2" s="192"/>
      <c r="D2" s="191"/>
      <c r="E2" s="191"/>
      <c r="F2" s="191"/>
      <c r="G2" s="191"/>
      <c r="H2" s="398" t="s">
        <v>643</v>
      </c>
      <c r="I2" s="398"/>
      <c r="J2" s="398"/>
      <c r="K2" s="398"/>
      <c r="L2" s="398"/>
      <c r="M2" s="398"/>
      <c r="N2" s="398"/>
      <c r="O2" s="398"/>
      <c r="P2" s="398"/>
      <c r="Q2" s="273"/>
      <c r="R2" s="273"/>
      <c r="S2" s="273"/>
      <c r="V2" s="72"/>
      <c r="W2" s="72"/>
      <c r="X2" s="72"/>
      <c r="Y2" s="72"/>
    </row>
    <row r="3" spans="1:38" s="73" customFormat="1" ht="22.5" hidden="1" customHeight="1">
      <c r="A3" s="397" t="s">
        <v>644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397"/>
      <c r="AD3" s="397"/>
      <c r="AE3" s="397"/>
      <c r="AF3" s="397"/>
      <c r="AG3" s="397"/>
      <c r="AH3" s="397"/>
      <c r="AI3" s="397"/>
      <c r="AJ3" s="397"/>
      <c r="AK3" s="397"/>
    </row>
    <row r="4" spans="1:38" s="73" customFormat="1" ht="15" hidden="1" customHeight="1">
      <c r="A4" s="274"/>
      <c r="B4" s="274"/>
      <c r="C4" s="274"/>
      <c r="D4" s="274"/>
      <c r="E4" s="274"/>
      <c r="F4" s="274"/>
      <c r="G4" s="274"/>
      <c r="H4" s="398" t="s">
        <v>645</v>
      </c>
      <c r="I4" s="398"/>
      <c r="J4" s="398"/>
      <c r="K4" s="398"/>
      <c r="L4" s="398"/>
      <c r="M4" s="398"/>
      <c r="N4" s="398"/>
      <c r="O4" s="398"/>
      <c r="P4" s="398"/>
      <c r="W4" s="272"/>
      <c r="X4" s="272"/>
      <c r="Y4" s="272"/>
      <c r="Z4" s="272"/>
    </row>
    <row r="5" spans="1:38" s="73" customFormat="1" ht="15" hidden="1" customHeight="1">
      <c r="A5" s="274"/>
      <c r="B5" s="274"/>
      <c r="C5" s="274"/>
      <c r="D5" s="274"/>
      <c r="E5" s="274"/>
      <c r="F5" s="274"/>
      <c r="G5" s="274"/>
      <c r="H5" s="127"/>
      <c r="I5" s="249"/>
      <c r="J5" s="249"/>
      <c r="K5" s="127"/>
      <c r="L5" s="127"/>
      <c r="M5" s="127"/>
      <c r="N5" s="127"/>
      <c r="O5" s="193"/>
      <c r="P5" s="273"/>
      <c r="W5" s="272"/>
      <c r="X5" s="272"/>
      <c r="Y5" s="272"/>
      <c r="Z5" s="272"/>
    </row>
    <row r="6" spans="1:38" s="73" customFormat="1">
      <c r="A6" s="191" t="s">
        <v>641</v>
      </c>
      <c r="B6" s="191"/>
      <c r="C6" s="192"/>
      <c r="D6" s="191"/>
      <c r="E6" s="192"/>
      <c r="F6" s="192"/>
      <c r="G6" s="192"/>
      <c r="H6" s="397" t="s">
        <v>642</v>
      </c>
      <c r="I6" s="397"/>
      <c r="J6" s="397"/>
      <c r="K6" s="397"/>
      <c r="L6" s="397"/>
      <c r="M6" s="397"/>
      <c r="N6" s="397"/>
      <c r="O6" s="397"/>
      <c r="P6" s="397"/>
      <c r="Q6" s="272"/>
      <c r="R6" s="272"/>
      <c r="S6" s="272"/>
      <c r="T6" s="272"/>
      <c r="W6" s="72"/>
      <c r="X6" s="72"/>
      <c r="Y6" s="72"/>
      <c r="Z6" s="72"/>
    </row>
    <row r="7" spans="1:38" s="73" customFormat="1">
      <c r="A7" s="191" t="s">
        <v>596</v>
      </c>
      <c r="B7" s="191"/>
      <c r="C7" s="192"/>
      <c r="D7" s="191"/>
      <c r="E7" s="192"/>
      <c r="F7" s="192"/>
      <c r="G7" s="192"/>
      <c r="H7" s="398"/>
      <c r="I7" s="398"/>
      <c r="J7" s="398"/>
      <c r="K7" s="398"/>
      <c r="L7" s="398"/>
      <c r="M7" s="398"/>
      <c r="N7" s="398"/>
      <c r="O7" s="398"/>
      <c r="P7" s="398"/>
      <c r="Q7" s="273"/>
      <c r="R7" s="273"/>
      <c r="S7" s="273"/>
      <c r="T7" s="273"/>
      <c r="W7" s="72"/>
      <c r="X7" s="72"/>
      <c r="Y7" s="72"/>
      <c r="Z7" s="72"/>
    </row>
    <row r="8" spans="1:38" s="73" customFormat="1">
      <c r="A8" s="274"/>
      <c r="B8" s="274"/>
      <c r="C8" s="274"/>
      <c r="D8" s="274"/>
      <c r="E8" s="274"/>
      <c r="F8" s="274"/>
      <c r="G8" s="274"/>
      <c r="H8" s="398"/>
      <c r="I8" s="398"/>
      <c r="J8" s="398"/>
      <c r="K8" s="398"/>
      <c r="L8" s="398"/>
      <c r="M8" s="398"/>
      <c r="N8" s="398"/>
      <c r="O8" s="398"/>
      <c r="P8" s="398"/>
      <c r="X8" s="272"/>
      <c r="Y8" s="272"/>
      <c r="Z8" s="272"/>
      <c r="AA8" s="272"/>
    </row>
    <row r="9" spans="1:38" s="73" customFormat="1">
      <c r="A9" s="274"/>
      <c r="B9" s="274"/>
      <c r="C9" s="274"/>
      <c r="D9" s="274"/>
      <c r="E9" s="274"/>
      <c r="F9" s="274"/>
      <c r="G9" s="274"/>
      <c r="H9" s="127"/>
      <c r="I9" s="249"/>
      <c r="J9" s="249"/>
      <c r="K9" s="127"/>
      <c r="L9" s="127"/>
      <c r="M9" s="127"/>
      <c r="N9" s="127"/>
      <c r="O9" s="128"/>
      <c r="P9" s="273"/>
      <c r="X9" s="272"/>
      <c r="Y9" s="272"/>
      <c r="Z9" s="272"/>
      <c r="AA9" s="272"/>
    </row>
    <row r="10" spans="1:38" s="73" customFormat="1" ht="47.25" customHeight="1">
      <c r="A10" s="399" t="s">
        <v>1024</v>
      </c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</row>
    <row r="11" spans="1:38" s="73" customFormat="1" ht="15.75">
      <c r="A11" s="394" t="s">
        <v>1132</v>
      </c>
      <c r="B11" s="394"/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</row>
    <row r="12" spans="1:38" s="73" customFormat="1">
      <c r="A12" s="415" t="s">
        <v>1002</v>
      </c>
      <c r="B12" s="415"/>
      <c r="C12" s="415"/>
      <c r="D12" s="107" t="s">
        <v>1003</v>
      </c>
      <c r="E12" s="274"/>
      <c r="F12" s="127"/>
      <c r="G12" s="127"/>
      <c r="H12" s="127"/>
      <c r="I12" s="249"/>
      <c r="J12" s="249"/>
      <c r="K12" s="274"/>
      <c r="L12" s="107"/>
      <c r="M12" s="138" t="s">
        <v>600</v>
      </c>
      <c r="N12" s="274"/>
      <c r="O12" s="128"/>
      <c r="U12" s="271"/>
      <c r="V12" s="77"/>
      <c r="Y12" s="78"/>
      <c r="Z12" s="272"/>
      <c r="AB12" s="272"/>
      <c r="AC12" s="272"/>
      <c r="AD12" s="271"/>
      <c r="AH12" s="273"/>
      <c r="AI12" s="271" t="s">
        <v>600</v>
      </c>
      <c r="AJ12" s="273"/>
      <c r="AK12" s="273"/>
      <c r="AL12" s="79"/>
    </row>
    <row r="13" spans="1:38" s="73" customFormat="1">
      <c r="A13" s="415" t="s">
        <v>1045</v>
      </c>
      <c r="B13" s="415"/>
      <c r="C13" s="127"/>
      <c r="D13" s="107" t="s">
        <v>602</v>
      </c>
      <c r="E13" s="127"/>
      <c r="F13" s="127"/>
      <c r="G13" s="127"/>
      <c r="H13" s="127"/>
      <c r="I13" s="249"/>
      <c r="J13" s="249"/>
      <c r="K13" s="274"/>
      <c r="L13" s="107"/>
      <c r="M13" s="138" t="s">
        <v>603</v>
      </c>
      <c r="N13" s="274"/>
      <c r="O13" s="128"/>
      <c r="U13" s="271"/>
      <c r="V13" s="77"/>
      <c r="Y13" s="78"/>
      <c r="Z13" s="272"/>
      <c r="AB13" s="272"/>
      <c r="AC13" s="272"/>
      <c r="AD13" s="271"/>
      <c r="AH13" s="273"/>
      <c r="AI13" s="271" t="s">
        <v>603</v>
      </c>
      <c r="AJ13" s="273"/>
      <c r="AK13" s="273"/>
      <c r="AL13" s="79"/>
    </row>
    <row r="14" spans="1:38" s="73" customFormat="1">
      <c r="A14" s="415" t="s">
        <v>604</v>
      </c>
      <c r="B14" s="415"/>
      <c r="C14" s="127"/>
      <c r="D14" s="107" t="s">
        <v>605</v>
      </c>
      <c r="E14" s="274"/>
      <c r="F14" s="127"/>
      <c r="G14" s="127"/>
      <c r="H14" s="127"/>
      <c r="I14" s="249"/>
      <c r="J14" s="249"/>
      <c r="K14" s="274"/>
      <c r="L14" s="107"/>
      <c r="M14" s="138" t="s">
        <v>606</v>
      </c>
      <c r="N14" s="274"/>
      <c r="O14" s="128"/>
      <c r="U14" s="271"/>
      <c r="V14" s="77"/>
      <c r="Y14" s="78"/>
      <c r="Z14" s="272"/>
      <c r="AB14" s="272"/>
      <c r="AC14" s="272"/>
      <c r="AD14" s="271"/>
      <c r="AH14" s="273"/>
      <c r="AI14" s="271" t="s">
        <v>606</v>
      </c>
      <c r="AJ14" s="273"/>
      <c r="AK14" s="273"/>
      <c r="AL14" s="79"/>
    </row>
    <row r="15" spans="1:38" s="73" customFormat="1">
      <c r="A15" s="415" t="s">
        <v>966</v>
      </c>
      <c r="B15" s="415"/>
      <c r="C15" s="127"/>
      <c r="D15" s="107" t="s">
        <v>967</v>
      </c>
      <c r="E15" s="127"/>
      <c r="F15" s="127"/>
      <c r="G15" s="127"/>
      <c r="H15" s="127"/>
      <c r="I15" s="249"/>
      <c r="J15" s="249"/>
      <c r="K15" s="107"/>
      <c r="L15" s="107"/>
      <c r="M15" s="138" t="s">
        <v>607</v>
      </c>
      <c r="N15" s="127"/>
      <c r="O15" s="128"/>
      <c r="AH15" s="273"/>
      <c r="AI15" s="271" t="s">
        <v>607</v>
      </c>
      <c r="AJ15" s="273"/>
      <c r="AK15" s="273"/>
    </row>
    <row r="16" spans="1:38" s="73" customFormat="1">
      <c r="A16" s="415" t="s">
        <v>608</v>
      </c>
      <c r="B16" s="415"/>
      <c r="C16" s="127"/>
      <c r="D16" s="107"/>
      <c r="E16" s="127"/>
      <c r="F16" s="127"/>
      <c r="G16" s="127"/>
      <c r="H16" s="127"/>
      <c r="I16" s="249"/>
      <c r="J16" s="249"/>
      <c r="K16" s="107"/>
      <c r="L16" s="107"/>
      <c r="M16" s="127"/>
      <c r="N16" s="127"/>
      <c r="O16" s="128"/>
      <c r="AH16" s="273"/>
      <c r="AI16" s="273"/>
      <c r="AJ16" s="273"/>
      <c r="AK16" s="273"/>
    </row>
    <row r="17" spans="1:38" s="73" customFormat="1">
      <c r="A17" s="415" t="s">
        <v>609</v>
      </c>
      <c r="B17" s="415"/>
      <c r="C17" s="127"/>
      <c r="D17" s="107"/>
      <c r="E17" s="127"/>
      <c r="F17" s="194"/>
      <c r="G17" s="127"/>
      <c r="H17" s="127"/>
      <c r="I17" s="249"/>
      <c r="J17" s="249"/>
      <c r="K17" s="107"/>
      <c r="L17" s="107"/>
      <c r="M17" s="127"/>
      <c r="N17" s="127"/>
      <c r="O17" s="128"/>
      <c r="Z17" s="273"/>
      <c r="AC17" s="81"/>
      <c r="AH17" s="273"/>
      <c r="AI17" s="273"/>
      <c r="AJ17" s="273"/>
      <c r="AK17" s="273"/>
      <c r="AL17" s="79"/>
    </row>
    <row r="18" spans="1:38" s="73" customFormat="1" ht="18" hidden="1" customHeight="1">
      <c r="A18" s="394" t="s">
        <v>597</v>
      </c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4"/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Z18" s="394"/>
      <c r="AA18" s="394"/>
      <c r="AB18" s="394"/>
      <c r="AC18" s="394"/>
      <c r="AD18" s="394"/>
      <c r="AE18" s="394"/>
      <c r="AF18" s="394"/>
      <c r="AG18" s="394"/>
      <c r="AH18" s="394"/>
      <c r="AI18" s="394"/>
      <c r="AJ18" s="394"/>
      <c r="AK18" s="394"/>
    </row>
    <row r="19" spans="1:38" s="73" customFormat="1" ht="15" hidden="1" customHeight="1">
      <c r="A19" s="415" t="s">
        <v>598</v>
      </c>
      <c r="B19" s="415"/>
      <c r="C19" s="415"/>
      <c r="D19" s="107" t="s">
        <v>599</v>
      </c>
      <c r="E19" s="274"/>
      <c r="F19" s="107"/>
      <c r="G19" s="107"/>
      <c r="H19" s="285"/>
      <c r="I19" s="249"/>
      <c r="J19" s="249"/>
      <c r="K19" s="274"/>
      <c r="L19" s="107"/>
      <c r="M19" s="138" t="s">
        <v>600</v>
      </c>
      <c r="N19" s="274"/>
      <c r="O19" s="193"/>
      <c r="T19" s="271"/>
      <c r="U19" s="77"/>
      <c r="X19" s="78"/>
      <c r="Y19" s="272"/>
      <c r="AA19" s="272"/>
      <c r="AB19" s="272"/>
      <c r="AC19" s="271"/>
      <c r="AG19" s="273"/>
      <c r="AH19" s="271" t="s">
        <v>600</v>
      </c>
      <c r="AI19" s="273"/>
      <c r="AJ19" s="273"/>
      <c r="AK19" s="79"/>
    </row>
    <row r="20" spans="1:38" s="73" customFormat="1" ht="15" hidden="1" customHeight="1">
      <c r="A20" s="415" t="s">
        <v>601</v>
      </c>
      <c r="B20" s="415"/>
      <c r="C20" s="127"/>
      <c r="D20" s="107" t="s">
        <v>602</v>
      </c>
      <c r="E20" s="127"/>
      <c r="F20" s="107"/>
      <c r="G20" s="107"/>
      <c r="H20" s="285"/>
      <c r="I20" s="249"/>
      <c r="J20" s="249"/>
      <c r="K20" s="274"/>
      <c r="L20" s="107"/>
      <c r="M20" s="138" t="s">
        <v>603</v>
      </c>
      <c r="N20" s="274"/>
      <c r="O20" s="193"/>
      <c r="T20" s="271"/>
      <c r="U20" s="77"/>
      <c r="X20" s="78"/>
      <c r="Y20" s="272"/>
      <c r="AA20" s="272"/>
      <c r="AB20" s="272"/>
      <c r="AC20" s="271"/>
      <c r="AG20" s="273"/>
      <c r="AH20" s="271" t="s">
        <v>603</v>
      </c>
      <c r="AI20" s="273"/>
      <c r="AJ20" s="273"/>
      <c r="AK20" s="79"/>
    </row>
    <row r="21" spans="1:38" s="73" customFormat="1" ht="15" hidden="1" customHeight="1">
      <c r="A21" s="415" t="s">
        <v>604</v>
      </c>
      <c r="B21" s="415"/>
      <c r="C21" s="127"/>
      <c r="D21" s="107" t="s">
        <v>605</v>
      </c>
      <c r="E21" s="274"/>
      <c r="F21" s="107"/>
      <c r="G21" s="107"/>
      <c r="H21" s="285"/>
      <c r="I21" s="249"/>
      <c r="J21" s="249"/>
      <c r="K21" s="274"/>
      <c r="L21" s="107"/>
      <c r="M21" s="138" t="s">
        <v>606</v>
      </c>
      <c r="N21" s="274"/>
      <c r="O21" s="193"/>
      <c r="T21" s="271"/>
      <c r="U21" s="77"/>
      <c r="X21" s="78"/>
      <c r="Y21" s="272"/>
      <c r="AA21" s="272"/>
      <c r="AB21" s="272"/>
      <c r="AC21" s="271"/>
      <c r="AG21" s="273"/>
      <c r="AH21" s="271" t="s">
        <v>606</v>
      </c>
      <c r="AI21" s="273"/>
      <c r="AJ21" s="273"/>
      <c r="AK21" s="79"/>
    </row>
    <row r="22" spans="1:38" s="73" customFormat="1" ht="15" hidden="1" customHeight="1">
      <c r="A22" s="415" t="s">
        <v>646</v>
      </c>
      <c r="B22" s="415"/>
      <c r="C22" s="127"/>
      <c r="D22" s="107" t="s">
        <v>647</v>
      </c>
      <c r="E22" s="107"/>
      <c r="F22" s="107"/>
      <c r="G22" s="107"/>
      <c r="H22" s="107"/>
      <c r="I22" s="249"/>
      <c r="J22" s="249"/>
      <c r="K22" s="107"/>
      <c r="L22" s="107"/>
      <c r="M22" s="138" t="s">
        <v>607</v>
      </c>
      <c r="N22" s="127"/>
      <c r="O22" s="193"/>
      <c r="AG22" s="273"/>
      <c r="AH22" s="271" t="s">
        <v>607</v>
      </c>
      <c r="AI22" s="273"/>
      <c r="AJ22" s="273"/>
    </row>
    <row r="23" spans="1:38" s="73" customFormat="1" ht="15" hidden="1" customHeight="1">
      <c r="A23" s="415" t="s">
        <v>608</v>
      </c>
      <c r="B23" s="415"/>
      <c r="C23" s="127"/>
      <c r="D23" s="107"/>
      <c r="E23" s="107"/>
      <c r="F23" s="107"/>
      <c r="G23" s="107"/>
      <c r="H23" s="107"/>
      <c r="I23" s="249"/>
      <c r="J23" s="249"/>
      <c r="K23" s="107"/>
      <c r="L23" s="107"/>
      <c r="M23" s="127"/>
      <c r="N23" s="127"/>
      <c r="O23" s="193"/>
      <c r="AG23" s="273"/>
      <c r="AH23" s="273"/>
      <c r="AI23" s="273"/>
      <c r="AJ23" s="273"/>
    </row>
    <row r="24" spans="1:38" s="73" customFormat="1" ht="15.75" hidden="1" customHeight="1">
      <c r="A24" s="195" t="s">
        <v>609</v>
      </c>
      <c r="B24" s="195"/>
      <c r="C24" s="127"/>
      <c r="D24" s="107"/>
      <c r="E24" s="127"/>
      <c r="F24" s="196"/>
      <c r="G24" s="107"/>
      <c r="H24" s="107"/>
      <c r="I24" s="249"/>
      <c r="J24" s="249"/>
      <c r="K24" s="107"/>
      <c r="L24" s="107"/>
      <c r="M24" s="127"/>
      <c r="N24" s="127"/>
      <c r="O24" s="193"/>
      <c r="Y24" s="273"/>
      <c r="AB24" s="81"/>
      <c r="AG24" s="273"/>
      <c r="AH24" s="273"/>
      <c r="AI24" s="273"/>
      <c r="AJ24" s="273"/>
      <c r="AK24" s="79"/>
    </row>
    <row r="25" spans="1:38" s="73" customFormat="1" ht="9" customHeight="1">
      <c r="A25" s="195"/>
      <c r="B25" s="195"/>
      <c r="C25" s="127"/>
      <c r="D25" s="107"/>
      <c r="E25" s="127"/>
      <c r="F25" s="196"/>
      <c r="G25" s="107"/>
      <c r="H25" s="107"/>
      <c r="I25" s="249"/>
      <c r="J25" s="249"/>
      <c r="K25" s="107"/>
      <c r="L25" s="107"/>
      <c r="M25" s="127"/>
      <c r="N25" s="127"/>
      <c r="O25" s="193"/>
      <c r="Y25" s="273"/>
      <c r="AB25" s="81"/>
      <c r="AG25" s="273"/>
      <c r="AH25" s="273"/>
      <c r="AI25" s="273"/>
      <c r="AJ25" s="273"/>
      <c r="AK25" s="79"/>
    </row>
    <row r="26" spans="1:38" s="83" customFormat="1" ht="43.5" customHeight="1">
      <c r="A26" s="419" t="s">
        <v>610</v>
      </c>
      <c r="B26" s="410" t="s">
        <v>611</v>
      </c>
      <c r="C26" s="419" t="s">
        <v>612</v>
      </c>
      <c r="D26" s="419" t="s">
        <v>613</v>
      </c>
      <c r="E26" s="419" t="s">
        <v>614</v>
      </c>
      <c r="F26" s="423"/>
      <c r="G26" s="197" t="s">
        <v>615</v>
      </c>
      <c r="H26" s="197" t="s">
        <v>616</v>
      </c>
      <c r="I26" s="416" t="s">
        <v>1074</v>
      </c>
      <c r="J26" s="416" t="s">
        <v>1075</v>
      </c>
      <c r="K26" s="419" t="s">
        <v>617</v>
      </c>
      <c r="L26" s="419" t="s">
        <v>618</v>
      </c>
      <c r="M26" s="419" t="s">
        <v>619</v>
      </c>
      <c r="N26" s="419" t="s">
        <v>620</v>
      </c>
      <c r="O26" s="419" t="s">
        <v>621</v>
      </c>
      <c r="P26" s="126"/>
    </row>
    <row r="27" spans="1:38" s="83" customFormat="1" ht="36" customHeight="1">
      <c r="A27" s="423"/>
      <c r="B27" s="410"/>
      <c r="C27" s="419"/>
      <c r="D27" s="423"/>
      <c r="E27" s="283" t="s">
        <v>7</v>
      </c>
      <c r="F27" s="197" t="s">
        <v>622</v>
      </c>
      <c r="G27" s="283" t="s">
        <v>7</v>
      </c>
      <c r="H27" s="283" t="s">
        <v>7</v>
      </c>
      <c r="I27" s="417"/>
      <c r="J27" s="417"/>
      <c r="K27" s="420"/>
      <c r="L27" s="420"/>
      <c r="M27" s="419"/>
      <c r="N27" s="419"/>
      <c r="O27" s="420"/>
      <c r="P27" s="126"/>
    </row>
    <row r="28" spans="1:38" s="166" customFormat="1" ht="21.75" hidden="1" customHeight="1">
      <c r="A28" s="422" t="s">
        <v>3</v>
      </c>
      <c r="B28" s="422"/>
      <c r="C28" s="422"/>
      <c r="D28" s="422"/>
      <c r="E28" s="422"/>
      <c r="F28" s="165"/>
      <c r="G28" s="165"/>
      <c r="H28" s="165"/>
      <c r="I28" s="239"/>
      <c r="J28" s="239"/>
      <c r="K28" s="165"/>
      <c r="L28" s="165"/>
      <c r="M28" s="201"/>
      <c r="N28" s="201"/>
      <c r="O28" s="165"/>
      <c r="P28" s="165"/>
    </row>
    <row r="29" spans="1:38" s="143" customFormat="1" ht="34.5" customHeight="1">
      <c r="A29" s="283" t="s">
        <v>10</v>
      </c>
      <c r="B29" s="101" t="s">
        <v>731</v>
      </c>
      <c r="C29" s="283"/>
      <c r="D29" s="282"/>
      <c r="E29" s="94"/>
      <c r="F29" s="282"/>
      <c r="G29" s="282"/>
      <c r="H29" s="94"/>
      <c r="I29" s="238"/>
      <c r="J29" s="238"/>
      <c r="K29" s="94"/>
      <c r="L29" s="94"/>
      <c r="M29" s="282"/>
      <c r="N29" s="282"/>
      <c r="O29" s="282"/>
      <c r="P29" s="125"/>
    </row>
    <row r="30" spans="1:38" s="143" customFormat="1" ht="72" customHeight="1">
      <c r="A30" s="282">
        <v>1</v>
      </c>
      <c r="B30" s="94" t="s">
        <v>629</v>
      </c>
      <c r="C30" s="282" t="s">
        <v>1157</v>
      </c>
      <c r="D30" s="282">
        <v>2022</v>
      </c>
      <c r="E30" s="282">
        <v>3</v>
      </c>
      <c r="F30" s="282"/>
      <c r="G30" s="282">
        <v>3</v>
      </c>
      <c r="H30" s="120">
        <v>0</v>
      </c>
      <c r="I30" s="234">
        <v>19500000</v>
      </c>
      <c r="J30" s="234">
        <v>19500000</v>
      </c>
      <c r="K30" s="282" t="s">
        <v>631</v>
      </c>
      <c r="L30" s="94" t="s">
        <v>733</v>
      </c>
      <c r="M30" s="282" t="s">
        <v>649</v>
      </c>
      <c r="N30" s="282"/>
      <c r="O30" s="282"/>
      <c r="P30" s="125"/>
    </row>
    <row r="31" spans="1:38" s="143" customFormat="1">
      <c r="A31" s="282"/>
      <c r="B31" s="101" t="s">
        <v>1156</v>
      </c>
      <c r="C31" s="282"/>
      <c r="D31" s="282"/>
      <c r="E31" s="282"/>
      <c r="F31" s="282"/>
      <c r="G31" s="282"/>
      <c r="H31" s="120"/>
      <c r="I31" s="234"/>
      <c r="J31" s="234"/>
      <c r="K31" s="282"/>
      <c r="L31" s="94"/>
      <c r="M31" s="282"/>
      <c r="N31" s="282"/>
      <c r="O31" s="282"/>
      <c r="P31" s="125"/>
    </row>
    <row r="32" spans="1:38" s="143" customFormat="1" ht="34.5" customHeight="1">
      <c r="A32" s="283" t="s">
        <v>10</v>
      </c>
      <c r="B32" s="101" t="s">
        <v>731</v>
      </c>
      <c r="C32" s="283"/>
      <c r="D32" s="282"/>
      <c r="E32" s="94"/>
      <c r="F32" s="282"/>
      <c r="G32" s="282"/>
      <c r="H32" s="94"/>
      <c r="I32" s="238"/>
      <c r="J32" s="238"/>
      <c r="K32" s="94"/>
      <c r="L32" s="94"/>
      <c r="M32" s="282"/>
      <c r="N32" s="282"/>
      <c r="O32" s="282"/>
      <c r="P32" s="125"/>
    </row>
    <row r="33" spans="1:16" s="143" customFormat="1" ht="60" customHeight="1">
      <c r="A33" s="282">
        <v>2</v>
      </c>
      <c r="B33" s="94" t="s">
        <v>624</v>
      </c>
      <c r="C33" s="282" t="s">
        <v>734</v>
      </c>
      <c r="D33" s="282">
        <v>2022</v>
      </c>
      <c r="E33" s="282">
        <v>2</v>
      </c>
      <c r="F33" s="282"/>
      <c r="G33" s="282">
        <v>2</v>
      </c>
      <c r="H33" s="282">
        <v>0</v>
      </c>
      <c r="I33" s="225">
        <v>660000</v>
      </c>
      <c r="J33" s="225">
        <f>+G33*I33</f>
        <v>1320000</v>
      </c>
      <c r="K33" s="282" t="s">
        <v>631</v>
      </c>
      <c r="L33" s="94" t="s">
        <v>735</v>
      </c>
      <c r="M33" s="282" t="s">
        <v>649</v>
      </c>
      <c r="N33" s="282"/>
      <c r="O33" s="282"/>
      <c r="P33" s="125"/>
    </row>
    <row r="34" spans="1:16" s="143" customFormat="1" ht="61.5" customHeight="1">
      <c r="A34" s="282">
        <v>3</v>
      </c>
      <c r="B34" s="100" t="s">
        <v>730</v>
      </c>
      <c r="C34" s="282" t="s">
        <v>1059</v>
      </c>
      <c r="D34" s="282">
        <v>2022</v>
      </c>
      <c r="E34" s="282">
        <v>2</v>
      </c>
      <c r="F34" s="282"/>
      <c r="G34" s="282">
        <v>2</v>
      </c>
      <c r="H34" s="282">
        <v>0</v>
      </c>
      <c r="I34" s="234">
        <v>1100000</v>
      </c>
      <c r="J34" s="236">
        <f>+G34*I34</f>
        <v>2200000</v>
      </c>
      <c r="K34" s="282" t="s">
        <v>631</v>
      </c>
      <c r="L34" s="94" t="s">
        <v>732</v>
      </c>
      <c r="M34" s="282" t="s">
        <v>649</v>
      </c>
      <c r="N34" s="282"/>
      <c r="O34" s="282"/>
      <c r="P34" s="125"/>
    </row>
    <row r="35" spans="1:16" s="143" customFormat="1" ht="87.75" customHeight="1">
      <c r="A35" s="282">
        <v>4</v>
      </c>
      <c r="B35" s="94" t="s">
        <v>637</v>
      </c>
      <c r="C35" s="282" t="s">
        <v>990</v>
      </c>
      <c r="D35" s="282">
        <v>2022</v>
      </c>
      <c r="E35" s="282">
        <v>3</v>
      </c>
      <c r="F35" s="282"/>
      <c r="G35" s="282">
        <v>3</v>
      </c>
      <c r="H35" s="120">
        <v>0</v>
      </c>
      <c r="I35" s="234">
        <v>3280000</v>
      </c>
      <c r="J35" s="235">
        <f>+G35*I35</f>
        <v>9840000</v>
      </c>
      <c r="K35" s="282" t="s">
        <v>631</v>
      </c>
      <c r="L35" s="94" t="s">
        <v>733</v>
      </c>
      <c r="M35" s="282" t="s">
        <v>649</v>
      </c>
      <c r="N35" s="282"/>
      <c r="O35" s="282"/>
      <c r="P35" s="125"/>
    </row>
    <row r="36" spans="1:16" s="100" customFormat="1" ht="45.75" customHeight="1">
      <c r="A36" s="282">
        <v>5</v>
      </c>
      <c r="B36" s="94" t="s">
        <v>551</v>
      </c>
      <c r="C36" s="282"/>
      <c r="D36" s="282">
        <v>2022</v>
      </c>
      <c r="E36" s="282">
        <v>1</v>
      </c>
      <c r="F36" s="282"/>
      <c r="G36" s="282">
        <v>1</v>
      </c>
      <c r="H36" s="282">
        <v>0</v>
      </c>
      <c r="I36" s="238"/>
      <c r="J36" s="238"/>
      <c r="K36" s="282" t="s">
        <v>631</v>
      </c>
      <c r="L36" s="94" t="s">
        <v>733</v>
      </c>
      <c r="M36" s="282" t="s">
        <v>649</v>
      </c>
      <c r="N36" s="282"/>
      <c r="O36" s="282"/>
      <c r="P36" s="94"/>
    </row>
    <row r="37" spans="1:16" s="100" customFormat="1" ht="45.75" customHeight="1">
      <c r="A37" s="282">
        <v>6</v>
      </c>
      <c r="B37" s="94" t="s">
        <v>530</v>
      </c>
      <c r="C37" s="282"/>
      <c r="D37" s="282"/>
      <c r="E37" s="282">
        <v>1</v>
      </c>
      <c r="F37" s="282"/>
      <c r="G37" s="282">
        <v>1</v>
      </c>
      <c r="H37" s="282">
        <v>0</v>
      </c>
      <c r="I37" s="238"/>
      <c r="J37" s="238"/>
      <c r="K37" s="282" t="s">
        <v>631</v>
      </c>
      <c r="L37" s="94" t="s">
        <v>733</v>
      </c>
      <c r="M37" s="282" t="s">
        <v>649</v>
      </c>
      <c r="N37" s="282" t="s">
        <v>830</v>
      </c>
      <c r="O37" s="282"/>
      <c r="P37" s="94"/>
    </row>
    <row r="38" spans="1:16" s="100" customFormat="1" ht="45.75" customHeight="1">
      <c r="A38" s="282">
        <v>7</v>
      </c>
      <c r="B38" s="94" t="s">
        <v>869</v>
      </c>
      <c r="C38" s="282"/>
      <c r="D38" s="282"/>
      <c r="E38" s="282">
        <v>1</v>
      </c>
      <c r="F38" s="282"/>
      <c r="G38" s="282">
        <v>1</v>
      </c>
      <c r="H38" s="282">
        <v>0</v>
      </c>
      <c r="I38" s="238"/>
      <c r="J38" s="238"/>
      <c r="K38" s="282" t="s">
        <v>631</v>
      </c>
      <c r="L38" s="94" t="s">
        <v>733</v>
      </c>
      <c r="M38" s="282" t="s">
        <v>649</v>
      </c>
      <c r="N38" s="282" t="s">
        <v>830</v>
      </c>
      <c r="O38" s="282"/>
      <c r="P38" s="94"/>
    </row>
    <row r="39" spans="1:16" s="100" customFormat="1">
      <c r="A39" s="282">
        <v>8</v>
      </c>
      <c r="B39" s="198" t="s">
        <v>534</v>
      </c>
      <c r="C39" s="282"/>
      <c r="D39" s="282">
        <v>2020</v>
      </c>
      <c r="E39" s="282">
        <v>1</v>
      </c>
      <c r="F39" s="282"/>
      <c r="G39" s="282">
        <v>1</v>
      </c>
      <c r="H39" s="120">
        <v>0</v>
      </c>
      <c r="I39" s="247"/>
      <c r="J39" s="247"/>
      <c r="K39" s="282" t="s">
        <v>631</v>
      </c>
      <c r="L39" s="94" t="s">
        <v>953</v>
      </c>
      <c r="M39" s="282" t="s">
        <v>649</v>
      </c>
      <c r="N39" s="116" t="s">
        <v>830</v>
      </c>
      <c r="O39" s="110"/>
      <c r="P39" s="94"/>
    </row>
    <row r="40" spans="1:16" s="100" customFormat="1" ht="26.25" customHeight="1">
      <c r="A40" s="283" t="s">
        <v>667</v>
      </c>
      <c r="B40" s="202" t="s">
        <v>782</v>
      </c>
      <c r="C40" s="203"/>
      <c r="D40" s="282"/>
      <c r="E40" s="94"/>
      <c r="F40" s="282"/>
      <c r="G40" s="282"/>
      <c r="H40" s="94"/>
      <c r="I40" s="238"/>
      <c r="J40" s="238"/>
      <c r="K40" s="282"/>
      <c r="L40" s="94"/>
      <c r="M40" s="282"/>
      <c r="N40" s="282"/>
      <c r="O40" s="282"/>
      <c r="P40" s="94"/>
    </row>
    <row r="41" spans="1:16" s="100" customFormat="1" ht="67.5" customHeight="1">
      <c r="A41" s="282">
        <v>1</v>
      </c>
      <c r="B41" s="198" t="s">
        <v>623</v>
      </c>
      <c r="C41" s="282" t="s">
        <v>736</v>
      </c>
      <c r="D41" s="282">
        <v>2022</v>
      </c>
      <c r="E41" s="282">
        <v>1</v>
      </c>
      <c r="F41" s="282"/>
      <c r="G41" s="282">
        <v>1</v>
      </c>
      <c r="H41" s="282">
        <v>0</v>
      </c>
      <c r="I41" s="225">
        <v>2500000</v>
      </c>
      <c r="J41" s="225">
        <f>+G41*I41</f>
        <v>2500000</v>
      </c>
      <c r="K41" s="282" t="s">
        <v>631</v>
      </c>
      <c r="L41" s="110" t="s">
        <v>737</v>
      </c>
      <c r="M41" s="282" t="s">
        <v>649</v>
      </c>
      <c r="N41" s="282"/>
      <c r="O41" s="282"/>
      <c r="P41" s="94"/>
    </row>
    <row r="42" spans="1:16" s="100" customFormat="1" ht="72.75" hidden="1" customHeight="1">
      <c r="A42" s="282">
        <v>2</v>
      </c>
      <c r="B42" s="94" t="s">
        <v>624</v>
      </c>
      <c r="C42" s="282" t="s">
        <v>738</v>
      </c>
      <c r="D42" s="282">
        <v>2022</v>
      </c>
      <c r="E42" s="282">
        <v>2</v>
      </c>
      <c r="F42" s="282"/>
      <c r="G42" s="282">
        <v>0</v>
      </c>
      <c r="H42" s="120" t="s">
        <v>1027</v>
      </c>
      <c r="I42" s="247"/>
      <c r="J42" s="247"/>
      <c r="K42" s="282" t="s">
        <v>631</v>
      </c>
      <c r="L42" s="110" t="s">
        <v>737</v>
      </c>
      <c r="M42" s="282" t="s">
        <v>649</v>
      </c>
      <c r="N42" s="282"/>
      <c r="O42" s="282" t="s">
        <v>1026</v>
      </c>
      <c r="P42" s="94"/>
    </row>
    <row r="43" spans="1:16" s="100" customFormat="1" ht="66" hidden="1">
      <c r="A43" s="282">
        <v>3</v>
      </c>
      <c r="B43" s="100" t="s">
        <v>668</v>
      </c>
      <c r="C43" s="282" t="s">
        <v>740</v>
      </c>
      <c r="D43" s="282">
        <v>2022</v>
      </c>
      <c r="E43" s="282">
        <v>1</v>
      </c>
      <c r="F43" s="282"/>
      <c r="G43" s="282">
        <v>0</v>
      </c>
      <c r="H43" s="120" t="s">
        <v>877</v>
      </c>
      <c r="I43" s="247"/>
      <c r="J43" s="247"/>
      <c r="K43" s="282" t="s">
        <v>631</v>
      </c>
      <c r="L43" s="110" t="s">
        <v>737</v>
      </c>
      <c r="M43" s="282" t="s">
        <v>649</v>
      </c>
      <c r="N43" s="282"/>
      <c r="O43" s="282" t="s">
        <v>1026</v>
      </c>
      <c r="P43" s="94"/>
    </row>
    <row r="44" spans="1:16" s="100" customFormat="1" ht="100.5" hidden="1" customHeight="1">
      <c r="A44" s="282">
        <v>4</v>
      </c>
      <c r="B44" s="94" t="s">
        <v>637</v>
      </c>
      <c r="C44" s="282" t="s">
        <v>739</v>
      </c>
      <c r="D44" s="282">
        <v>2022</v>
      </c>
      <c r="E44" s="282">
        <v>1</v>
      </c>
      <c r="F44" s="282"/>
      <c r="G44" s="282">
        <v>0</v>
      </c>
      <c r="H44" s="120" t="s">
        <v>877</v>
      </c>
      <c r="I44" s="247"/>
      <c r="J44" s="247"/>
      <c r="K44" s="282" t="s">
        <v>631</v>
      </c>
      <c r="L44" s="110" t="s">
        <v>737</v>
      </c>
      <c r="M44" s="282" t="s">
        <v>649</v>
      </c>
      <c r="N44" s="282"/>
      <c r="O44" s="282" t="s">
        <v>1026</v>
      </c>
      <c r="P44" s="94"/>
    </row>
    <row r="45" spans="1:16" s="100" customFormat="1" ht="60.75" hidden="1" customHeight="1">
      <c r="A45" s="283" t="s">
        <v>670</v>
      </c>
      <c r="B45" s="202" t="s">
        <v>1028</v>
      </c>
      <c r="C45" s="203"/>
      <c r="D45" s="282"/>
      <c r="E45" s="94"/>
      <c r="F45" s="282"/>
      <c r="G45" s="282"/>
      <c r="H45" s="94"/>
      <c r="I45" s="238"/>
      <c r="J45" s="238"/>
      <c r="K45" s="282"/>
      <c r="L45" s="94"/>
      <c r="M45" s="282"/>
      <c r="N45" s="282"/>
      <c r="O45" s="282"/>
      <c r="P45" s="94"/>
    </row>
    <row r="46" spans="1:16" s="95" customFormat="1" ht="78.75" hidden="1" customHeight="1">
      <c r="A46" s="116">
        <v>1</v>
      </c>
      <c r="B46" s="198" t="s">
        <v>623</v>
      </c>
      <c r="C46" s="282" t="s">
        <v>590</v>
      </c>
      <c r="D46" s="282">
        <v>2022</v>
      </c>
      <c r="E46" s="282">
        <v>1</v>
      </c>
      <c r="F46" s="116"/>
      <c r="G46" s="282">
        <v>0</v>
      </c>
      <c r="H46" s="118" t="s">
        <v>877</v>
      </c>
      <c r="I46" s="247"/>
      <c r="J46" s="247"/>
      <c r="K46" s="282" t="s">
        <v>631</v>
      </c>
      <c r="L46" s="282" t="s">
        <v>741</v>
      </c>
      <c r="M46" s="282" t="s">
        <v>649</v>
      </c>
      <c r="N46" s="116"/>
      <c r="O46" s="282" t="s">
        <v>1025</v>
      </c>
      <c r="P46" s="117"/>
    </row>
    <row r="47" spans="1:16" s="95" customFormat="1" ht="56.25" hidden="1" customHeight="1">
      <c r="A47" s="116">
        <f>+A46+1</f>
        <v>2</v>
      </c>
      <c r="B47" s="94" t="s">
        <v>624</v>
      </c>
      <c r="C47" s="282" t="s">
        <v>742</v>
      </c>
      <c r="D47" s="282">
        <v>2022</v>
      </c>
      <c r="E47" s="282">
        <v>1</v>
      </c>
      <c r="F47" s="116"/>
      <c r="G47" s="282">
        <v>0</v>
      </c>
      <c r="H47" s="118" t="s">
        <v>877</v>
      </c>
      <c r="I47" s="247"/>
      <c r="J47" s="247"/>
      <c r="K47" s="282" t="s">
        <v>631</v>
      </c>
      <c r="L47" s="282" t="s">
        <v>741</v>
      </c>
      <c r="M47" s="282" t="s">
        <v>649</v>
      </c>
      <c r="N47" s="116"/>
      <c r="O47" s="282" t="s">
        <v>1025</v>
      </c>
      <c r="P47" s="117"/>
    </row>
    <row r="48" spans="1:16" s="95" customFormat="1" ht="69.75" hidden="1" customHeight="1">
      <c r="A48" s="116">
        <f>+A47+1</f>
        <v>3</v>
      </c>
      <c r="B48" s="100" t="s">
        <v>668</v>
      </c>
      <c r="C48" s="282" t="s">
        <v>743</v>
      </c>
      <c r="D48" s="282">
        <v>2022</v>
      </c>
      <c r="E48" s="282">
        <v>1</v>
      </c>
      <c r="F48" s="116"/>
      <c r="G48" s="282">
        <v>0</v>
      </c>
      <c r="H48" s="118" t="s">
        <v>877</v>
      </c>
      <c r="I48" s="247"/>
      <c r="J48" s="247"/>
      <c r="K48" s="282" t="s">
        <v>631</v>
      </c>
      <c r="L48" s="282" t="s">
        <v>741</v>
      </c>
      <c r="M48" s="282" t="s">
        <v>649</v>
      </c>
      <c r="N48" s="116"/>
      <c r="O48" s="282" t="s">
        <v>1025</v>
      </c>
      <c r="P48" s="117"/>
    </row>
    <row r="49" spans="1:39" s="95" customFormat="1" ht="90.75" hidden="1" customHeight="1">
      <c r="A49" s="116">
        <f>+A48+1</f>
        <v>4</v>
      </c>
      <c r="B49" s="94" t="s">
        <v>637</v>
      </c>
      <c r="C49" s="282" t="s">
        <v>746</v>
      </c>
      <c r="D49" s="282">
        <v>2022</v>
      </c>
      <c r="E49" s="282">
        <v>1</v>
      </c>
      <c r="F49" s="116"/>
      <c r="G49" s="282">
        <v>0</v>
      </c>
      <c r="H49" s="118" t="s">
        <v>877</v>
      </c>
      <c r="I49" s="247"/>
      <c r="J49" s="247"/>
      <c r="K49" s="282" t="s">
        <v>631</v>
      </c>
      <c r="L49" s="282" t="s">
        <v>741</v>
      </c>
      <c r="M49" s="282" t="s">
        <v>649</v>
      </c>
      <c r="N49" s="116"/>
      <c r="O49" s="282" t="s">
        <v>1025</v>
      </c>
      <c r="P49" s="117"/>
    </row>
    <row r="50" spans="1:39" s="100" customFormat="1" ht="40.5" hidden="1" customHeight="1">
      <c r="A50" s="283" t="s">
        <v>677</v>
      </c>
      <c r="B50" s="202" t="s">
        <v>1029</v>
      </c>
      <c r="C50" s="203"/>
      <c r="D50" s="282"/>
      <c r="E50" s="94"/>
      <c r="F50" s="282"/>
      <c r="G50" s="282"/>
      <c r="H50" s="94"/>
      <c r="I50" s="238"/>
      <c r="J50" s="238"/>
      <c r="K50" s="282"/>
      <c r="L50" s="94"/>
      <c r="M50" s="282"/>
      <c r="N50" s="282"/>
      <c r="O50" s="282"/>
      <c r="P50" s="94"/>
    </row>
    <row r="51" spans="1:39" s="100" customFormat="1" ht="76.5" hidden="1" customHeight="1">
      <c r="A51" s="282">
        <v>1</v>
      </c>
      <c r="B51" s="198" t="s">
        <v>623</v>
      </c>
      <c r="C51" s="282" t="s">
        <v>744</v>
      </c>
      <c r="D51" s="282">
        <v>2022</v>
      </c>
      <c r="E51" s="282">
        <v>1</v>
      </c>
      <c r="F51" s="282"/>
      <c r="G51" s="282">
        <v>0</v>
      </c>
      <c r="H51" s="120" t="s">
        <v>877</v>
      </c>
      <c r="I51" s="247"/>
      <c r="J51" s="247"/>
      <c r="K51" s="282" t="s">
        <v>631</v>
      </c>
      <c r="L51" s="94" t="s">
        <v>747</v>
      </c>
      <c r="M51" s="282" t="s">
        <v>649</v>
      </c>
      <c r="N51" s="282"/>
      <c r="O51" s="282" t="s">
        <v>1025</v>
      </c>
      <c r="P51" s="421" t="s">
        <v>591</v>
      </c>
    </row>
    <row r="52" spans="1:39" s="100" customFormat="1" ht="57.75" hidden="1" customHeight="1">
      <c r="A52" s="282">
        <f>+A51+1</f>
        <v>2</v>
      </c>
      <c r="B52" s="94" t="s">
        <v>624</v>
      </c>
      <c r="C52" s="282" t="s">
        <v>745</v>
      </c>
      <c r="D52" s="282">
        <v>2022</v>
      </c>
      <c r="E52" s="282">
        <v>1</v>
      </c>
      <c r="F52" s="282"/>
      <c r="G52" s="282">
        <v>0</v>
      </c>
      <c r="H52" s="120" t="s">
        <v>877</v>
      </c>
      <c r="I52" s="247"/>
      <c r="J52" s="247"/>
      <c r="K52" s="282" t="s">
        <v>631</v>
      </c>
      <c r="L52" s="94" t="s">
        <v>747</v>
      </c>
      <c r="M52" s="282" t="s">
        <v>649</v>
      </c>
      <c r="N52" s="282"/>
      <c r="O52" s="282" t="s">
        <v>1025</v>
      </c>
      <c r="P52" s="421"/>
    </row>
    <row r="53" spans="1:39" s="166" customFormat="1" ht="46.5" hidden="1" customHeight="1">
      <c r="A53" s="283" t="s">
        <v>681</v>
      </c>
      <c r="B53" s="281" t="s">
        <v>1030</v>
      </c>
      <c r="C53" s="283"/>
      <c r="D53" s="283"/>
      <c r="E53" s="165"/>
      <c r="F53" s="283"/>
      <c r="G53" s="283"/>
      <c r="H53" s="165"/>
      <c r="I53" s="239"/>
      <c r="J53" s="239"/>
      <c r="K53" s="165"/>
      <c r="L53" s="165"/>
      <c r="M53" s="201"/>
      <c r="N53" s="201"/>
      <c r="O53" s="283"/>
      <c r="P53" s="165"/>
    </row>
    <row r="54" spans="1:39" s="170" customFormat="1" ht="32.25" hidden="1" customHeight="1">
      <c r="A54" s="282">
        <v>1</v>
      </c>
      <c r="B54" s="198" t="s">
        <v>630</v>
      </c>
      <c r="C54" s="282"/>
      <c r="D54" s="282"/>
      <c r="E54" s="86">
        <v>1</v>
      </c>
      <c r="F54" s="282"/>
      <c r="G54" s="282">
        <v>0</v>
      </c>
      <c r="H54" s="215" t="s">
        <v>877</v>
      </c>
      <c r="I54" s="248"/>
      <c r="J54" s="248"/>
      <c r="K54" s="282" t="s">
        <v>631</v>
      </c>
      <c r="L54" s="115" t="s">
        <v>870</v>
      </c>
      <c r="M54" s="86" t="s">
        <v>649</v>
      </c>
      <c r="N54" s="86" t="s">
        <v>830</v>
      </c>
      <c r="O54" s="282" t="s">
        <v>1025</v>
      </c>
      <c r="P54" s="169"/>
    </row>
    <row r="55" spans="1:39" s="143" customFormat="1" ht="15.75">
      <c r="A55" s="257"/>
      <c r="B55" s="258" t="s">
        <v>1155</v>
      </c>
      <c r="C55" s="259"/>
      <c r="D55" s="258"/>
      <c r="E55" s="257"/>
      <c r="F55" s="257"/>
      <c r="G55" s="260"/>
      <c r="H55" s="260"/>
      <c r="I55" s="260"/>
      <c r="J55" s="261">
        <f>SUM(J33:J41)</f>
        <v>15860000</v>
      </c>
      <c r="K55" s="261"/>
      <c r="L55" s="262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57"/>
      <c r="Z55" s="261"/>
      <c r="AA55" s="260"/>
      <c r="AB55" s="263"/>
      <c r="AC55" s="261"/>
      <c r="AD55" s="261"/>
      <c r="AE55" s="264"/>
      <c r="AF55" s="265"/>
      <c r="AG55" s="266"/>
      <c r="AH55" s="267" t="e">
        <f>SUM(#REF!)</f>
        <v>#REF!</v>
      </c>
      <c r="AI55" s="257"/>
      <c r="AJ55" s="257"/>
      <c r="AK55" s="268"/>
      <c r="AL55" s="269"/>
      <c r="AM55" s="270"/>
    </row>
    <row r="56" spans="1:39" ht="13.9" hidden="1" customHeight="1"/>
    <row r="57" spans="1:39" s="131" customFormat="1" hidden="1">
      <c r="A57" s="106"/>
      <c r="B57" s="106"/>
      <c r="C57" s="274"/>
      <c r="D57" s="106"/>
      <c r="E57" s="274"/>
      <c r="F57" s="199"/>
      <c r="G57" s="106"/>
      <c r="H57" s="274"/>
      <c r="I57" s="250"/>
      <c r="J57" s="250"/>
      <c r="K57" s="200"/>
      <c r="L57" s="397" t="s">
        <v>781</v>
      </c>
      <c r="M57" s="397"/>
      <c r="N57" s="397"/>
      <c r="O57" s="397"/>
      <c r="P57" s="397"/>
    </row>
    <row r="58" spans="1:39" s="73" customFormat="1" hidden="1">
      <c r="A58" s="106" t="s">
        <v>633</v>
      </c>
      <c r="B58" s="106"/>
      <c r="C58" s="274"/>
      <c r="D58" s="418" t="s">
        <v>779</v>
      </c>
      <c r="E58" s="418"/>
      <c r="F58" s="418"/>
      <c r="G58" s="418"/>
      <c r="H58" s="418" t="s">
        <v>772</v>
      </c>
      <c r="I58" s="418"/>
      <c r="J58" s="418"/>
      <c r="K58" s="418"/>
      <c r="L58" s="418"/>
      <c r="M58" s="418"/>
      <c r="N58" s="397" t="s">
        <v>773</v>
      </c>
      <c r="O58" s="397"/>
      <c r="P58" s="397"/>
    </row>
    <row r="59" spans="1:39" s="73" customFormat="1" hidden="1">
      <c r="A59" s="106"/>
      <c r="B59" s="274"/>
      <c r="C59" s="274"/>
      <c r="D59" s="274"/>
      <c r="E59" s="274"/>
      <c r="F59" s="274"/>
      <c r="G59" s="274"/>
      <c r="H59" s="274"/>
      <c r="I59" s="250"/>
      <c r="J59" s="250"/>
      <c r="K59" s="274"/>
      <c r="L59" s="274"/>
      <c r="M59" s="274"/>
      <c r="N59" s="274"/>
      <c r="O59" s="274"/>
    </row>
    <row r="60" spans="1:39" s="73" customFormat="1" ht="20.25" hidden="1" customHeight="1">
      <c r="A60" s="191" t="s">
        <v>774</v>
      </c>
      <c r="B60" s="274"/>
      <c r="C60" s="274" t="s">
        <v>775</v>
      </c>
      <c r="D60" s="274"/>
      <c r="E60" s="274"/>
      <c r="F60" s="274"/>
      <c r="G60" s="274"/>
      <c r="H60" s="274"/>
      <c r="I60" s="250"/>
      <c r="J60" s="250"/>
      <c r="K60" s="274"/>
      <c r="L60" s="274"/>
      <c r="M60" s="274"/>
      <c r="N60" s="274"/>
      <c r="O60" s="274"/>
    </row>
    <row r="61" spans="1:39" s="73" customFormat="1" ht="20.25" hidden="1" customHeight="1">
      <c r="A61" s="191" t="s">
        <v>776</v>
      </c>
      <c r="B61" s="274"/>
      <c r="C61" s="274" t="s">
        <v>775</v>
      </c>
      <c r="D61" s="274"/>
      <c r="E61" s="274"/>
      <c r="F61" s="274"/>
      <c r="G61" s="274"/>
      <c r="H61" s="274"/>
      <c r="I61" s="250"/>
      <c r="J61" s="250"/>
      <c r="K61" s="274"/>
      <c r="L61" s="274"/>
      <c r="M61" s="274"/>
      <c r="N61" s="274"/>
      <c r="O61" s="274"/>
    </row>
    <row r="62" spans="1:39" s="73" customFormat="1" ht="20.25" hidden="1" customHeight="1">
      <c r="A62" s="191" t="s">
        <v>777</v>
      </c>
      <c r="B62" s="106"/>
      <c r="C62" s="274" t="s">
        <v>775</v>
      </c>
      <c r="D62" s="106"/>
      <c r="E62" s="106"/>
      <c r="F62" s="106"/>
      <c r="G62" s="106"/>
      <c r="H62" s="106"/>
      <c r="I62" s="250"/>
      <c r="J62" s="250"/>
      <c r="K62" s="106"/>
      <c r="L62" s="106"/>
      <c r="M62" s="274"/>
      <c r="N62" s="274"/>
      <c r="O62" s="106"/>
      <c r="P62" s="103"/>
    </row>
    <row r="63" spans="1:39" s="73" customFormat="1" ht="20.25" hidden="1" customHeight="1">
      <c r="A63" s="191" t="s">
        <v>778</v>
      </c>
      <c r="B63" s="274"/>
      <c r="C63" s="274" t="s">
        <v>775</v>
      </c>
      <c r="D63" s="418" t="s">
        <v>780</v>
      </c>
      <c r="E63" s="418"/>
      <c r="F63" s="418"/>
      <c r="G63" s="418"/>
      <c r="H63" s="418" t="s">
        <v>634</v>
      </c>
      <c r="I63" s="418"/>
      <c r="J63" s="418"/>
      <c r="K63" s="418"/>
      <c r="L63" s="418"/>
      <c r="M63" s="418"/>
      <c r="N63" s="397" t="s">
        <v>635</v>
      </c>
      <c r="O63" s="397"/>
      <c r="P63" s="397"/>
    </row>
    <row r="64" spans="1:39" hidden="1">
      <c r="A64" s="95"/>
      <c r="B64" s="95"/>
      <c r="C64" s="138"/>
      <c r="D64" s="95"/>
      <c r="E64" s="138"/>
      <c r="F64" s="138"/>
      <c r="G64" s="138"/>
      <c r="H64" s="138"/>
      <c r="I64" s="244"/>
      <c r="J64" s="244"/>
      <c r="K64" s="95"/>
      <c r="L64" s="95"/>
      <c r="M64" s="138"/>
      <c r="N64" s="138"/>
      <c r="O64" s="95"/>
      <c r="P64" s="95"/>
    </row>
    <row r="66" spans="1:16" s="131" customFormat="1" ht="14.25" customHeight="1">
      <c r="A66" s="103"/>
      <c r="B66" s="103"/>
      <c r="C66" s="103"/>
      <c r="D66" s="272"/>
      <c r="E66" s="272"/>
      <c r="F66" s="129"/>
      <c r="G66" s="272"/>
      <c r="H66" s="272"/>
      <c r="I66" s="241"/>
      <c r="J66" s="241"/>
      <c r="K66" s="130"/>
      <c r="L66" s="405" t="s">
        <v>1134</v>
      </c>
      <c r="M66" s="405"/>
      <c r="N66" s="405"/>
      <c r="O66" s="405"/>
      <c r="P66" s="405"/>
    </row>
    <row r="67" spans="1:16" s="73" customFormat="1" ht="15.75">
      <c r="A67" s="103" t="s">
        <v>633</v>
      </c>
      <c r="B67" s="103"/>
      <c r="C67" s="397" t="s">
        <v>967</v>
      </c>
      <c r="D67" s="397"/>
      <c r="E67" s="397"/>
      <c r="F67" s="397"/>
      <c r="G67" s="397"/>
      <c r="H67" s="397" t="s">
        <v>772</v>
      </c>
      <c r="I67" s="397"/>
      <c r="J67" s="397"/>
      <c r="K67" s="397"/>
      <c r="L67" s="397"/>
      <c r="M67" s="397"/>
      <c r="N67" s="397" t="s">
        <v>773</v>
      </c>
      <c r="O67" s="397"/>
      <c r="P67" s="397"/>
    </row>
    <row r="68" spans="1:16" s="73" customFormat="1" ht="15.75">
      <c r="A68" s="103"/>
      <c r="B68" s="272"/>
      <c r="C68" s="272"/>
      <c r="D68" s="272"/>
      <c r="E68" s="272"/>
      <c r="F68" s="272"/>
      <c r="G68" s="272"/>
      <c r="H68" s="272"/>
      <c r="I68" s="241"/>
      <c r="J68" s="241"/>
      <c r="K68" s="272"/>
      <c r="L68" s="272"/>
      <c r="M68" s="272"/>
      <c r="N68" s="272"/>
      <c r="O68" s="278"/>
    </row>
    <row r="69" spans="1:16" s="73" customFormat="1" ht="20.25" customHeight="1">
      <c r="A69" s="389" t="s">
        <v>959</v>
      </c>
      <c r="B69" s="389"/>
      <c r="C69" s="272"/>
      <c r="D69" s="272"/>
      <c r="E69" s="272"/>
      <c r="F69" s="272"/>
      <c r="G69" s="272"/>
      <c r="H69" s="272"/>
      <c r="I69" s="241"/>
      <c r="J69" s="241"/>
      <c r="K69" s="272"/>
      <c r="L69" s="272"/>
      <c r="M69" s="272"/>
      <c r="N69" s="272"/>
      <c r="O69" s="278"/>
    </row>
    <row r="70" spans="1:16" s="73" customFormat="1" ht="20.25" customHeight="1">
      <c r="A70" s="389" t="s">
        <v>960</v>
      </c>
      <c r="B70" s="389"/>
      <c r="C70" s="272"/>
      <c r="D70" s="272"/>
      <c r="E70" s="272"/>
      <c r="F70" s="272"/>
      <c r="G70" s="272"/>
      <c r="H70" s="272"/>
      <c r="I70" s="241"/>
      <c r="J70" s="241"/>
      <c r="K70" s="272"/>
      <c r="L70" s="272"/>
      <c r="M70" s="272"/>
      <c r="N70" s="272"/>
      <c r="O70" s="278"/>
    </row>
    <row r="71" spans="1:16" s="73" customFormat="1" ht="20.25" customHeight="1">
      <c r="A71" s="389" t="s">
        <v>1012</v>
      </c>
      <c r="B71" s="389"/>
      <c r="C71" s="272"/>
      <c r="D71" s="272"/>
      <c r="E71" s="272"/>
      <c r="F71" s="272"/>
      <c r="G71" s="272"/>
      <c r="H71" s="272"/>
      <c r="I71" s="241"/>
      <c r="J71" s="241"/>
      <c r="K71" s="272"/>
      <c r="L71" s="272"/>
      <c r="M71" s="272"/>
      <c r="N71" s="103"/>
      <c r="O71" s="278"/>
      <c r="P71" s="103"/>
    </row>
    <row r="72" spans="1:16" s="73" customFormat="1" ht="20.25" customHeight="1">
      <c r="A72" s="389" t="s">
        <v>1133</v>
      </c>
      <c r="B72" s="389"/>
      <c r="C72" s="397" t="s">
        <v>968</v>
      </c>
      <c r="D72" s="397"/>
      <c r="E72" s="397"/>
      <c r="F72" s="397"/>
      <c r="G72" s="397"/>
      <c r="H72" s="397" t="s">
        <v>1046</v>
      </c>
      <c r="I72" s="397"/>
      <c r="J72" s="397"/>
      <c r="K72" s="397"/>
      <c r="L72" s="397"/>
      <c r="M72" s="397"/>
      <c r="N72" s="397" t="s">
        <v>1005</v>
      </c>
      <c r="O72" s="397"/>
      <c r="P72" s="397"/>
    </row>
  </sheetData>
  <mergeCells count="53">
    <mergeCell ref="H1:P1"/>
    <mergeCell ref="H2:P2"/>
    <mergeCell ref="A3:AK3"/>
    <mergeCell ref="H4:P4"/>
    <mergeCell ref="P51:P52"/>
    <mergeCell ref="A28:E28"/>
    <mergeCell ref="A26:A27"/>
    <mergeCell ref="B26:B27"/>
    <mergeCell ref="C26:C27"/>
    <mergeCell ref="D26:D27"/>
    <mergeCell ref="E26:F26"/>
    <mergeCell ref="K26:K27"/>
    <mergeCell ref="L26:L27"/>
    <mergeCell ref="H6:P6"/>
    <mergeCell ref="H7:P7"/>
    <mergeCell ref="H8:P8"/>
    <mergeCell ref="A10:P10"/>
    <mergeCell ref="A11:AL11"/>
    <mergeCell ref="A12:C12"/>
    <mergeCell ref="A13:B13"/>
    <mergeCell ref="A14:B14"/>
    <mergeCell ref="A15:B15"/>
    <mergeCell ref="A16:B16"/>
    <mergeCell ref="L66:P66"/>
    <mergeCell ref="A17:B17"/>
    <mergeCell ref="H63:M63"/>
    <mergeCell ref="N63:P63"/>
    <mergeCell ref="D63:G63"/>
    <mergeCell ref="L57:P57"/>
    <mergeCell ref="D58:G58"/>
    <mergeCell ref="H58:M58"/>
    <mergeCell ref="N58:P58"/>
    <mergeCell ref="M26:M27"/>
    <mergeCell ref="N26:N27"/>
    <mergeCell ref="O26:O27"/>
    <mergeCell ref="A23:B23"/>
    <mergeCell ref="A18:AK18"/>
    <mergeCell ref="C67:G67"/>
    <mergeCell ref="H67:M67"/>
    <mergeCell ref="N67:P67"/>
    <mergeCell ref="A19:C19"/>
    <mergeCell ref="A20:B20"/>
    <mergeCell ref="A21:B21"/>
    <mergeCell ref="A22:B22"/>
    <mergeCell ref="I26:I27"/>
    <mergeCell ref="J26:J27"/>
    <mergeCell ref="H72:M72"/>
    <mergeCell ref="N72:P72"/>
    <mergeCell ref="A69:B69"/>
    <mergeCell ref="A70:B70"/>
    <mergeCell ref="A71:B71"/>
    <mergeCell ref="A72:B72"/>
    <mergeCell ref="C72:G72"/>
  </mergeCells>
  <pageMargins left="0.54" right="0" top="0.82677165354330717" bottom="0" header="0.31496062992125984" footer="0"/>
  <pageSetup paperSize="9" scale="8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101"/>
  <sheetViews>
    <sheetView topLeftCell="A13" zoomScaleNormal="100" workbookViewId="0">
      <selection activeCell="J15" sqref="J15:J16"/>
    </sheetView>
  </sheetViews>
  <sheetFormatPr defaultColWidth="9.140625" defaultRowHeight="15.75"/>
  <cols>
    <col min="1" max="1" width="5.28515625" style="73" customWidth="1"/>
    <col min="2" max="2" width="43.85546875" style="73" customWidth="1"/>
    <col min="3" max="3" width="7.85546875" style="73" customWidth="1"/>
    <col min="4" max="4" width="7.85546875" style="313" customWidth="1"/>
    <col min="5" max="5" width="7.5703125" style="313" customWidth="1"/>
    <col min="6" max="6" width="7.5703125" style="313" hidden="1" customWidth="1"/>
    <col min="7" max="7" width="7.5703125" style="73" customWidth="1"/>
    <col min="8" max="8" width="7.5703125" style="313" customWidth="1"/>
    <col min="9" max="9" width="15.42578125" style="348" customWidth="1"/>
    <col min="10" max="10" width="16.5703125" style="348" customWidth="1"/>
    <col min="11" max="11" width="9.140625" style="73"/>
    <col min="12" max="12" width="20.5703125" style="73" customWidth="1"/>
    <col min="13" max="13" width="12.42578125" style="73" customWidth="1"/>
    <col min="14" max="14" width="18.7109375" style="73" customWidth="1"/>
    <col min="15" max="15" width="15.140625" style="311" customWidth="1"/>
    <col min="16" max="16" width="0.140625" style="73" hidden="1" customWidth="1"/>
    <col min="17" max="16384" width="9.140625" style="73"/>
  </cols>
  <sheetData>
    <row r="1" spans="1:38" ht="15.75" customHeight="1">
      <c r="A1" s="72" t="s">
        <v>641</v>
      </c>
      <c r="B1" s="72"/>
      <c r="C1" s="72"/>
      <c r="D1" s="72"/>
      <c r="E1" s="72"/>
      <c r="F1" s="72"/>
      <c r="G1" s="72"/>
      <c r="H1" s="397" t="s">
        <v>642</v>
      </c>
      <c r="I1" s="397"/>
      <c r="J1" s="397"/>
      <c r="K1" s="397"/>
      <c r="L1" s="397"/>
      <c r="M1" s="397"/>
      <c r="N1" s="397"/>
      <c r="O1" s="397"/>
      <c r="P1" s="397"/>
      <c r="Q1" s="312"/>
      <c r="R1" s="312"/>
      <c r="S1" s="312"/>
      <c r="T1" s="312"/>
      <c r="W1" s="72"/>
      <c r="X1" s="72"/>
      <c r="Y1" s="72"/>
      <c r="Z1" s="72"/>
    </row>
    <row r="2" spans="1:38" ht="15" customHeight="1">
      <c r="A2" s="72" t="s">
        <v>596</v>
      </c>
      <c r="B2" s="72"/>
      <c r="C2" s="72"/>
      <c r="D2" s="72"/>
      <c r="E2" s="72"/>
      <c r="F2" s="72"/>
      <c r="G2" s="72"/>
      <c r="H2" s="398"/>
      <c r="I2" s="398"/>
      <c r="J2" s="398"/>
      <c r="K2" s="398"/>
      <c r="L2" s="398"/>
      <c r="M2" s="398"/>
      <c r="N2" s="398"/>
      <c r="O2" s="398"/>
      <c r="P2" s="398"/>
      <c r="Q2" s="313"/>
      <c r="R2" s="313"/>
      <c r="S2" s="313"/>
      <c r="T2" s="313"/>
      <c r="W2" s="72"/>
      <c r="X2" s="72"/>
      <c r="Y2" s="72"/>
      <c r="Z2" s="72"/>
    </row>
    <row r="3" spans="1:38" ht="42.75" hidden="1" customHeight="1">
      <c r="A3" s="397" t="s">
        <v>644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397"/>
      <c r="AD3" s="397"/>
      <c r="AE3" s="397"/>
      <c r="AF3" s="397"/>
      <c r="AG3" s="397"/>
      <c r="AH3" s="397"/>
      <c r="AI3" s="397"/>
      <c r="AJ3" s="397"/>
      <c r="AK3" s="397"/>
      <c r="AL3" s="397"/>
    </row>
    <row r="4" spans="1:38" ht="15" customHeight="1">
      <c r="A4" s="312"/>
      <c r="B4" s="312"/>
      <c r="C4" s="312"/>
      <c r="D4" s="312"/>
      <c r="E4" s="312"/>
      <c r="F4" s="312"/>
      <c r="G4" s="312"/>
      <c r="H4" s="398"/>
      <c r="I4" s="398"/>
      <c r="J4" s="398"/>
      <c r="K4" s="398"/>
      <c r="L4" s="398"/>
      <c r="M4" s="398"/>
      <c r="N4" s="398"/>
      <c r="O4" s="398"/>
      <c r="P4" s="398"/>
      <c r="X4" s="312"/>
      <c r="Y4" s="312"/>
      <c r="Z4" s="312"/>
      <c r="AA4" s="312"/>
    </row>
    <row r="5" spans="1:38" ht="6.75" customHeight="1">
      <c r="A5" s="312"/>
      <c r="B5" s="312"/>
      <c r="C5" s="312"/>
      <c r="D5" s="312"/>
      <c r="E5" s="312"/>
      <c r="F5" s="312"/>
      <c r="G5" s="312"/>
      <c r="K5" s="313"/>
      <c r="L5" s="313"/>
      <c r="M5" s="313"/>
      <c r="N5" s="313"/>
      <c r="O5" s="74"/>
      <c r="P5" s="313"/>
      <c r="X5" s="312"/>
      <c r="Y5" s="312"/>
      <c r="Z5" s="312"/>
      <c r="AA5" s="312"/>
    </row>
    <row r="6" spans="1:38" ht="40.5" customHeight="1">
      <c r="A6" s="399" t="s">
        <v>1158</v>
      </c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</row>
    <row r="7" spans="1:38" ht="18" customHeight="1">
      <c r="A7" s="394" t="s">
        <v>1159</v>
      </c>
      <c r="B7" s="394"/>
      <c r="C7" s="394"/>
      <c r="D7" s="394"/>
      <c r="E7" s="394"/>
      <c r="F7" s="394"/>
      <c r="G7" s="394"/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  <c r="AA7" s="394"/>
      <c r="AB7" s="394"/>
      <c r="AC7" s="394"/>
      <c r="AD7" s="394"/>
      <c r="AE7" s="394"/>
      <c r="AF7" s="394"/>
      <c r="AG7" s="394"/>
      <c r="AH7" s="394"/>
      <c r="AI7" s="394"/>
      <c r="AJ7" s="394"/>
      <c r="AK7" s="394"/>
      <c r="AL7" s="394"/>
    </row>
    <row r="8" spans="1:38" ht="15" customHeight="1">
      <c r="A8" s="393" t="s">
        <v>1002</v>
      </c>
      <c r="B8" s="393"/>
      <c r="C8" s="393"/>
      <c r="D8" s="73" t="s">
        <v>1003</v>
      </c>
      <c r="E8" s="312"/>
      <c r="F8" s="73"/>
      <c r="H8" s="311"/>
      <c r="I8" s="346"/>
      <c r="J8" s="346"/>
      <c r="K8" s="312"/>
      <c r="M8" s="76" t="s">
        <v>600</v>
      </c>
      <c r="N8" s="312"/>
      <c r="O8" s="74"/>
      <c r="U8" s="311"/>
      <c r="V8" s="77"/>
      <c r="Y8" s="78"/>
      <c r="Z8" s="312"/>
      <c r="AB8" s="312"/>
      <c r="AC8" s="312"/>
      <c r="AD8" s="311"/>
      <c r="AH8" s="313"/>
      <c r="AI8" s="311" t="s">
        <v>600</v>
      </c>
      <c r="AJ8" s="313"/>
      <c r="AK8" s="313"/>
      <c r="AL8" s="79"/>
    </row>
    <row r="9" spans="1:38" ht="15" customHeight="1">
      <c r="A9" s="393" t="s">
        <v>1045</v>
      </c>
      <c r="B9" s="393"/>
      <c r="D9" s="73" t="s">
        <v>602</v>
      </c>
      <c r="F9" s="73"/>
      <c r="H9" s="311"/>
      <c r="I9" s="346"/>
      <c r="J9" s="346"/>
      <c r="K9" s="312"/>
      <c r="M9" s="76" t="s">
        <v>603</v>
      </c>
      <c r="N9" s="312"/>
      <c r="O9" s="74"/>
      <c r="U9" s="311"/>
      <c r="V9" s="77"/>
      <c r="Y9" s="78"/>
      <c r="Z9" s="312"/>
      <c r="AB9" s="312"/>
      <c r="AC9" s="312"/>
      <c r="AD9" s="311"/>
      <c r="AH9" s="313"/>
      <c r="AI9" s="311" t="s">
        <v>603</v>
      </c>
      <c r="AJ9" s="313"/>
      <c r="AK9" s="313"/>
      <c r="AL9" s="79"/>
    </row>
    <row r="10" spans="1:38" ht="15" customHeight="1">
      <c r="A10" s="393" t="s">
        <v>604</v>
      </c>
      <c r="B10" s="393"/>
      <c r="D10" s="73" t="s">
        <v>605</v>
      </c>
      <c r="E10" s="312"/>
      <c r="F10" s="73"/>
      <c r="H10" s="311"/>
      <c r="I10" s="346"/>
      <c r="J10" s="346"/>
      <c r="K10" s="312"/>
      <c r="M10" s="76" t="s">
        <v>606</v>
      </c>
      <c r="N10" s="312"/>
      <c r="O10" s="74"/>
      <c r="U10" s="311"/>
      <c r="V10" s="77"/>
      <c r="Y10" s="78"/>
      <c r="Z10" s="312"/>
      <c r="AB10" s="312"/>
      <c r="AC10" s="312"/>
      <c r="AD10" s="311"/>
      <c r="AH10" s="313"/>
      <c r="AI10" s="311" t="s">
        <v>606</v>
      </c>
      <c r="AJ10" s="313"/>
      <c r="AK10" s="313"/>
      <c r="AL10" s="79"/>
    </row>
    <row r="11" spans="1:38" ht="15" customHeight="1">
      <c r="A11" s="393" t="s">
        <v>966</v>
      </c>
      <c r="B11" s="393"/>
      <c r="D11" s="73" t="s">
        <v>967</v>
      </c>
      <c r="E11" s="73"/>
      <c r="F11" s="73"/>
      <c r="H11" s="73"/>
      <c r="I11" s="73"/>
      <c r="J11" s="73"/>
      <c r="M11" s="76" t="s">
        <v>607</v>
      </c>
      <c r="O11" s="74"/>
      <c r="AH11" s="313"/>
      <c r="AI11" s="311" t="s">
        <v>607</v>
      </c>
      <c r="AJ11" s="313"/>
      <c r="AK11" s="313"/>
    </row>
    <row r="12" spans="1:38" ht="15" customHeight="1">
      <c r="A12" s="393" t="s">
        <v>608</v>
      </c>
      <c r="B12" s="393"/>
      <c r="D12" s="73"/>
      <c r="E12" s="73"/>
      <c r="F12" s="73"/>
      <c r="H12" s="73"/>
      <c r="I12" s="73"/>
      <c r="J12" s="73"/>
      <c r="O12" s="74"/>
      <c r="AH12" s="313"/>
      <c r="AI12" s="313"/>
      <c r="AJ12" s="313"/>
      <c r="AK12" s="313"/>
    </row>
    <row r="13" spans="1:38" ht="15.75" customHeight="1">
      <c r="A13" s="393" t="s">
        <v>609</v>
      </c>
      <c r="B13" s="393"/>
      <c r="D13" s="73"/>
      <c r="F13" s="80"/>
      <c r="H13" s="73"/>
      <c r="I13" s="73"/>
      <c r="J13" s="73"/>
      <c r="M13" s="313"/>
      <c r="O13" s="74"/>
      <c r="Z13" s="313"/>
      <c r="AC13" s="81"/>
      <c r="AH13" s="313"/>
      <c r="AI13" s="313"/>
      <c r="AJ13" s="313"/>
      <c r="AK13" s="313"/>
      <c r="AL13" s="79"/>
    </row>
    <row r="14" spans="1:38" ht="8.25" customHeight="1">
      <c r="A14" s="311"/>
      <c r="B14" s="311"/>
      <c r="D14" s="73"/>
      <c r="F14" s="80"/>
      <c r="H14" s="73"/>
      <c r="I14" s="73"/>
      <c r="J14" s="73"/>
      <c r="M14" s="313"/>
      <c r="O14" s="74"/>
      <c r="Z14" s="313"/>
      <c r="AC14" s="81"/>
      <c r="AH14" s="313"/>
      <c r="AI14" s="313"/>
      <c r="AJ14" s="313"/>
      <c r="AK14" s="313"/>
      <c r="AL14" s="79"/>
    </row>
    <row r="15" spans="1:38" s="83" customFormat="1" ht="44.25" customHeight="1">
      <c r="A15" s="425" t="s">
        <v>610</v>
      </c>
      <c r="B15" s="427" t="s">
        <v>611</v>
      </c>
      <c r="C15" s="425" t="s">
        <v>923</v>
      </c>
      <c r="D15" s="425" t="s">
        <v>613</v>
      </c>
      <c r="E15" s="425" t="s">
        <v>614</v>
      </c>
      <c r="F15" s="427"/>
      <c r="G15" s="82" t="s">
        <v>615</v>
      </c>
      <c r="H15" s="82" t="s">
        <v>616</v>
      </c>
      <c r="I15" s="448" t="s">
        <v>1074</v>
      </c>
      <c r="J15" s="448" t="s">
        <v>1075</v>
      </c>
      <c r="K15" s="425" t="s">
        <v>617</v>
      </c>
      <c r="L15" s="425" t="s">
        <v>618</v>
      </c>
      <c r="M15" s="425" t="s">
        <v>619</v>
      </c>
      <c r="N15" s="425" t="s">
        <v>620</v>
      </c>
      <c r="O15" s="425" t="s">
        <v>621</v>
      </c>
      <c r="P15" s="323"/>
    </row>
    <row r="16" spans="1:38" s="83" customFormat="1" ht="39" customHeight="1">
      <c r="A16" s="427"/>
      <c r="B16" s="427"/>
      <c r="C16" s="425"/>
      <c r="D16" s="427"/>
      <c r="E16" s="315" t="s">
        <v>7</v>
      </c>
      <c r="F16" s="82" t="s">
        <v>622</v>
      </c>
      <c r="G16" s="315" t="s">
        <v>7</v>
      </c>
      <c r="H16" s="315" t="s">
        <v>7</v>
      </c>
      <c r="I16" s="449"/>
      <c r="J16" s="449"/>
      <c r="K16" s="426"/>
      <c r="L16" s="426"/>
      <c r="M16" s="425"/>
      <c r="N16" s="425"/>
      <c r="O16" s="428"/>
      <c r="P16" s="323"/>
    </row>
    <row r="17" spans="1:16" s="87" customFormat="1" ht="42.75" customHeight="1">
      <c r="A17" s="424" t="s">
        <v>3</v>
      </c>
      <c r="B17" s="424"/>
      <c r="C17" s="424"/>
      <c r="D17" s="424"/>
      <c r="E17" s="424"/>
      <c r="F17" s="84"/>
      <c r="G17" s="84"/>
      <c r="H17" s="84"/>
      <c r="I17" s="84"/>
      <c r="J17" s="84"/>
      <c r="K17" s="85"/>
      <c r="L17" s="84"/>
      <c r="M17" s="84"/>
      <c r="N17" s="85"/>
      <c r="O17" s="315"/>
      <c r="P17" s="86"/>
    </row>
    <row r="18" spans="1:16" s="95" customFormat="1" ht="23.25" customHeight="1">
      <c r="A18" s="316" t="s">
        <v>10</v>
      </c>
      <c r="B18" s="88" t="s">
        <v>113</v>
      </c>
      <c r="C18" s="71"/>
      <c r="D18" s="89"/>
      <c r="E18" s="90"/>
      <c r="F18" s="89"/>
      <c r="G18" s="91"/>
      <c r="H18" s="90"/>
      <c r="I18" s="90"/>
      <c r="J18" s="90"/>
      <c r="K18" s="91"/>
      <c r="L18" s="90"/>
      <c r="M18" s="90"/>
      <c r="N18" s="92"/>
      <c r="O18" s="93"/>
      <c r="P18" s="94"/>
    </row>
    <row r="19" spans="1:16" s="95" customFormat="1" ht="16.5">
      <c r="A19" s="90">
        <v>1</v>
      </c>
      <c r="B19" s="91" t="s">
        <v>506</v>
      </c>
      <c r="C19" s="90" t="s">
        <v>71</v>
      </c>
      <c r="D19" s="90">
        <v>2022</v>
      </c>
      <c r="E19" s="90">
        <v>9</v>
      </c>
      <c r="F19" s="90">
        <v>9</v>
      </c>
      <c r="G19" s="90">
        <v>9</v>
      </c>
      <c r="H19" s="90">
        <v>0</v>
      </c>
      <c r="I19" s="90"/>
      <c r="J19" s="90"/>
      <c r="K19" s="93" t="s">
        <v>631</v>
      </c>
      <c r="L19" s="93" t="s">
        <v>885</v>
      </c>
      <c r="M19" s="93" t="s">
        <v>649</v>
      </c>
      <c r="N19" s="92" t="s">
        <v>952</v>
      </c>
      <c r="O19" s="93"/>
      <c r="P19" s="94"/>
    </row>
    <row r="20" spans="1:16" s="95" customFormat="1" ht="16.5">
      <c r="A20" s="90">
        <f t="shared" ref="A20:A28" si="0">A19+1</f>
        <v>2</v>
      </c>
      <c r="B20" s="91" t="s">
        <v>77</v>
      </c>
      <c r="C20" s="90" t="s">
        <v>71</v>
      </c>
      <c r="D20" s="90">
        <v>2022</v>
      </c>
      <c r="E20" s="90">
        <v>1</v>
      </c>
      <c r="F20" s="90">
        <v>1</v>
      </c>
      <c r="G20" s="90">
        <v>1</v>
      </c>
      <c r="H20" s="90">
        <v>0</v>
      </c>
      <c r="I20" s="90"/>
      <c r="J20" s="90"/>
      <c r="K20" s="93" t="s">
        <v>631</v>
      </c>
      <c r="L20" s="93" t="s">
        <v>885</v>
      </c>
      <c r="M20" s="93" t="s">
        <v>649</v>
      </c>
      <c r="N20" s="91"/>
      <c r="O20" s="93"/>
      <c r="P20" s="94"/>
    </row>
    <row r="21" spans="1:16" s="95" customFormat="1" ht="16.5">
      <c r="A21" s="90">
        <f t="shared" si="0"/>
        <v>3</v>
      </c>
      <c r="B21" s="91" t="s">
        <v>70</v>
      </c>
      <c r="C21" s="90" t="s">
        <v>71</v>
      </c>
      <c r="D21" s="90">
        <v>2022</v>
      </c>
      <c r="E21" s="90">
        <v>4</v>
      </c>
      <c r="F21" s="90">
        <v>4</v>
      </c>
      <c r="G21" s="90">
        <v>4</v>
      </c>
      <c r="H21" s="90">
        <v>0</v>
      </c>
      <c r="I21" s="90"/>
      <c r="J21" s="90"/>
      <c r="K21" s="93" t="s">
        <v>631</v>
      </c>
      <c r="L21" s="93" t="s">
        <v>885</v>
      </c>
      <c r="M21" s="93" t="s">
        <v>649</v>
      </c>
      <c r="N21" s="91"/>
      <c r="O21" s="93"/>
      <c r="P21" s="94"/>
    </row>
    <row r="22" spans="1:16" s="95" customFormat="1" ht="16.5">
      <c r="A22" s="90">
        <f t="shared" si="0"/>
        <v>4</v>
      </c>
      <c r="B22" s="91" t="s">
        <v>67</v>
      </c>
      <c r="C22" s="90" t="s">
        <v>71</v>
      </c>
      <c r="D22" s="90">
        <v>2022</v>
      </c>
      <c r="E22" s="90">
        <v>1</v>
      </c>
      <c r="F22" s="90">
        <v>1</v>
      </c>
      <c r="G22" s="90">
        <v>1</v>
      </c>
      <c r="H22" s="90">
        <v>0</v>
      </c>
      <c r="I22" s="90"/>
      <c r="J22" s="90"/>
      <c r="K22" s="93" t="s">
        <v>631</v>
      </c>
      <c r="L22" s="93" t="s">
        <v>885</v>
      </c>
      <c r="M22" s="93" t="s">
        <v>649</v>
      </c>
      <c r="N22" s="91"/>
      <c r="O22" s="93"/>
      <c r="P22" s="94"/>
    </row>
    <row r="23" spans="1:16" s="95" customFormat="1" ht="16.5">
      <c r="A23" s="90">
        <f t="shared" si="0"/>
        <v>5</v>
      </c>
      <c r="B23" s="91" t="s">
        <v>482</v>
      </c>
      <c r="C23" s="90" t="s">
        <v>71</v>
      </c>
      <c r="D23" s="90">
        <v>2022</v>
      </c>
      <c r="E23" s="90">
        <v>1</v>
      </c>
      <c r="F23" s="90">
        <v>1</v>
      </c>
      <c r="G23" s="90">
        <v>1</v>
      </c>
      <c r="H23" s="90">
        <v>0</v>
      </c>
      <c r="I23" s="90"/>
      <c r="J23" s="90"/>
      <c r="K23" s="93" t="s">
        <v>631</v>
      </c>
      <c r="L23" s="93" t="s">
        <v>885</v>
      </c>
      <c r="M23" s="93" t="s">
        <v>649</v>
      </c>
      <c r="N23" s="91"/>
      <c r="O23" s="93"/>
      <c r="P23" s="94"/>
    </row>
    <row r="24" spans="1:16" s="95" customFormat="1" ht="16.5">
      <c r="A24" s="90">
        <f t="shared" si="0"/>
        <v>6</v>
      </c>
      <c r="B24" s="91" t="s">
        <v>884</v>
      </c>
      <c r="C24" s="90" t="s">
        <v>71</v>
      </c>
      <c r="D24" s="90">
        <v>2022</v>
      </c>
      <c r="E24" s="90">
        <v>3</v>
      </c>
      <c r="F24" s="90">
        <v>3</v>
      </c>
      <c r="G24" s="90">
        <v>3</v>
      </c>
      <c r="H24" s="90">
        <v>0</v>
      </c>
      <c r="I24" s="357">
        <v>15675000</v>
      </c>
      <c r="J24" s="358">
        <f>+G24*I24</f>
        <v>47025000</v>
      </c>
      <c r="K24" s="93" t="s">
        <v>631</v>
      </c>
      <c r="L24" s="93" t="s">
        <v>885</v>
      </c>
      <c r="M24" s="93" t="s">
        <v>649</v>
      </c>
      <c r="N24" s="91"/>
      <c r="O24" s="93"/>
      <c r="P24" s="94"/>
    </row>
    <row r="25" spans="1:16" s="95" customFormat="1" ht="16.5">
      <c r="A25" s="90">
        <f t="shared" si="0"/>
        <v>7</v>
      </c>
      <c r="B25" s="91" t="s">
        <v>382</v>
      </c>
      <c r="C25" s="90" t="s">
        <v>71</v>
      </c>
      <c r="D25" s="90">
        <v>2022</v>
      </c>
      <c r="E25" s="90">
        <v>4</v>
      </c>
      <c r="F25" s="90">
        <v>4</v>
      </c>
      <c r="G25" s="90">
        <v>4</v>
      </c>
      <c r="H25" s="90">
        <v>0</v>
      </c>
      <c r="I25" s="90"/>
      <c r="J25" s="90"/>
      <c r="K25" s="93" t="s">
        <v>631</v>
      </c>
      <c r="L25" s="93" t="s">
        <v>885</v>
      </c>
      <c r="M25" s="93" t="s">
        <v>649</v>
      </c>
      <c r="N25" s="91"/>
      <c r="O25" s="93"/>
      <c r="P25" s="94"/>
    </row>
    <row r="26" spans="1:16" s="95" customFormat="1" ht="16.5">
      <c r="A26" s="90">
        <f t="shared" si="0"/>
        <v>8</v>
      </c>
      <c r="B26" s="96" t="s">
        <v>319</v>
      </c>
      <c r="C26" s="90" t="s">
        <v>191</v>
      </c>
      <c r="D26" s="90">
        <v>2022</v>
      </c>
      <c r="E26" s="90">
        <v>1</v>
      </c>
      <c r="F26" s="90">
        <v>1</v>
      </c>
      <c r="G26" s="90">
        <v>1</v>
      </c>
      <c r="H26" s="90">
        <v>0</v>
      </c>
      <c r="I26" s="90"/>
      <c r="J26" s="90"/>
      <c r="K26" s="93" t="s">
        <v>631</v>
      </c>
      <c r="L26" s="93" t="s">
        <v>885</v>
      </c>
      <c r="M26" s="93" t="s">
        <v>649</v>
      </c>
      <c r="N26" s="91"/>
      <c r="O26" s="93"/>
      <c r="P26" s="94"/>
    </row>
    <row r="27" spans="1:16" s="95" customFormat="1" ht="30">
      <c r="A27" s="90">
        <f t="shared" si="0"/>
        <v>9</v>
      </c>
      <c r="B27" s="71" t="s">
        <v>342</v>
      </c>
      <c r="C27" s="90" t="s">
        <v>191</v>
      </c>
      <c r="D27" s="90">
        <v>2022</v>
      </c>
      <c r="E27" s="90">
        <v>4</v>
      </c>
      <c r="F27" s="90">
        <v>4</v>
      </c>
      <c r="G27" s="90">
        <v>4</v>
      </c>
      <c r="H27" s="90">
        <v>0</v>
      </c>
      <c r="I27" s="90"/>
      <c r="J27" s="90"/>
      <c r="K27" s="93" t="s">
        <v>631</v>
      </c>
      <c r="L27" s="93" t="s">
        <v>885</v>
      </c>
      <c r="M27" s="93" t="s">
        <v>649</v>
      </c>
      <c r="N27" s="91"/>
      <c r="O27" s="93"/>
      <c r="P27" s="94"/>
    </row>
    <row r="28" spans="1:16" s="95" customFormat="1" ht="16.5">
      <c r="A28" s="90">
        <f t="shared" si="0"/>
        <v>10</v>
      </c>
      <c r="B28" s="71" t="s">
        <v>315</v>
      </c>
      <c r="C28" s="90" t="s">
        <v>71</v>
      </c>
      <c r="D28" s="90">
        <v>2022</v>
      </c>
      <c r="E28" s="90">
        <v>1</v>
      </c>
      <c r="F28" s="90">
        <v>1</v>
      </c>
      <c r="G28" s="90">
        <v>1</v>
      </c>
      <c r="H28" s="90">
        <v>0</v>
      </c>
      <c r="I28" s="90"/>
      <c r="J28" s="90"/>
      <c r="K28" s="93" t="s">
        <v>631</v>
      </c>
      <c r="L28" s="93" t="s">
        <v>885</v>
      </c>
      <c r="M28" s="93" t="s">
        <v>649</v>
      </c>
      <c r="N28" s="91"/>
      <c r="O28" s="93"/>
      <c r="P28" s="94"/>
    </row>
    <row r="29" spans="1:16" s="100" customFormat="1" ht="16.5">
      <c r="A29" s="315" t="s">
        <v>193</v>
      </c>
      <c r="B29" s="88" t="s">
        <v>114</v>
      </c>
      <c r="C29" s="71"/>
      <c r="D29" s="97"/>
      <c r="E29" s="98"/>
      <c r="F29" s="98"/>
      <c r="G29" s="90"/>
      <c r="H29" s="93"/>
      <c r="I29" s="93"/>
      <c r="J29" s="93"/>
      <c r="K29" s="99"/>
      <c r="L29" s="93"/>
      <c r="M29" s="93"/>
      <c r="N29" s="92" t="s">
        <v>952</v>
      </c>
      <c r="O29" s="93"/>
      <c r="P29" s="94"/>
    </row>
    <row r="30" spans="1:16" s="100" customFormat="1" ht="16.5">
      <c r="A30" s="90">
        <v>1</v>
      </c>
      <c r="B30" s="91" t="s">
        <v>886</v>
      </c>
      <c r="C30" s="90" t="s">
        <v>71</v>
      </c>
      <c r="D30" s="93">
        <v>2022</v>
      </c>
      <c r="E30" s="90">
        <v>6</v>
      </c>
      <c r="F30" s="90">
        <v>6</v>
      </c>
      <c r="G30" s="90">
        <v>6</v>
      </c>
      <c r="H30" s="93">
        <v>0</v>
      </c>
      <c r="I30" s="93"/>
      <c r="J30" s="93"/>
      <c r="K30" s="93" t="s">
        <v>631</v>
      </c>
      <c r="L30" s="93" t="s">
        <v>652</v>
      </c>
      <c r="M30" s="93" t="s">
        <v>649</v>
      </c>
      <c r="N30" s="99"/>
      <c r="O30" s="93"/>
      <c r="P30" s="94"/>
    </row>
    <row r="31" spans="1:16" s="100" customFormat="1" ht="16.5">
      <c r="A31" s="90">
        <f t="shared" ref="A31:A39" si="1">A30+1</f>
        <v>2</v>
      </c>
      <c r="B31" s="91" t="s">
        <v>101</v>
      </c>
      <c r="C31" s="90" t="s">
        <v>71</v>
      </c>
      <c r="D31" s="90">
        <v>2022</v>
      </c>
      <c r="E31" s="90">
        <v>1</v>
      </c>
      <c r="F31" s="90">
        <v>1</v>
      </c>
      <c r="G31" s="90">
        <v>1</v>
      </c>
      <c r="H31" s="93">
        <v>0</v>
      </c>
      <c r="I31" s="93"/>
      <c r="J31" s="93"/>
      <c r="K31" s="93" t="s">
        <v>631</v>
      </c>
      <c r="L31" s="93" t="s">
        <v>652</v>
      </c>
      <c r="M31" s="93" t="s">
        <v>649</v>
      </c>
      <c r="N31" s="99"/>
      <c r="O31" s="93"/>
      <c r="P31" s="94"/>
    </row>
    <row r="32" spans="1:16" s="100" customFormat="1" ht="16.5">
      <c r="A32" s="90">
        <f t="shared" si="1"/>
        <v>3</v>
      </c>
      <c r="B32" s="91" t="s">
        <v>70</v>
      </c>
      <c r="C32" s="90" t="s">
        <v>71</v>
      </c>
      <c r="D32" s="93">
        <v>2022</v>
      </c>
      <c r="E32" s="90">
        <v>3</v>
      </c>
      <c r="F32" s="90">
        <v>3</v>
      </c>
      <c r="G32" s="90">
        <v>3</v>
      </c>
      <c r="H32" s="93">
        <v>0</v>
      </c>
      <c r="I32" s="93"/>
      <c r="J32" s="93"/>
      <c r="K32" s="93" t="s">
        <v>631</v>
      </c>
      <c r="L32" s="93" t="s">
        <v>652</v>
      </c>
      <c r="M32" s="93" t="s">
        <v>649</v>
      </c>
      <c r="N32" s="99"/>
      <c r="O32" s="93"/>
      <c r="P32" s="94"/>
    </row>
    <row r="33" spans="1:16" s="100" customFormat="1" ht="16.5">
      <c r="A33" s="90">
        <f t="shared" si="1"/>
        <v>4</v>
      </c>
      <c r="B33" s="91" t="s">
        <v>67</v>
      </c>
      <c r="C33" s="90" t="s">
        <v>71</v>
      </c>
      <c r="D33" s="90">
        <v>2022</v>
      </c>
      <c r="E33" s="90">
        <v>1</v>
      </c>
      <c r="F33" s="90">
        <v>1</v>
      </c>
      <c r="G33" s="90">
        <v>1</v>
      </c>
      <c r="H33" s="93">
        <v>0</v>
      </c>
      <c r="I33" s="93"/>
      <c r="J33" s="93"/>
      <c r="K33" s="93" t="s">
        <v>631</v>
      </c>
      <c r="L33" s="93" t="s">
        <v>652</v>
      </c>
      <c r="M33" s="93" t="s">
        <v>649</v>
      </c>
      <c r="N33" s="99"/>
      <c r="O33" s="93"/>
      <c r="P33" s="94"/>
    </row>
    <row r="34" spans="1:16" s="100" customFormat="1" ht="16.5">
      <c r="A34" s="90">
        <f t="shared" si="1"/>
        <v>5</v>
      </c>
      <c r="B34" s="91" t="s">
        <v>471</v>
      </c>
      <c r="C34" s="90" t="s">
        <v>71</v>
      </c>
      <c r="D34" s="93">
        <v>2022</v>
      </c>
      <c r="E34" s="90">
        <v>1</v>
      </c>
      <c r="F34" s="90">
        <v>1</v>
      </c>
      <c r="G34" s="90">
        <v>1</v>
      </c>
      <c r="H34" s="93">
        <v>0</v>
      </c>
      <c r="I34" s="93"/>
      <c r="J34" s="93"/>
      <c r="K34" s="93" t="s">
        <v>631</v>
      </c>
      <c r="L34" s="93" t="s">
        <v>652</v>
      </c>
      <c r="M34" s="93" t="s">
        <v>649</v>
      </c>
      <c r="N34" s="99"/>
      <c r="O34" s="93"/>
      <c r="P34" s="94"/>
    </row>
    <row r="35" spans="1:16" s="100" customFormat="1" ht="16.5">
      <c r="A35" s="90">
        <f t="shared" si="1"/>
        <v>6</v>
      </c>
      <c r="B35" s="91" t="s">
        <v>887</v>
      </c>
      <c r="C35" s="90" t="s">
        <v>71</v>
      </c>
      <c r="D35" s="90">
        <v>2022</v>
      </c>
      <c r="E35" s="90">
        <v>2</v>
      </c>
      <c r="F35" s="90">
        <v>2</v>
      </c>
      <c r="G35" s="90">
        <v>2</v>
      </c>
      <c r="H35" s="93">
        <v>0</v>
      </c>
      <c r="I35" s="354">
        <v>12669000</v>
      </c>
      <c r="J35" s="355">
        <f>+G35*I35</f>
        <v>25338000</v>
      </c>
      <c r="K35" s="93" t="s">
        <v>631</v>
      </c>
      <c r="L35" s="93" t="s">
        <v>652</v>
      </c>
      <c r="M35" s="93" t="s">
        <v>649</v>
      </c>
      <c r="N35" s="99"/>
      <c r="O35" s="93"/>
      <c r="P35" s="94"/>
    </row>
    <row r="36" spans="1:16" s="100" customFormat="1" ht="16.5">
      <c r="A36" s="90">
        <f t="shared" si="1"/>
        <v>7</v>
      </c>
      <c r="B36" s="91" t="s">
        <v>382</v>
      </c>
      <c r="C36" s="90" t="s">
        <v>71</v>
      </c>
      <c r="D36" s="93">
        <v>2022</v>
      </c>
      <c r="E36" s="90">
        <v>2</v>
      </c>
      <c r="F36" s="90">
        <v>2</v>
      </c>
      <c r="G36" s="90">
        <v>2</v>
      </c>
      <c r="H36" s="93">
        <v>0</v>
      </c>
      <c r="I36" s="93"/>
      <c r="J36" s="93"/>
      <c r="K36" s="93" t="s">
        <v>631</v>
      </c>
      <c r="L36" s="93" t="s">
        <v>652</v>
      </c>
      <c r="M36" s="93" t="s">
        <v>649</v>
      </c>
      <c r="N36" s="99"/>
      <c r="O36" s="93"/>
      <c r="P36" s="94"/>
    </row>
    <row r="37" spans="1:16" s="100" customFormat="1" ht="16.5">
      <c r="A37" s="90">
        <f t="shared" si="1"/>
        <v>8</v>
      </c>
      <c r="B37" s="96" t="s">
        <v>319</v>
      </c>
      <c r="C37" s="90" t="s">
        <v>191</v>
      </c>
      <c r="D37" s="90">
        <v>2022</v>
      </c>
      <c r="E37" s="90">
        <v>1</v>
      </c>
      <c r="F37" s="90">
        <v>1</v>
      </c>
      <c r="G37" s="90">
        <v>1</v>
      </c>
      <c r="H37" s="93">
        <v>0</v>
      </c>
      <c r="I37" s="93"/>
      <c r="J37" s="93"/>
      <c r="K37" s="93" t="s">
        <v>631</v>
      </c>
      <c r="L37" s="93" t="s">
        <v>652</v>
      </c>
      <c r="M37" s="93" t="s">
        <v>649</v>
      </c>
      <c r="N37" s="99"/>
      <c r="O37" s="93"/>
      <c r="P37" s="94"/>
    </row>
    <row r="38" spans="1:16" s="100" customFormat="1" ht="30">
      <c r="A38" s="90">
        <f t="shared" si="1"/>
        <v>9</v>
      </c>
      <c r="B38" s="71" t="s">
        <v>342</v>
      </c>
      <c r="C38" s="90" t="s">
        <v>191</v>
      </c>
      <c r="D38" s="93">
        <v>2022</v>
      </c>
      <c r="E38" s="90">
        <v>2</v>
      </c>
      <c r="F38" s="90">
        <v>2</v>
      </c>
      <c r="G38" s="90">
        <v>2</v>
      </c>
      <c r="H38" s="93">
        <v>0</v>
      </c>
      <c r="I38" s="93"/>
      <c r="J38" s="93"/>
      <c r="K38" s="93" t="s">
        <v>631</v>
      </c>
      <c r="L38" s="93" t="s">
        <v>652</v>
      </c>
      <c r="M38" s="93" t="s">
        <v>649</v>
      </c>
      <c r="N38" s="99"/>
      <c r="O38" s="93"/>
      <c r="P38" s="94"/>
    </row>
    <row r="39" spans="1:16" s="100" customFormat="1" ht="16.5">
      <c r="A39" s="90">
        <f t="shared" si="1"/>
        <v>10</v>
      </c>
      <c r="B39" s="71" t="s">
        <v>315</v>
      </c>
      <c r="C39" s="90" t="s">
        <v>71</v>
      </c>
      <c r="D39" s="90">
        <v>2022</v>
      </c>
      <c r="E39" s="90">
        <v>1</v>
      </c>
      <c r="F39" s="90">
        <v>1</v>
      </c>
      <c r="G39" s="90">
        <v>1</v>
      </c>
      <c r="H39" s="93">
        <v>0</v>
      </c>
      <c r="I39" s="93"/>
      <c r="J39" s="93"/>
      <c r="K39" s="93" t="s">
        <v>631</v>
      </c>
      <c r="L39" s="93" t="s">
        <v>652</v>
      </c>
      <c r="M39" s="93" t="s">
        <v>649</v>
      </c>
      <c r="N39" s="99"/>
      <c r="O39" s="93"/>
      <c r="P39" s="94"/>
    </row>
    <row r="40" spans="1:16" s="100" customFormat="1" ht="16.5">
      <c r="A40" s="315" t="s">
        <v>199</v>
      </c>
      <c r="B40" s="88" t="s">
        <v>655</v>
      </c>
      <c r="C40" s="71"/>
      <c r="D40" s="97"/>
      <c r="E40" s="98"/>
      <c r="F40" s="98"/>
      <c r="G40" s="90"/>
      <c r="H40" s="93"/>
      <c r="I40" s="93"/>
      <c r="J40" s="93"/>
      <c r="K40" s="99"/>
      <c r="L40" s="93"/>
      <c r="M40" s="93"/>
      <c r="N40" s="92"/>
      <c r="O40" s="93"/>
      <c r="P40" s="94"/>
    </row>
    <row r="41" spans="1:16" s="100" customFormat="1" ht="16.5">
      <c r="A41" s="90">
        <v>1</v>
      </c>
      <c r="B41" s="91" t="s">
        <v>506</v>
      </c>
      <c r="C41" s="90" t="s">
        <v>71</v>
      </c>
      <c r="D41" s="93">
        <v>2022</v>
      </c>
      <c r="E41" s="90">
        <v>10</v>
      </c>
      <c r="F41" s="90">
        <v>10</v>
      </c>
      <c r="G41" s="90">
        <v>10</v>
      </c>
      <c r="H41" s="93">
        <v>0</v>
      </c>
      <c r="I41" s="93"/>
      <c r="J41" s="93"/>
      <c r="K41" s="93" t="s">
        <v>631</v>
      </c>
      <c r="L41" s="93" t="s">
        <v>654</v>
      </c>
      <c r="M41" s="93" t="s">
        <v>649</v>
      </c>
      <c r="N41" s="99"/>
      <c r="O41" s="93"/>
      <c r="P41" s="94"/>
    </row>
    <row r="42" spans="1:16" s="100" customFormat="1" ht="16.5">
      <c r="A42" s="90">
        <f t="shared" ref="A42:A50" si="2">A41+1</f>
        <v>2</v>
      </c>
      <c r="B42" s="91" t="s">
        <v>101</v>
      </c>
      <c r="C42" s="90" t="s">
        <v>71</v>
      </c>
      <c r="D42" s="93">
        <v>2022</v>
      </c>
      <c r="E42" s="90">
        <v>2</v>
      </c>
      <c r="F42" s="90">
        <v>2</v>
      </c>
      <c r="G42" s="90">
        <v>2</v>
      </c>
      <c r="H42" s="93">
        <v>0</v>
      </c>
      <c r="I42" s="93"/>
      <c r="J42" s="93"/>
      <c r="K42" s="93" t="s">
        <v>631</v>
      </c>
      <c r="L42" s="93" t="s">
        <v>654</v>
      </c>
      <c r="M42" s="93" t="s">
        <v>649</v>
      </c>
      <c r="N42" s="99"/>
      <c r="O42" s="93"/>
      <c r="P42" s="94"/>
    </row>
    <row r="43" spans="1:16" s="100" customFormat="1" ht="16.5">
      <c r="A43" s="90">
        <f t="shared" si="2"/>
        <v>3</v>
      </c>
      <c r="B43" s="91" t="s">
        <v>70</v>
      </c>
      <c r="C43" s="90" t="s">
        <v>71</v>
      </c>
      <c r="D43" s="93">
        <v>2022</v>
      </c>
      <c r="E43" s="90">
        <v>6</v>
      </c>
      <c r="F43" s="90">
        <v>6</v>
      </c>
      <c r="G43" s="90">
        <v>6</v>
      </c>
      <c r="H43" s="93">
        <v>0</v>
      </c>
      <c r="I43" s="93"/>
      <c r="J43" s="93"/>
      <c r="K43" s="93" t="s">
        <v>631</v>
      </c>
      <c r="L43" s="93" t="s">
        <v>654</v>
      </c>
      <c r="M43" s="93" t="s">
        <v>649</v>
      </c>
      <c r="N43" s="99"/>
      <c r="O43" s="93"/>
      <c r="P43" s="94"/>
    </row>
    <row r="44" spans="1:16" s="100" customFormat="1" ht="16.5">
      <c r="A44" s="90">
        <f t="shared" si="2"/>
        <v>4</v>
      </c>
      <c r="B44" s="91" t="s">
        <v>67</v>
      </c>
      <c r="C44" s="90" t="s">
        <v>71</v>
      </c>
      <c r="D44" s="93">
        <v>2022</v>
      </c>
      <c r="E44" s="90">
        <v>1</v>
      </c>
      <c r="F44" s="90">
        <v>1</v>
      </c>
      <c r="G44" s="90">
        <v>1</v>
      </c>
      <c r="H44" s="93">
        <v>0</v>
      </c>
      <c r="I44" s="93"/>
      <c r="J44" s="93"/>
      <c r="K44" s="93" t="s">
        <v>631</v>
      </c>
      <c r="L44" s="93" t="s">
        <v>654</v>
      </c>
      <c r="M44" s="93" t="s">
        <v>649</v>
      </c>
      <c r="N44" s="99"/>
      <c r="O44" s="93"/>
      <c r="P44" s="94"/>
    </row>
    <row r="45" spans="1:16" s="100" customFormat="1" ht="16.5">
      <c r="A45" s="90">
        <f t="shared" si="2"/>
        <v>5</v>
      </c>
      <c r="B45" s="91" t="s">
        <v>482</v>
      </c>
      <c r="C45" s="90" t="s">
        <v>71</v>
      </c>
      <c r="D45" s="93">
        <v>2022</v>
      </c>
      <c r="E45" s="90">
        <v>1</v>
      </c>
      <c r="F45" s="90">
        <v>1</v>
      </c>
      <c r="G45" s="90">
        <v>1</v>
      </c>
      <c r="H45" s="93">
        <v>0</v>
      </c>
      <c r="I45" s="93"/>
      <c r="J45" s="93"/>
      <c r="K45" s="93" t="s">
        <v>631</v>
      </c>
      <c r="L45" s="93" t="s">
        <v>654</v>
      </c>
      <c r="M45" s="93" t="s">
        <v>649</v>
      </c>
      <c r="N45" s="99"/>
      <c r="O45" s="93"/>
      <c r="P45" s="94"/>
    </row>
    <row r="46" spans="1:16" s="100" customFormat="1" ht="16.5">
      <c r="A46" s="90">
        <f t="shared" si="2"/>
        <v>6</v>
      </c>
      <c r="B46" s="91" t="s">
        <v>888</v>
      </c>
      <c r="C46" s="90" t="s">
        <v>71</v>
      </c>
      <c r="D46" s="93">
        <v>2022</v>
      </c>
      <c r="E46" s="90">
        <v>3</v>
      </c>
      <c r="F46" s="90">
        <v>3</v>
      </c>
      <c r="G46" s="90">
        <v>3</v>
      </c>
      <c r="H46" s="93">
        <v>0</v>
      </c>
      <c r="I46" s="354">
        <v>12669000</v>
      </c>
      <c r="J46" s="355">
        <f>+G46*I46</f>
        <v>38007000</v>
      </c>
      <c r="K46" s="93" t="s">
        <v>631</v>
      </c>
      <c r="L46" s="93" t="s">
        <v>654</v>
      </c>
      <c r="M46" s="93" t="s">
        <v>649</v>
      </c>
      <c r="N46" s="99"/>
      <c r="O46" s="93"/>
      <c r="P46" s="94"/>
    </row>
    <row r="47" spans="1:16" s="100" customFormat="1" ht="16.5">
      <c r="A47" s="90">
        <f t="shared" si="2"/>
        <v>7</v>
      </c>
      <c r="B47" s="91" t="s">
        <v>382</v>
      </c>
      <c r="C47" s="90" t="s">
        <v>71</v>
      </c>
      <c r="D47" s="93">
        <v>2022</v>
      </c>
      <c r="E47" s="90">
        <v>3</v>
      </c>
      <c r="F47" s="90">
        <v>3</v>
      </c>
      <c r="G47" s="90">
        <v>3</v>
      </c>
      <c r="H47" s="93">
        <v>0</v>
      </c>
      <c r="I47" s="93"/>
      <c r="J47" s="93"/>
      <c r="K47" s="93" t="s">
        <v>631</v>
      </c>
      <c r="L47" s="93" t="s">
        <v>654</v>
      </c>
      <c r="M47" s="93" t="s">
        <v>649</v>
      </c>
      <c r="N47" s="99"/>
      <c r="O47" s="93"/>
      <c r="P47" s="94"/>
    </row>
    <row r="48" spans="1:16" s="100" customFormat="1" ht="16.5">
      <c r="A48" s="90">
        <f t="shared" si="2"/>
        <v>8</v>
      </c>
      <c r="B48" s="96" t="s">
        <v>319</v>
      </c>
      <c r="C48" s="90" t="s">
        <v>191</v>
      </c>
      <c r="D48" s="93">
        <v>2022</v>
      </c>
      <c r="E48" s="90">
        <v>2</v>
      </c>
      <c r="F48" s="90">
        <v>2</v>
      </c>
      <c r="G48" s="90">
        <v>2</v>
      </c>
      <c r="H48" s="93">
        <v>0</v>
      </c>
      <c r="I48" s="93"/>
      <c r="J48" s="93"/>
      <c r="K48" s="93" t="s">
        <v>631</v>
      </c>
      <c r="L48" s="93" t="s">
        <v>654</v>
      </c>
      <c r="M48" s="93" t="s">
        <v>649</v>
      </c>
      <c r="N48" s="99"/>
      <c r="O48" s="93"/>
      <c r="P48" s="94"/>
    </row>
    <row r="49" spans="1:16" s="100" customFormat="1" ht="30">
      <c r="A49" s="90">
        <f t="shared" si="2"/>
        <v>9</v>
      </c>
      <c r="B49" s="71" t="s">
        <v>342</v>
      </c>
      <c r="C49" s="90" t="s">
        <v>191</v>
      </c>
      <c r="D49" s="93">
        <v>2022</v>
      </c>
      <c r="E49" s="90">
        <v>8</v>
      </c>
      <c r="F49" s="90">
        <v>8</v>
      </c>
      <c r="G49" s="90">
        <v>8</v>
      </c>
      <c r="H49" s="93">
        <v>0</v>
      </c>
      <c r="I49" s="93"/>
      <c r="J49" s="93"/>
      <c r="K49" s="93" t="s">
        <v>631</v>
      </c>
      <c r="L49" s="93" t="s">
        <v>654</v>
      </c>
      <c r="M49" s="93" t="s">
        <v>649</v>
      </c>
      <c r="N49" s="99"/>
      <c r="O49" s="97"/>
      <c r="P49" s="101"/>
    </row>
    <row r="50" spans="1:16" s="100" customFormat="1" ht="16.5">
      <c r="A50" s="90">
        <f t="shared" si="2"/>
        <v>10</v>
      </c>
      <c r="B50" s="71" t="s">
        <v>315</v>
      </c>
      <c r="C50" s="90" t="s">
        <v>71</v>
      </c>
      <c r="D50" s="93">
        <v>2022</v>
      </c>
      <c r="E50" s="90">
        <v>1</v>
      </c>
      <c r="F50" s="90">
        <v>1</v>
      </c>
      <c r="G50" s="90">
        <v>1</v>
      </c>
      <c r="H50" s="93">
        <v>0</v>
      </c>
      <c r="I50" s="93"/>
      <c r="J50" s="93"/>
      <c r="K50" s="93" t="s">
        <v>631</v>
      </c>
      <c r="L50" s="93" t="s">
        <v>654</v>
      </c>
      <c r="M50" s="93" t="s">
        <v>649</v>
      </c>
      <c r="N50" s="99"/>
      <c r="O50" s="315"/>
      <c r="P50" s="101"/>
    </row>
    <row r="51" spans="1:16" s="210" customFormat="1" ht="28.5">
      <c r="A51" s="324" t="s">
        <v>667</v>
      </c>
      <c r="B51" s="325" t="s">
        <v>1044</v>
      </c>
      <c r="C51" s="326"/>
      <c r="D51" s="327"/>
      <c r="E51" s="328"/>
      <c r="F51" s="328"/>
      <c r="G51" s="329"/>
      <c r="H51" s="330"/>
      <c r="I51" s="330"/>
      <c r="J51" s="330"/>
      <c r="K51" s="331"/>
      <c r="L51" s="330"/>
      <c r="M51" s="330"/>
      <c r="N51" s="332" t="s">
        <v>952</v>
      </c>
      <c r="O51" s="208"/>
      <c r="P51" s="209"/>
    </row>
    <row r="52" spans="1:16" s="210" customFormat="1" ht="16.5">
      <c r="A52" s="329">
        <v>1</v>
      </c>
      <c r="B52" s="333" t="s">
        <v>506</v>
      </c>
      <c r="C52" s="329" t="s">
        <v>71</v>
      </c>
      <c r="D52" s="330">
        <v>2022</v>
      </c>
      <c r="E52" s="329">
        <v>4</v>
      </c>
      <c r="F52" s="329">
        <v>4</v>
      </c>
      <c r="G52" s="329">
        <v>4</v>
      </c>
      <c r="H52" s="330">
        <v>0</v>
      </c>
      <c r="I52" s="330"/>
      <c r="J52" s="330"/>
      <c r="K52" s="330" t="s">
        <v>631</v>
      </c>
      <c r="L52" s="330" t="s">
        <v>891</v>
      </c>
      <c r="M52" s="330" t="s">
        <v>649</v>
      </c>
      <c r="N52" s="331"/>
      <c r="O52" s="211"/>
      <c r="P52" s="209"/>
    </row>
    <row r="53" spans="1:16" s="210" customFormat="1" ht="16.5">
      <c r="A53" s="329">
        <f t="shared" ref="A53:A60" si="3">A52+1</f>
        <v>2</v>
      </c>
      <c r="B53" s="333" t="s">
        <v>101</v>
      </c>
      <c r="C53" s="329" t="s">
        <v>71</v>
      </c>
      <c r="D53" s="330">
        <v>2022</v>
      </c>
      <c r="E53" s="329">
        <v>1</v>
      </c>
      <c r="F53" s="329">
        <v>1</v>
      </c>
      <c r="G53" s="329">
        <v>1</v>
      </c>
      <c r="H53" s="330">
        <v>0</v>
      </c>
      <c r="I53" s="330"/>
      <c r="J53" s="330"/>
      <c r="K53" s="330" t="s">
        <v>631</v>
      </c>
      <c r="L53" s="330" t="s">
        <v>891</v>
      </c>
      <c r="M53" s="330" t="s">
        <v>649</v>
      </c>
      <c r="N53" s="331"/>
      <c r="O53" s="211"/>
      <c r="P53" s="209"/>
    </row>
    <row r="54" spans="1:16" s="210" customFormat="1" ht="16.5">
      <c r="A54" s="329">
        <f t="shared" si="3"/>
        <v>3</v>
      </c>
      <c r="B54" s="333" t="s">
        <v>70</v>
      </c>
      <c r="C54" s="329" t="s">
        <v>71</v>
      </c>
      <c r="D54" s="330">
        <v>2022</v>
      </c>
      <c r="E54" s="329">
        <v>4</v>
      </c>
      <c r="F54" s="329">
        <v>4</v>
      </c>
      <c r="G54" s="329">
        <v>4</v>
      </c>
      <c r="H54" s="330">
        <v>0</v>
      </c>
      <c r="I54" s="330"/>
      <c r="J54" s="330"/>
      <c r="K54" s="330" t="s">
        <v>631</v>
      </c>
      <c r="L54" s="330" t="s">
        <v>891</v>
      </c>
      <c r="M54" s="330" t="s">
        <v>649</v>
      </c>
      <c r="N54" s="331"/>
      <c r="O54" s="208"/>
      <c r="P54" s="209"/>
    </row>
    <row r="55" spans="1:16" s="210" customFormat="1" ht="16.5">
      <c r="A55" s="329">
        <f t="shared" si="3"/>
        <v>4</v>
      </c>
      <c r="B55" s="333" t="s">
        <v>67</v>
      </c>
      <c r="C55" s="329" t="s">
        <v>71</v>
      </c>
      <c r="D55" s="330">
        <v>2022</v>
      </c>
      <c r="E55" s="329">
        <v>1</v>
      </c>
      <c r="F55" s="329">
        <v>1</v>
      </c>
      <c r="G55" s="329">
        <v>1</v>
      </c>
      <c r="H55" s="330">
        <v>0</v>
      </c>
      <c r="I55" s="330"/>
      <c r="J55" s="330"/>
      <c r="K55" s="330" t="s">
        <v>631</v>
      </c>
      <c r="L55" s="330" t="s">
        <v>891</v>
      </c>
      <c r="M55" s="330" t="s">
        <v>649</v>
      </c>
      <c r="N55" s="331"/>
      <c r="O55" s="208"/>
      <c r="P55" s="209"/>
    </row>
    <row r="56" spans="1:16" s="210" customFormat="1" ht="16.5">
      <c r="A56" s="329">
        <f t="shared" si="3"/>
        <v>5</v>
      </c>
      <c r="B56" s="333" t="s">
        <v>464</v>
      </c>
      <c r="C56" s="329" t="s">
        <v>71</v>
      </c>
      <c r="D56" s="330">
        <v>2022</v>
      </c>
      <c r="E56" s="329">
        <v>1</v>
      </c>
      <c r="F56" s="329">
        <v>1</v>
      </c>
      <c r="G56" s="329">
        <v>1</v>
      </c>
      <c r="H56" s="330">
        <v>0</v>
      </c>
      <c r="I56" s="330"/>
      <c r="J56" s="330"/>
      <c r="K56" s="330" t="s">
        <v>631</v>
      </c>
      <c r="L56" s="330" t="s">
        <v>891</v>
      </c>
      <c r="M56" s="330" t="s">
        <v>649</v>
      </c>
      <c r="N56" s="331"/>
      <c r="O56" s="208"/>
      <c r="P56" s="209"/>
    </row>
    <row r="57" spans="1:16" s="210" customFormat="1" ht="16.5">
      <c r="A57" s="329">
        <f t="shared" si="3"/>
        <v>6</v>
      </c>
      <c r="B57" s="333" t="s">
        <v>887</v>
      </c>
      <c r="C57" s="329" t="s">
        <v>71</v>
      </c>
      <c r="D57" s="330">
        <v>2022</v>
      </c>
      <c r="E57" s="329">
        <v>1</v>
      </c>
      <c r="F57" s="329">
        <v>1</v>
      </c>
      <c r="G57" s="329">
        <v>1</v>
      </c>
      <c r="H57" s="330">
        <v>0</v>
      </c>
      <c r="I57" s="354">
        <v>12669000</v>
      </c>
      <c r="J57" s="355">
        <f>+G57*I57</f>
        <v>12669000</v>
      </c>
      <c r="K57" s="330" t="s">
        <v>631</v>
      </c>
      <c r="L57" s="330" t="s">
        <v>891</v>
      </c>
      <c r="M57" s="330" t="s">
        <v>649</v>
      </c>
      <c r="N57" s="331"/>
      <c r="O57" s="208"/>
      <c r="P57" s="209"/>
    </row>
    <row r="58" spans="1:16" s="210" customFormat="1" ht="18" customHeight="1">
      <c r="A58" s="329">
        <f t="shared" si="3"/>
        <v>7</v>
      </c>
      <c r="B58" s="333" t="s">
        <v>382</v>
      </c>
      <c r="C58" s="329" t="s">
        <v>71</v>
      </c>
      <c r="D58" s="330">
        <v>2022</v>
      </c>
      <c r="E58" s="329">
        <v>1</v>
      </c>
      <c r="F58" s="329">
        <v>1</v>
      </c>
      <c r="G58" s="329">
        <v>1</v>
      </c>
      <c r="H58" s="330">
        <v>0</v>
      </c>
      <c r="I58" s="330"/>
      <c r="J58" s="330"/>
      <c r="K58" s="330" t="s">
        <v>631</v>
      </c>
      <c r="L58" s="330" t="s">
        <v>891</v>
      </c>
      <c r="M58" s="330" t="s">
        <v>649</v>
      </c>
      <c r="N58" s="331"/>
      <c r="O58" s="208"/>
      <c r="P58" s="209" t="s">
        <v>589</v>
      </c>
    </row>
    <row r="59" spans="1:16" s="210" customFormat="1" ht="16.5">
      <c r="A59" s="329">
        <f t="shared" si="3"/>
        <v>8</v>
      </c>
      <c r="B59" s="334" t="s">
        <v>319</v>
      </c>
      <c r="C59" s="329" t="s">
        <v>191</v>
      </c>
      <c r="D59" s="330">
        <v>2022</v>
      </c>
      <c r="E59" s="329">
        <v>1</v>
      </c>
      <c r="F59" s="329">
        <v>1</v>
      </c>
      <c r="G59" s="329">
        <v>1</v>
      </c>
      <c r="H59" s="330">
        <v>0</v>
      </c>
      <c r="I59" s="330"/>
      <c r="J59" s="330"/>
      <c r="K59" s="330" t="s">
        <v>631</v>
      </c>
      <c r="L59" s="330" t="s">
        <v>891</v>
      </c>
      <c r="M59" s="330" t="s">
        <v>649</v>
      </c>
      <c r="N59" s="331"/>
      <c r="O59" s="208"/>
      <c r="P59" s="209"/>
    </row>
    <row r="60" spans="1:16" s="210" customFormat="1" ht="20.25" customHeight="1">
      <c r="A60" s="329">
        <f t="shared" si="3"/>
        <v>9</v>
      </c>
      <c r="B60" s="326" t="s">
        <v>342</v>
      </c>
      <c r="C60" s="329" t="s">
        <v>191</v>
      </c>
      <c r="D60" s="330">
        <v>2022</v>
      </c>
      <c r="E60" s="329">
        <v>2</v>
      </c>
      <c r="F60" s="329">
        <v>2</v>
      </c>
      <c r="G60" s="329">
        <v>2</v>
      </c>
      <c r="H60" s="330">
        <v>0</v>
      </c>
      <c r="I60" s="330"/>
      <c r="J60" s="330"/>
      <c r="K60" s="330" t="s">
        <v>631</v>
      </c>
      <c r="L60" s="330" t="s">
        <v>891</v>
      </c>
      <c r="M60" s="330" t="s">
        <v>649</v>
      </c>
      <c r="N60" s="331"/>
      <c r="O60" s="208"/>
      <c r="P60" s="209"/>
    </row>
    <row r="61" spans="1:16" s="100" customFormat="1" ht="16.5">
      <c r="A61" s="315" t="s">
        <v>670</v>
      </c>
      <c r="B61" s="102" t="s">
        <v>889</v>
      </c>
      <c r="C61" s="71"/>
      <c r="D61" s="97"/>
      <c r="E61" s="93"/>
      <c r="F61" s="97"/>
      <c r="G61" s="93"/>
      <c r="H61" s="93"/>
      <c r="I61" s="93"/>
      <c r="J61" s="93"/>
      <c r="K61" s="99"/>
      <c r="L61" s="93"/>
      <c r="M61" s="93"/>
      <c r="N61" s="92"/>
      <c r="O61" s="93"/>
      <c r="P61" s="94"/>
    </row>
    <row r="62" spans="1:16" s="100" customFormat="1" ht="18.75" customHeight="1">
      <c r="A62" s="90">
        <v>1</v>
      </c>
      <c r="B62" s="91" t="s">
        <v>886</v>
      </c>
      <c r="C62" s="90" t="s">
        <v>71</v>
      </c>
      <c r="D62" s="93">
        <v>2022</v>
      </c>
      <c r="E62" s="90">
        <v>6</v>
      </c>
      <c r="F62" s="98">
        <v>6</v>
      </c>
      <c r="G62" s="90">
        <v>6</v>
      </c>
      <c r="H62" s="93">
        <v>0</v>
      </c>
      <c r="I62" s="93"/>
      <c r="J62" s="93"/>
      <c r="K62" s="93" t="s">
        <v>631</v>
      </c>
      <c r="L62" s="93" t="s">
        <v>881</v>
      </c>
      <c r="M62" s="93" t="s">
        <v>649</v>
      </c>
      <c r="N62" s="99"/>
      <c r="O62" s="97"/>
      <c r="P62" s="94"/>
    </row>
    <row r="63" spans="1:16" s="100" customFormat="1" ht="18.75" customHeight="1">
      <c r="A63" s="90">
        <f t="shared" ref="A63:A71" si="4">A62+1</f>
        <v>2</v>
      </c>
      <c r="B63" s="91" t="s">
        <v>101</v>
      </c>
      <c r="C63" s="90" t="s">
        <v>71</v>
      </c>
      <c r="D63" s="93">
        <v>2022</v>
      </c>
      <c r="E63" s="90">
        <v>1</v>
      </c>
      <c r="F63" s="98">
        <v>1</v>
      </c>
      <c r="G63" s="90">
        <v>1</v>
      </c>
      <c r="H63" s="93">
        <v>0</v>
      </c>
      <c r="I63" s="93"/>
      <c r="J63" s="93"/>
      <c r="K63" s="93" t="s">
        <v>631</v>
      </c>
      <c r="L63" s="93" t="s">
        <v>881</v>
      </c>
      <c r="M63" s="93" t="s">
        <v>649</v>
      </c>
      <c r="N63" s="99"/>
      <c r="O63" s="97"/>
      <c r="P63" s="94"/>
    </row>
    <row r="64" spans="1:16" s="100" customFormat="1" ht="18.75" customHeight="1">
      <c r="A64" s="90">
        <f t="shared" si="4"/>
        <v>3</v>
      </c>
      <c r="B64" s="91" t="s">
        <v>70</v>
      </c>
      <c r="C64" s="90" t="s">
        <v>71</v>
      </c>
      <c r="D64" s="93">
        <v>2022</v>
      </c>
      <c r="E64" s="90">
        <v>6</v>
      </c>
      <c r="F64" s="98">
        <v>6</v>
      </c>
      <c r="G64" s="90">
        <v>6</v>
      </c>
      <c r="H64" s="93">
        <v>0</v>
      </c>
      <c r="I64" s="93"/>
      <c r="J64" s="93"/>
      <c r="K64" s="93" t="s">
        <v>631</v>
      </c>
      <c r="L64" s="93" t="s">
        <v>881</v>
      </c>
      <c r="M64" s="93" t="s">
        <v>649</v>
      </c>
      <c r="N64" s="99"/>
      <c r="O64" s="93"/>
      <c r="P64" s="94"/>
    </row>
    <row r="65" spans="1:16" s="100" customFormat="1" ht="18.75" customHeight="1">
      <c r="A65" s="90">
        <f t="shared" si="4"/>
        <v>4</v>
      </c>
      <c r="B65" s="91" t="s">
        <v>67</v>
      </c>
      <c r="C65" s="90" t="s">
        <v>71</v>
      </c>
      <c r="D65" s="93">
        <v>2022</v>
      </c>
      <c r="E65" s="90">
        <v>1</v>
      </c>
      <c r="F65" s="98">
        <v>1</v>
      </c>
      <c r="G65" s="90">
        <v>1</v>
      </c>
      <c r="H65" s="93">
        <v>0</v>
      </c>
      <c r="I65" s="93"/>
      <c r="J65" s="93"/>
      <c r="K65" s="93" t="s">
        <v>631</v>
      </c>
      <c r="L65" s="93" t="s">
        <v>881</v>
      </c>
      <c r="M65" s="93" t="s">
        <v>649</v>
      </c>
      <c r="N65" s="99"/>
      <c r="O65" s="93"/>
      <c r="P65" s="94"/>
    </row>
    <row r="66" spans="1:16" s="100" customFormat="1" ht="18.75" customHeight="1">
      <c r="A66" s="90">
        <f t="shared" si="4"/>
        <v>5</v>
      </c>
      <c r="B66" s="91" t="s">
        <v>471</v>
      </c>
      <c r="C66" s="90" t="s">
        <v>71</v>
      </c>
      <c r="D66" s="93">
        <v>2022</v>
      </c>
      <c r="E66" s="90">
        <v>1</v>
      </c>
      <c r="F66" s="98">
        <v>1</v>
      </c>
      <c r="G66" s="90">
        <v>1</v>
      </c>
      <c r="H66" s="93">
        <v>0</v>
      </c>
      <c r="I66" s="93"/>
      <c r="J66" s="93"/>
      <c r="K66" s="93" t="s">
        <v>631</v>
      </c>
      <c r="L66" s="93" t="s">
        <v>881</v>
      </c>
      <c r="M66" s="93" t="s">
        <v>649</v>
      </c>
      <c r="N66" s="99"/>
      <c r="O66" s="93"/>
      <c r="P66" s="94"/>
    </row>
    <row r="67" spans="1:16" s="100" customFormat="1" ht="18.75" customHeight="1">
      <c r="A67" s="90">
        <f t="shared" si="4"/>
        <v>6</v>
      </c>
      <c r="B67" s="91" t="s">
        <v>887</v>
      </c>
      <c r="C67" s="90" t="s">
        <v>71</v>
      </c>
      <c r="D67" s="93">
        <v>2022</v>
      </c>
      <c r="E67" s="90">
        <v>2</v>
      </c>
      <c r="F67" s="98">
        <v>2</v>
      </c>
      <c r="G67" s="90">
        <v>2</v>
      </c>
      <c r="H67" s="93">
        <v>0</v>
      </c>
      <c r="I67" s="354">
        <v>12669000</v>
      </c>
      <c r="J67" s="355">
        <f>+G67*I67</f>
        <v>25338000</v>
      </c>
      <c r="K67" s="93" t="s">
        <v>631</v>
      </c>
      <c r="L67" s="93" t="s">
        <v>881</v>
      </c>
      <c r="M67" s="93" t="s">
        <v>649</v>
      </c>
      <c r="N67" s="99"/>
      <c r="O67" s="93"/>
      <c r="P67" s="94"/>
    </row>
    <row r="68" spans="1:16" s="100" customFormat="1" ht="18.75" customHeight="1">
      <c r="A68" s="90">
        <f t="shared" si="4"/>
        <v>7</v>
      </c>
      <c r="B68" s="91" t="s">
        <v>382</v>
      </c>
      <c r="C68" s="98" t="s">
        <v>71</v>
      </c>
      <c r="D68" s="93">
        <v>2022</v>
      </c>
      <c r="E68" s="90">
        <v>2</v>
      </c>
      <c r="F68" s="98">
        <v>2</v>
      </c>
      <c r="G68" s="90">
        <v>2</v>
      </c>
      <c r="H68" s="93">
        <v>0</v>
      </c>
      <c r="I68" s="93"/>
      <c r="J68" s="93"/>
      <c r="K68" s="93" t="s">
        <v>631</v>
      </c>
      <c r="L68" s="93" t="s">
        <v>881</v>
      </c>
      <c r="M68" s="93" t="s">
        <v>649</v>
      </c>
      <c r="N68" s="99"/>
      <c r="O68" s="93"/>
      <c r="P68" s="94" t="s">
        <v>589</v>
      </c>
    </row>
    <row r="69" spans="1:16" s="100" customFormat="1" ht="18.75" customHeight="1">
      <c r="A69" s="98">
        <f t="shared" si="4"/>
        <v>8</v>
      </c>
      <c r="B69" s="96" t="s">
        <v>319</v>
      </c>
      <c r="C69" s="90" t="s">
        <v>191</v>
      </c>
      <c r="D69" s="93">
        <v>2022</v>
      </c>
      <c r="E69" s="90">
        <v>1</v>
      </c>
      <c r="F69" s="90">
        <v>1</v>
      </c>
      <c r="G69" s="90">
        <v>1</v>
      </c>
      <c r="H69" s="93">
        <v>0</v>
      </c>
      <c r="I69" s="93"/>
      <c r="J69" s="93"/>
      <c r="K69" s="93" t="s">
        <v>631</v>
      </c>
      <c r="L69" s="93" t="s">
        <v>881</v>
      </c>
      <c r="M69" s="93" t="s">
        <v>649</v>
      </c>
      <c r="N69" s="99"/>
      <c r="O69" s="93"/>
      <c r="P69" s="94"/>
    </row>
    <row r="70" spans="1:16" s="100" customFormat="1" ht="18.75" customHeight="1">
      <c r="A70" s="98">
        <f t="shared" si="4"/>
        <v>9</v>
      </c>
      <c r="B70" s="71" t="s">
        <v>342</v>
      </c>
      <c r="C70" s="90" t="s">
        <v>191</v>
      </c>
      <c r="D70" s="93">
        <v>2022</v>
      </c>
      <c r="E70" s="90">
        <v>6</v>
      </c>
      <c r="F70" s="90">
        <v>6</v>
      </c>
      <c r="G70" s="90">
        <v>6</v>
      </c>
      <c r="H70" s="93">
        <v>0</v>
      </c>
      <c r="I70" s="93"/>
      <c r="J70" s="93"/>
      <c r="K70" s="93" t="s">
        <v>631</v>
      </c>
      <c r="L70" s="93" t="s">
        <v>881</v>
      </c>
      <c r="M70" s="93" t="s">
        <v>649</v>
      </c>
      <c r="N70" s="99"/>
      <c r="O70" s="93"/>
      <c r="P70" s="94"/>
    </row>
    <row r="71" spans="1:16" s="100" customFormat="1" ht="18.75" customHeight="1">
      <c r="A71" s="98">
        <f t="shared" si="4"/>
        <v>10</v>
      </c>
      <c r="B71" s="71" t="s">
        <v>315</v>
      </c>
      <c r="C71" s="90" t="s">
        <v>71</v>
      </c>
      <c r="D71" s="93">
        <v>2022</v>
      </c>
      <c r="E71" s="90">
        <v>1</v>
      </c>
      <c r="F71" s="90">
        <v>1</v>
      </c>
      <c r="G71" s="90">
        <v>1</v>
      </c>
      <c r="H71" s="93">
        <v>0</v>
      </c>
      <c r="I71" s="93"/>
      <c r="J71" s="93"/>
      <c r="K71" s="93" t="s">
        <v>631</v>
      </c>
      <c r="L71" s="93" t="s">
        <v>881</v>
      </c>
      <c r="M71" s="93" t="s">
        <v>649</v>
      </c>
      <c r="N71" s="99"/>
      <c r="O71" s="315"/>
      <c r="P71" s="101"/>
    </row>
    <row r="72" spans="1:16" s="100" customFormat="1" ht="16.5">
      <c r="A72" s="316" t="s">
        <v>677</v>
      </c>
      <c r="B72" s="102" t="s">
        <v>312</v>
      </c>
      <c r="C72" s="90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2"/>
      <c r="O72" s="93"/>
      <c r="P72" s="94"/>
    </row>
    <row r="73" spans="1:16" s="100" customFormat="1" ht="16.5">
      <c r="A73" s="90">
        <v>1</v>
      </c>
      <c r="B73" s="91" t="s">
        <v>232</v>
      </c>
      <c r="C73" s="90" t="s">
        <v>71</v>
      </c>
      <c r="D73" s="93">
        <v>2022</v>
      </c>
      <c r="E73" s="90">
        <v>12</v>
      </c>
      <c r="F73" s="90">
        <v>12</v>
      </c>
      <c r="G73" s="90">
        <v>12</v>
      </c>
      <c r="H73" s="93">
        <v>0</v>
      </c>
      <c r="I73" s="93"/>
      <c r="J73" s="93"/>
      <c r="K73" s="93" t="s">
        <v>631</v>
      </c>
      <c r="L73" s="93" t="s">
        <v>892</v>
      </c>
      <c r="M73" s="93" t="s">
        <v>649</v>
      </c>
      <c r="N73" s="99"/>
      <c r="O73" s="93"/>
      <c r="P73" s="94"/>
    </row>
    <row r="74" spans="1:16" s="100" customFormat="1" ht="16.5">
      <c r="A74" s="90">
        <f t="shared" ref="A74:A83" si="5">A73+1</f>
        <v>2</v>
      </c>
      <c r="B74" s="91" t="s">
        <v>315</v>
      </c>
      <c r="C74" s="90" t="s">
        <v>71</v>
      </c>
      <c r="D74" s="93">
        <v>2022</v>
      </c>
      <c r="E74" s="90">
        <v>10</v>
      </c>
      <c r="F74" s="90">
        <v>10</v>
      </c>
      <c r="G74" s="90">
        <v>10</v>
      </c>
      <c r="H74" s="93">
        <v>0</v>
      </c>
      <c r="I74" s="93"/>
      <c r="J74" s="93"/>
      <c r="K74" s="93" t="s">
        <v>631</v>
      </c>
      <c r="L74" s="93" t="s">
        <v>892</v>
      </c>
      <c r="M74" s="93" t="s">
        <v>649</v>
      </c>
      <c r="N74" s="99"/>
      <c r="O74" s="93"/>
      <c r="P74" s="94"/>
    </row>
    <row r="75" spans="1:16" s="100" customFormat="1" ht="16.5">
      <c r="A75" s="90">
        <f t="shared" si="5"/>
        <v>3</v>
      </c>
      <c r="B75" s="91" t="s">
        <v>313</v>
      </c>
      <c r="C75" s="90" t="s">
        <v>71</v>
      </c>
      <c r="D75" s="93">
        <v>2022</v>
      </c>
      <c r="E75" s="90">
        <v>6</v>
      </c>
      <c r="F75" s="90">
        <v>6</v>
      </c>
      <c r="G75" s="90">
        <v>6</v>
      </c>
      <c r="H75" s="93">
        <v>0</v>
      </c>
      <c r="I75" s="93"/>
      <c r="J75" s="93"/>
      <c r="K75" s="93" t="s">
        <v>631</v>
      </c>
      <c r="L75" s="93" t="s">
        <v>892</v>
      </c>
      <c r="M75" s="93" t="s">
        <v>649</v>
      </c>
      <c r="N75" s="99"/>
      <c r="O75" s="93"/>
      <c r="P75" s="94"/>
    </row>
    <row r="76" spans="1:16" s="100" customFormat="1" ht="16.5">
      <c r="A76" s="90">
        <f t="shared" si="5"/>
        <v>4</v>
      </c>
      <c r="B76" s="91" t="s">
        <v>231</v>
      </c>
      <c r="C76" s="90" t="s">
        <v>71</v>
      </c>
      <c r="D76" s="93">
        <v>2022</v>
      </c>
      <c r="E76" s="90">
        <v>8</v>
      </c>
      <c r="F76" s="90">
        <v>8</v>
      </c>
      <c r="G76" s="90">
        <v>8</v>
      </c>
      <c r="H76" s="93">
        <v>0</v>
      </c>
      <c r="I76" s="93"/>
      <c r="J76" s="93"/>
      <c r="K76" s="93" t="s">
        <v>631</v>
      </c>
      <c r="L76" s="93" t="s">
        <v>892</v>
      </c>
      <c r="M76" s="93" t="s">
        <v>649</v>
      </c>
      <c r="N76" s="99"/>
      <c r="O76" s="93"/>
      <c r="P76" s="94"/>
    </row>
    <row r="77" spans="1:16" s="100" customFormat="1" ht="16.5">
      <c r="A77" s="90">
        <f t="shared" si="5"/>
        <v>5</v>
      </c>
      <c r="B77" s="91" t="s">
        <v>890</v>
      </c>
      <c r="C77" s="90" t="s">
        <v>191</v>
      </c>
      <c r="D77" s="93">
        <v>2022</v>
      </c>
      <c r="E77" s="90">
        <v>1</v>
      </c>
      <c r="F77" s="90">
        <v>1</v>
      </c>
      <c r="G77" s="90">
        <v>1</v>
      </c>
      <c r="H77" s="93">
        <v>0</v>
      </c>
      <c r="I77" s="93"/>
      <c r="J77" s="93"/>
      <c r="K77" s="93" t="s">
        <v>631</v>
      </c>
      <c r="L77" s="93" t="s">
        <v>892</v>
      </c>
      <c r="M77" s="93" t="s">
        <v>649</v>
      </c>
      <c r="N77" s="99"/>
      <c r="O77" s="93"/>
      <c r="P77" s="94"/>
    </row>
    <row r="78" spans="1:16" s="100" customFormat="1" ht="16.5">
      <c r="A78" s="90">
        <f t="shared" si="5"/>
        <v>6</v>
      </c>
      <c r="B78" s="91" t="s">
        <v>74</v>
      </c>
      <c r="C78" s="90" t="s">
        <v>71</v>
      </c>
      <c r="D78" s="93">
        <v>2022</v>
      </c>
      <c r="E78" s="90">
        <v>24</v>
      </c>
      <c r="F78" s="90">
        <v>24</v>
      </c>
      <c r="G78" s="90">
        <v>24</v>
      </c>
      <c r="H78" s="93">
        <v>0</v>
      </c>
      <c r="I78" s="93"/>
      <c r="J78" s="93"/>
      <c r="K78" s="93" t="s">
        <v>631</v>
      </c>
      <c r="L78" s="93" t="s">
        <v>892</v>
      </c>
      <c r="M78" s="93" t="s">
        <v>649</v>
      </c>
      <c r="N78" s="99"/>
      <c r="O78" s="93"/>
      <c r="P78" s="94"/>
    </row>
    <row r="79" spans="1:16" s="100" customFormat="1" ht="16.5">
      <c r="A79" s="90">
        <f t="shared" si="5"/>
        <v>7</v>
      </c>
      <c r="B79" s="91" t="s">
        <v>70</v>
      </c>
      <c r="C79" s="90" t="s">
        <v>71</v>
      </c>
      <c r="D79" s="93">
        <v>2022</v>
      </c>
      <c r="E79" s="90">
        <v>2</v>
      </c>
      <c r="F79" s="90">
        <v>2</v>
      </c>
      <c r="G79" s="90">
        <v>2</v>
      </c>
      <c r="H79" s="93">
        <v>0</v>
      </c>
      <c r="I79" s="93"/>
      <c r="J79" s="93"/>
      <c r="K79" s="93" t="s">
        <v>631</v>
      </c>
      <c r="L79" s="93" t="s">
        <v>892</v>
      </c>
      <c r="M79" s="93" t="s">
        <v>649</v>
      </c>
      <c r="N79" s="99"/>
      <c r="O79" s="93"/>
      <c r="P79" s="94"/>
    </row>
    <row r="80" spans="1:16" s="100" customFormat="1" ht="16.5">
      <c r="A80" s="90">
        <f t="shared" si="5"/>
        <v>8</v>
      </c>
      <c r="B80" s="91" t="s">
        <v>478</v>
      </c>
      <c r="C80" s="90" t="s">
        <v>71</v>
      </c>
      <c r="D80" s="93">
        <v>2022</v>
      </c>
      <c r="E80" s="90">
        <v>9</v>
      </c>
      <c r="F80" s="90">
        <v>9</v>
      </c>
      <c r="G80" s="90">
        <v>9</v>
      </c>
      <c r="H80" s="93">
        <v>0</v>
      </c>
      <c r="I80" s="93"/>
      <c r="J80" s="93"/>
      <c r="K80" s="93" t="s">
        <v>631</v>
      </c>
      <c r="L80" s="93" t="s">
        <v>892</v>
      </c>
      <c r="M80" s="93" t="s">
        <v>649</v>
      </c>
      <c r="N80" s="99"/>
      <c r="O80" s="93"/>
      <c r="P80" s="94"/>
    </row>
    <row r="81" spans="1:17" s="100" customFormat="1" ht="16.5">
      <c r="A81" s="90">
        <f t="shared" si="5"/>
        <v>9</v>
      </c>
      <c r="B81" s="91" t="s">
        <v>395</v>
      </c>
      <c r="C81" s="90" t="s">
        <v>71</v>
      </c>
      <c r="D81" s="93">
        <v>2022</v>
      </c>
      <c r="E81" s="90">
        <v>1</v>
      </c>
      <c r="F81" s="90">
        <v>1</v>
      </c>
      <c r="G81" s="90">
        <v>1</v>
      </c>
      <c r="H81" s="93">
        <v>0</v>
      </c>
      <c r="I81" s="93"/>
      <c r="J81" s="93"/>
      <c r="K81" s="93" t="s">
        <v>631</v>
      </c>
      <c r="L81" s="93" t="s">
        <v>892</v>
      </c>
      <c r="M81" s="93" t="s">
        <v>649</v>
      </c>
      <c r="N81" s="99"/>
      <c r="O81" s="93"/>
      <c r="P81" s="94"/>
    </row>
    <row r="82" spans="1:17" s="100" customFormat="1" ht="16.5">
      <c r="A82" s="90">
        <f t="shared" si="5"/>
        <v>10</v>
      </c>
      <c r="B82" s="91" t="s">
        <v>396</v>
      </c>
      <c r="C82" s="90" t="s">
        <v>71</v>
      </c>
      <c r="D82" s="93">
        <v>2022</v>
      </c>
      <c r="E82" s="90">
        <v>1</v>
      </c>
      <c r="F82" s="90">
        <v>1</v>
      </c>
      <c r="G82" s="90">
        <v>1</v>
      </c>
      <c r="H82" s="93">
        <v>0</v>
      </c>
      <c r="I82" s="93"/>
      <c r="J82" s="93"/>
      <c r="K82" s="93" t="s">
        <v>631</v>
      </c>
      <c r="L82" s="93" t="s">
        <v>892</v>
      </c>
      <c r="M82" s="93" t="s">
        <v>649</v>
      </c>
      <c r="N82" s="99"/>
      <c r="O82" s="93"/>
      <c r="P82" s="94"/>
    </row>
    <row r="83" spans="1:17" s="100" customFormat="1" ht="16.5">
      <c r="A83" s="90">
        <f t="shared" si="5"/>
        <v>11</v>
      </c>
      <c r="B83" s="91" t="s">
        <v>394</v>
      </c>
      <c r="C83" s="90" t="s">
        <v>71</v>
      </c>
      <c r="D83" s="93">
        <v>2022</v>
      </c>
      <c r="E83" s="90">
        <v>2</v>
      </c>
      <c r="F83" s="90">
        <v>2</v>
      </c>
      <c r="G83" s="90">
        <v>2</v>
      </c>
      <c r="H83" s="93">
        <v>0</v>
      </c>
      <c r="I83" s="93"/>
      <c r="J83" s="93"/>
      <c r="K83" s="93" t="s">
        <v>631</v>
      </c>
      <c r="L83" s="93" t="s">
        <v>892</v>
      </c>
      <c r="M83" s="93" t="s">
        <v>649</v>
      </c>
      <c r="N83" s="99"/>
      <c r="O83" s="97"/>
      <c r="P83" s="94"/>
    </row>
    <row r="84" spans="1:17" s="100" customFormat="1" ht="28.5">
      <c r="A84" s="335" t="s">
        <v>681</v>
      </c>
      <c r="B84" s="336" t="s">
        <v>1013</v>
      </c>
      <c r="C84" s="337"/>
      <c r="D84" s="329"/>
      <c r="E84" s="335"/>
      <c r="F84" s="330"/>
      <c r="G84" s="330"/>
      <c r="H84" s="330"/>
      <c r="I84" s="330"/>
      <c r="J84" s="330"/>
      <c r="K84" s="330"/>
      <c r="L84" s="330"/>
      <c r="M84" s="330"/>
      <c r="N84" s="332"/>
      <c r="O84" s="330"/>
      <c r="P84" s="94"/>
    </row>
    <row r="85" spans="1:17" s="210" customFormat="1" ht="16.5">
      <c r="A85" s="338">
        <v>1</v>
      </c>
      <c r="B85" s="333" t="s">
        <v>75</v>
      </c>
      <c r="C85" s="329" t="s">
        <v>71</v>
      </c>
      <c r="D85" s="329">
        <v>2022</v>
      </c>
      <c r="E85" s="329">
        <v>6</v>
      </c>
      <c r="F85" s="329">
        <v>12</v>
      </c>
      <c r="G85" s="329">
        <v>6</v>
      </c>
      <c r="H85" s="330">
        <v>0</v>
      </c>
      <c r="I85" s="330"/>
      <c r="J85" s="330"/>
      <c r="K85" s="330" t="s">
        <v>631</v>
      </c>
      <c r="L85" s="330" t="s">
        <v>1014</v>
      </c>
      <c r="M85" s="330" t="s">
        <v>649</v>
      </c>
      <c r="N85" s="331"/>
      <c r="O85" s="330"/>
      <c r="P85" s="209"/>
    </row>
    <row r="86" spans="1:17" s="210" customFormat="1" ht="16.5">
      <c r="A86" s="338">
        <v>2</v>
      </c>
      <c r="B86" s="333" t="s">
        <v>101</v>
      </c>
      <c r="C86" s="329" t="s">
        <v>71</v>
      </c>
      <c r="D86" s="329">
        <v>2022</v>
      </c>
      <c r="E86" s="329">
        <v>1</v>
      </c>
      <c r="F86" s="329">
        <v>10</v>
      </c>
      <c r="G86" s="329">
        <v>1</v>
      </c>
      <c r="H86" s="330">
        <v>0</v>
      </c>
      <c r="I86" s="330"/>
      <c r="J86" s="330"/>
      <c r="K86" s="330" t="s">
        <v>631</v>
      </c>
      <c r="L86" s="330" t="s">
        <v>1014</v>
      </c>
      <c r="M86" s="330" t="s">
        <v>649</v>
      </c>
      <c r="N86" s="331"/>
      <c r="O86" s="330"/>
      <c r="P86" s="209"/>
    </row>
    <row r="87" spans="1:17" s="210" customFormat="1" ht="16.5">
      <c r="A87" s="338">
        <v>3</v>
      </c>
      <c r="B87" s="333" t="s">
        <v>70</v>
      </c>
      <c r="C87" s="329" t="s">
        <v>71</v>
      </c>
      <c r="D87" s="329">
        <v>2022</v>
      </c>
      <c r="E87" s="329">
        <v>3</v>
      </c>
      <c r="F87" s="329">
        <v>6</v>
      </c>
      <c r="G87" s="329">
        <v>3</v>
      </c>
      <c r="H87" s="330">
        <v>0</v>
      </c>
      <c r="I87" s="330"/>
      <c r="J87" s="330"/>
      <c r="K87" s="330" t="s">
        <v>631</v>
      </c>
      <c r="L87" s="330" t="s">
        <v>1014</v>
      </c>
      <c r="M87" s="330" t="s">
        <v>649</v>
      </c>
      <c r="N87" s="331"/>
      <c r="O87" s="330"/>
      <c r="P87" s="209"/>
    </row>
    <row r="88" spans="1:17" s="210" customFormat="1" ht="16.5">
      <c r="A88" s="338">
        <v>4</v>
      </c>
      <c r="B88" s="333" t="s">
        <v>67</v>
      </c>
      <c r="C88" s="329" t="s">
        <v>71</v>
      </c>
      <c r="D88" s="329">
        <v>2022</v>
      </c>
      <c r="E88" s="329">
        <v>1</v>
      </c>
      <c r="F88" s="329">
        <v>8</v>
      </c>
      <c r="G88" s="329">
        <v>1</v>
      </c>
      <c r="H88" s="330">
        <v>0</v>
      </c>
      <c r="I88" s="330"/>
      <c r="J88" s="330"/>
      <c r="K88" s="330" t="s">
        <v>631</v>
      </c>
      <c r="L88" s="330" t="s">
        <v>1014</v>
      </c>
      <c r="M88" s="330" t="s">
        <v>649</v>
      </c>
      <c r="N88" s="331"/>
      <c r="O88" s="330"/>
      <c r="P88" s="209"/>
    </row>
    <row r="89" spans="1:17" s="210" customFormat="1" ht="16.5">
      <c r="A89" s="338">
        <v>5</v>
      </c>
      <c r="B89" s="333" t="s">
        <v>464</v>
      </c>
      <c r="C89" s="329" t="s">
        <v>71</v>
      </c>
      <c r="D89" s="329">
        <v>2022</v>
      </c>
      <c r="E89" s="329">
        <v>1</v>
      </c>
      <c r="F89" s="329">
        <v>1</v>
      </c>
      <c r="G89" s="329">
        <v>1</v>
      </c>
      <c r="H89" s="330">
        <v>0</v>
      </c>
      <c r="I89" s="330"/>
      <c r="J89" s="330"/>
      <c r="K89" s="330" t="s">
        <v>631</v>
      </c>
      <c r="L89" s="330" t="s">
        <v>1014</v>
      </c>
      <c r="M89" s="330" t="s">
        <v>649</v>
      </c>
      <c r="N89" s="331"/>
      <c r="O89" s="330"/>
      <c r="P89" s="209"/>
    </row>
    <row r="90" spans="1:17" s="210" customFormat="1" ht="16.5">
      <c r="A90" s="338">
        <v>6</v>
      </c>
      <c r="B90" s="333" t="s">
        <v>888</v>
      </c>
      <c r="C90" s="329" t="s">
        <v>71</v>
      </c>
      <c r="D90" s="329">
        <v>2022</v>
      </c>
      <c r="E90" s="329">
        <v>1</v>
      </c>
      <c r="F90" s="329">
        <v>24</v>
      </c>
      <c r="G90" s="329">
        <v>1</v>
      </c>
      <c r="H90" s="330">
        <v>0</v>
      </c>
      <c r="I90" s="354">
        <v>12669000</v>
      </c>
      <c r="J90" s="355">
        <f>+G90*I90</f>
        <v>12669000</v>
      </c>
      <c r="K90" s="330" t="s">
        <v>631</v>
      </c>
      <c r="L90" s="330" t="s">
        <v>1014</v>
      </c>
      <c r="M90" s="330" t="s">
        <v>649</v>
      </c>
      <c r="N90" s="331"/>
      <c r="O90" s="330"/>
      <c r="P90" s="209"/>
    </row>
    <row r="91" spans="1:17" s="210" customFormat="1" ht="16.5">
      <c r="A91" s="338">
        <v>7</v>
      </c>
      <c r="B91" s="333" t="s">
        <v>382</v>
      </c>
      <c r="C91" s="329" t="s">
        <v>71</v>
      </c>
      <c r="D91" s="329">
        <v>2022</v>
      </c>
      <c r="E91" s="329">
        <v>1</v>
      </c>
      <c r="F91" s="329">
        <v>2</v>
      </c>
      <c r="G91" s="329">
        <v>1</v>
      </c>
      <c r="H91" s="330">
        <v>0</v>
      </c>
      <c r="I91" s="330"/>
      <c r="J91" s="330"/>
      <c r="K91" s="330" t="s">
        <v>631</v>
      </c>
      <c r="L91" s="330" t="s">
        <v>1014</v>
      </c>
      <c r="M91" s="330" t="s">
        <v>649</v>
      </c>
      <c r="N91" s="331"/>
      <c r="O91" s="330"/>
      <c r="P91" s="209"/>
    </row>
    <row r="92" spans="1:17" s="210" customFormat="1" ht="16.5">
      <c r="A92" s="338">
        <v>8</v>
      </c>
      <c r="B92" s="334" t="s">
        <v>319</v>
      </c>
      <c r="C92" s="329" t="s">
        <v>191</v>
      </c>
      <c r="D92" s="329">
        <v>2022</v>
      </c>
      <c r="E92" s="329">
        <v>1</v>
      </c>
      <c r="F92" s="329">
        <v>9</v>
      </c>
      <c r="G92" s="329">
        <v>1</v>
      </c>
      <c r="H92" s="330">
        <v>0</v>
      </c>
      <c r="I92" s="330"/>
      <c r="J92" s="330"/>
      <c r="K92" s="330" t="s">
        <v>631</v>
      </c>
      <c r="L92" s="330" t="s">
        <v>1014</v>
      </c>
      <c r="M92" s="330" t="s">
        <v>649</v>
      </c>
      <c r="N92" s="331"/>
      <c r="O92" s="330"/>
      <c r="P92" s="209"/>
    </row>
    <row r="93" spans="1:17" s="210" customFormat="1" ht="30">
      <c r="A93" s="338">
        <v>9</v>
      </c>
      <c r="B93" s="326" t="s">
        <v>342</v>
      </c>
      <c r="C93" s="329" t="s">
        <v>191</v>
      </c>
      <c r="D93" s="329">
        <v>2022</v>
      </c>
      <c r="E93" s="329">
        <v>2</v>
      </c>
      <c r="F93" s="329">
        <v>1</v>
      </c>
      <c r="G93" s="329">
        <v>2</v>
      </c>
      <c r="H93" s="330">
        <v>0</v>
      </c>
      <c r="I93" s="330"/>
      <c r="J93" s="330"/>
      <c r="K93" s="330" t="s">
        <v>631</v>
      </c>
      <c r="L93" s="330" t="s">
        <v>1014</v>
      </c>
      <c r="M93" s="330" t="s">
        <v>649</v>
      </c>
      <c r="N93" s="331"/>
      <c r="O93" s="330"/>
      <c r="P93" s="209"/>
    </row>
    <row r="94" spans="1:17" s="363" customFormat="1" ht="20.25" customHeight="1">
      <c r="A94" s="360"/>
      <c r="B94" s="361" t="s">
        <v>1155</v>
      </c>
      <c r="C94" s="360"/>
      <c r="D94" s="361"/>
      <c r="E94" s="361"/>
      <c r="F94" s="361"/>
      <c r="G94" s="360"/>
      <c r="H94" s="361"/>
      <c r="I94" s="361"/>
      <c r="J94" s="364">
        <f>SUM(J18:J93)</f>
        <v>161046000</v>
      </c>
      <c r="K94" s="360"/>
      <c r="L94" s="360"/>
      <c r="M94" s="360"/>
      <c r="N94" s="360"/>
      <c r="O94" s="362"/>
    </row>
    <row r="95" spans="1:17">
      <c r="A95" s="103"/>
      <c r="B95" s="103"/>
      <c r="C95" s="103"/>
      <c r="D95" s="103"/>
      <c r="E95" s="312"/>
      <c r="F95" s="104"/>
      <c r="G95" s="103"/>
      <c r="H95" s="312"/>
      <c r="I95" s="347"/>
      <c r="J95" s="347"/>
      <c r="K95" s="105"/>
      <c r="L95" s="397" t="s">
        <v>1160</v>
      </c>
      <c r="M95" s="397"/>
      <c r="N95" s="397"/>
      <c r="O95" s="397"/>
      <c r="P95" s="397"/>
    </row>
    <row r="96" spans="1:17" ht="16.5">
      <c r="A96" s="106" t="s">
        <v>633</v>
      </c>
      <c r="B96" s="106"/>
      <c r="C96" s="106"/>
      <c r="D96" s="418" t="s">
        <v>967</v>
      </c>
      <c r="E96" s="418"/>
      <c r="F96" s="418"/>
      <c r="G96" s="418"/>
      <c r="H96" s="418" t="s">
        <v>772</v>
      </c>
      <c r="I96" s="418"/>
      <c r="J96" s="418"/>
      <c r="K96" s="418"/>
      <c r="L96" s="418"/>
      <c r="M96" s="418"/>
      <c r="N96" s="418" t="s">
        <v>773</v>
      </c>
      <c r="O96" s="418"/>
      <c r="P96" s="418"/>
      <c r="Q96" s="107"/>
    </row>
    <row r="97" spans="1:17" ht="24" customHeight="1">
      <c r="A97" s="389" t="s">
        <v>959</v>
      </c>
      <c r="B97" s="389"/>
      <c r="C97" s="314"/>
      <c r="D97" s="314"/>
      <c r="E97" s="314"/>
      <c r="F97" s="314"/>
      <c r="G97" s="314"/>
      <c r="H97" s="314"/>
      <c r="I97" s="349"/>
      <c r="J97" s="349"/>
      <c r="K97" s="314"/>
      <c r="L97" s="314"/>
      <c r="M97" s="314"/>
      <c r="N97" s="314"/>
      <c r="O97" s="108"/>
      <c r="P97" s="107"/>
      <c r="Q97" s="107"/>
    </row>
    <row r="98" spans="1:17" ht="24" customHeight="1">
      <c r="A98" s="389" t="s">
        <v>960</v>
      </c>
      <c r="B98" s="389"/>
      <c r="C98" s="314"/>
      <c r="D98" s="314"/>
      <c r="E98" s="314"/>
      <c r="F98" s="314"/>
      <c r="G98" s="314"/>
      <c r="H98" s="314"/>
      <c r="I98" s="349"/>
      <c r="J98" s="349"/>
      <c r="K98" s="314"/>
      <c r="L98" s="314"/>
      <c r="M98" s="314"/>
      <c r="N98" s="314"/>
      <c r="O98" s="108"/>
      <c r="P98" s="107"/>
      <c r="Q98" s="107"/>
    </row>
    <row r="99" spans="1:17" ht="24" customHeight="1">
      <c r="A99" s="389" t="s">
        <v>1012</v>
      </c>
      <c r="B99" s="389"/>
      <c r="C99" s="314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8"/>
      <c r="P99" s="106"/>
      <c r="Q99" s="107"/>
    </row>
    <row r="100" spans="1:17" ht="24" customHeight="1">
      <c r="A100" s="389" t="s">
        <v>1133</v>
      </c>
      <c r="B100" s="389"/>
      <c r="C100" s="314"/>
      <c r="D100" s="418" t="s">
        <v>968</v>
      </c>
      <c r="E100" s="418"/>
      <c r="F100" s="418"/>
      <c r="G100" s="418"/>
      <c r="H100" s="418" t="s">
        <v>1046</v>
      </c>
      <c r="I100" s="418"/>
      <c r="J100" s="418"/>
      <c r="K100" s="418"/>
      <c r="L100" s="418"/>
      <c r="M100" s="418"/>
      <c r="N100" s="418" t="s">
        <v>1005</v>
      </c>
      <c r="O100" s="418"/>
      <c r="P100" s="418"/>
      <c r="Q100" s="107"/>
    </row>
    <row r="101" spans="1:17" ht="26.25" customHeight="1">
      <c r="A101" s="389" t="s">
        <v>1161</v>
      </c>
      <c r="B101" s="389"/>
    </row>
  </sheetData>
  <autoFilter ref="A15:AL101" xr:uid="{84B31CB2-58E2-4600-AABD-5750CCA30BAA}">
    <filterColumn colId="4" showButton="0"/>
  </autoFilter>
  <mergeCells count="37">
    <mergeCell ref="N100:P100"/>
    <mergeCell ref="A6:P6"/>
    <mergeCell ref="A7:AL7"/>
    <mergeCell ref="L95:P95"/>
    <mergeCell ref="H96:M96"/>
    <mergeCell ref="N96:P96"/>
    <mergeCell ref="A13:B13"/>
    <mergeCell ref="A8:C8"/>
    <mergeCell ref="A9:B9"/>
    <mergeCell ref="A10:B10"/>
    <mergeCell ref="A11:B11"/>
    <mergeCell ref="A12:B12"/>
    <mergeCell ref="H100:M100"/>
    <mergeCell ref="I15:I16"/>
    <mergeCell ref="J15:J16"/>
    <mergeCell ref="H1:P1"/>
    <mergeCell ref="H2:P2"/>
    <mergeCell ref="A3:AL3"/>
    <mergeCell ref="H4:P4"/>
    <mergeCell ref="K15:K16"/>
    <mergeCell ref="L15:L16"/>
    <mergeCell ref="A15:A16"/>
    <mergeCell ref="B15:B16"/>
    <mergeCell ref="O15:O16"/>
    <mergeCell ref="E15:F15"/>
    <mergeCell ref="M15:M16"/>
    <mergeCell ref="N15:N16"/>
    <mergeCell ref="C15:C16"/>
    <mergeCell ref="D15:D16"/>
    <mergeCell ref="A101:B101"/>
    <mergeCell ref="A99:B99"/>
    <mergeCell ref="A100:B100"/>
    <mergeCell ref="A17:E17"/>
    <mergeCell ref="A97:B97"/>
    <mergeCell ref="A98:B98"/>
    <mergeCell ref="D100:G100"/>
    <mergeCell ref="D96:G96"/>
  </mergeCells>
  <pageMargins left="0.5" right="0.25" top="0.5" bottom="0.5" header="0.31496062992126" footer="0.31496062992126"/>
  <pageSetup paperSize="9"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401"/>
  <sheetViews>
    <sheetView tabSelected="1" topLeftCell="A382" zoomScaleNormal="100" workbookViewId="0">
      <selection activeCell="B388" sqref="B388"/>
    </sheetView>
  </sheetViews>
  <sheetFormatPr defaultColWidth="9.140625" defaultRowHeight="15.75"/>
  <cols>
    <col min="1" max="1" width="7.85546875" style="65" customWidth="1"/>
    <col min="2" max="2" width="48.28515625" style="65" customWidth="1"/>
    <col min="3" max="3" width="9.28515625" style="65" customWidth="1"/>
    <col min="4" max="4" width="10.140625" style="322" customWidth="1"/>
    <col min="5" max="5" width="6.7109375" style="322" customWidth="1"/>
    <col min="6" max="6" width="0" style="322" hidden="1" customWidth="1"/>
    <col min="7" max="7" width="9.140625" style="65"/>
    <col min="8" max="8" width="9.140625" style="322"/>
    <col min="9" max="9" width="13" style="351" customWidth="1"/>
    <col min="10" max="10" width="14.7109375" style="351" customWidth="1"/>
    <col min="11" max="11" width="9.140625" style="65"/>
    <col min="12" max="12" width="20.5703125" style="65" customWidth="1"/>
    <col min="13" max="13" width="11.7109375" style="65" customWidth="1"/>
    <col min="14" max="14" width="9.85546875" style="65" customWidth="1"/>
    <col min="15" max="15" width="17.140625" style="318" customWidth="1"/>
    <col min="16" max="16" width="12.140625" style="65" hidden="1" customWidth="1"/>
    <col min="17" max="16384" width="9.140625" style="65"/>
  </cols>
  <sheetData>
    <row r="1" spans="1:38" ht="15.75" customHeight="1">
      <c r="A1" s="174" t="s">
        <v>641</v>
      </c>
      <c r="B1" s="174"/>
      <c r="C1" s="174"/>
      <c r="D1" s="174"/>
      <c r="E1" s="174"/>
      <c r="F1" s="174"/>
      <c r="G1" s="174"/>
      <c r="H1" s="433" t="s">
        <v>642</v>
      </c>
      <c r="I1" s="433"/>
      <c r="J1" s="433"/>
      <c r="K1" s="433"/>
      <c r="L1" s="433"/>
      <c r="M1" s="433"/>
      <c r="N1" s="433"/>
      <c r="O1" s="433"/>
      <c r="P1" s="433"/>
      <c r="Q1" s="321"/>
      <c r="R1" s="321"/>
      <c r="S1" s="321"/>
      <c r="T1" s="321"/>
      <c r="W1" s="174"/>
      <c r="X1" s="174"/>
      <c r="Y1" s="174"/>
      <c r="Z1" s="174"/>
    </row>
    <row r="2" spans="1:38" ht="15" customHeight="1">
      <c r="A2" s="174" t="s">
        <v>596</v>
      </c>
      <c r="B2" s="174"/>
      <c r="C2" s="174"/>
      <c r="D2" s="174"/>
      <c r="E2" s="174"/>
      <c r="F2" s="174"/>
      <c r="G2" s="174"/>
      <c r="H2" s="434"/>
      <c r="I2" s="434"/>
      <c r="J2" s="434"/>
      <c r="K2" s="434"/>
      <c r="L2" s="434"/>
      <c r="M2" s="434"/>
      <c r="N2" s="434"/>
      <c r="O2" s="434"/>
      <c r="P2" s="434"/>
      <c r="Q2" s="322"/>
      <c r="R2" s="322"/>
      <c r="S2" s="322"/>
      <c r="T2" s="322"/>
      <c r="W2" s="174"/>
      <c r="X2" s="174"/>
      <c r="Y2" s="174"/>
      <c r="Z2" s="174"/>
    </row>
    <row r="3" spans="1:38" ht="22.5" hidden="1" customHeight="1">
      <c r="A3" s="433" t="s">
        <v>644</v>
      </c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</row>
    <row r="4" spans="1:38" ht="15" customHeight="1">
      <c r="A4" s="321"/>
      <c r="B4" s="321"/>
      <c r="C4" s="321"/>
      <c r="D4" s="321"/>
      <c r="E4" s="321"/>
      <c r="F4" s="321"/>
      <c r="G4" s="321"/>
      <c r="H4" s="434"/>
      <c r="I4" s="434"/>
      <c r="J4" s="434"/>
      <c r="K4" s="434"/>
      <c r="L4" s="434"/>
      <c r="M4" s="434"/>
      <c r="N4" s="434"/>
      <c r="O4" s="434"/>
      <c r="P4" s="434"/>
      <c r="X4" s="321"/>
      <c r="Y4" s="321"/>
      <c r="Z4" s="321"/>
      <c r="AA4" s="321"/>
    </row>
    <row r="5" spans="1:38" ht="15" customHeight="1">
      <c r="A5" s="321"/>
      <c r="B5" s="321"/>
      <c r="C5" s="321"/>
      <c r="D5" s="321"/>
      <c r="E5" s="321"/>
      <c r="F5" s="321"/>
      <c r="G5" s="321"/>
      <c r="K5" s="322"/>
      <c r="L5" s="322"/>
      <c r="M5" s="322"/>
      <c r="N5" s="322"/>
      <c r="O5" s="175"/>
      <c r="P5" s="322"/>
      <c r="X5" s="321"/>
      <c r="Y5" s="321"/>
      <c r="Z5" s="321"/>
      <c r="AA5" s="321"/>
    </row>
    <row r="6" spans="1:38" ht="48" customHeight="1">
      <c r="A6" s="435" t="s">
        <v>1162</v>
      </c>
      <c r="B6" s="435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</row>
    <row r="7" spans="1:38" ht="18" customHeight="1">
      <c r="A7" s="436" t="s">
        <v>1163</v>
      </c>
      <c r="B7" s="436"/>
      <c r="C7" s="436"/>
      <c r="D7" s="436"/>
      <c r="E7" s="436"/>
      <c r="F7" s="436"/>
      <c r="G7" s="436"/>
      <c r="H7" s="436"/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  <c r="AB7" s="436"/>
      <c r="AC7" s="436"/>
      <c r="AD7" s="436"/>
      <c r="AE7" s="436"/>
      <c r="AF7" s="436"/>
      <c r="AG7" s="436"/>
      <c r="AH7" s="436"/>
      <c r="AI7" s="436"/>
      <c r="AJ7" s="436"/>
      <c r="AK7" s="436"/>
      <c r="AL7" s="436"/>
    </row>
    <row r="8" spans="1:38" ht="15" customHeight="1">
      <c r="A8" s="432" t="s">
        <v>1002</v>
      </c>
      <c r="B8" s="432"/>
      <c r="C8" s="432"/>
      <c r="D8" s="65" t="s">
        <v>1003</v>
      </c>
      <c r="E8" s="321"/>
      <c r="F8" s="65"/>
      <c r="H8" s="318"/>
      <c r="I8" s="350"/>
      <c r="J8" s="350"/>
      <c r="K8" s="321"/>
      <c r="M8" s="177" t="s">
        <v>600</v>
      </c>
      <c r="N8" s="321"/>
      <c r="O8" s="175"/>
      <c r="U8" s="318"/>
      <c r="V8" s="178"/>
      <c r="Y8" s="179"/>
      <c r="Z8" s="321"/>
      <c r="AB8" s="321"/>
      <c r="AC8" s="321"/>
      <c r="AD8" s="318"/>
      <c r="AH8" s="322"/>
      <c r="AI8" s="318" t="s">
        <v>600</v>
      </c>
      <c r="AJ8" s="322"/>
      <c r="AK8" s="322"/>
      <c r="AL8" s="180"/>
    </row>
    <row r="9" spans="1:38" ht="15" customHeight="1">
      <c r="A9" s="432" t="s">
        <v>1045</v>
      </c>
      <c r="B9" s="432"/>
      <c r="D9" s="65" t="s">
        <v>602</v>
      </c>
      <c r="F9" s="65"/>
      <c r="H9" s="318"/>
      <c r="I9" s="350"/>
      <c r="J9" s="350"/>
      <c r="K9" s="321"/>
      <c r="M9" s="177" t="s">
        <v>603</v>
      </c>
      <c r="N9" s="321"/>
      <c r="O9" s="175"/>
      <c r="U9" s="318"/>
      <c r="V9" s="178"/>
      <c r="Y9" s="179"/>
      <c r="Z9" s="321"/>
      <c r="AB9" s="321"/>
      <c r="AC9" s="321"/>
      <c r="AD9" s="318"/>
      <c r="AH9" s="322"/>
      <c r="AI9" s="318" t="s">
        <v>603</v>
      </c>
      <c r="AJ9" s="322"/>
      <c r="AK9" s="322"/>
      <c r="AL9" s="180"/>
    </row>
    <row r="10" spans="1:38" ht="15" customHeight="1">
      <c r="A10" s="432" t="s">
        <v>604</v>
      </c>
      <c r="B10" s="432"/>
      <c r="D10" s="65" t="s">
        <v>605</v>
      </c>
      <c r="E10" s="321"/>
      <c r="F10" s="65"/>
      <c r="H10" s="318"/>
      <c r="I10" s="350"/>
      <c r="J10" s="350"/>
      <c r="K10" s="321"/>
      <c r="M10" s="177" t="s">
        <v>606</v>
      </c>
      <c r="N10" s="321"/>
      <c r="O10" s="175"/>
      <c r="U10" s="318"/>
      <c r="V10" s="178"/>
      <c r="Y10" s="179"/>
      <c r="Z10" s="321"/>
      <c r="AB10" s="321"/>
      <c r="AC10" s="321"/>
      <c r="AD10" s="318"/>
      <c r="AH10" s="322"/>
      <c r="AI10" s="318" t="s">
        <v>606</v>
      </c>
      <c r="AJ10" s="322"/>
      <c r="AK10" s="322"/>
      <c r="AL10" s="180"/>
    </row>
    <row r="11" spans="1:38" ht="15" customHeight="1">
      <c r="A11" s="432" t="s">
        <v>966</v>
      </c>
      <c r="B11" s="432"/>
      <c r="D11" s="65" t="s">
        <v>967</v>
      </c>
      <c r="E11" s="65"/>
      <c r="F11" s="65"/>
      <c r="H11" s="65"/>
      <c r="I11" s="65"/>
      <c r="J11" s="65"/>
      <c r="M11" s="177" t="s">
        <v>607</v>
      </c>
      <c r="O11" s="175"/>
      <c r="AH11" s="322"/>
      <c r="AI11" s="318" t="s">
        <v>607</v>
      </c>
      <c r="AJ11" s="322"/>
      <c r="AK11" s="322"/>
    </row>
    <row r="12" spans="1:38" ht="15" customHeight="1">
      <c r="A12" s="432" t="s">
        <v>608</v>
      </c>
      <c r="B12" s="432"/>
      <c r="D12" s="65"/>
      <c r="E12" s="65"/>
      <c r="F12" s="65"/>
      <c r="H12" s="65"/>
      <c r="I12" s="65"/>
      <c r="J12" s="65"/>
      <c r="O12" s="175"/>
      <c r="AH12" s="322"/>
      <c r="AI12" s="322"/>
      <c r="AJ12" s="322"/>
      <c r="AK12" s="322"/>
    </row>
    <row r="13" spans="1:38" ht="15.75" customHeight="1">
      <c r="A13" s="432" t="s">
        <v>609</v>
      </c>
      <c r="B13" s="432"/>
      <c r="D13" s="65"/>
      <c r="F13" s="181"/>
      <c r="H13" s="65"/>
      <c r="I13" s="65"/>
      <c r="J13" s="65"/>
      <c r="M13" s="322"/>
      <c r="O13" s="175"/>
      <c r="Z13" s="322"/>
      <c r="AC13" s="182"/>
      <c r="AH13" s="322"/>
      <c r="AI13" s="322"/>
      <c r="AJ13" s="322"/>
      <c r="AK13" s="322"/>
      <c r="AL13" s="180"/>
    </row>
    <row r="14" spans="1:38" s="184" customFormat="1" ht="52.5" customHeight="1">
      <c r="A14" s="437" t="s">
        <v>4</v>
      </c>
      <c r="B14" s="439" t="s">
        <v>611</v>
      </c>
      <c r="C14" s="440" t="s">
        <v>923</v>
      </c>
      <c r="D14" s="440" t="s">
        <v>613</v>
      </c>
      <c r="E14" s="440" t="s">
        <v>614</v>
      </c>
      <c r="F14" s="440"/>
      <c r="G14" s="183" t="s">
        <v>615</v>
      </c>
      <c r="H14" s="183" t="s">
        <v>616</v>
      </c>
      <c r="I14" s="448" t="s">
        <v>1074</v>
      </c>
      <c r="J14" s="448" t="s">
        <v>1075</v>
      </c>
      <c r="K14" s="440" t="s">
        <v>617</v>
      </c>
      <c r="L14" s="440" t="s">
        <v>618</v>
      </c>
      <c r="M14" s="440" t="s">
        <v>619</v>
      </c>
      <c r="N14" s="440" t="s">
        <v>620</v>
      </c>
      <c r="O14" s="440" t="s">
        <v>961</v>
      </c>
      <c r="P14" s="439" t="s">
        <v>640</v>
      </c>
    </row>
    <row r="15" spans="1:38" s="184" customFormat="1" ht="39" customHeight="1">
      <c r="A15" s="438"/>
      <c r="B15" s="439"/>
      <c r="C15" s="440"/>
      <c r="D15" s="440"/>
      <c r="E15" s="320" t="s">
        <v>7</v>
      </c>
      <c r="F15" s="183" t="s">
        <v>622</v>
      </c>
      <c r="G15" s="320" t="s">
        <v>7</v>
      </c>
      <c r="H15" s="320" t="s">
        <v>7</v>
      </c>
      <c r="I15" s="449"/>
      <c r="J15" s="449"/>
      <c r="K15" s="440"/>
      <c r="L15" s="440"/>
      <c r="M15" s="440"/>
      <c r="N15" s="440"/>
      <c r="O15" s="440"/>
      <c r="P15" s="439"/>
    </row>
    <row r="16" spans="1:38" ht="15.75" customHeight="1">
      <c r="A16" s="62"/>
      <c r="B16" s="50" t="s">
        <v>528</v>
      </c>
      <c r="C16" s="50"/>
      <c r="D16" s="62"/>
      <c r="E16" s="62"/>
      <c r="F16" s="62"/>
      <c r="G16" s="185"/>
      <c r="H16" s="62"/>
      <c r="I16" s="62"/>
      <c r="J16" s="62"/>
      <c r="K16" s="185"/>
      <c r="L16" s="185"/>
      <c r="M16" s="185"/>
      <c r="N16" s="185"/>
      <c r="O16" s="186"/>
      <c r="P16" s="185"/>
    </row>
    <row r="17" spans="1:16" s="66" customFormat="1" ht="25.5" customHeight="1">
      <c r="A17" s="319" t="s">
        <v>10</v>
      </c>
      <c r="B17" s="171" t="s">
        <v>528</v>
      </c>
      <c r="C17" s="319"/>
      <c r="D17" s="319"/>
      <c r="E17" s="319"/>
      <c r="F17" s="319"/>
      <c r="G17" s="187"/>
      <c r="H17" s="319"/>
      <c r="I17" s="352"/>
      <c r="J17" s="352"/>
      <c r="K17" s="187"/>
      <c r="L17" s="187"/>
      <c r="M17" s="187"/>
      <c r="N17" s="187"/>
      <c r="O17" s="319"/>
      <c r="P17" s="68"/>
    </row>
    <row r="18" spans="1:16" s="66" customFormat="1" ht="25.5" customHeight="1">
      <c r="A18" s="67">
        <v>1</v>
      </c>
      <c r="B18" s="68" t="s">
        <v>506</v>
      </c>
      <c r="C18" s="67" t="s">
        <v>71</v>
      </c>
      <c r="D18" s="67">
        <v>2022</v>
      </c>
      <c r="E18" s="67">
        <v>8</v>
      </c>
      <c r="F18" s="67">
        <v>8</v>
      </c>
      <c r="G18" s="67">
        <v>8</v>
      </c>
      <c r="H18" s="67">
        <v>0</v>
      </c>
      <c r="I18" s="67"/>
      <c r="J18" s="67"/>
      <c r="K18" s="67" t="s">
        <v>631</v>
      </c>
      <c r="L18" s="67" t="s">
        <v>929</v>
      </c>
      <c r="M18" s="67" t="s">
        <v>649</v>
      </c>
      <c r="N18" s="67"/>
      <c r="O18" s="67"/>
      <c r="P18" s="68"/>
    </row>
    <row r="19" spans="1:16" s="66" customFormat="1" ht="25.5" customHeight="1">
      <c r="A19" s="67">
        <f t="shared" ref="A19:A79" si="0">A18+1</f>
        <v>2</v>
      </c>
      <c r="B19" s="68" t="s">
        <v>101</v>
      </c>
      <c r="C19" s="67" t="s">
        <v>71</v>
      </c>
      <c r="D19" s="67">
        <v>2022</v>
      </c>
      <c r="E19" s="67">
        <v>1</v>
      </c>
      <c r="F19" s="67">
        <v>1</v>
      </c>
      <c r="G19" s="67">
        <v>1</v>
      </c>
      <c r="H19" s="67">
        <v>0</v>
      </c>
      <c r="I19" s="67"/>
      <c r="J19" s="67"/>
      <c r="K19" s="67" t="s">
        <v>631</v>
      </c>
      <c r="L19" s="67" t="s">
        <v>929</v>
      </c>
      <c r="M19" s="67" t="s">
        <v>649</v>
      </c>
      <c r="N19" s="67"/>
      <c r="O19" s="67"/>
      <c r="P19" s="68"/>
    </row>
    <row r="20" spans="1:16" s="66" customFormat="1" ht="25.5" customHeight="1">
      <c r="A20" s="67">
        <f t="shared" si="0"/>
        <v>3</v>
      </c>
      <c r="B20" s="68" t="s">
        <v>70</v>
      </c>
      <c r="C20" s="67" t="s">
        <v>71</v>
      </c>
      <c r="D20" s="67">
        <v>2022</v>
      </c>
      <c r="E20" s="67">
        <v>4</v>
      </c>
      <c r="F20" s="67">
        <v>4</v>
      </c>
      <c r="G20" s="67">
        <v>4</v>
      </c>
      <c r="H20" s="67">
        <v>0</v>
      </c>
      <c r="I20" s="67"/>
      <c r="J20" s="67"/>
      <c r="K20" s="67" t="s">
        <v>631</v>
      </c>
      <c r="L20" s="67" t="s">
        <v>929</v>
      </c>
      <c r="M20" s="67" t="s">
        <v>649</v>
      </c>
      <c r="N20" s="67"/>
      <c r="O20" s="67"/>
      <c r="P20" s="68"/>
    </row>
    <row r="21" spans="1:16" s="66" customFormat="1" ht="25.5" customHeight="1">
      <c r="A21" s="67">
        <f t="shared" si="0"/>
        <v>4</v>
      </c>
      <c r="B21" s="68" t="s">
        <v>67</v>
      </c>
      <c r="C21" s="67" t="s">
        <v>71</v>
      </c>
      <c r="D21" s="67">
        <v>2022</v>
      </c>
      <c r="E21" s="67">
        <v>1</v>
      </c>
      <c r="F21" s="67">
        <v>1</v>
      </c>
      <c r="G21" s="67">
        <v>1</v>
      </c>
      <c r="H21" s="67">
        <v>0</v>
      </c>
      <c r="I21" s="67"/>
      <c r="J21" s="67"/>
      <c r="K21" s="67" t="s">
        <v>631</v>
      </c>
      <c r="L21" s="67" t="s">
        <v>929</v>
      </c>
      <c r="M21" s="67" t="s">
        <v>649</v>
      </c>
      <c r="N21" s="67"/>
      <c r="O21" s="67"/>
      <c r="P21" s="68"/>
    </row>
    <row r="22" spans="1:16" s="66" customFormat="1" ht="25.5" customHeight="1">
      <c r="A22" s="67">
        <f t="shared" si="0"/>
        <v>5</v>
      </c>
      <c r="B22" s="68" t="s">
        <v>888</v>
      </c>
      <c r="C22" s="67" t="s">
        <v>71</v>
      </c>
      <c r="D22" s="67">
        <v>2022</v>
      </c>
      <c r="E22" s="67">
        <v>2</v>
      </c>
      <c r="F22" s="67">
        <v>2</v>
      </c>
      <c r="G22" s="67">
        <v>2</v>
      </c>
      <c r="H22" s="67">
        <v>0</v>
      </c>
      <c r="I22" s="354">
        <v>12669000</v>
      </c>
      <c r="J22" s="356">
        <f>+G22*I22</f>
        <v>25338000</v>
      </c>
      <c r="K22" s="67" t="s">
        <v>631</v>
      </c>
      <c r="L22" s="67" t="s">
        <v>929</v>
      </c>
      <c r="M22" s="67" t="s">
        <v>649</v>
      </c>
      <c r="N22" s="67"/>
      <c r="O22" s="67"/>
      <c r="P22" s="68"/>
    </row>
    <row r="23" spans="1:16" s="66" customFormat="1" ht="25.5" customHeight="1">
      <c r="A23" s="67">
        <f t="shared" si="0"/>
        <v>6</v>
      </c>
      <c r="B23" s="68" t="s">
        <v>382</v>
      </c>
      <c r="C23" s="67" t="s">
        <v>71</v>
      </c>
      <c r="D23" s="67">
        <v>2022</v>
      </c>
      <c r="E23" s="67">
        <v>2</v>
      </c>
      <c r="F23" s="67">
        <v>2</v>
      </c>
      <c r="G23" s="67">
        <v>2</v>
      </c>
      <c r="H23" s="67">
        <v>0</v>
      </c>
      <c r="I23" s="67"/>
      <c r="J23" s="67"/>
      <c r="K23" s="67" t="s">
        <v>631</v>
      </c>
      <c r="L23" s="67" t="s">
        <v>929</v>
      </c>
      <c r="M23" s="67" t="s">
        <v>649</v>
      </c>
      <c r="N23" s="67"/>
      <c r="O23" s="67"/>
      <c r="P23" s="68"/>
    </row>
    <row r="24" spans="1:16" s="66" customFormat="1" ht="25.5" customHeight="1">
      <c r="A24" s="67">
        <f t="shared" si="0"/>
        <v>7</v>
      </c>
      <c r="B24" s="68" t="s">
        <v>464</v>
      </c>
      <c r="C24" s="67" t="s">
        <v>71</v>
      </c>
      <c r="D24" s="67">
        <v>2022</v>
      </c>
      <c r="E24" s="67">
        <v>1</v>
      </c>
      <c r="F24" s="67">
        <v>1</v>
      </c>
      <c r="G24" s="67">
        <v>1</v>
      </c>
      <c r="H24" s="67">
        <v>0</v>
      </c>
      <c r="I24" s="67"/>
      <c r="J24" s="67"/>
      <c r="K24" s="67" t="s">
        <v>631</v>
      </c>
      <c r="L24" s="67" t="s">
        <v>929</v>
      </c>
      <c r="M24" s="67" t="s">
        <v>649</v>
      </c>
      <c r="N24" s="67"/>
      <c r="O24" s="67"/>
      <c r="P24" s="68"/>
    </row>
    <row r="25" spans="1:16" s="66" customFormat="1" ht="25.5" customHeight="1">
      <c r="A25" s="67">
        <f t="shared" si="0"/>
        <v>8</v>
      </c>
      <c r="B25" s="172" t="s">
        <v>319</v>
      </c>
      <c r="C25" s="67" t="s">
        <v>191</v>
      </c>
      <c r="D25" s="67">
        <v>2022</v>
      </c>
      <c r="E25" s="67">
        <v>1</v>
      </c>
      <c r="F25" s="67">
        <v>1</v>
      </c>
      <c r="G25" s="67">
        <v>1</v>
      </c>
      <c r="H25" s="67">
        <v>0</v>
      </c>
      <c r="I25" s="67"/>
      <c r="J25" s="67"/>
      <c r="K25" s="67" t="s">
        <v>631</v>
      </c>
      <c r="L25" s="67" t="s">
        <v>929</v>
      </c>
      <c r="M25" s="67" t="s">
        <v>649</v>
      </c>
      <c r="N25" s="67"/>
      <c r="O25" s="67"/>
      <c r="P25" s="68"/>
    </row>
    <row r="26" spans="1:16" s="66" customFormat="1" ht="25.5" customHeight="1">
      <c r="A26" s="67">
        <f t="shared" si="0"/>
        <v>9</v>
      </c>
      <c r="B26" s="69" t="s">
        <v>342</v>
      </c>
      <c r="C26" s="67" t="s">
        <v>191</v>
      </c>
      <c r="D26" s="67">
        <v>2022</v>
      </c>
      <c r="E26" s="67">
        <v>6</v>
      </c>
      <c r="F26" s="67">
        <v>6</v>
      </c>
      <c r="G26" s="67">
        <v>6</v>
      </c>
      <c r="H26" s="67">
        <v>0</v>
      </c>
      <c r="I26" s="67"/>
      <c r="J26" s="67"/>
      <c r="K26" s="67" t="s">
        <v>631</v>
      </c>
      <c r="L26" s="67" t="s">
        <v>929</v>
      </c>
      <c r="M26" s="67" t="s">
        <v>649</v>
      </c>
      <c r="N26" s="67"/>
      <c r="O26" s="67"/>
      <c r="P26" s="68"/>
    </row>
    <row r="27" spans="1:16" s="66" customFormat="1" ht="25.5" customHeight="1">
      <c r="A27" s="67">
        <f t="shared" si="0"/>
        <v>10</v>
      </c>
      <c r="B27" s="69" t="s">
        <v>893</v>
      </c>
      <c r="C27" s="67" t="s">
        <v>191</v>
      </c>
      <c r="D27" s="67">
        <v>2022</v>
      </c>
      <c r="E27" s="67">
        <v>2</v>
      </c>
      <c r="F27" s="67">
        <v>2</v>
      </c>
      <c r="G27" s="67">
        <v>2</v>
      </c>
      <c r="H27" s="67">
        <v>0</v>
      </c>
      <c r="I27" s="67"/>
      <c r="J27" s="67"/>
      <c r="K27" s="67" t="s">
        <v>631</v>
      </c>
      <c r="L27" s="67" t="s">
        <v>929</v>
      </c>
      <c r="M27" s="67" t="s">
        <v>649</v>
      </c>
      <c r="N27" s="67"/>
      <c r="O27" s="67"/>
      <c r="P27" s="68"/>
    </row>
    <row r="28" spans="1:16" s="66" customFormat="1" ht="25.5" customHeight="1">
      <c r="A28" s="319" t="s">
        <v>193</v>
      </c>
      <c r="B28" s="171" t="s">
        <v>894</v>
      </c>
      <c r="C28" s="319"/>
      <c r="D28" s="319"/>
      <c r="E28" s="319"/>
      <c r="F28" s="319"/>
      <c r="G28" s="187"/>
      <c r="H28" s="319"/>
      <c r="I28" s="352"/>
      <c r="J28" s="352"/>
      <c r="K28" s="187"/>
      <c r="L28" s="187"/>
      <c r="M28" s="187"/>
      <c r="N28" s="187"/>
      <c r="O28" s="319"/>
      <c r="P28" s="68"/>
    </row>
    <row r="29" spans="1:16" s="66" customFormat="1" ht="25.5" customHeight="1">
      <c r="A29" s="67">
        <v>1</v>
      </c>
      <c r="B29" s="68" t="s">
        <v>506</v>
      </c>
      <c r="C29" s="67" t="s">
        <v>71</v>
      </c>
      <c r="D29" s="67">
        <v>2022</v>
      </c>
      <c r="E29" s="67">
        <v>8</v>
      </c>
      <c r="F29" s="67">
        <v>8</v>
      </c>
      <c r="G29" s="67">
        <v>8</v>
      </c>
      <c r="H29" s="67">
        <v>0</v>
      </c>
      <c r="I29" s="67"/>
      <c r="J29" s="67"/>
      <c r="K29" s="67" t="s">
        <v>631</v>
      </c>
      <c r="L29" s="67" t="s">
        <v>930</v>
      </c>
      <c r="M29" s="67" t="s">
        <v>649</v>
      </c>
      <c r="N29" s="68"/>
      <c r="O29" s="67"/>
      <c r="P29" s="68"/>
    </row>
    <row r="30" spans="1:16" s="66" customFormat="1" ht="25.5" customHeight="1">
      <c r="A30" s="67">
        <f t="shared" si="0"/>
        <v>2</v>
      </c>
      <c r="B30" s="68" t="s">
        <v>101</v>
      </c>
      <c r="C30" s="67" t="s">
        <v>71</v>
      </c>
      <c r="D30" s="67">
        <v>2022</v>
      </c>
      <c r="E30" s="67">
        <v>2</v>
      </c>
      <c r="F30" s="67">
        <v>2</v>
      </c>
      <c r="G30" s="67">
        <v>2</v>
      </c>
      <c r="H30" s="67">
        <v>0</v>
      </c>
      <c r="I30" s="67"/>
      <c r="J30" s="67"/>
      <c r="K30" s="67" t="s">
        <v>631</v>
      </c>
      <c r="L30" s="67" t="s">
        <v>930</v>
      </c>
      <c r="M30" s="67" t="s">
        <v>649</v>
      </c>
      <c r="N30" s="68"/>
      <c r="O30" s="67"/>
      <c r="P30" s="68"/>
    </row>
    <row r="31" spans="1:16" s="66" customFormat="1" ht="25.5" customHeight="1">
      <c r="A31" s="67">
        <f t="shared" si="0"/>
        <v>3</v>
      </c>
      <c r="B31" s="68" t="s">
        <v>70</v>
      </c>
      <c r="C31" s="67" t="s">
        <v>71</v>
      </c>
      <c r="D31" s="67">
        <v>2022</v>
      </c>
      <c r="E31" s="67">
        <v>10</v>
      </c>
      <c r="F31" s="67">
        <v>10</v>
      </c>
      <c r="G31" s="67">
        <v>10</v>
      </c>
      <c r="H31" s="67">
        <v>0</v>
      </c>
      <c r="I31" s="67"/>
      <c r="J31" s="67"/>
      <c r="K31" s="67" t="s">
        <v>631</v>
      </c>
      <c r="L31" s="67" t="s">
        <v>930</v>
      </c>
      <c r="M31" s="67" t="s">
        <v>649</v>
      </c>
      <c r="N31" s="68"/>
      <c r="O31" s="67"/>
      <c r="P31" s="68"/>
    </row>
    <row r="32" spans="1:16" s="66" customFormat="1" ht="25.5" customHeight="1">
      <c r="A32" s="67">
        <f t="shared" si="0"/>
        <v>4</v>
      </c>
      <c r="B32" s="68" t="s">
        <v>67</v>
      </c>
      <c r="C32" s="67" t="s">
        <v>71</v>
      </c>
      <c r="D32" s="67">
        <v>2022</v>
      </c>
      <c r="E32" s="67">
        <v>1</v>
      </c>
      <c r="F32" s="67">
        <v>1</v>
      </c>
      <c r="G32" s="67">
        <v>1</v>
      </c>
      <c r="H32" s="67">
        <v>0</v>
      </c>
      <c r="I32" s="67"/>
      <c r="J32" s="67"/>
      <c r="K32" s="67" t="s">
        <v>631</v>
      </c>
      <c r="L32" s="67" t="s">
        <v>930</v>
      </c>
      <c r="M32" s="67" t="s">
        <v>649</v>
      </c>
      <c r="N32" s="68"/>
      <c r="O32" s="67"/>
      <c r="P32" s="68"/>
    </row>
    <row r="33" spans="1:16" s="66" customFormat="1" ht="25.5" customHeight="1">
      <c r="A33" s="67">
        <f t="shared" si="0"/>
        <v>5</v>
      </c>
      <c r="B33" s="68" t="s">
        <v>884</v>
      </c>
      <c r="C33" s="67" t="s">
        <v>71</v>
      </c>
      <c r="D33" s="67">
        <v>2022</v>
      </c>
      <c r="E33" s="67">
        <v>1</v>
      </c>
      <c r="F33" s="67">
        <v>1</v>
      </c>
      <c r="G33" s="67">
        <v>1</v>
      </c>
      <c r="H33" s="67">
        <v>0</v>
      </c>
      <c r="I33" s="357">
        <v>15675000</v>
      </c>
      <c r="J33" s="356">
        <f>G33*I33</f>
        <v>15675000</v>
      </c>
      <c r="K33" s="67" t="s">
        <v>631</v>
      </c>
      <c r="L33" s="67" t="s">
        <v>930</v>
      </c>
      <c r="M33" s="67" t="s">
        <v>649</v>
      </c>
      <c r="N33" s="68"/>
      <c r="O33" s="67"/>
      <c r="P33" s="68"/>
    </row>
    <row r="34" spans="1:16" s="66" customFormat="1" ht="25.5" customHeight="1">
      <c r="A34" s="67">
        <f t="shared" si="0"/>
        <v>6</v>
      </c>
      <c r="B34" s="68" t="s">
        <v>382</v>
      </c>
      <c r="C34" s="67" t="s">
        <v>71</v>
      </c>
      <c r="D34" s="67">
        <v>2022</v>
      </c>
      <c r="E34" s="67">
        <v>2</v>
      </c>
      <c r="F34" s="67">
        <v>2</v>
      </c>
      <c r="G34" s="67">
        <v>2</v>
      </c>
      <c r="H34" s="67">
        <v>0</v>
      </c>
      <c r="I34" s="67"/>
      <c r="J34" s="67"/>
      <c r="K34" s="67" t="s">
        <v>631</v>
      </c>
      <c r="L34" s="67" t="s">
        <v>930</v>
      </c>
      <c r="M34" s="67" t="s">
        <v>649</v>
      </c>
      <c r="N34" s="68"/>
      <c r="O34" s="67"/>
      <c r="P34" s="68"/>
    </row>
    <row r="35" spans="1:16" s="66" customFormat="1" ht="25.5" customHeight="1">
      <c r="A35" s="67">
        <f t="shared" si="0"/>
        <v>7</v>
      </c>
      <c r="B35" s="68" t="s">
        <v>464</v>
      </c>
      <c r="C35" s="67" t="s">
        <v>71</v>
      </c>
      <c r="D35" s="67">
        <v>2022</v>
      </c>
      <c r="E35" s="67">
        <v>2</v>
      </c>
      <c r="F35" s="67">
        <v>2</v>
      </c>
      <c r="G35" s="67">
        <v>2</v>
      </c>
      <c r="H35" s="67">
        <v>0</v>
      </c>
      <c r="I35" s="67"/>
      <c r="J35" s="67"/>
      <c r="K35" s="67" t="s">
        <v>631</v>
      </c>
      <c r="L35" s="67" t="s">
        <v>930</v>
      </c>
      <c r="M35" s="67" t="s">
        <v>649</v>
      </c>
      <c r="N35" s="68"/>
      <c r="O35" s="67"/>
      <c r="P35" s="68"/>
    </row>
    <row r="36" spans="1:16" s="66" customFormat="1" ht="25.5" customHeight="1">
      <c r="A36" s="67">
        <f t="shared" si="0"/>
        <v>8</v>
      </c>
      <c r="B36" s="172" t="s">
        <v>319</v>
      </c>
      <c r="C36" s="67" t="s">
        <v>191</v>
      </c>
      <c r="D36" s="67">
        <v>2022</v>
      </c>
      <c r="E36" s="67">
        <v>2</v>
      </c>
      <c r="F36" s="67">
        <v>2</v>
      </c>
      <c r="G36" s="67">
        <v>2</v>
      </c>
      <c r="H36" s="67">
        <v>0</v>
      </c>
      <c r="I36" s="67"/>
      <c r="J36" s="67"/>
      <c r="K36" s="67" t="s">
        <v>631</v>
      </c>
      <c r="L36" s="67" t="s">
        <v>930</v>
      </c>
      <c r="M36" s="67" t="s">
        <v>649</v>
      </c>
      <c r="N36" s="68"/>
      <c r="O36" s="68"/>
      <c r="P36" s="68"/>
    </row>
    <row r="37" spans="1:16" s="66" customFormat="1" ht="25.5" customHeight="1">
      <c r="A37" s="67">
        <f t="shared" si="0"/>
        <v>9</v>
      </c>
      <c r="B37" s="69" t="s">
        <v>342</v>
      </c>
      <c r="C37" s="67" t="s">
        <v>191</v>
      </c>
      <c r="D37" s="67">
        <v>2022</v>
      </c>
      <c r="E37" s="67">
        <v>4</v>
      </c>
      <c r="F37" s="67">
        <v>4</v>
      </c>
      <c r="G37" s="67">
        <v>4</v>
      </c>
      <c r="H37" s="67">
        <v>0</v>
      </c>
      <c r="I37" s="67"/>
      <c r="J37" s="67"/>
      <c r="K37" s="67" t="s">
        <v>631</v>
      </c>
      <c r="L37" s="67" t="s">
        <v>930</v>
      </c>
      <c r="M37" s="67" t="s">
        <v>649</v>
      </c>
      <c r="N37" s="68"/>
      <c r="O37" s="68"/>
      <c r="P37" s="68"/>
    </row>
    <row r="38" spans="1:16" s="66" customFormat="1" ht="25.5" customHeight="1">
      <c r="A38" s="319" t="s">
        <v>199</v>
      </c>
      <c r="B38" s="171" t="s">
        <v>896</v>
      </c>
      <c r="C38" s="67"/>
      <c r="D38" s="67"/>
      <c r="E38" s="67"/>
      <c r="F38" s="67"/>
      <c r="G38" s="68"/>
      <c r="H38" s="67"/>
      <c r="I38" s="67"/>
      <c r="J38" s="67"/>
      <c r="K38" s="68"/>
      <c r="L38" s="68"/>
      <c r="M38" s="68"/>
      <c r="N38" s="68"/>
      <c r="O38" s="67"/>
      <c r="P38" s="68"/>
    </row>
    <row r="39" spans="1:16" s="66" customFormat="1" ht="25.5" customHeight="1">
      <c r="A39" s="67">
        <v>1</v>
      </c>
      <c r="B39" s="68" t="s">
        <v>506</v>
      </c>
      <c r="C39" s="67" t="s">
        <v>71</v>
      </c>
      <c r="D39" s="67">
        <v>2022</v>
      </c>
      <c r="E39" s="67">
        <v>2</v>
      </c>
      <c r="F39" s="67">
        <v>2</v>
      </c>
      <c r="G39" s="67">
        <v>2</v>
      </c>
      <c r="H39" s="67">
        <v>0</v>
      </c>
      <c r="I39" s="67"/>
      <c r="J39" s="67"/>
      <c r="K39" s="67" t="s">
        <v>631</v>
      </c>
      <c r="L39" s="67" t="s">
        <v>931</v>
      </c>
      <c r="M39" s="67" t="s">
        <v>649</v>
      </c>
      <c r="N39" s="68"/>
      <c r="O39" s="67"/>
      <c r="P39" s="68"/>
    </row>
    <row r="40" spans="1:16" s="66" customFormat="1" ht="25.5" customHeight="1">
      <c r="A40" s="67">
        <f t="shared" si="0"/>
        <v>2</v>
      </c>
      <c r="B40" s="68" t="s">
        <v>74</v>
      </c>
      <c r="C40" s="67" t="s">
        <v>71</v>
      </c>
      <c r="D40" s="67">
        <v>2022</v>
      </c>
      <c r="E40" s="67">
        <v>1</v>
      </c>
      <c r="F40" s="67">
        <v>1</v>
      </c>
      <c r="G40" s="67">
        <v>1</v>
      </c>
      <c r="H40" s="67">
        <v>0</v>
      </c>
      <c r="I40" s="67"/>
      <c r="J40" s="67"/>
      <c r="K40" s="67" t="s">
        <v>631</v>
      </c>
      <c r="L40" s="67" t="s">
        <v>931</v>
      </c>
      <c r="M40" s="67" t="s">
        <v>649</v>
      </c>
      <c r="N40" s="68"/>
      <c r="O40" s="67"/>
      <c r="P40" s="68"/>
    </row>
    <row r="41" spans="1:16" s="66" customFormat="1" ht="25.5" customHeight="1">
      <c r="A41" s="67">
        <f t="shared" si="0"/>
        <v>3</v>
      </c>
      <c r="B41" s="68" t="s">
        <v>75</v>
      </c>
      <c r="C41" s="67" t="s">
        <v>71</v>
      </c>
      <c r="D41" s="67">
        <v>2022</v>
      </c>
      <c r="E41" s="67">
        <v>1</v>
      </c>
      <c r="F41" s="67">
        <v>1</v>
      </c>
      <c r="G41" s="67">
        <v>1</v>
      </c>
      <c r="H41" s="67">
        <v>0</v>
      </c>
      <c r="I41" s="67"/>
      <c r="J41" s="67"/>
      <c r="K41" s="67" t="s">
        <v>631</v>
      </c>
      <c r="L41" s="67" t="s">
        <v>931</v>
      </c>
      <c r="M41" s="67" t="s">
        <v>649</v>
      </c>
      <c r="N41" s="68"/>
      <c r="O41" s="67"/>
      <c r="P41" s="68"/>
    </row>
    <row r="42" spans="1:16" s="66" customFormat="1" ht="25.5" customHeight="1">
      <c r="A42" s="67">
        <f t="shared" si="0"/>
        <v>4</v>
      </c>
      <c r="B42" s="68" t="s">
        <v>77</v>
      </c>
      <c r="C42" s="67" t="s">
        <v>71</v>
      </c>
      <c r="D42" s="67">
        <v>2022</v>
      </c>
      <c r="E42" s="67">
        <v>1</v>
      </c>
      <c r="F42" s="67">
        <v>1</v>
      </c>
      <c r="G42" s="67">
        <v>1</v>
      </c>
      <c r="H42" s="67">
        <v>0</v>
      </c>
      <c r="I42" s="67"/>
      <c r="J42" s="67"/>
      <c r="K42" s="67" t="s">
        <v>631</v>
      </c>
      <c r="L42" s="67" t="s">
        <v>931</v>
      </c>
      <c r="M42" s="67" t="s">
        <v>649</v>
      </c>
      <c r="N42" s="68"/>
      <c r="O42" s="67"/>
      <c r="P42" s="68"/>
    </row>
    <row r="43" spans="1:16" s="66" customFormat="1" ht="25.5" customHeight="1">
      <c r="A43" s="67">
        <f t="shared" si="0"/>
        <v>5</v>
      </c>
      <c r="B43" s="68" t="s">
        <v>70</v>
      </c>
      <c r="C43" s="67" t="s">
        <v>71</v>
      </c>
      <c r="D43" s="67">
        <v>2022</v>
      </c>
      <c r="E43" s="67">
        <v>2</v>
      </c>
      <c r="F43" s="67">
        <v>2</v>
      </c>
      <c r="G43" s="67">
        <v>2</v>
      </c>
      <c r="H43" s="67">
        <v>0</v>
      </c>
      <c r="I43" s="67"/>
      <c r="J43" s="67"/>
      <c r="K43" s="67" t="s">
        <v>631</v>
      </c>
      <c r="L43" s="67" t="s">
        <v>931</v>
      </c>
      <c r="M43" s="67" t="s">
        <v>649</v>
      </c>
      <c r="N43" s="68"/>
      <c r="O43" s="67"/>
      <c r="P43" s="68"/>
    </row>
    <row r="44" spans="1:16" s="66" customFormat="1" ht="25.5" customHeight="1">
      <c r="A44" s="67">
        <f t="shared" si="0"/>
        <v>6</v>
      </c>
      <c r="B44" s="68" t="s">
        <v>67</v>
      </c>
      <c r="C44" s="67" t="s">
        <v>71</v>
      </c>
      <c r="D44" s="67">
        <v>2022</v>
      </c>
      <c r="E44" s="67">
        <v>1</v>
      </c>
      <c r="F44" s="67">
        <v>1</v>
      </c>
      <c r="G44" s="67">
        <v>1</v>
      </c>
      <c r="H44" s="67">
        <v>0</v>
      </c>
      <c r="I44" s="67"/>
      <c r="J44" s="67"/>
      <c r="K44" s="67" t="s">
        <v>631</v>
      </c>
      <c r="L44" s="67" t="s">
        <v>931</v>
      </c>
      <c r="M44" s="67" t="s">
        <v>649</v>
      </c>
      <c r="N44" s="68"/>
      <c r="O44" s="67"/>
      <c r="P44" s="68"/>
    </row>
    <row r="45" spans="1:16" s="66" customFormat="1" ht="25.5" customHeight="1">
      <c r="A45" s="67">
        <f t="shared" si="0"/>
        <v>7</v>
      </c>
      <c r="B45" s="68" t="s">
        <v>232</v>
      </c>
      <c r="C45" s="67" t="s">
        <v>71</v>
      </c>
      <c r="D45" s="67">
        <v>2022</v>
      </c>
      <c r="E45" s="67">
        <v>1</v>
      </c>
      <c r="F45" s="67">
        <v>1</v>
      </c>
      <c r="G45" s="67">
        <v>1</v>
      </c>
      <c r="H45" s="67">
        <v>0</v>
      </c>
      <c r="I45" s="67"/>
      <c r="J45" s="67"/>
      <c r="K45" s="67" t="s">
        <v>631</v>
      </c>
      <c r="L45" s="67" t="s">
        <v>931</v>
      </c>
      <c r="M45" s="67" t="s">
        <v>649</v>
      </c>
      <c r="N45" s="68"/>
      <c r="O45" s="67"/>
      <c r="P45" s="68"/>
    </row>
    <row r="46" spans="1:16" s="66" customFormat="1" ht="25.5" customHeight="1">
      <c r="A46" s="67">
        <f t="shared" si="0"/>
        <v>8</v>
      </c>
      <c r="B46" s="68" t="s">
        <v>315</v>
      </c>
      <c r="C46" s="67" t="s">
        <v>71</v>
      </c>
      <c r="D46" s="67">
        <v>2022</v>
      </c>
      <c r="E46" s="67">
        <v>1</v>
      </c>
      <c r="F46" s="67">
        <v>1</v>
      </c>
      <c r="G46" s="67">
        <v>1</v>
      </c>
      <c r="H46" s="67">
        <v>0</v>
      </c>
      <c r="I46" s="67"/>
      <c r="J46" s="67"/>
      <c r="K46" s="67" t="s">
        <v>631</v>
      </c>
      <c r="L46" s="67" t="s">
        <v>931</v>
      </c>
      <c r="M46" s="67" t="s">
        <v>649</v>
      </c>
      <c r="N46" s="68"/>
      <c r="O46" s="67"/>
      <c r="P46" s="68"/>
    </row>
    <row r="47" spans="1:16" s="66" customFormat="1" ht="25.5" customHeight="1">
      <c r="A47" s="67">
        <f t="shared" si="0"/>
        <v>9</v>
      </c>
      <c r="B47" s="68" t="s">
        <v>237</v>
      </c>
      <c r="C47" s="67" t="s">
        <v>71</v>
      </c>
      <c r="D47" s="67">
        <v>2022</v>
      </c>
      <c r="E47" s="67">
        <v>1</v>
      </c>
      <c r="F47" s="67">
        <v>1</v>
      </c>
      <c r="G47" s="67">
        <v>1</v>
      </c>
      <c r="H47" s="67">
        <v>0</v>
      </c>
      <c r="I47" s="67"/>
      <c r="J47" s="67"/>
      <c r="K47" s="67" t="s">
        <v>631</v>
      </c>
      <c r="L47" s="67" t="s">
        <v>931</v>
      </c>
      <c r="M47" s="67" t="s">
        <v>649</v>
      </c>
      <c r="N47" s="68"/>
      <c r="O47" s="67"/>
      <c r="P47" s="68"/>
    </row>
    <row r="48" spans="1:16" s="66" customFormat="1" ht="25.5" customHeight="1">
      <c r="A48" s="67">
        <f t="shared" si="0"/>
        <v>10</v>
      </c>
      <c r="B48" s="68" t="s">
        <v>231</v>
      </c>
      <c r="C48" s="67" t="s">
        <v>71</v>
      </c>
      <c r="D48" s="67">
        <v>2022</v>
      </c>
      <c r="E48" s="67">
        <v>1</v>
      </c>
      <c r="F48" s="67">
        <v>1</v>
      </c>
      <c r="G48" s="67">
        <v>1</v>
      </c>
      <c r="H48" s="67">
        <v>0</v>
      </c>
      <c r="I48" s="67"/>
      <c r="J48" s="67"/>
      <c r="K48" s="67" t="s">
        <v>631</v>
      </c>
      <c r="L48" s="67" t="s">
        <v>931</v>
      </c>
      <c r="M48" s="67" t="s">
        <v>649</v>
      </c>
      <c r="N48" s="68"/>
      <c r="O48" s="67"/>
      <c r="P48" s="68"/>
    </row>
    <row r="49" spans="1:16" s="66" customFormat="1" ht="25.5" customHeight="1">
      <c r="A49" s="67">
        <f t="shared" si="0"/>
        <v>11</v>
      </c>
      <c r="B49" s="68" t="s">
        <v>382</v>
      </c>
      <c r="C49" s="67" t="s">
        <v>71</v>
      </c>
      <c r="D49" s="67">
        <v>2022</v>
      </c>
      <c r="E49" s="67">
        <v>1</v>
      </c>
      <c r="F49" s="67">
        <v>1</v>
      </c>
      <c r="G49" s="67">
        <v>1</v>
      </c>
      <c r="H49" s="67">
        <v>0</v>
      </c>
      <c r="I49" s="67"/>
      <c r="J49" s="67"/>
      <c r="K49" s="67" t="s">
        <v>631</v>
      </c>
      <c r="L49" s="67" t="s">
        <v>931</v>
      </c>
      <c r="M49" s="67" t="s">
        <v>649</v>
      </c>
      <c r="N49" s="68"/>
      <c r="O49" s="67"/>
      <c r="P49" s="68"/>
    </row>
    <row r="50" spans="1:16" s="66" customFormat="1" ht="25.5" customHeight="1">
      <c r="A50" s="67">
        <f t="shared" si="0"/>
        <v>12</v>
      </c>
      <c r="B50" s="68" t="s">
        <v>465</v>
      </c>
      <c r="C50" s="67" t="s">
        <v>71</v>
      </c>
      <c r="D50" s="67">
        <v>2022</v>
      </c>
      <c r="E50" s="67">
        <v>1</v>
      </c>
      <c r="F50" s="67">
        <v>1</v>
      </c>
      <c r="G50" s="67">
        <v>1</v>
      </c>
      <c r="H50" s="67">
        <v>0</v>
      </c>
      <c r="I50" s="67"/>
      <c r="J50" s="67"/>
      <c r="K50" s="67" t="s">
        <v>631</v>
      </c>
      <c r="L50" s="67" t="s">
        <v>931</v>
      </c>
      <c r="M50" s="67" t="s">
        <v>649</v>
      </c>
      <c r="N50" s="68"/>
      <c r="O50" s="67"/>
      <c r="P50" s="68"/>
    </row>
    <row r="51" spans="1:16" s="66" customFormat="1" ht="25.5" customHeight="1">
      <c r="A51" s="67">
        <f t="shared" si="0"/>
        <v>13</v>
      </c>
      <c r="B51" s="68" t="s">
        <v>399</v>
      </c>
      <c r="C51" s="67" t="s">
        <v>71</v>
      </c>
      <c r="D51" s="67">
        <v>2022</v>
      </c>
      <c r="E51" s="67">
        <v>1</v>
      </c>
      <c r="F51" s="67">
        <v>1</v>
      </c>
      <c r="G51" s="67">
        <v>1</v>
      </c>
      <c r="H51" s="67">
        <v>0</v>
      </c>
      <c r="I51" s="67"/>
      <c r="J51" s="67"/>
      <c r="K51" s="67" t="s">
        <v>631</v>
      </c>
      <c r="L51" s="67" t="s">
        <v>931</v>
      </c>
      <c r="M51" s="67" t="s">
        <v>649</v>
      </c>
      <c r="N51" s="68"/>
      <c r="O51" s="67"/>
      <c r="P51" s="68"/>
    </row>
    <row r="52" spans="1:16" s="66" customFormat="1" ht="25.5" customHeight="1">
      <c r="A52" s="67">
        <f t="shared" si="0"/>
        <v>14</v>
      </c>
      <c r="B52" s="172" t="s">
        <v>319</v>
      </c>
      <c r="C52" s="67" t="s">
        <v>191</v>
      </c>
      <c r="D52" s="67">
        <v>2022</v>
      </c>
      <c r="E52" s="67">
        <v>1</v>
      </c>
      <c r="F52" s="67">
        <v>1</v>
      </c>
      <c r="G52" s="67">
        <v>1</v>
      </c>
      <c r="H52" s="67">
        <v>0</v>
      </c>
      <c r="I52" s="67"/>
      <c r="J52" s="67"/>
      <c r="K52" s="67" t="s">
        <v>631</v>
      </c>
      <c r="L52" s="67" t="s">
        <v>931</v>
      </c>
      <c r="M52" s="67" t="s">
        <v>649</v>
      </c>
      <c r="N52" s="68"/>
      <c r="O52" s="68"/>
      <c r="P52" s="68"/>
    </row>
    <row r="53" spans="1:16" s="66" customFormat="1" ht="25.5" customHeight="1">
      <c r="A53" s="67">
        <f t="shared" si="0"/>
        <v>15</v>
      </c>
      <c r="B53" s="69" t="s">
        <v>342</v>
      </c>
      <c r="C53" s="67" t="s">
        <v>191</v>
      </c>
      <c r="D53" s="67">
        <v>2022</v>
      </c>
      <c r="E53" s="67">
        <v>1</v>
      </c>
      <c r="F53" s="67">
        <v>1</v>
      </c>
      <c r="G53" s="67">
        <v>1</v>
      </c>
      <c r="H53" s="67">
        <v>0</v>
      </c>
      <c r="I53" s="67"/>
      <c r="J53" s="67"/>
      <c r="K53" s="67" t="s">
        <v>631</v>
      </c>
      <c r="L53" s="67" t="s">
        <v>931</v>
      </c>
      <c r="M53" s="67" t="s">
        <v>649</v>
      </c>
      <c r="N53" s="68"/>
      <c r="O53" s="68"/>
      <c r="P53" s="68"/>
    </row>
    <row r="54" spans="1:16" s="66" customFormat="1" ht="25.5" customHeight="1">
      <c r="A54" s="319" t="s">
        <v>667</v>
      </c>
      <c r="B54" s="171" t="s">
        <v>897</v>
      </c>
      <c r="C54" s="319"/>
      <c r="D54" s="319"/>
      <c r="E54" s="319"/>
      <c r="F54" s="319"/>
      <c r="G54" s="187"/>
      <c r="H54" s="319"/>
      <c r="I54" s="352"/>
      <c r="J54" s="352"/>
      <c r="K54" s="187"/>
      <c r="L54" s="187"/>
      <c r="M54" s="187"/>
      <c r="N54" s="187"/>
      <c r="O54" s="319"/>
      <c r="P54" s="68"/>
    </row>
    <row r="55" spans="1:16" s="66" customFormat="1" ht="25.5" customHeight="1">
      <c r="A55" s="67">
        <v>1</v>
      </c>
      <c r="B55" s="68" t="s">
        <v>506</v>
      </c>
      <c r="C55" s="67" t="s">
        <v>71</v>
      </c>
      <c r="D55" s="67">
        <v>2022</v>
      </c>
      <c r="E55" s="67">
        <v>16</v>
      </c>
      <c r="F55" s="67">
        <v>16</v>
      </c>
      <c r="G55" s="67">
        <v>16</v>
      </c>
      <c r="H55" s="67">
        <v>0</v>
      </c>
      <c r="I55" s="67"/>
      <c r="J55" s="67"/>
      <c r="K55" s="67" t="s">
        <v>631</v>
      </c>
      <c r="L55" s="67" t="s">
        <v>932</v>
      </c>
      <c r="M55" s="67" t="s">
        <v>649</v>
      </c>
      <c r="N55" s="68"/>
      <c r="O55" s="67"/>
      <c r="P55" s="68"/>
    </row>
    <row r="56" spans="1:16" s="66" customFormat="1" ht="25.5" customHeight="1">
      <c r="A56" s="67">
        <f t="shared" si="0"/>
        <v>2</v>
      </c>
      <c r="B56" s="68" t="s">
        <v>77</v>
      </c>
      <c r="C56" s="67" t="s">
        <v>71</v>
      </c>
      <c r="D56" s="67">
        <v>2022</v>
      </c>
      <c r="E56" s="67">
        <v>1</v>
      </c>
      <c r="F56" s="67">
        <v>1</v>
      </c>
      <c r="G56" s="67">
        <v>1</v>
      </c>
      <c r="H56" s="67">
        <v>0</v>
      </c>
      <c r="I56" s="67"/>
      <c r="J56" s="67"/>
      <c r="K56" s="67" t="s">
        <v>631</v>
      </c>
      <c r="L56" s="67" t="s">
        <v>932</v>
      </c>
      <c r="M56" s="67" t="s">
        <v>649</v>
      </c>
      <c r="N56" s="68"/>
      <c r="O56" s="67"/>
      <c r="P56" s="68"/>
    </row>
    <row r="57" spans="1:16" s="66" customFormat="1" ht="25.5" customHeight="1">
      <c r="A57" s="67">
        <f t="shared" si="0"/>
        <v>3</v>
      </c>
      <c r="B57" s="68" t="s">
        <v>70</v>
      </c>
      <c r="C57" s="67" t="s">
        <v>71</v>
      </c>
      <c r="D57" s="67">
        <v>2022</v>
      </c>
      <c r="E57" s="67">
        <v>4</v>
      </c>
      <c r="F57" s="67">
        <v>4</v>
      </c>
      <c r="G57" s="67">
        <v>4</v>
      </c>
      <c r="H57" s="67">
        <v>0</v>
      </c>
      <c r="I57" s="67"/>
      <c r="J57" s="67"/>
      <c r="K57" s="67" t="s">
        <v>631</v>
      </c>
      <c r="L57" s="67" t="s">
        <v>932</v>
      </c>
      <c r="M57" s="67" t="s">
        <v>649</v>
      </c>
      <c r="N57" s="68"/>
      <c r="O57" s="67"/>
      <c r="P57" s="68"/>
    </row>
    <row r="58" spans="1:16" s="66" customFormat="1" ht="25.5" customHeight="1">
      <c r="A58" s="67">
        <f t="shared" si="0"/>
        <v>4</v>
      </c>
      <c r="B58" s="68" t="s">
        <v>67</v>
      </c>
      <c r="C58" s="67" t="s">
        <v>71</v>
      </c>
      <c r="D58" s="67">
        <v>2022</v>
      </c>
      <c r="E58" s="67">
        <v>1</v>
      </c>
      <c r="F58" s="67">
        <v>1</v>
      </c>
      <c r="G58" s="67">
        <v>1</v>
      </c>
      <c r="H58" s="67">
        <v>0</v>
      </c>
      <c r="I58" s="67"/>
      <c r="J58" s="67"/>
      <c r="K58" s="67" t="s">
        <v>631</v>
      </c>
      <c r="L58" s="67" t="s">
        <v>932</v>
      </c>
      <c r="M58" s="67" t="s">
        <v>649</v>
      </c>
      <c r="N58" s="68"/>
      <c r="O58" s="67"/>
      <c r="P58" s="68"/>
    </row>
    <row r="59" spans="1:16" s="66" customFormat="1" ht="25.5" customHeight="1">
      <c r="A59" s="67">
        <f t="shared" si="0"/>
        <v>5</v>
      </c>
      <c r="B59" s="68" t="s">
        <v>884</v>
      </c>
      <c r="C59" s="67" t="s">
        <v>71</v>
      </c>
      <c r="D59" s="67">
        <v>2022</v>
      </c>
      <c r="E59" s="67">
        <v>2</v>
      </c>
      <c r="F59" s="67">
        <v>2</v>
      </c>
      <c r="G59" s="67">
        <v>2</v>
      </c>
      <c r="H59" s="67">
        <v>0</v>
      </c>
      <c r="I59" s="357">
        <v>15675000</v>
      </c>
      <c r="J59" s="356">
        <f>G59*I59</f>
        <v>31350000</v>
      </c>
      <c r="K59" s="67" t="s">
        <v>631</v>
      </c>
      <c r="L59" s="67" t="s">
        <v>932</v>
      </c>
      <c r="M59" s="67" t="s">
        <v>649</v>
      </c>
      <c r="N59" s="68"/>
      <c r="O59" s="67"/>
      <c r="P59" s="68"/>
    </row>
    <row r="60" spans="1:16" s="66" customFormat="1" ht="25.5" customHeight="1">
      <c r="A60" s="67">
        <f t="shared" si="0"/>
        <v>6</v>
      </c>
      <c r="B60" s="68" t="s">
        <v>482</v>
      </c>
      <c r="C60" s="67" t="s">
        <v>71</v>
      </c>
      <c r="D60" s="67">
        <v>2022</v>
      </c>
      <c r="E60" s="67">
        <v>1</v>
      </c>
      <c r="F60" s="67">
        <v>1</v>
      </c>
      <c r="G60" s="67">
        <v>1</v>
      </c>
      <c r="H60" s="67">
        <v>0</v>
      </c>
      <c r="I60" s="67"/>
      <c r="J60" s="67"/>
      <c r="K60" s="67" t="s">
        <v>631</v>
      </c>
      <c r="L60" s="67" t="s">
        <v>932</v>
      </c>
      <c r="M60" s="67" t="s">
        <v>649</v>
      </c>
      <c r="N60" s="68"/>
      <c r="O60" s="67"/>
      <c r="P60" s="68"/>
    </row>
    <row r="61" spans="1:16" s="66" customFormat="1" ht="25.5" customHeight="1">
      <c r="A61" s="67">
        <f t="shared" si="0"/>
        <v>7</v>
      </c>
      <c r="B61" s="172" t="s">
        <v>319</v>
      </c>
      <c r="C61" s="67" t="s">
        <v>191</v>
      </c>
      <c r="D61" s="67">
        <v>2022</v>
      </c>
      <c r="E61" s="67">
        <v>2</v>
      </c>
      <c r="F61" s="67">
        <v>2</v>
      </c>
      <c r="G61" s="67">
        <v>2</v>
      </c>
      <c r="H61" s="67">
        <v>0</v>
      </c>
      <c r="I61" s="67"/>
      <c r="J61" s="67"/>
      <c r="K61" s="67" t="s">
        <v>631</v>
      </c>
      <c r="L61" s="67" t="s">
        <v>932</v>
      </c>
      <c r="M61" s="67" t="s">
        <v>649</v>
      </c>
      <c r="N61" s="68"/>
      <c r="O61" s="68"/>
      <c r="P61" s="68"/>
    </row>
    <row r="62" spans="1:16" s="66" customFormat="1" ht="25.5" customHeight="1">
      <c r="A62" s="319" t="s">
        <v>670</v>
      </c>
      <c r="B62" s="171" t="s">
        <v>898</v>
      </c>
      <c r="C62" s="67"/>
      <c r="D62" s="67"/>
      <c r="E62" s="67"/>
      <c r="F62" s="67"/>
      <c r="G62" s="68"/>
      <c r="H62" s="67"/>
      <c r="I62" s="67"/>
      <c r="J62" s="67"/>
      <c r="K62" s="68"/>
      <c r="L62" s="68"/>
      <c r="M62" s="68"/>
      <c r="N62" s="68"/>
      <c r="O62" s="67"/>
      <c r="P62" s="68"/>
    </row>
    <row r="63" spans="1:16" s="66" customFormat="1" ht="25.5" customHeight="1">
      <c r="A63" s="67">
        <v>1</v>
      </c>
      <c r="B63" s="68" t="s">
        <v>506</v>
      </c>
      <c r="C63" s="67" t="s">
        <v>71</v>
      </c>
      <c r="D63" s="67">
        <v>2022</v>
      </c>
      <c r="E63" s="67">
        <v>4</v>
      </c>
      <c r="F63" s="67">
        <v>4</v>
      </c>
      <c r="G63" s="67">
        <v>4</v>
      </c>
      <c r="H63" s="67">
        <v>0</v>
      </c>
      <c r="I63" s="67"/>
      <c r="J63" s="67"/>
      <c r="K63" s="67" t="s">
        <v>631</v>
      </c>
      <c r="L63" s="67" t="s">
        <v>933</v>
      </c>
      <c r="M63" s="67" t="s">
        <v>649</v>
      </c>
      <c r="N63" s="68"/>
      <c r="O63" s="67"/>
      <c r="P63" s="68"/>
    </row>
    <row r="64" spans="1:16" s="66" customFormat="1" ht="25.5" customHeight="1">
      <c r="A64" s="67">
        <f t="shared" si="0"/>
        <v>2</v>
      </c>
      <c r="B64" s="68" t="s">
        <v>74</v>
      </c>
      <c r="C64" s="67" t="s">
        <v>71</v>
      </c>
      <c r="D64" s="67">
        <v>2022</v>
      </c>
      <c r="E64" s="67">
        <v>6</v>
      </c>
      <c r="F64" s="67">
        <v>6</v>
      </c>
      <c r="G64" s="67">
        <v>6</v>
      </c>
      <c r="H64" s="67">
        <v>0</v>
      </c>
      <c r="I64" s="67"/>
      <c r="J64" s="67"/>
      <c r="K64" s="67" t="s">
        <v>631</v>
      </c>
      <c r="L64" s="67" t="s">
        <v>933</v>
      </c>
      <c r="M64" s="67" t="s">
        <v>649</v>
      </c>
      <c r="N64" s="68"/>
      <c r="O64" s="67"/>
      <c r="P64" s="68"/>
    </row>
    <row r="65" spans="1:16" s="66" customFormat="1" ht="25.5" customHeight="1">
      <c r="A65" s="67">
        <f t="shared" si="0"/>
        <v>3</v>
      </c>
      <c r="B65" s="68" t="s">
        <v>101</v>
      </c>
      <c r="C65" s="67" t="s">
        <v>71</v>
      </c>
      <c r="D65" s="67">
        <v>2022</v>
      </c>
      <c r="E65" s="67">
        <v>2</v>
      </c>
      <c r="F65" s="67">
        <v>2</v>
      </c>
      <c r="G65" s="67">
        <v>2</v>
      </c>
      <c r="H65" s="67">
        <v>0</v>
      </c>
      <c r="I65" s="67"/>
      <c r="J65" s="67"/>
      <c r="K65" s="67" t="s">
        <v>631</v>
      </c>
      <c r="L65" s="67" t="s">
        <v>933</v>
      </c>
      <c r="M65" s="67" t="s">
        <v>649</v>
      </c>
      <c r="N65" s="68"/>
      <c r="O65" s="67"/>
      <c r="P65" s="68"/>
    </row>
    <row r="66" spans="1:16" s="66" customFormat="1" ht="25.5" customHeight="1">
      <c r="A66" s="67">
        <f t="shared" si="0"/>
        <v>4</v>
      </c>
      <c r="B66" s="68" t="s">
        <v>70</v>
      </c>
      <c r="C66" s="67" t="s">
        <v>71</v>
      </c>
      <c r="D66" s="67">
        <v>2022</v>
      </c>
      <c r="E66" s="67">
        <v>4</v>
      </c>
      <c r="F66" s="67">
        <v>4</v>
      </c>
      <c r="G66" s="67">
        <v>4</v>
      </c>
      <c r="H66" s="67">
        <v>0</v>
      </c>
      <c r="I66" s="67"/>
      <c r="J66" s="67"/>
      <c r="K66" s="67" t="s">
        <v>631</v>
      </c>
      <c r="L66" s="67" t="s">
        <v>933</v>
      </c>
      <c r="M66" s="67" t="s">
        <v>649</v>
      </c>
      <c r="N66" s="68"/>
      <c r="O66" s="67"/>
      <c r="P66" s="68"/>
    </row>
    <row r="67" spans="1:16" s="66" customFormat="1" ht="25.5" customHeight="1">
      <c r="A67" s="67">
        <f t="shared" si="0"/>
        <v>5</v>
      </c>
      <c r="B67" s="68" t="s">
        <v>67</v>
      </c>
      <c r="C67" s="67" t="s">
        <v>71</v>
      </c>
      <c r="D67" s="67">
        <v>2022</v>
      </c>
      <c r="E67" s="67">
        <v>1</v>
      </c>
      <c r="F67" s="67">
        <v>1</v>
      </c>
      <c r="G67" s="67">
        <v>1</v>
      </c>
      <c r="H67" s="67">
        <v>0</v>
      </c>
      <c r="I67" s="67"/>
      <c r="J67" s="67"/>
      <c r="K67" s="67" t="s">
        <v>631</v>
      </c>
      <c r="L67" s="67" t="s">
        <v>933</v>
      </c>
      <c r="M67" s="67" t="s">
        <v>649</v>
      </c>
      <c r="N67" s="68"/>
      <c r="O67" s="67"/>
      <c r="P67" s="68"/>
    </row>
    <row r="68" spans="1:16" s="66" customFormat="1" ht="25.5" customHeight="1">
      <c r="A68" s="67">
        <f t="shared" si="0"/>
        <v>6</v>
      </c>
      <c r="B68" s="68" t="s">
        <v>237</v>
      </c>
      <c r="C68" s="67" t="s">
        <v>71</v>
      </c>
      <c r="D68" s="67">
        <v>2022</v>
      </c>
      <c r="E68" s="67">
        <v>1</v>
      </c>
      <c r="F68" s="67">
        <v>1</v>
      </c>
      <c r="G68" s="67">
        <v>1</v>
      </c>
      <c r="H68" s="67">
        <v>0</v>
      </c>
      <c r="I68" s="67"/>
      <c r="J68" s="67"/>
      <c r="K68" s="67" t="s">
        <v>631</v>
      </c>
      <c r="L68" s="67" t="s">
        <v>933</v>
      </c>
      <c r="M68" s="67" t="s">
        <v>649</v>
      </c>
      <c r="N68" s="68"/>
      <c r="O68" s="67"/>
      <c r="P68" s="68"/>
    </row>
    <row r="69" spans="1:16" s="66" customFormat="1" ht="25.5" customHeight="1">
      <c r="A69" s="67">
        <f t="shared" si="0"/>
        <v>7</v>
      </c>
      <c r="B69" s="68" t="s">
        <v>257</v>
      </c>
      <c r="C69" s="67" t="s">
        <v>71</v>
      </c>
      <c r="D69" s="67">
        <v>2022</v>
      </c>
      <c r="E69" s="67">
        <v>1</v>
      </c>
      <c r="F69" s="67">
        <v>1</v>
      </c>
      <c r="G69" s="67">
        <v>1</v>
      </c>
      <c r="H69" s="67">
        <v>0</v>
      </c>
      <c r="I69" s="67"/>
      <c r="J69" s="67"/>
      <c r="K69" s="67" t="s">
        <v>631</v>
      </c>
      <c r="L69" s="67" t="s">
        <v>933</v>
      </c>
      <c r="M69" s="67" t="s">
        <v>649</v>
      </c>
      <c r="N69" s="68"/>
      <c r="O69" s="67"/>
      <c r="P69" s="68"/>
    </row>
    <row r="70" spans="1:16" s="66" customFormat="1" ht="25.5" customHeight="1">
      <c r="A70" s="67">
        <f t="shared" si="0"/>
        <v>8</v>
      </c>
      <c r="B70" s="68" t="s">
        <v>899</v>
      </c>
      <c r="C70" s="67" t="s">
        <v>71</v>
      </c>
      <c r="D70" s="67">
        <v>2022</v>
      </c>
      <c r="E70" s="67">
        <v>1</v>
      </c>
      <c r="F70" s="67">
        <v>1</v>
      </c>
      <c r="G70" s="67">
        <v>1</v>
      </c>
      <c r="H70" s="67">
        <v>0</v>
      </c>
      <c r="I70" s="67"/>
      <c r="J70" s="67"/>
      <c r="K70" s="67" t="s">
        <v>631</v>
      </c>
      <c r="L70" s="67" t="s">
        <v>933</v>
      </c>
      <c r="M70" s="67" t="s">
        <v>649</v>
      </c>
      <c r="N70" s="68"/>
      <c r="O70" s="67"/>
      <c r="P70" s="68"/>
    </row>
    <row r="71" spans="1:16" s="66" customFormat="1" ht="25.5" customHeight="1">
      <c r="A71" s="67">
        <f t="shared" si="0"/>
        <v>9</v>
      </c>
      <c r="B71" s="68" t="s">
        <v>900</v>
      </c>
      <c r="C71" s="67" t="s">
        <v>71</v>
      </c>
      <c r="D71" s="67">
        <v>2022</v>
      </c>
      <c r="E71" s="67">
        <v>2</v>
      </c>
      <c r="F71" s="67">
        <v>2</v>
      </c>
      <c r="G71" s="67">
        <v>2</v>
      </c>
      <c r="H71" s="67">
        <v>0</v>
      </c>
      <c r="I71" s="67"/>
      <c r="J71" s="67"/>
      <c r="K71" s="67" t="s">
        <v>631</v>
      </c>
      <c r="L71" s="67" t="s">
        <v>933</v>
      </c>
      <c r="M71" s="67" t="s">
        <v>649</v>
      </c>
      <c r="N71" s="68"/>
      <c r="O71" s="67"/>
      <c r="P71" s="68"/>
    </row>
    <row r="72" spans="1:16" s="66" customFormat="1" ht="25.5" customHeight="1">
      <c r="A72" s="67">
        <f t="shared" si="0"/>
        <v>10</v>
      </c>
      <c r="B72" s="68" t="s">
        <v>231</v>
      </c>
      <c r="C72" s="67" t="s">
        <v>71</v>
      </c>
      <c r="D72" s="67">
        <v>2022</v>
      </c>
      <c r="E72" s="67">
        <v>2</v>
      </c>
      <c r="F72" s="67">
        <v>2</v>
      </c>
      <c r="G72" s="67">
        <v>2</v>
      </c>
      <c r="H72" s="67">
        <v>0</v>
      </c>
      <c r="I72" s="67"/>
      <c r="J72" s="67"/>
      <c r="K72" s="67" t="s">
        <v>631</v>
      </c>
      <c r="L72" s="67" t="s">
        <v>933</v>
      </c>
      <c r="M72" s="67" t="s">
        <v>649</v>
      </c>
      <c r="N72" s="68"/>
      <c r="O72" s="67"/>
      <c r="P72" s="68"/>
    </row>
    <row r="73" spans="1:16" s="66" customFormat="1" ht="25.5" customHeight="1">
      <c r="A73" s="67">
        <f t="shared" si="0"/>
        <v>11</v>
      </c>
      <c r="B73" s="68" t="s">
        <v>464</v>
      </c>
      <c r="C73" s="67" t="s">
        <v>71</v>
      </c>
      <c r="D73" s="67">
        <v>2022</v>
      </c>
      <c r="E73" s="67">
        <v>2</v>
      </c>
      <c r="F73" s="67">
        <v>2</v>
      </c>
      <c r="G73" s="67">
        <v>2</v>
      </c>
      <c r="H73" s="67">
        <v>0</v>
      </c>
      <c r="I73" s="67"/>
      <c r="J73" s="67"/>
      <c r="K73" s="67" t="s">
        <v>631</v>
      </c>
      <c r="L73" s="67" t="s">
        <v>933</v>
      </c>
      <c r="M73" s="67" t="s">
        <v>649</v>
      </c>
      <c r="N73" s="68"/>
      <c r="O73" s="67"/>
      <c r="P73" s="68"/>
    </row>
    <row r="74" spans="1:16" s="66" customFormat="1" ht="25.5" customHeight="1">
      <c r="A74" s="67">
        <f t="shared" si="0"/>
        <v>12</v>
      </c>
      <c r="B74" s="172" t="s">
        <v>319</v>
      </c>
      <c r="C74" s="67" t="s">
        <v>191</v>
      </c>
      <c r="D74" s="67">
        <v>2022</v>
      </c>
      <c r="E74" s="67">
        <v>2</v>
      </c>
      <c r="F74" s="67">
        <v>2</v>
      </c>
      <c r="G74" s="67">
        <v>2</v>
      </c>
      <c r="H74" s="67">
        <v>0</v>
      </c>
      <c r="I74" s="67"/>
      <c r="J74" s="67"/>
      <c r="K74" s="67" t="s">
        <v>631</v>
      </c>
      <c r="L74" s="67" t="s">
        <v>933</v>
      </c>
      <c r="M74" s="67" t="s">
        <v>649</v>
      </c>
      <c r="N74" s="68"/>
      <c r="O74" s="68"/>
      <c r="P74" s="68"/>
    </row>
    <row r="75" spans="1:16" s="66" customFormat="1" ht="25.5" customHeight="1">
      <c r="A75" s="67">
        <f t="shared" si="0"/>
        <v>13</v>
      </c>
      <c r="B75" s="69" t="s">
        <v>342</v>
      </c>
      <c r="C75" s="67" t="s">
        <v>191</v>
      </c>
      <c r="D75" s="67">
        <v>2022</v>
      </c>
      <c r="E75" s="67">
        <v>4</v>
      </c>
      <c r="F75" s="67">
        <v>4</v>
      </c>
      <c r="G75" s="67">
        <v>4</v>
      </c>
      <c r="H75" s="67">
        <v>0</v>
      </c>
      <c r="I75" s="67"/>
      <c r="J75" s="67"/>
      <c r="K75" s="67" t="s">
        <v>631</v>
      </c>
      <c r="L75" s="67" t="s">
        <v>933</v>
      </c>
      <c r="M75" s="67" t="s">
        <v>649</v>
      </c>
      <c r="N75" s="68"/>
      <c r="O75" s="68"/>
      <c r="P75" s="68"/>
    </row>
    <row r="76" spans="1:16" s="66" customFormat="1" ht="25.5" customHeight="1">
      <c r="A76" s="319" t="s">
        <v>677</v>
      </c>
      <c r="B76" s="171" t="s">
        <v>934</v>
      </c>
      <c r="C76" s="67"/>
      <c r="D76" s="67"/>
      <c r="E76" s="67"/>
      <c r="F76" s="67"/>
      <c r="G76" s="68"/>
      <c r="H76" s="67"/>
      <c r="I76" s="67"/>
      <c r="J76" s="67"/>
      <c r="K76" s="68"/>
      <c r="L76" s="68"/>
      <c r="M76" s="68"/>
      <c r="N76" s="68"/>
      <c r="O76" s="67"/>
      <c r="P76" s="68"/>
    </row>
    <row r="77" spans="1:16" s="66" customFormat="1" ht="25.5" customHeight="1">
      <c r="A77" s="67">
        <v>1</v>
      </c>
      <c r="B77" s="68" t="s">
        <v>506</v>
      </c>
      <c r="C77" s="67" t="s">
        <v>71</v>
      </c>
      <c r="D77" s="67">
        <v>2022</v>
      </c>
      <c r="E77" s="67">
        <v>7</v>
      </c>
      <c r="F77" s="67">
        <v>7</v>
      </c>
      <c r="G77" s="67">
        <v>7</v>
      </c>
      <c r="H77" s="67">
        <v>0</v>
      </c>
      <c r="I77" s="67"/>
      <c r="J77" s="67"/>
      <c r="K77" s="67" t="s">
        <v>631</v>
      </c>
      <c r="L77" s="67" t="s">
        <v>572</v>
      </c>
      <c r="M77" s="67" t="s">
        <v>649</v>
      </c>
      <c r="N77" s="68"/>
      <c r="O77" s="67"/>
      <c r="P77" s="68"/>
    </row>
    <row r="78" spans="1:16" s="66" customFormat="1" ht="25.5" customHeight="1">
      <c r="A78" s="67">
        <f t="shared" si="0"/>
        <v>2</v>
      </c>
      <c r="B78" s="68" t="s">
        <v>75</v>
      </c>
      <c r="C78" s="67" t="s">
        <v>71</v>
      </c>
      <c r="D78" s="67">
        <v>2022</v>
      </c>
      <c r="E78" s="67">
        <v>1</v>
      </c>
      <c r="F78" s="67">
        <v>1</v>
      </c>
      <c r="G78" s="67">
        <v>1</v>
      </c>
      <c r="H78" s="67">
        <v>0</v>
      </c>
      <c r="I78" s="67"/>
      <c r="J78" s="67"/>
      <c r="K78" s="67" t="s">
        <v>631</v>
      </c>
      <c r="L78" s="67" t="s">
        <v>572</v>
      </c>
      <c r="M78" s="67" t="s">
        <v>649</v>
      </c>
      <c r="N78" s="68"/>
      <c r="O78" s="67"/>
      <c r="P78" s="68"/>
    </row>
    <row r="79" spans="1:16" s="66" customFormat="1" ht="25.5" customHeight="1">
      <c r="A79" s="67">
        <f t="shared" si="0"/>
        <v>3</v>
      </c>
      <c r="B79" s="68" t="s">
        <v>100</v>
      </c>
      <c r="C79" s="67" t="s">
        <v>71</v>
      </c>
      <c r="D79" s="67">
        <v>2022</v>
      </c>
      <c r="E79" s="67">
        <v>1</v>
      </c>
      <c r="F79" s="67">
        <v>1</v>
      </c>
      <c r="G79" s="67">
        <v>1</v>
      </c>
      <c r="H79" s="67">
        <v>0</v>
      </c>
      <c r="I79" s="67"/>
      <c r="J79" s="67"/>
      <c r="K79" s="67" t="s">
        <v>631</v>
      </c>
      <c r="L79" s="67" t="s">
        <v>572</v>
      </c>
      <c r="M79" s="67" t="s">
        <v>649</v>
      </c>
      <c r="N79" s="68"/>
      <c r="O79" s="67"/>
      <c r="P79" s="68"/>
    </row>
    <row r="80" spans="1:16" s="66" customFormat="1" ht="25.5" customHeight="1">
      <c r="A80" s="67">
        <f t="shared" ref="A80:A143" si="1">A79+1</f>
        <v>4</v>
      </c>
      <c r="B80" s="68" t="s">
        <v>77</v>
      </c>
      <c r="C80" s="67" t="s">
        <v>71</v>
      </c>
      <c r="D80" s="67">
        <v>2022</v>
      </c>
      <c r="E80" s="67">
        <v>1</v>
      </c>
      <c r="F80" s="67">
        <v>1</v>
      </c>
      <c r="G80" s="67">
        <v>1</v>
      </c>
      <c r="H80" s="67">
        <v>0</v>
      </c>
      <c r="I80" s="67"/>
      <c r="J80" s="67"/>
      <c r="K80" s="67" t="s">
        <v>631</v>
      </c>
      <c r="L80" s="67" t="s">
        <v>572</v>
      </c>
      <c r="M80" s="67" t="s">
        <v>649</v>
      </c>
      <c r="N80" s="68"/>
      <c r="O80" s="67"/>
      <c r="P80" s="68"/>
    </row>
    <row r="81" spans="1:16" s="66" customFormat="1" ht="25.5" customHeight="1">
      <c r="A81" s="67">
        <f t="shared" si="1"/>
        <v>5</v>
      </c>
      <c r="B81" s="68" t="s">
        <v>70</v>
      </c>
      <c r="C81" s="67" t="s">
        <v>71</v>
      </c>
      <c r="D81" s="67">
        <v>2022</v>
      </c>
      <c r="E81" s="67">
        <v>9</v>
      </c>
      <c r="F81" s="67">
        <v>9</v>
      </c>
      <c r="G81" s="67">
        <v>9</v>
      </c>
      <c r="H81" s="67">
        <v>0</v>
      </c>
      <c r="I81" s="67"/>
      <c r="J81" s="67"/>
      <c r="K81" s="67" t="s">
        <v>631</v>
      </c>
      <c r="L81" s="67" t="s">
        <v>572</v>
      </c>
      <c r="M81" s="67" t="s">
        <v>649</v>
      </c>
      <c r="N81" s="68"/>
      <c r="O81" s="67"/>
      <c r="P81" s="68"/>
    </row>
    <row r="82" spans="1:16" s="66" customFormat="1" ht="25.5" customHeight="1">
      <c r="A82" s="67">
        <f t="shared" si="1"/>
        <v>6</v>
      </c>
      <c r="B82" s="68" t="s">
        <v>67</v>
      </c>
      <c r="C82" s="67" t="s">
        <v>71</v>
      </c>
      <c r="D82" s="67">
        <v>2022</v>
      </c>
      <c r="E82" s="67">
        <v>1</v>
      </c>
      <c r="F82" s="67">
        <v>1</v>
      </c>
      <c r="G82" s="67">
        <v>1</v>
      </c>
      <c r="H82" s="67">
        <v>0</v>
      </c>
      <c r="I82" s="67"/>
      <c r="J82" s="67"/>
      <c r="K82" s="67" t="s">
        <v>631</v>
      </c>
      <c r="L82" s="67" t="s">
        <v>572</v>
      </c>
      <c r="M82" s="67" t="s">
        <v>649</v>
      </c>
      <c r="N82" s="68"/>
      <c r="O82" s="67"/>
      <c r="P82" s="68"/>
    </row>
    <row r="83" spans="1:16" s="66" customFormat="1" ht="25.5" customHeight="1">
      <c r="A83" s="67">
        <f t="shared" si="1"/>
        <v>7</v>
      </c>
      <c r="B83" s="68" t="s">
        <v>315</v>
      </c>
      <c r="C83" s="67" t="s">
        <v>71</v>
      </c>
      <c r="D83" s="67">
        <v>2022</v>
      </c>
      <c r="E83" s="67">
        <v>1</v>
      </c>
      <c r="F83" s="67">
        <v>1</v>
      </c>
      <c r="G83" s="67">
        <v>1</v>
      </c>
      <c r="H83" s="67">
        <v>0</v>
      </c>
      <c r="I83" s="67"/>
      <c r="J83" s="67"/>
      <c r="K83" s="67" t="s">
        <v>631</v>
      </c>
      <c r="L83" s="67" t="s">
        <v>572</v>
      </c>
      <c r="M83" s="67" t="s">
        <v>649</v>
      </c>
      <c r="N83" s="68"/>
      <c r="O83" s="67"/>
      <c r="P83" s="68"/>
    </row>
    <row r="84" spans="1:16" s="66" customFormat="1" ht="25.5" customHeight="1">
      <c r="A84" s="67">
        <f t="shared" si="1"/>
        <v>8</v>
      </c>
      <c r="B84" s="68" t="s">
        <v>884</v>
      </c>
      <c r="C84" s="67" t="s">
        <v>71</v>
      </c>
      <c r="D84" s="67">
        <v>2022</v>
      </c>
      <c r="E84" s="67">
        <v>2</v>
      </c>
      <c r="F84" s="67">
        <v>2</v>
      </c>
      <c r="G84" s="67">
        <v>2</v>
      </c>
      <c r="H84" s="67">
        <v>0</v>
      </c>
      <c r="I84" s="357">
        <v>15675000</v>
      </c>
      <c r="J84" s="356">
        <f>G84*I84</f>
        <v>31350000</v>
      </c>
      <c r="K84" s="67" t="s">
        <v>631</v>
      </c>
      <c r="L84" s="67" t="s">
        <v>572</v>
      </c>
      <c r="M84" s="67" t="s">
        <v>649</v>
      </c>
      <c r="N84" s="68"/>
      <c r="O84" s="67"/>
      <c r="P84" s="68"/>
    </row>
    <row r="85" spans="1:16" s="66" customFormat="1" ht="25.5" customHeight="1">
      <c r="A85" s="67">
        <f t="shared" si="1"/>
        <v>9</v>
      </c>
      <c r="B85" s="68" t="s">
        <v>382</v>
      </c>
      <c r="C85" s="67" t="s">
        <v>71</v>
      </c>
      <c r="D85" s="67">
        <v>2022</v>
      </c>
      <c r="E85" s="67">
        <v>4</v>
      </c>
      <c r="F85" s="67">
        <v>4</v>
      </c>
      <c r="G85" s="67">
        <v>4</v>
      </c>
      <c r="H85" s="67">
        <v>0</v>
      </c>
      <c r="I85" s="67"/>
      <c r="J85" s="67"/>
      <c r="K85" s="67" t="s">
        <v>631</v>
      </c>
      <c r="L85" s="67" t="s">
        <v>572</v>
      </c>
      <c r="M85" s="67" t="s">
        <v>649</v>
      </c>
      <c r="N85" s="68"/>
      <c r="O85" s="67"/>
      <c r="P85" s="68"/>
    </row>
    <row r="86" spans="1:16" s="66" customFormat="1" ht="25.5" customHeight="1">
      <c r="A86" s="67">
        <f t="shared" si="1"/>
        <v>10</v>
      </c>
      <c r="B86" s="68" t="s">
        <v>482</v>
      </c>
      <c r="C86" s="67" t="s">
        <v>71</v>
      </c>
      <c r="D86" s="67">
        <v>2022</v>
      </c>
      <c r="E86" s="67">
        <v>1</v>
      </c>
      <c r="F86" s="67">
        <v>1</v>
      </c>
      <c r="G86" s="67">
        <v>1</v>
      </c>
      <c r="H86" s="67">
        <v>0</v>
      </c>
      <c r="I86" s="67"/>
      <c r="J86" s="67"/>
      <c r="K86" s="67" t="s">
        <v>631</v>
      </c>
      <c r="L86" s="67" t="s">
        <v>572</v>
      </c>
      <c r="M86" s="67" t="s">
        <v>649</v>
      </c>
      <c r="N86" s="68"/>
      <c r="O86" s="67"/>
      <c r="P86" s="68"/>
    </row>
    <row r="87" spans="1:16" s="66" customFormat="1" ht="25.5" customHeight="1">
      <c r="A87" s="67">
        <f t="shared" si="1"/>
        <v>11</v>
      </c>
      <c r="B87" s="172" t="s">
        <v>319</v>
      </c>
      <c r="C87" s="67" t="s">
        <v>191</v>
      </c>
      <c r="D87" s="67">
        <v>2022</v>
      </c>
      <c r="E87" s="67">
        <v>1</v>
      </c>
      <c r="F87" s="67">
        <v>1</v>
      </c>
      <c r="G87" s="67">
        <v>1</v>
      </c>
      <c r="H87" s="67">
        <v>0</v>
      </c>
      <c r="I87" s="67"/>
      <c r="J87" s="67"/>
      <c r="K87" s="67" t="s">
        <v>631</v>
      </c>
      <c r="L87" s="67" t="s">
        <v>572</v>
      </c>
      <c r="M87" s="67" t="s">
        <v>649</v>
      </c>
      <c r="N87" s="68"/>
      <c r="O87" s="68"/>
      <c r="P87" s="68"/>
    </row>
    <row r="88" spans="1:16" s="66" customFormat="1" ht="25.5" customHeight="1">
      <c r="A88" s="67">
        <f t="shared" si="1"/>
        <v>12</v>
      </c>
      <c r="B88" s="172" t="s">
        <v>347</v>
      </c>
      <c r="C88" s="67" t="s">
        <v>191</v>
      </c>
      <c r="D88" s="67">
        <v>2022</v>
      </c>
      <c r="E88" s="67">
        <v>1</v>
      </c>
      <c r="F88" s="67">
        <v>1</v>
      </c>
      <c r="G88" s="67">
        <v>1</v>
      </c>
      <c r="H88" s="67">
        <v>0</v>
      </c>
      <c r="I88" s="67"/>
      <c r="J88" s="67"/>
      <c r="K88" s="67" t="s">
        <v>631</v>
      </c>
      <c r="L88" s="67" t="s">
        <v>572</v>
      </c>
      <c r="M88" s="67" t="s">
        <v>649</v>
      </c>
      <c r="N88" s="68"/>
      <c r="O88" s="68"/>
      <c r="P88" s="68"/>
    </row>
    <row r="89" spans="1:16" s="66" customFormat="1" ht="25.5" customHeight="1">
      <c r="A89" s="67">
        <f t="shared" si="1"/>
        <v>13</v>
      </c>
      <c r="B89" s="69" t="s">
        <v>342</v>
      </c>
      <c r="C89" s="67" t="s">
        <v>191</v>
      </c>
      <c r="D89" s="67">
        <v>2022</v>
      </c>
      <c r="E89" s="67">
        <v>6</v>
      </c>
      <c r="F89" s="67">
        <v>6</v>
      </c>
      <c r="G89" s="67">
        <v>6</v>
      </c>
      <c r="H89" s="67">
        <v>0</v>
      </c>
      <c r="I89" s="67"/>
      <c r="J89" s="67"/>
      <c r="K89" s="67" t="s">
        <v>631</v>
      </c>
      <c r="L89" s="67" t="s">
        <v>572</v>
      </c>
      <c r="M89" s="67" t="s">
        <v>649</v>
      </c>
      <c r="N89" s="68"/>
      <c r="O89" s="68"/>
      <c r="P89" s="68"/>
    </row>
    <row r="90" spans="1:16" s="66" customFormat="1" ht="25.5" customHeight="1">
      <c r="A90" s="67">
        <f t="shared" si="1"/>
        <v>14</v>
      </c>
      <c r="B90" s="68" t="s">
        <v>343</v>
      </c>
      <c r="C90" s="67" t="s">
        <v>191</v>
      </c>
      <c r="D90" s="67">
        <v>2022</v>
      </c>
      <c r="E90" s="67">
        <v>1</v>
      </c>
      <c r="F90" s="67">
        <v>1</v>
      </c>
      <c r="G90" s="67">
        <v>1</v>
      </c>
      <c r="H90" s="67">
        <v>0</v>
      </c>
      <c r="I90" s="67"/>
      <c r="J90" s="67"/>
      <c r="K90" s="67" t="s">
        <v>631</v>
      </c>
      <c r="L90" s="67" t="s">
        <v>572</v>
      </c>
      <c r="M90" s="67" t="s">
        <v>649</v>
      </c>
      <c r="N90" s="68"/>
      <c r="O90" s="441" t="s">
        <v>924</v>
      </c>
      <c r="P90" s="68"/>
    </row>
    <row r="91" spans="1:16" s="66" customFormat="1" ht="25.5" customHeight="1">
      <c r="A91" s="67">
        <f t="shared" si="1"/>
        <v>15</v>
      </c>
      <c r="B91" s="68" t="s">
        <v>321</v>
      </c>
      <c r="C91" s="67" t="s">
        <v>191</v>
      </c>
      <c r="D91" s="67">
        <v>2022</v>
      </c>
      <c r="E91" s="67">
        <v>1</v>
      </c>
      <c r="F91" s="67">
        <v>1</v>
      </c>
      <c r="G91" s="67">
        <v>1</v>
      </c>
      <c r="H91" s="67">
        <v>0</v>
      </c>
      <c r="I91" s="67"/>
      <c r="J91" s="67"/>
      <c r="K91" s="67" t="s">
        <v>631</v>
      </c>
      <c r="L91" s="67" t="s">
        <v>572</v>
      </c>
      <c r="M91" s="67" t="s">
        <v>649</v>
      </c>
      <c r="N91" s="68"/>
      <c r="O91" s="442"/>
      <c r="P91" s="68"/>
    </row>
    <row r="92" spans="1:16" s="66" customFormat="1" ht="25.5" customHeight="1">
      <c r="A92" s="67">
        <f t="shared" si="1"/>
        <v>16</v>
      </c>
      <c r="B92" s="68" t="s">
        <v>322</v>
      </c>
      <c r="C92" s="67" t="s">
        <v>191</v>
      </c>
      <c r="D92" s="67">
        <v>2022</v>
      </c>
      <c r="E92" s="67">
        <v>1</v>
      </c>
      <c r="F92" s="67">
        <v>1</v>
      </c>
      <c r="G92" s="67">
        <v>1</v>
      </c>
      <c r="H92" s="67">
        <v>0</v>
      </c>
      <c r="I92" s="67"/>
      <c r="J92" s="67"/>
      <c r="K92" s="67" t="s">
        <v>631</v>
      </c>
      <c r="L92" s="67" t="s">
        <v>572</v>
      </c>
      <c r="M92" s="67" t="s">
        <v>649</v>
      </c>
      <c r="N92" s="68"/>
      <c r="O92" s="442"/>
      <c r="P92" s="68"/>
    </row>
    <row r="93" spans="1:16" s="66" customFormat="1" ht="25.5" customHeight="1">
      <c r="A93" s="67">
        <f t="shared" si="1"/>
        <v>17</v>
      </c>
      <c r="B93" s="68" t="s">
        <v>323</v>
      </c>
      <c r="C93" s="67" t="s">
        <v>191</v>
      </c>
      <c r="D93" s="67">
        <v>2022</v>
      </c>
      <c r="E93" s="67">
        <v>1</v>
      </c>
      <c r="F93" s="67">
        <v>1</v>
      </c>
      <c r="G93" s="67">
        <v>1</v>
      </c>
      <c r="H93" s="67">
        <v>0</v>
      </c>
      <c r="I93" s="67"/>
      <c r="J93" s="67"/>
      <c r="K93" s="67" t="s">
        <v>631</v>
      </c>
      <c r="L93" s="67" t="s">
        <v>572</v>
      </c>
      <c r="M93" s="67" t="s">
        <v>649</v>
      </c>
      <c r="N93" s="68"/>
      <c r="O93" s="442"/>
      <c r="P93" s="68"/>
    </row>
    <row r="94" spans="1:16" s="66" customFormat="1" ht="25.5" customHeight="1">
      <c r="A94" s="67">
        <f t="shared" si="1"/>
        <v>18</v>
      </c>
      <c r="B94" s="68" t="s">
        <v>324</v>
      </c>
      <c r="C94" s="67" t="s">
        <v>191</v>
      </c>
      <c r="D94" s="67">
        <v>2022</v>
      </c>
      <c r="E94" s="67">
        <v>1</v>
      </c>
      <c r="F94" s="67">
        <v>1</v>
      </c>
      <c r="G94" s="67">
        <v>1</v>
      </c>
      <c r="H94" s="67">
        <v>0</v>
      </c>
      <c r="I94" s="67"/>
      <c r="J94" s="67"/>
      <c r="K94" s="67" t="s">
        <v>631</v>
      </c>
      <c r="L94" s="67" t="s">
        <v>572</v>
      </c>
      <c r="M94" s="67" t="s">
        <v>649</v>
      </c>
      <c r="N94" s="68"/>
      <c r="O94" s="443"/>
      <c r="P94" s="68"/>
    </row>
    <row r="95" spans="1:16" s="66" customFormat="1" ht="25.5" customHeight="1">
      <c r="A95" s="319" t="s">
        <v>681</v>
      </c>
      <c r="B95" s="171" t="s">
        <v>963</v>
      </c>
      <c r="C95" s="67"/>
      <c r="D95" s="67"/>
      <c r="E95" s="67"/>
      <c r="F95" s="67"/>
      <c r="G95" s="68"/>
      <c r="H95" s="67"/>
      <c r="I95" s="67"/>
      <c r="J95" s="67"/>
      <c r="K95" s="68"/>
      <c r="L95" s="68"/>
      <c r="M95" s="68"/>
      <c r="N95" s="68"/>
      <c r="O95" s="67"/>
      <c r="P95" s="68"/>
    </row>
    <row r="96" spans="1:16" s="66" customFormat="1" ht="25.5" customHeight="1">
      <c r="A96" s="67">
        <v>1</v>
      </c>
      <c r="B96" s="68" t="s">
        <v>506</v>
      </c>
      <c r="C96" s="67" t="s">
        <v>71</v>
      </c>
      <c r="D96" s="67">
        <v>2022</v>
      </c>
      <c r="E96" s="67">
        <v>4</v>
      </c>
      <c r="F96" s="67">
        <v>4</v>
      </c>
      <c r="G96" s="67">
        <v>4</v>
      </c>
      <c r="H96" s="67">
        <v>0</v>
      </c>
      <c r="I96" s="67"/>
      <c r="J96" s="67"/>
      <c r="K96" s="67" t="s">
        <v>631</v>
      </c>
      <c r="L96" s="67" t="s">
        <v>935</v>
      </c>
      <c r="M96" s="67" t="s">
        <v>649</v>
      </c>
      <c r="N96" s="68"/>
      <c r="O96" s="67"/>
      <c r="P96" s="68"/>
    </row>
    <row r="97" spans="1:16" s="66" customFormat="1" ht="25.5" customHeight="1">
      <c r="A97" s="67">
        <f t="shared" si="1"/>
        <v>2</v>
      </c>
      <c r="B97" s="68" t="s">
        <v>101</v>
      </c>
      <c r="C97" s="67" t="s">
        <v>71</v>
      </c>
      <c r="D97" s="67">
        <v>2022</v>
      </c>
      <c r="E97" s="67">
        <v>1</v>
      </c>
      <c r="F97" s="67">
        <v>1</v>
      </c>
      <c r="G97" s="67">
        <v>1</v>
      </c>
      <c r="H97" s="67">
        <v>0</v>
      </c>
      <c r="I97" s="67"/>
      <c r="J97" s="67"/>
      <c r="K97" s="67" t="s">
        <v>631</v>
      </c>
      <c r="L97" s="67" t="s">
        <v>935</v>
      </c>
      <c r="M97" s="67" t="s">
        <v>649</v>
      </c>
      <c r="N97" s="68"/>
      <c r="O97" s="67"/>
      <c r="P97" s="68"/>
    </row>
    <row r="98" spans="1:16" s="66" customFormat="1" ht="25.5" customHeight="1">
      <c r="A98" s="67">
        <f t="shared" si="1"/>
        <v>3</v>
      </c>
      <c r="B98" s="68" t="s">
        <v>70</v>
      </c>
      <c r="C98" s="67" t="s">
        <v>71</v>
      </c>
      <c r="D98" s="67">
        <v>2022</v>
      </c>
      <c r="E98" s="67">
        <v>4</v>
      </c>
      <c r="F98" s="67">
        <v>4</v>
      </c>
      <c r="G98" s="67">
        <v>4</v>
      </c>
      <c r="H98" s="67">
        <v>0</v>
      </c>
      <c r="I98" s="67"/>
      <c r="J98" s="67"/>
      <c r="K98" s="67" t="s">
        <v>631</v>
      </c>
      <c r="L98" s="67" t="s">
        <v>935</v>
      </c>
      <c r="M98" s="67" t="s">
        <v>649</v>
      </c>
      <c r="N98" s="68"/>
      <c r="O98" s="67"/>
      <c r="P98" s="68"/>
    </row>
    <row r="99" spans="1:16" s="66" customFormat="1" ht="25.5" customHeight="1">
      <c r="A99" s="67">
        <f t="shared" si="1"/>
        <v>4</v>
      </c>
      <c r="B99" s="68" t="s">
        <v>81</v>
      </c>
      <c r="C99" s="67" t="s">
        <v>71</v>
      </c>
      <c r="D99" s="67">
        <v>2022</v>
      </c>
      <c r="E99" s="67">
        <v>1</v>
      </c>
      <c r="F99" s="67">
        <v>1</v>
      </c>
      <c r="G99" s="67">
        <v>1</v>
      </c>
      <c r="H99" s="67">
        <v>0</v>
      </c>
      <c r="I99" s="67"/>
      <c r="J99" s="67"/>
      <c r="K99" s="67" t="s">
        <v>631</v>
      </c>
      <c r="L99" s="67" t="s">
        <v>935</v>
      </c>
      <c r="M99" s="67" t="s">
        <v>649</v>
      </c>
      <c r="N99" s="68"/>
      <c r="O99" s="67"/>
      <c r="P99" s="68"/>
    </row>
    <row r="100" spans="1:16" s="66" customFormat="1" ht="25.5" customHeight="1">
      <c r="A100" s="67">
        <f t="shared" si="1"/>
        <v>5</v>
      </c>
      <c r="B100" s="68" t="s">
        <v>67</v>
      </c>
      <c r="C100" s="67" t="s">
        <v>71</v>
      </c>
      <c r="D100" s="67">
        <v>2022</v>
      </c>
      <c r="E100" s="67">
        <v>1</v>
      </c>
      <c r="F100" s="67">
        <v>1</v>
      </c>
      <c r="G100" s="67">
        <v>1</v>
      </c>
      <c r="H100" s="67">
        <v>0</v>
      </c>
      <c r="I100" s="67"/>
      <c r="J100" s="67"/>
      <c r="K100" s="67" t="s">
        <v>631</v>
      </c>
      <c r="L100" s="67" t="s">
        <v>935</v>
      </c>
      <c r="M100" s="67" t="s">
        <v>649</v>
      </c>
      <c r="N100" s="68"/>
      <c r="O100" s="67"/>
      <c r="P100" s="68"/>
    </row>
    <row r="101" spans="1:16" s="66" customFormat="1" ht="25.5" customHeight="1">
      <c r="A101" s="67">
        <f t="shared" si="1"/>
        <v>6</v>
      </c>
      <c r="B101" s="68" t="s">
        <v>315</v>
      </c>
      <c r="C101" s="67" t="s">
        <v>71</v>
      </c>
      <c r="D101" s="67">
        <v>2022</v>
      </c>
      <c r="E101" s="67">
        <v>1</v>
      </c>
      <c r="F101" s="67">
        <v>1</v>
      </c>
      <c r="G101" s="67">
        <v>1</v>
      </c>
      <c r="H101" s="67">
        <v>0</v>
      </c>
      <c r="I101" s="67"/>
      <c r="J101" s="67"/>
      <c r="K101" s="67" t="s">
        <v>631</v>
      </c>
      <c r="L101" s="67" t="s">
        <v>935</v>
      </c>
      <c r="M101" s="67" t="s">
        <v>649</v>
      </c>
      <c r="N101" s="68"/>
      <c r="O101" s="67"/>
      <c r="P101" s="68"/>
    </row>
    <row r="102" spans="1:16" s="66" customFormat="1" ht="25.5" customHeight="1">
      <c r="A102" s="67">
        <f t="shared" si="1"/>
        <v>7</v>
      </c>
      <c r="B102" s="68" t="s">
        <v>884</v>
      </c>
      <c r="C102" s="67" t="s">
        <v>71</v>
      </c>
      <c r="D102" s="67">
        <v>2022</v>
      </c>
      <c r="E102" s="67">
        <v>1</v>
      </c>
      <c r="F102" s="67">
        <v>1</v>
      </c>
      <c r="G102" s="67">
        <v>1</v>
      </c>
      <c r="H102" s="67">
        <v>0</v>
      </c>
      <c r="I102" s="357">
        <v>15675000</v>
      </c>
      <c r="J102" s="356">
        <f>G102*I102</f>
        <v>15675000</v>
      </c>
      <c r="K102" s="67" t="s">
        <v>631</v>
      </c>
      <c r="L102" s="67" t="s">
        <v>935</v>
      </c>
      <c r="M102" s="67" t="s">
        <v>649</v>
      </c>
      <c r="N102" s="68"/>
      <c r="O102" s="67"/>
      <c r="P102" s="68"/>
    </row>
    <row r="103" spans="1:16" s="66" customFormat="1" ht="25.5" customHeight="1">
      <c r="A103" s="67">
        <f t="shared" si="1"/>
        <v>8</v>
      </c>
      <c r="B103" s="68" t="s">
        <v>382</v>
      </c>
      <c r="C103" s="67" t="s">
        <v>71</v>
      </c>
      <c r="D103" s="67">
        <v>2022</v>
      </c>
      <c r="E103" s="67">
        <v>2</v>
      </c>
      <c r="F103" s="67">
        <v>2</v>
      </c>
      <c r="G103" s="67">
        <v>2</v>
      </c>
      <c r="H103" s="67">
        <v>0</v>
      </c>
      <c r="I103" s="67"/>
      <c r="J103" s="67"/>
      <c r="K103" s="67" t="s">
        <v>631</v>
      </c>
      <c r="L103" s="67" t="s">
        <v>935</v>
      </c>
      <c r="M103" s="67" t="s">
        <v>649</v>
      </c>
      <c r="N103" s="68"/>
      <c r="O103" s="67"/>
      <c r="P103" s="68"/>
    </row>
    <row r="104" spans="1:16" s="66" customFormat="1" ht="25.5" customHeight="1">
      <c r="A104" s="67">
        <f t="shared" si="1"/>
        <v>9</v>
      </c>
      <c r="B104" s="68" t="s">
        <v>471</v>
      </c>
      <c r="C104" s="67" t="s">
        <v>71</v>
      </c>
      <c r="D104" s="67">
        <v>2022</v>
      </c>
      <c r="E104" s="67">
        <v>1</v>
      </c>
      <c r="F104" s="67">
        <v>1</v>
      </c>
      <c r="G104" s="67">
        <v>1</v>
      </c>
      <c r="H104" s="67">
        <v>0</v>
      </c>
      <c r="I104" s="67"/>
      <c r="J104" s="67"/>
      <c r="K104" s="67" t="s">
        <v>631</v>
      </c>
      <c r="L104" s="67" t="s">
        <v>935</v>
      </c>
      <c r="M104" s="67" t="s">
        <v>649</v>
      </c>
      <c r="N104" s="68"/>
      <c r="O104" s="67"/>
      <c r="P104" s="68"/>
    </row>
    <row r="105" spans="1:16" s="66" customFormat="1" ht="25.5" customHeight="1">
      <c r="A105" s="67">
        <f t="shared" si="1"/>
        <v>10</v>
      </c>
      <c r="B105" s="172" t="s">
        <v>319</v>
      </c>
      <c r="C105" s="67" t="s">
        <v>191</v>
      </c>
      <c r="D105" s="67">
        <v>2022</v>
      </c>
      <c r="E105" s="67">
        <v>1</v>
      </c>
      <c r="F105" s="67">
        <v>1</v>
      </c>
      <c r="G105" s="67">
        <v>1</v>
      </c>
      <c r="H105" s="67">
        <v>0</v>
      </c>
      <c r="I105" s="67"/>
      <c r="J105" s="67"/>
      <c r="K105" s="67" t="s">
        <v>631</v>
      </c>
      <c r="L105" s="67" t="s">
        <v>935</v>
      </c>
      <c r="M105" s="67" t="s">
        <v>649</v>
      </c>
      <c r="N105" s="68"/>
      <c r="O105" s="68"/>
      <c r="P105" s="68"/>
    </row>
    <row r="106" spans="1:16" s="66" customFormat="1" ht="25.5" customHeight="1">
      <c r="A106" s="67">
        <f t="shared" si="1"/>
        <v>11</v>
      </c>
      <c r="B106" s="69" t="s">
        <v>342</v>
      </c>
      <c r="C106" s="67" t="s">
        <v>191</v>
      </c>
      <c r="D106" s="67">
        <v>2022</v>
      </c>
      <c r="E106" s="67">
        <v>2</v>
      </c>
      <c r="F106" s="67">
        <v>2</v>
      </c>
      <c r="G106" s="67">
        <v>2</v>
      </c>
      <c r="H106" s="67">
        <v>0</v>
      </c>
      <c r="I106" s="67"/>
      <c r="J106" s="67"/>
      <c r="K106" s="67" t="s">
        <v>631</v>
      </c>
      <c r="L106" s="67" t="s">
        <v>935</v>
      </c>
      <c r="M106" s="67" t="s">
        <v>649</v>
      </c>
      <c r="N106" s="68"/>
      <c r="O106" s="68"/>
      <c r="P106" s="68"/>
    </row>
    <row r="107" spans="1:16" s="66" customFormat="1" ht="25.5" customHeight="1">
      <c r="A107" s="319" t="s">
        <v>689</v>
      </c>
      <c r="B107" s="171" t="s">
        <v>526</v>
      </c>
      <c r="C107" s="319"/>
      <c r="D107" s="319"/>
      <c r="E107" s="319"/>
      <c r="F107" s="319"/>
      <c r="G107" s="187"/>
      <c r="H107" s="319"/>
      <c r="I107" s="352"/>
      <c r="J107" s="352"/>
      <c r="K107" s="187"/>
      <c r="L107" s="187"/>
      <c r="M107" s="187"/>
      <c r="N107" s="187"/>
      <c r="O107" s="319"/>
      <c r="P107" s="68"/>
    </row>
    <row r="108" spans="1:16" s="66" customFormat="1" ht="25.5" customHeight="1">
      <c r="A108" s="67">
        <v>1</v>
      </c>
      <c r="B108" s="68" t="s">
        <v>506</v>
      </c>
      <c r="C108" s="67" t="s">
        <v>71</v>
      </c>
      <c r="D108" s="67">
        <v>2022</v>
      </c>
      <c r="E108" s="67">
        <v>8</v>
      </c>
      <c r="F108" s="67">
        <v>8</v>
      </c>
      <c r="G108" s="67">
        <v>8</v>
      </c>
      <c r="H108" s="67">
        <v>0</v>
      </c>
      <c r="I108" s="67"/>
      <c r="J108" s="67"/>
      <c r="K108" s="67" t="s">
        <v>631</v>
      </c>
      <c r="L108" s="67" t="s">
        <v>936</v>
      </c>
      <c r="M108" s="67" t="s">
        <v>649</v>
      </c>
      <c r="N108" s="68"/>
      <c r="O108" s="67"/>
      <c r="P108" s="68"/>
    </row>
    <row r="109" spans="1:16" s="66" customFormat="1" ht="25.5" customHeight="1">
      <c r="A109" s="67">
        <f t="shared" si="1"/>
        <v>2</v>
      </c>
      <c r="B109" s="68" t="s">
        <v>101</v>
      </c>
      <c r="C109" s="67" t="s">
        <v>71</v>
      </c>
      <c r="D109" s="67">
        <v>2022</v>
      </c>
      <c r="E109" s="67">
        <v>1</v>
      </c>
      <c r="F109" s="67">
        <v>1</v>
      </c>
      <c r="G109" s="67">
        <v>1</v>
      </c>
      <c r="H109" s="67">
        <v>0</v>
      </c>
      <c r="I109" s="67"/>
      <c r="J109" s="67"/>
      <c r="K109" s="67" t="s">
        <v>631</v>
      </c>
      <c r="L109" s="67" t="s">
        <v>936</v>
      </c>
      <c r="M109" s="67" t="s">
        <v>649</v>
      </c>
      <c r="N109" s="68"/>
      <c r="O109" s="67"/>
      <c r="P109" s="68"/>
    </row>
    <row r="110" spans="1:16" s="66" customFormat="1" ht="25.5" customHeight="1">
      <c r="A110" s="67">
        <f t="shared" si="1"/>
        <v>3</v>
      </c>
      <c r="B110" s="68" t="s">
        <v>70</v>
      </c>
      <c r="C110" s="67" t="s">
        <v>71</v>
      </c>
      <c r="D110" s="67">
        <v>2022</v>
      </c>
      <c r="E110" s="67">
        <v>6</v>
      </c>
      <c r="F110" s="67">
        <v>6</v>
      </c>
      <c r="G110" s="67">
        <v>6</v>
      </c>
      <c r="H110" s="67">
        <v>0</v>
      </c>
      <c r="I110" s="67"/>
      <c r="J110" s="67"/>
      <c r="K110" s="67" t="s">
        <v>631</v>
      </c>
      <c r="L110" s="67" t="s">
        <v>936</v>
      </c>
      <c r="M110" s="67" t="s">
        <v>649</v>
      </c>
      <c r="N110" s="68"/>
      <c r="O110" s="67"/>
      <c r="P110" s="68"/>
    </row>
    <row r="111" spans="1:16" s="66" customFormat="1" ht="25.5" customHeight="1">
      <c r="A111" s="67">
        <f t="shared" si="1"/>
        <v>4</v>
      </c>
      <c r="B111" s="68" t="s">
        <v>81</v>
      </c>
      <c r="C111" s="67" t="s">
        <v>71</v>
      </c>
      <c r="D111" s="67">
        <v>2022</v>
      </c>
      <c r="E111" s="67">
        <v>1</v>
      </c>
      <c r="F111" s="67">
        <v>1</v>
      </c>
      <c r="G111" s="67">
        <v>1</v>
      </c>
      <c r="H111" s="67">
        <v>0</v>
      </c>
      <c r="I111" s="67"/>
      <c r="J111" s="67"/>
      <c r="K111" s="67" t="s">
        <v>631</v>
      </c>
      <c r="L111" s="67" t="s">
        <v>936</v>
      </c>
      <c r="M111" s="67" t="s">
        <v>649</v>
      </c>
      <c r="N111" s="68"/>
      <c r="O111" s="67"/>
      <c r="P111" s="68"/>
    </row>
    <row r="112" spans="1:16" s="66" customFormat="1" ht="25.5" customHeight="1">
      <c r="A112" s="67">
        <f t="shared" si="1"/>
        <v>5</v>
      </c>
      <c r="B112" s="68" t="s">
        <v>315</v>
      </c>
      <c r="C112" s="67" t="s">
        <v>71</v>
      </c>
      <c r="D112" s="67">
        <v>2022</v>
      </c>
      <c r="E112" s="67">
        <v>1</v>
      </c>
      <c r="F112" s="67">
        <v>1</v>
      </c>
      <c r="G112" s="67">
        <v>1</v>
      </c>
      <c r="H112" s="67">
        <v>0</v>
      </c>
      <c r="I112" s="67"/>
      <c r="J112" s="67"/>
      <c r="K112" s="67" t="s">
        <v>631</v>
      </c>
      <c r="L112" s="67" t="s">
        <v>936</v>
      </c>
      <c r="M112" s="67" t="s">
        <v>649</v>
      </c>
      <c r="N112" s="68"/>
      <c r="O112" s="67"/>
      <c r="P112" s="68"/>
    </row>
    <row r="113" spans="1:16" s="66" customFormat="1" ht="25.5" customHeight="1">
      <c r="A113" s="67">
        <f t="shared" si="1"/>
        <v>6</v>
      </c>
      <c r="B113" s="68" t="s">
        <v>67</v>
      </c>
      <c r="C113" s="67" t="s">
        <v>71</v>
      </c>
      <c r="D113" s="67">
        <v>2022</v>
      </c>
      <c r="E113" s="67">
        <v>1</v>
      </c>
      <c r="F113" s="67">
        <v>1</v>
      </c>
      <c r="G113" s="67">
        <v>1</v>
      </c>
      <c r="H113" s="67">
        <v>0</v>
      </c>
      <c r="I113" s="67"/>
      <c r="J113" s="67"/>
      <c r="K113" s="67" t="s">
        <v>631</v>
      </c>
      <c r="L113" s="67" t="s">
        <v>936</v>
      </c>
      <c r="M113" s="67" t="s">
        <v>649</v>
      </c>
      <c r="N113" s="68"/>
      <c r="O113" s="67"/>
      <c r="P113" s="68"/>
    </row>
    <row r="114" spans="1:16" s="66" customFormat="1" ht="25.5" customHeight="1">
      <c r="A114" s="67">
        <f t="shared" si="1"/>
        <v>7</v>
      </c>
      <c r="B114" s="68" t="s">
        <v>888</v>
      </c>
      <c r="C114" s="67" t="s">
        <v>71</v>
      </c>
      <c r="D114" s="67">
        <v>2022</v>
      </c>
      <c r="E114" s="67">
        <v>2</v>
      </c>
      <c r="F114" s="67">
        <v>2</v>
      </c>
      <c r="G114" s="67">
        <v>2</v>
      </c>
      <c r="H114" s="67">
        <v>0</v>
      </c>
      <c r="I114" s="354">
        <v>12669000</v>
      </c>
      <c r="J114" s="356">
        <f>+G114*I114</f>
        <v>25338000</v>
      </c>
      <c r="K114" s="67" t="s">
        <v>631</v>
      </c>
      <c r="L114" s="67" t="s">
        <v>936</v>
      </c>
      <c r="M114" s="67" t="s">
        <v>649</v>
      </c>
      <c r="N114" s="68"/>
      <c r="O114" s="67"/>
      <c r="P114" s="68"/>
    </row>
    <row r="115" spans="1:16" s="66" customFormat="1" ht="25.5" customHeight="1">
      <c r="A115" s="67">
        <f t="shared" si="1"/>
        <v>8</v>
      </c>
      <c r="B115" s="68" t="s">
        <v>382</v>
      </c>
      <c r="C115" s="67" t="s">
        <v>71</v>
      </c>
      <c r="D115" s="67">
        <v>2022</v>
      </c>
      <c r="E115" s="67">
        <v>2</v>
      </c>
      <c r="F115" s="67">
        <v>2</v>
      </c>
      <c r="G115" s="67">
        <v>2</v>
      </c>
      <c r="H115" s="67">
        <v>0</v>
      </c>
      <c r="I115" s="67"/>
      <c r="J115" s="67"/>
      <c r="K115" s="67" t="s">
        <v>631</v>
      </c>
      <c r="L115" s="67" t="s">
        <v>936</v>
      </c>
      <c r="M115" s="67" t="s">
        <v>649</v>
      </c>
      <c r="N115" s="68"/>
      <c r="O115" s="67"/>
      <c r="P115" s="68"/>
    </row>
    <row r="116" spans="1:16" s="66" customFormat="1" ht="25.5" customHeight="1">
      <c r="A116" s="67">
        <f t="shared" si="1"/>
        <v>9</v>
      </c>
      <c r="B116" s="68" t="s">
        <v>901</v>
      </c>
      <c r="C116" s="67" t="s">
        <v>71</v>
      </c>
      <c r="D116" s="67">
        <v>2022</v>
      </c>
      <c r="E116" s="67">
        <v>1</v>
      </c>
      <c r="F116" s="67">
        <v>1</v>
      </c>
      <c r="G116" s="67">
        <v>1</v>
      </c>
      <c r="H116" s="67">
        <v>0</v>
      </c>
      <c r="I116" s="67"/>
      <c r="J116" s="67"/>
      <c r="K116" s="67" t="s">
        <v>631</v>
      </c>
      <c r="L116" s="67" t="s">
        <v>936</v>
      </c>
      <c r="M116" s="67" t="s">
        <v>649</v>
      </c>
      <c r="N116" s="68"/>
      <c r="O116" s="67"/>
      <c r="P116" s="68"/>
    </row>
    <row r="117" spans="1:16" s="66" customFormat="1" ht="25.5" customHeight="1">
      <c r="A117" s="67">
        <f t="shared" si="1"/>
        <v>10</v>
      </c>
      <c r="B117" s="172" t="s">
        <v>319</v>
      </c>
      <c r="C117" s="67" t="s">
        <v>191</v>
      </c>
      <c r="D117" s="67">
        <v>2022</v>
      </c>
      <c r="E117" s="67">
        <v>1</v>
      </c>
      <c r="F117" s="67">
        <v>1</v>
      </c>
      <c r="G117" s="67">
        <v>1</v>
      </c>
      <c r="H117" s="67">
        <v>0</v>
      </c>
      <c r="I117" s="67"/>
      <c r="J117" s="67"/>
      <c r="K117" s="67" t="s">
        <v>631</v>
      </c>
      <c r="L117" s="67" t="s">
        <v>936</v>
      </c>
      <c r="M117" s="67" t="s">
        <v>649</v>
      </c>
      <c r="N117" s="68"/>
      <c r="O117" s="68"/>
      <c r="P117" s="68"/>
    </row>
    <row r="118" spans="1:16" s="66" customFormat="1" ht="25.5" customHeight="1">
      <c r="A118" s="67">
        <f t="shared" si="1"/>
        <v>11</v>
      </c>
      <c r="B118" s="69" t="s">
        <v>342</v>
      </c>
      <c r="C118" s="67" t="s">
        <v>191</v>
      </c>
      <c r="D118" s="67">
        <v>2022</v>
      </c>
      <c r="E118" s="67">
        <v>2</v>
      </c>
      <c r="F118" s="67">
        <v>2</v>
      </c>
      <c r="G118" s="67">
        <v>2</v>
      </c>
      <c r="H118" s="67">
        <v>0</v>
      </c>
      <c r="I118" s="67"/>
      <c r="J118" s="67"/>
      <c r="K118" s="67" t="s">
        <v>631</v>
      </c>
      <c r="L118" s="67" t="s">
        <v>936</v>
      </c>
      <c r="M118" s="67" t="s">
        <v>649</v>
      </c>
      <c r="N118" s="68"/>
      <c r="O118" s="68"/>
      <c r="P118" s="68"/>
    </row>
    <row r="119" spans="1:16" s="66" customFormat="1" ht="25.5" customHeight="1">
      <c r="A119" s="319" t="s">
        <v>690</v>
      </c>
      <c r="B119" s="171" t="s">
        <v>902</v>
      </c>
      <c r="C119" s="67"/>
      <c r="D119" s="67"/>
      <c r="E119" s="67"/>
      <c r="F119" s="67"/>
      <c r="G119" s="68"/>
      <c r="H119" s="67"/>
      <c r="I119" s="67"/>
      <c r="J119" s="67"/>
      <c r="K119" s="68"/>
      <c r="L119" s="68"/>
      <c r="M119" s="68"/>
      <c r="N119" s="68"/>
      <c r="O119" s="67" t="s">
        <v>925</v>
      </c>
      <c r="P119" s="68"/>
    </row>
    <row r="120" spans="1:16" s="66" customFormat="1" ht="25.5" customHeight="1">
      <c r="A120" s="67">
        <v>1</v>
      </c>
      <c r="B120" s="68" t="s">
        <v>506</v>
      </c>
      <c r="C120" s="67" t="s">
        <v>71</v>
      </c>
      <c r="D120" s="67">
        <v>2022</v>
      </c>
      <c r="E120" s="67">
        <v>10</v>
      </c>
      <c r="F120" s="67">
        <v>10</v>
      </c>
      <c r="G120" s="67">
        <v>10</v>
      </c>
      <c r="H120" s="67">
        <v>0</v>
      </c>
      <c r="I120" s="67"/>
      <c r="J120" s="67"/>
      <c r="K120" s="67" t="s">
        <v>631</v>
      </c>
      <c r="L120" s="67" t="s">
        <v>678</v>
      </c>
      <c r="M120" s="67" t="s">
        <v>649</v>
      </c>
      <c r="N120" s="68"/>
      <c r="O120" s="67"/>
      <c r="P120" s="68"/>
    </row>
    <row r="121" spans="1:16" s="66" customFormat="1" ht="25.5" customHeight="1">
      <c r="A121" s="67">
        <f t="shared" si="1"/>
        <v>2</v>
      </c>
      <c r="B121" s="68" t="s">
        <v>77</v>
      </c>
      <c r="C121" s="67" t="s">
        <v>71</v>
      </c>
      <c r="D121" s="67">
        <v>2022</v>
      </c>
      <c r="E121" s="67">
        <v>1</v>
      </c>
      <c r="F121" s="67">
        <v>1</v>
      </c>
      <c r="G121" s="67">
        <v>1</v>
      </c>
      <c r="H121" s="67">
        <v>0</v>
      </c>
      <c r="I121" s="67"/>
      <c r="J121" s="67"/>
      <c r="K121" s="67" t="s">
        <v>631</v>
      </c>
      <c r="L121" s="67" t="s">
        <v>678</v>
      </c>
      <c r="M121" s="67" t="s">
        <v>649</v>
      </c>
      <c r="N121" s="68"/>
      <c r="O121" s="67"/>
      <c r="P121" s="68"/>
    </row>
    <row r="122" spans="1:16" s="66" customFormat="1" ht="25.5" customHeight="1">
      <c r="A122" s="67">
        <f t="shared" si="1"/>
        <v>3</v>
      </c>
      <c r="B122" s="68" t="s">
        <v>70</v>
      </c>
      <c r="C122" s="67" t="s">
        <v>71</v>
      </c>
      <c r="D122" s="67">
        <v>2022</v>
      </c>
      <c r="E122" s="67">
        <v>8</v>
      </c>
      <c r="F122" s="67">
        <v>8</v>
      </c>
      <c r="G122" s="67">
        <v>8</v>
      </c>
      <c r="H122" s="67">
        <v>0</v>
      </c>
      <c r="I122" s="67"/>
      <c r="J122" s="67"/>
      <c r="K122" s="67" t="s">
        <v>631</v>
      </c>
      <c r="L122" s="67" t="s">
        <v>678</v>
      </c>
      <c r="M122" s="67" t="s">
        <v>649</v>
      </c>
      <c r="N122" s="68"/>
      <c r="O122" s="67"/>
      <c r="P122" s="68"/>
    </row>
    <row r="123" spans="1:16" s="66" customFormat="1" ht="25.5" customHeight="1">
      <c r="A123" s="67">
        <f t="shared" si="1"/>
        <v>4</v>
      </c>
      <c r="B123" s="68" t="s">
        <v>67</v>
      </c>
      <c r="C123" s="67" t="s">
        <v>71</v>
      </c>
      <c r="D123" s="67">
        <v>2022</v>
      </c>
      <c r="E123" s="67">
        <v>1</v>
      </c>
      <c r="F123" s="67">
        <v>1</v>
      </c>
      <c r="G123" s="67">
        <v>1</v>
      </c>
      <c r="H123" s="67">
        <v>0</v>
      </c>
      <c r="I123" s="67"/>
      <c r="J123" s="67"/>
      <c r="K123" s="67" t="s">
        <v>631</v>
      </c>
      <c r="L123" s="67" t="s">
        <v>678</v>
      </c>
      <c r="M123" s="67" t="s">
        <v>649</v>
      </c>
      <c r="N123" s="68"/>
      <c r="O123" s="67"/>
      <c r="P123" s="68"/>
    </row>
    <row r="124" spans="1:16" s="66" customFormat="1" ht="25.5" customHeight="1">
      <c r="A124" s="67">
        <f t="shared" si="1"/>
        <v>5</v>
      </c>
      <c r="B124" s="68" t="s">
        <v>315</v>
      </c>
      <c r="C124" s="67" t="s">
        <v>71</v>
      </c>
      <c r="D124" s="67">
        <v>2022</v>
      </c>
      <c r="E124" s="67">
        <v>1</v>
      </c>
      <c r="F124" s="67">
        <v>1</v>
      </c>
      <c r="G124" s="67">
        <v>1</v>
      </c>
      <c r="H124" s="67">
        <v>0</v>
      </c>
      <c r="I124" s="67"/>
      <c r="J124" s="67"/>
      <c r="K124" s="67" t="s">
        <v>631</v>
      </c>
      <c r="L124" s="67" t="s">
        <v>678</v>
      </c>
      <c r="M124" s="67" t="s">
        <v>649</v>
      </c>
      <c r="N124" s="68"/>
      <c r="O124" s="67"/>
      <c r="P124" s="68"/>
    </row>
    <row r="125" spans="1:16" s="66" customFormat="1" ht="25.5" customHeight="1">
      <c r="A125" s="67">
        <f t="shared" si="1"/>
        <v>6</v>
      </c>
      <c r="B125" s="68" t="s">
        <v>888</v>
      </c>
      <c r="C125" s="67" t="s">
        <v>71</v>
      </c>
      <c r="D125" s="67">
        <v>2022</v>
      </c>
      <c r="E125" s="67">
        <v>3</v>
      </c>
      <c r="F125" s="67">
        <v>3</v>
      </c>
      <c r="G125" s="67">
        <v>3</v>
      </c>
      <c r="H125" s="67">
        <v>0</v>
      </c>
      <c r="I125" s="354">
        <v>12669000</v>
      </c>
      <c r="J125" s="356">
        <f>+G125*I125</f>
        <v>38007000</v>
      </c>
      <c r="K125" s="67" t="s">
        <v>631</v>
      </c>
      <c r="L125" s="67" t="s">
        <v>678</v>
      </c>
      <c r="M125" s="67" t="s">
        <v>649</v>
      </c>
      <c r="N125" s="68"/>
      <c r="O125" s="67"/>
      <c r="P125" s="68"/>
    </row>
    <row r="126" spans="1:16" s="66" customFormat="1" ht="25.5" customHeight="1">
      <c r="A126" s="67">
        <f t="shared" si="1"/>
        <v>7</v>
      </c>
      <c r="B126" s="68" t="s">
        <v>382</v>
      </c>
      <c r="C126" s="67" t="s">
        <v>71</v>
      </c>
      <c r="D126" s="67">
        <v>2022</v>
      </c>
      <c r="E126" s="67">
        <v>3</v>
      </c>
      <c r="F126" s="67">
        <v>3</v>
      </c>
      <c r="G126" s="67">
        <v>3</v>
      </c>
      <c r="H126" s="67">
        <v>0</v>
      </c>
      <c r="I126" s="67"/>
      <c r="J126" s="67"/>
      <c r="K126" s="67" t="s">
        <v>631</v>
      </c>
      <c r="L126" s="67" t="s">
        <v>678</v>
      </c>
      <c r="M126" s="67" t="s">
        <v>649</v>
      </c>
      <c r="N126" s="68"/>
      <c r="O126" s="67"/>
      <c r="P126" s="68"/>
    </row>
    <row r="127" spans="1:16" s="66" customFormat="1" ht="25.5" customHeight="1">
      <c r="A127" s="67">
        <f t="shared" si="1"/>
        <v>8</v>
      </c>
      <c r="B127" s="68" t="s">
        <v>901</v>
      </c>
      <c r="C127" s="67" t="s">
        <v>71</v>
      </c>
      <c r="D127" s="67">
        <v>2022</v>
      </c>
      <c r="E127" s="67">
        <v>1</v>
      </c>
      <c r="F127" s="67">
        <v>1</v>
      </c>
      <c r="G127" s="67">
        <v>1</v>
      </c>
      <c r="H127" s="67">
        <v>0</v>
      </c>
      <c r="I127" s="67"/>
      <c r="J127" s="67"/>
      <c r="K127" s="67" t="s">
        <v>631</v>
      </c>
      <c r="L127" s="67" t="s">
        <v>678</v>
      </c>
      <c r="M127" s="67" t="s">
        <v>649</v>
      </c>
      <c r="N127" s="68"/>
      <c r="O127" s="67"/>
      <c r="P127" s="68"/>
    </row>
    <row r="128" spans="1:16" s="66" customFormat="1" ht="25.5" customHeight="1">
      <c r="A128" s="67">
        <f t="shared" si="1"/>
        <v>9</v>
      </c>
      <c r="B128" s="68" t="s">
        <v>464</v>
      </c>
      <c r="C128" s="67" t="s">
        <v>71</v>
      </c>
      <c r="D128" s="67">
        <v>2022</v>
      </c>
      <c r="E128" s="67">
        <v>1</v>
      </c>
      <c r="F128" s="67">
        <v>1</v>
      </c>
      <c r="G128" s="67">
        <v>1</v>
      </c>
      <c r="H128" s="67">
        <v>0</v>
      </c>
      <c r="I128" s="67"/>
      <c r="J128" s="67"/>
      <c r="K128" s="67" t="s">
        <v>631</v>
      </c>
      <c r="L128" s="67" t="s">
        <v>678</v>
      </c>
      <c r="M128" s="67" t="s">
        <v>649</v>
      </c>
      <c r="N128" s="68"/>
      <c r="O128" s="67"/>
      <c r="P128" s="68"/>
    </row>
    <row r="129" spans="1:16" s="66" customFormat="1" ht="25.5" customHeight="1">
      <c r="A129" s="67">
        <f t="shared" si="1"/>
        <v>10</v>
      </c>
      <c r="B129" s="172" t="s">
        <v>319</v>
      </c>
      <c r="C129" s="67" t="s">
        <v>191</v>
      </c>
      <c r="D129" s="67">
        <v>2022</v>
      </c>
      <c r="E129" s="67">
        <v>2</v>
      </c>
      <c r="F129" s="67">
        <v>2</v>
      </c>
      <c r="G129" s="67">
        <v>2</v>
      </c>
      <c r="H129" s="67">
        <v>0</v>
      </c>
      <c r="I129" s="67"/>
      <c r="J129" s="67"/>
      <c r="K129" s="67" t="s">
        <v>631</v>
      </c>
      <c r="L129" s="67" t="s">
        <v>678</v>
      </c>
      <c r="M129" s="67" t="s">
        <v>649</v>
      </c>
      <c r="N129" s="68"/>
      <c r="O129" s="68"/>
      <c r="P129" s="68"/>
    </row>
    <row r="130" spans="1:16" s="66" customFormat="1" ht="25.5" customHeight="1">
      <c r="A130" s="67">
        <f t="shared" si="1"/>
        <v>11</v>
      </c>
      <c r="B130" s="69" t="s">
        <v>342</v>
      </c>
      <c r="C130" s="67" t="s">
        <v>191</v>
      </c>
      <c r="D130" s="67">
        <v>2022</v>
      </c>
      <c r="E130" s="67">
        <v>6</v>
      </c>
      <c r="F130" s="67">
        <v>6</v>
      </c>
      <c r="G130" s="67">
        <v>6</v>
      </c>
      <c r="H130" s="67">
        <v>0</v>
      </c>
      <c r="I130" s="67"/>
      <c r="J130" s="67"/>
      <c r="K130" s="67" t="s">
        <v>631</v>
      </c>
      <c r="L130" s="67" t="s">
        <v>678</v>
      </c>
      <c r="M130" s="67" t="s">
        <v>649</v>
      </c>
      <c r="N130" s="68"/>
      <c r="O130" s="68"/>
      <c r="P130" s="68"/>
    </row>
    <row r="131" spans="1:16" s="66" customFormat="1" ht="25.5" customHeight="1">
      <c r="A131" s="319" t="s">
        <v>693</v>
      </c>
      <c r="B131" s="429" t="s">
        <v>964</v>
      </c>
      <c r="C131" s="431"/>
      <c r="D131" s="67"/>
      <c r="E131" s="67"/>
      <c r="F131" s="67"/>
      <c r="G131" s="68"/>
      <c r="H131" s="67"/>
      <c r="I131" s="67"/>
      <c r="J131" s="67"/>
      <c r="K131" s="68"/>
      <c r="L131" s="68"/>
      <c r="M131" s="68"/>
      <c r="N131" s="68"/>
      <c r="O131" s="67"/>
      <c r="P131" s="68"/>
    </row>
    <row r="132" spans="1:16" s="66" customFormat="1" ht="25.5" customHeight="1">
      <c r="A132" s="67">
        <v>1</v>
      </c>
      <c r="B132" s="68" t="s">
        <v>506</v>
      </c>
      <c r="C132" s="67" t="s">
        <v>71</v>
      </c>
      <c r="D132" s="67">
        <v>2022</v>
      </c>
      <c r="E132" s="67">
        <v>4</v>
      </c>
      <c r="F132" s="67">
        <v>4</v>
      </c>
      <c r="G132" s="67">
        <v>4</v>
      </c>
      <c r="H132" s="67">
        <v>0</v>
      </c>
      <c r="I132" s="67"/>
      <c r="J132" s="67"/>
      <c r="K132" s="67" t="s">
        <v>631</v>
      </c>
      <c r="L132" s="67" t="s">
        <v>937</v>
      </c>
      <c r="M132" s="67" t="s">
        <v>649</v>
      </c>
      <c r="N132" s="68"/>
      <c r="O132" s="67"/>
      <c r="P132" s="68"/>
    </row>
    <row r="133" spans="1:16" s="66" customFormat="1" ht="25.5" customHeight="1">
      <c r="A133" s="67">
        <f t="shared" si="1"/>
        <v>2</v>
      </c>
      <c r="B133" s="68" t="s">
        <v>101</v>
      </c>
      <c r="C133" s="67" t="s">
        <v>71</v>
      </c>
      <c r="D133" s="67">
        <v>2022</v>
      </c>
      <c r="E133" s="67">
        <v>1</v>
      </c>
      <c r="F133" s="67">
        <v>1</v>
      </c>
      <c r="G133" s="67">
        <v>1</v>
      </c>
      <c r="H133" s="67">
        <v>0</v>
      </c>
      <c r="I133" s="67"/>
      <c r="J133" s="67"/>
      <c r="K133" s="67" t="s">
        <v>631</v>
      </c>
      <c r="L133" s="67" t="s">
        <v>937</v>
      </c>
      <c r="M133" s="67" t="s">
        <v>649</v>
      </c>
      <c r="N133" s="68"/>
      <c r="O133" s="67"/>
      <c r="P133" s="68"/>
    </row>
    <row r="134" spans="1:16" s="66" customFormat="1" ht="25.5" customHeight="1">
      <c r="A134" s="67">
        <f t="shared" si="1"/>
        <v>3</v>
      </c>
      <c r="B134" s="68" t="s">
        <v>70</v>
      </c>
      <c r="C134" s="67" t="s">
        <v>71</v>
      </c>
      <c r="D134" s="67">
        <v>2022</v>
      </c>
      <c r="E134" s="67">
        <v>3</v>
      </c>
      <c r="F134" s="67">
        <v>3</v>
      </c>
      <c r="G134" s="67">
        <v>3</v>
      </c>
      <c r="H134" s="67">
        <v>0</v>
      </c>
      <c r="I134" s="67"/>
      <c r="J134" s="67"/>
      <c r="K134" s="67" t="s">
        <v>631</v>
      </c>
      <c r="L134" s="67" t="s">
        <v>937</v>
      </c>
      <c r="M134" s="67" t="s">
        <v>649</v>
      </c>
      <c r="N134" s="68"/>
      <c r="O134" s="67"/>
      <c r="P134" s="68"/>
    </row>
    <row r="135" spans="1:16" s="66" customFormat="1" ht="25.5" customHeight="1">
      <c r="A135" s="67">
        <f t="shared" si="1"/>
        <v>4</v>
      </c>
      <c r="B135" s="68" t="s">
        <v>67</v>
      </c>
      <c r="C135" s="67" t="s">
        <v>71</v>
      </c>
      <c r="D135" s="67">
        <v>2022</v>
      </c>
      <c r="E135" s="67">
        <v>1</v>
      </c>
      <c r="F135" s="67">
        <v>1</v>
      </c>
      <c r="G135" s="67">
        <v>1</v>
      </c>
      <c r="H135" s="67">
        <v>0</v>
      </c>
      <c r="I135" s="67"/>
      <c r="J135" s="67"/>
      <c r="K135" s="67" t="s">
        <v>631</v>
      </c>
      <c r="L135" s="67" t="s">
        <v>937</v>
      </c>
      <c r="M135" s="67" t="s">
        <v>649</v>
      </c>
      <c r="N135" s="68"/>
      <c r="O135" s="67"/>
      <c r="P135" s="68"/>
    </row>
    <row r="136" spans="1:16" s="66" customFormat="1" ht="25.5" customHeight="1">
      <c r="A136" s="67">
        <f t="shared" si="1"/>
        <v>5</v>
      </c>
      <c r="B136" s="68" t="s">
        <v>888</v>
      </c>
      <c r="C136" s="67" t="s">
        <v>71</v>
      </c>
      <c r="D136" s="67">
        <v>2022</v>
      </c>
      <c r="E136" s="67">
        <v>1</v>
      </c>
      <c r="F136" s="67">
        <v>1</v>
      </c>
      <c r="G136" s="67">
        <v>1</v>
      </c>
      <c r="H136" s="67">
        <v>0</v>
      </c>
      <c r="I136" s="354">
        <v>12669000</v>
      </c>
      <c r="J136" s="356">
        <f>+G136*I136</f>
        <v>12669000</v>
      </c>
      <c r="K136" s="67" t="s">
        <v>631</v>
      </c>
      <c r="L136" s="67" t="s">
        <v>937</v>
      </c>
      <c r="M136" s="67" t="s">
        <v>649</v>
      </c>
      <c r="N136" s="68"/>
      <c r="O136" s="67"/>
      <c r="P136" s="68"/>
    </row>
    <row r="137" spans="1:16" s="66" customFormat="1" ht="25.5" customHeight="1">
      <c r="A137" s="67">
        <f t="shared" si="1"/>
        <v>6</v>
      </c>
      <c r="B137" s="68" t="s">
        <v>382</v>
      </c>
      <c r="C137" s="67" t="s">
        <v>71</v>
      </c>
      <c r="D137" s="67">
        <v>2022</v>
      </c>
      <c r="E137" s="67">
        <v>1</v>
      </c>
      <c r="F137" s="67">
        <v>1</v>
      </c>
      <c r="G137" s="67">
        <v>1</v>
      </c>
      <c r="H137" s="67">
        <v>0</v>
      </c>
      <c r="I137" s="67"/>
      <c r="J137" s="67"/>
      <c r="K137" s="67" t="s">
        <v>631</v>
      </c>
      <c r="L137" s="67" t="s">
        <v>937</v>
      </c>
      <c r="M137" s="67" t="s">
        <v>649</v>
      </c>
      <c r="N137" s="68"/>
      <c r="O137" s="67"/>
      <c r="P137" s="68"/>
    </row>
    <row r="138" spans="1:16" s="66" customFormat="1" ht="25.5" customHeight="1">
      <c r="A138" s="67">
        <f t="shared" si="1"/>
        <v>7</v>
      </c>
      <c r="B138" s="172" t="s">
        <v>319</v>
      </c>
      <c r="C138" s="67" t="s">
        <v>191</v>
      </c>
      <c r="D138" s="67">
        <v>2022</v>
      </c>
      <c r="E138" s="67">
        <v>1</v>
      </c>
      <c r="F138" s="67">
        <v>1</v>
      </c>
      <c r="G138" s="67">
        <v>1</v>
      </c>
      <c r="H138" s="67">
        <v>0</v>
      </c>
      <c r="I138" s="67"/>
      <c r="J138" s="67"/>
      <c r="K138" s="67" t="s">
        <v>631</v>
      </c>
      <c r="L138" s="67" t="s">
        <v>937</v>
      </c>
      <c r="M138" s="67" t="s">
        <v>649</v>
      </c>
      <c r="N138" s="68"/>
      <c r="O138" s="68"/>
      <c r="P138" s="68"/>
    </row>
    <row r="139" spans="1:16" s="66" customFormat="1" ht="25.5" customHeight="1">
      <c r="A139" s="67">
        <f t="shared" si="1"/>
        <v>8</v>
      </c>
      <c r="B139" s="69" t="s">
        <v>342</v>
      </c>
      <c r="C139" s="67" t="s">
        <v>191</v>
      </c>
      <c r="D139" s="67">
        <v>2022</v>
      </c>
      <c r="E139" s="67">
        <v>4</v>
      </c>
      <c r="F139" s="67">
        <v>4</v>
      </c>
      <c r="G139" s="67">
        <v>4</v>
      </c>
      <c r="H139" s="67">
        <v>0</v>
      </c>
      <c r="I139" s="67"/>
      <c r="J139" s="67"/>
      <c r="K139" s="67" t="s">
        <v>631</v>
      </c>
      <c r="L139" s="67" t="s">
        <v>937</v>
      </c>
      <c r="M139" s="67" t="s">
        <v>649</v>
      </c>
      <c r="N139" s="68"/>
      <c r="O139" s="68"/>
      <c r="P139" s="68"/>
    </row>
    <row r="140" spans="1:16" s="66" customFormat="1" ht="25.5" customHeight="1">
      <c r="A140" s="319" t="s">
        <v>694</v>
      </c>
      <c r="B140" s="171" t="s">
        <v>903</v>
      </c>
      <c r="C140" s="67"/>
      <c r="D140" s="67"/>
      <c r="E140" s="67"/>
      <c r="F140" s="67"/>
      <c r="G140" s="68"/>
      <c r="H140" s="67"/>
      <c r="I140" s="67"/>
      <c r="J140" s="67"/>
      <c r="K140" s="68"/>
      <c r="L140" s="68"/>
      <c r="M140" s="68"/>
      <c r="N140" s="68"/>
      <c r="O140" s="67"/>
      <c r="P140" s="68"/>
    </row>
    <row r="141" spans="1:16" s="66" customFormat="1" ht="25.5" customHeight="1">
      <c r="A141" s="67">
        <v>1</v>
      </c>
      <c r="B141" s="68" t="s">
        <v>506</v>
      </c>
      <c r="C141" s="67" t="s">
        <v>71</v>
      </c>
      <c r="D141" s="67">
        <v>2022</v>
      </c>
      <c r="E141" s="67">
        <v>6</v>
      </c>
      <c r="F141" s="67">
        <v>6</v>
      </c>
      <c r="G141" s="67">
        <v>6</v>
      </c>
      <c r="H141" s="67">
        <v>0</v>
      </c>
      <c r="I141" s="67"/>
      <c r="J141" s="67"/>
      <c r="K141" s="67" t="s">
        <v>631</v>
      </c>
      <c r="L141" s="67" t="s">
        <v>938</v>
      </c>
      <c r="M141" s="67" t="s">
        <v>649</v>
      </c>
      <c r="N141" s="68"/>
      <c r="O141" s="67"/>
      <c r="P141" s="68"/>
    </row>
    <row r="142" spans="1:16" s="66" customFormat="1" ht="25.5" customHeight="1">
      <c r="A142" s="67">
        <f t="shared" si="1"/>
        <v>2</v>
      </c>
      <c r="B142" s="68" t="s">
        <v>75</v>
      </c>
      <c r="C142" s="67" t="s">
        <v>71</v>
      </c>
      <c r="D142" s="67">
        <v>2022</v>
      </c>
      <c r="E142" s="67">
        <v>2</v>
      </c>
      <c r="F142" s="67">
        <v>2</v>
      </c>
      <c r="G142" s="67">
        <v>2</v>
      </c>
      <c r="H142" s="67">
        <v>0</v>
      </c>
      <c r="I142" s="67"/>
      <c r="J142" s="67"/>
      <c r="K142" s="67" t="s">
        <v>631</v>
      </c>
      <c r="L142" s="67" t="s">
        <v>938</v>
      </c>
      <c r="M142" s="67" t="s">
        <v>649</v>
      </c>
      <c r="N142" s="68"/>
      <c r="O142" s="67"/>
      <c r="P142" s="68"/>
    </row>
    <row r="143" spans="1:16" s="66" customFormat="1" ht="25.5" customHeight="1">
      <c r="A143" s="67">
        <f t="shared" si="1"/>
        <v>3</v>
      </c>
      <c r="B143" s="68" t="s">
        <v>74</v>
      </c>
      <c r="C143" s="67" t="s">
        <v>71</v>
      </c>
      <c r="D143" s="67">
        <v>2022</v>
      </c>
      <c r="E143" s="67">
        <v>2</v>
      </c>
      <c r="F143" s="67">
        <v>2</v>
      </c>
      <c r="G143" s="67">
        <v>2</v>
      </c>
      <c r="H143" s="67">
        <v>0</v>
      </c>
      <c r="I143" s="67"/>
      <c r="J143" s="67"/>
      <c r="K143" s="67" t="s">
        <v>631</v>
      </c>
      <c r="L143" s="67" t="s">
        <v>938</v>
      </c>
      <c r="M143" s="67" t="s">
        <v>649</v>
      </c>
      <c r="N143" s="68"/>
      <c r="O143" s="67"/>
      <c r="P143" s="68"/>
    </row>
    <row r="144" spans="1:16" s="66" customFormat="1" ht="25.5" customHeight="1">
      <c r="A144" s="67">
        <f t="shared" ref="A144:A166" si="2">A143+1</f>
        <v>4</v>
      </c>
      <c r="B144" s="68" t="s">
        <v>100</v>
      </c>
      <c r="C144" s="67" t="s">
        <v>71</v>
      </c>
      <c r="D144" s="67">
        <v>2022</v>
      </c>
      <c r="E144" s="67">
        <v>2</v>
      </c>
      <c r="F144" s="67">
        <v>2</v>
      </c>
      <c r="G144" s="67">
        <v>2</v>
      </c>
      <c r="H144" s="67">
        <v>0</v>
      </c>
      <c r="I144" s="67"/>
      <c r="J144" s="67"/>
      <c r="K144" s="67" t="s">
        <v>631</v>
      </c>
      <c r="L144" s="67" t="s">
        <v>938</v>
      </c>
      <c r="M144" s="67" t="s">
        <v>649</v>
      </c>
      <c r="N144" s="68"/>
      <c r="O144" s="67"/>
      <c r="P144" s="68"/>
    </row>
    <row r="145" spans="1:16" s="66" customFormat="1" ht="25.5" customHeight="1">
      <c r="A145" s="67">
        <f t="shared" si="2"/>
        <v>5</v>
      </c>
      <c r="B145" s="68" t="s">
        <v>101</v>
      </c>
      <c r="C145" s="67" t="s">
        <v>71</v>
      </c>
      <c r="D145" s="67">
        <v>2022</v>
      </c>
      <c r="E145" s="67">
        <v>1</v>
      </c>
      <c r="F145" s="67">
        <v>1</v>
      </c>
      <c r="G145" s="67">
        <v>1</v>
      </c>
      <c r="H145" s="67">
        <v>0</v>
      </c>
      <c r="I145" s="67"/>
      <c r="J145" s="67"/>
      <c r="K145" s="67" t="s">
        <v>631</v>
      </c>
      <c r="L145" s="67" t="s">
        <v>938</v>
      </c>
      <c r="M145" s="67" t="s">
        <v>649</v>
      </c>
      <c r="N145" s="68"/>
      <c r="O145" s="67"/>
      <c r="P145" s="68"/>
    </row>
    <row r="146" spans="1:16" s="66" customFormat="1" ht="25.5" customHeight="1">
      <c r="A146" s="67">
        <f t="shared" si="2"/>
        <v>6</v>
      </c>
      <c r="B146" s="68" t="s">
        <v>70</v>
      </c>
      <c r="C146" s="67" t="s">
        <v>71</v>
      </c>
      <c r="D146" s="67">
        <v>2022</v>
      </c>
      <c r="E146" s="67">
        <v>4</v>
      </c>
      <c r="F146" s="67">
        <v>4</v>
      </c>
      <c r="G146" s="67">
        <v>4</v>
      </c>
      <c r="H146" s="67">
        <v>0</v>
      </c>
      <c r="I146" s="67"/>
      <c r="J146" s="67"/>
      <c r="K146" s="67" t="s">
        <v>631</v>
      </c>
      <c r="L146" s="67" t="s">
        <v>938</v>
      </c>
      <c r="M146" s="67" t="s">
        <v>649</v>
      </c>
      <c r="N146" s="68"/>
      <c r="O146" s="67"/>
      <c r="P146" s="68"/>
    </row>
    <row r="147" spans="1:16" s="66" customFormat="1" ht="25.5" customHeight="1">
      <c r="A147" s="67">
        <f t="shared" si="2"/>
        <v>7</v>
      </c>
      <c r="B147" s="68" t="s">
        <v>67</v>
      </c>
      <c r="C147" s="67" t="s">
        <v>71</v>
      </c>
      <c r="D147" s="67">
        <v>2022</v>
      </c>
      <c r="E147" s="67">
        <v>1</v>
      </c>
      <c r="F147" s="67">
        <v>1</v>
      </c>
      <c r="G147" s="67">
        <v>1</v>
      </c>
      <c r="H147" s="67">
        <v>0</v>
      </c>
      <c r="I147" s="67"/>
      <c r="J147" s="67"/>
      <c r="K147" s="67" t="s">
        <v>631</v>
      </c>
      <c r="L147" s="67" t="s">
        <v>938</v>
      </c>
      <c r="M147" s="67" t="s">
        <v>649</v>
      </c>
      <c r="N147" s="68"/>
      <c r="O147" s="67"/>
      <c r="P147" s="68"/>
    </row>
    <row r="148" spans="1:16" s="66" customFormat="1" ht="25.5" customHeight="1">
      <c r="A148" s="67">
        <f t="shared" si="2"/>
        <v>8</v>
      </c>
      <c r="B148" s="68" t="s">
        <v>232</v>
      </c>
      <c r="C148" s="67" t="s">
        <v>71</v>
      </c>
      <c r="D148" s="67">
        <v>2022</v>
      </c>
      <c r="E148" s="67">
        <v>1</v>
      </c>
      <c r="F148" s="67">
        <v>1</v>
      </c>
      <c r="G148" s="67">
        <v>1</v>
      </c>
      <c r="H148" s="67">
        <v>0</v>
      </c>
      <c r="I148" s="67"/>
      <c r="J148" s="67"/>
      <c r="K148" s="67" t="s">
        <v>631</v>
      </c>
      <c r="L148" s="67" t="s">
        <v>938</v>
      </c>
      <c r="M148" s="67" t="s">
        <v>649</v>
      </c>
      <c r="N148" s="68"/>
      <c r="O148" s="67"/>
      <c r="P148" s="68"/>
    </row>
    <row r="149" spans="1:16" s="66" customFormat="1" ht="25.5" customHeight="1">
      <c r="A149" s="67">
        <f t="shared" si="2"/>
        <v>9</v>
      </c>
      <c r="B149" s="68" t="s">
        <v>315</v>
      </c>
      <c r="C149" s="67" t="s">
        <v>71</v>
      </c>
      <c r="D149" s="67">
        <v>2022</v>
      </c>
      <c r="E149" s="67">
        <v>1</v>
      </c>
      <c r="F149" s="67">
        <v>1</v>
      </c>
      <c r="G149" s="67">
        <v>1</v>
      </c>
      <c r="H149" s="67">
        <v>0</v>
      </c>
      <c r="I149" s="67"/>
      <c r="J149" s="67"/>
      <c r="K149" s="67" t="s">
        <v>631</v>
      </c>
      <c r="L149" s="67" t="s">
        <v>938</v>
      </c>
      <c r="M149" s="67" t="s">
        <v>649</v>
      </c>
      <c r="N149" s="68"/>
      <c r="O149" s="67"/>
      <c r="P149" s="68"/>
    </row>
    <row r="150" spans="1:16" s="66" customFormat="1" ht="25.5" customHeight="1">
      <c r="A150" s="67">
        <f t="shared" si="2"/>
        <v>10</v>
      </c>
      <c r="B150" s="68" t="s">
        <v>237</v>
      </c>
      <c r="C150" s="67" t="s">
        <v>71</v>
      </c>
      <c r="D150" s="67">
        <v>2022</v>
      </c>
      <c r="E150" s="67">
        <v>1</v>
      </c>
      <c r="F150" s="67">
        <v>1</v>
      </c>
      <c r="G150" s="67">
        <v>1</v>
      </c>
      <c r="H150" s="67">
        <v>0</v>
      </c>
      <c r="I150" s="67"/>
      <c r="J150" s="67"/>
      <c r="K150" s="67" t="s">
        <v>631</v>
      </c>
      <c r="L150" s="67" t="s">
        <v>938</v>
      </c>
      <c r="M150" s="67" t="s">
        <v>649</v>
      </c>
      <c r="N150" s="68"/>
      <c r="O150" s="67"/>
      <c r="P150" s="68"/>
    </row>
    <row r="151" spans="1:16" s="66" customFormat="1" ht="25.5" customHeight="1">
      <c r="A151" s="67">
        <f t="shared" si="2"/>
        <v>11</v>
      </c>
      <c r="B151" s="68" t="s">
        <v>231</v>
      </c>
      <c r="C151" s="67" t="s">
        <v>71</v>
      </c>
      <c r="D151" s="67">
        <v>2022</v>
      </c>
      <c r="E151" s="67">
        <v>1</v>
      </c>
      <c r="F151" s="67">
        <v>1</v>
      </c>
      <c r="G151" s="67">
        <v>1</v>
      </c>
      <c r="H151" s="67">
        <v>0</v>
      </c>
      <c r="I151" s="67"/>
      <c r="J151" s="67"/>
      <c r="K151" s="67" t="s">
        <v>631</v>
      </c>
      <c r="L151" s="67" t="s">
        <v>938</v>
      </c>
      <c r="M151" s="67" t="s">
        <v>649</v>
      </c>
      <c r="N151" s="68"/>
      <c r="O151" s="67"/>
      <c r="P151" s="68"/>
    </row>
    <row r="152" spans="1:16" s="66" customFormat="1" ht="25.5" customHeight="1">
      <c r="A152" s="67">
        <f t="shared" si="2"/>
        <v>12</v>
      </c>
      <c r="B152" s="68" t="s">
        <v>888</v>
      </c>
      <c r="C152" s="67" t="s">
        <v>71</v>
      </c>
      <c r="D152" s="67">
        <v>2022</v>
      </c>
      <c r="E152" s="67">
        <v>2</v>
      </c>
      <c r="F152" s="67">
        <v>2</v>
      </c>
      <c r="G152" s="67">
        <v>2</v>
      </c>
      <c r="H152" s="67">
        <v>0</v>
      </c>
      <c r="I152" s="354">
        <v>12669000</v>
      </c>
      <c r="J152" s="356">
        <f>+G152*I152</f>
        <v>25338000</v>
      </c>
      <c r="K152" s="67" t="s">
        <v>631</v>
      </c>
      <c r="L152" s="67" t="s">
        <v>938</v>
      </c>
      <c r="M152" s="67" t="s">
        <v>649</v>
      </c>
      <c r="N152" s="68"/>
      <c r="O152" s="67"/>
      <c r="P152" s="68"/>
    </row>
    <row r="153" spans="1:16" s="66" customFormat="1" ht="25.5" customHeight="1">
      <c r="A153" s="67">
        <f t="shared" si="2"/>
        <v>13</v>
      </c>
      <c r="B153" s="68" t="s">
        <v>382</v>
      </c>
      <c r="C153" s="67" t="s">
        <v>71</v>
      </c>
      <c r="D153" s="67">
        <v>2022</v>
      </c>
      <c r="E153" s="67">
        <v>2</v>
      </c>
      <c r="F153" s="67">
        <v>2</v>
      </c>
      <c r="G153" s="67">
        <v>2</v>
      </c>
      <c r="H153" s="67">
        <v>0</v>
      </c>
      <c r="I153" s="67"/>
      <c r="J153" s="67"/>
      <c r="K153" s="67" t="s">
        <v>631</v>
      </c>
      <c r="L153" s="67" t="s">
        <v>938</v>
      </c>
      <c r="M153" s="67" t="s">
        <v>649</v>
      </c>
      <c r="N153" s="68"/>
      <c r="O153" s="67"/>
      <c r="P153" s="68"/>
    </row>
    <row r="154" spans="1:16" s="66" customFormat="1" ht="25.5" customHeight="1">
      <c r="A154" s="67">
        <f t="shared" si="2"/>
        <v>14</v>
      </c>
      <c r="B154" s="68" t="s">
        <v>471</v>
      </c>
      <c r="C154" s="67" t="s">
        <v>71</v>
      </c>
      <c r="D154" s="67">
        <v>2022</v>
      </c>
      <c r="E154" s="67">
        <v>1</v>
      </c>
      <c r="F154" s="67">
        <v>1</v>
      </c>
      <c r="G154" s="67">
        <v>1</v>
      </c>
      <c r="H154" s="67">
        <v>0</v>
      </c>
      <c r="I154" s="67"/>
      <c r="J154" s="67"/>
      <c r="K154" s="67" t="s">
        <v>631</v>
      </c>
      <c r="L154" s="67" t="s">
        <v>938</v>
      </c>
      <c r="M154" s="67" t="s">
        <v>649</v>
      </c>
      <c r="N154" s="68"/>
      <c r="O154" s="67"/>
      <c r="P154" s="68"/>
    </row>
    <row r="155" spans="1:16" s="66" customFormat="1" ht="25.5" customHeight="1">
      <c r="A155" s="67">
        <f t="shared" si="2"/>
        <v>15</v>
      </c>
      <c r="B155" s="68" t="s">
        <v>399</v>
      </c>
      <c r="C155" s="67" t="s">
        <v>71</v>
      </c>
      <c r="D155" s="67">
        <v>2022</v>
      </c>
      <c r="E155" s="67">
        <v>1</v>
      </c>
      <c r="F155" s="67">
        <v>1</v>
      </c>
      <c r="G155" s="67">
        <v>1</v>
      </c>
      <c r="H155" s="67">
        <v>0</v>
      </c>
      <c r="I155" s="67"/>
      <c r="J155" s="67"/>
      <c r="K155" s="67" t="s">
        <v>631</v>
      </c>
      <c r="L155" s="67" t="s">
        <v>938</v>
      </c>
      <c r="M155" s="67" t="s">
        <v>649</v>
      </c>
      <c r="N155" s="68"/>
      <c r="O155" s="67"/>
      <c r="P155" s="68"/>
    </row>
    <row r="156" spans="1:16" s="66" customFormat="1" ht="25.5" customHeight="1">
      <c r="A156" s="67">
        <f t="shared" si="2"/>
        <v>16</v>
      </c>
      <c r="B156" s="172" t="s">
        <v>319</v>
      </c>
      <c r="C156" s="67" t="s">
        <v>191</v>
      </c>
      <c r="D156" s="67">
        <v>2022</v>
      </c>
      <c r="E156" s="67">
        <v>1</v>
      </c>
      <c r="F156" s="67">
        <v>1</v>
      </c>
      <c r="G156" s="67">
        <v>1</v>
      </c>
      <c r="H156" s="67">
        <v>0</v>
      </c>
      <c r="I156" s="67"/>
      <c r="J156" s="67"/>
      <c r="K156" s="67" t="s">
        <v>631</v>
      </c>
      <c r="L156" s="67" t="s">
        <v>938</v>
      </c>
      <c r="M156" s="67" t="s">
        <v>649</v>
      </c>
      <c r="N156" s="68"/>
      <c r="O156" s="68"/>
      <c r="P156" s="68"/>
    </row>
    <row r="157" spans="1:16" s="66" customFormat="1" ht="25.5" customHeight="1">
      <c r="A157" s="67">
        <f t="shared" si="2"/>
        <v>17</v>
      </c>
      <c r="B157" s="69" t="s">
        <v>342</v>
      </c>
      <c r="C157" s="67" t="s">
        <v>191</v>
      </c>
      <c r="D157" s="67">
        <v>2022</v>
      </c>
      <c r="E157" s="67">
        <v>5</v>
      </c>
      <c r="F157" s="67">
        <v>5</v>
      </c>
      <c r="G157" s="67">
        <v>5</v>
      </c>
      <c r="H157" s="67">
        <v>0</v>
      </c>
      <c r="I157" s="67"/>
      <c r="J157" s="67"/>
      <c r="K157" s="67" t="s">
        <v>631</v>
      </c>
      <c r="L157" s="67" t="s">
        <v>938</v>
      </c>
      <c r="M157" s="67" t="s">
        <v>649</v>
      </c>
      <c r="N157" s="68"/>
      <c r="O157" s="68"/>
      <c r="P157" s="68"/>
    </row>
    <row r="158" spans="1:16" s="66" customFormat="1" ht="25.5" customHeight="1">
      <c r="A158" s="319" t="s">
        <v>695</v>
      </c>
      <c r="B158" s="171" t="s">
        <v>525</v>
      </c>
      <c r="C158" s="67"/>
      <c r="D158" s="67"/>
      <c r="E158" s="67"/>
      <c r="F158" s="67"/>
      <c r="G158" s="68"/>
      <c r="H158" s="67"/>
      <c r="I158" s="67"/>
      <c r="J158" s="67"/>
      <c r="K158" s="68"/>
      <c r="L158" s="68"/>
      <c r="M158" s="68"/>
      <c r="N158" s="68"/>
      <c r="O158" s="67"/>
      <c r="P158" s="68"/>
    </row>
    <row r="159" spans="1:16" s="66" customFormat="1" ht="25.5" customHeight="1">
      <c r="A159" s="67">
        <v>1</v>
      </c>
      <c r="B159" s="68" t="s">
        <v>904</v>
      </c>
      <c r="C159" s="67" t="s">
        <v>71</v>
      </c>
      <c r="D159" s="67">
        <v>2022</v>
      </c>
      <c r="E159" s="67">
        <v>4</v>
      </c>
      <c r="F159" s="67">
        <v>4</v>
      </c>
      <c r="G159" s="67">
        <v>4</v>
      </c>
      <c r="H159" s="67">
        <v>0</v>
      </c>
      <c r="I159" s="67"/>
      <c r="J159" s="67"/>
      <c r="K159" s="67" t="s">
        <v>631</v>
      </c>
      <c r="L159" s="67" t="s">
        <v>688</v>
      </c>
      <c r="M159" s="67" t="s">
        <v>649</v>
      </c>
      <c r="N159" s="68"/>
      <c r="O159" s="67"/>
      <c r="P159" s="68"/>
    </row>
    <row r="160" spans="1:16" s="66" customFormat="1" ht="25.5" customHeight="1">
      <c r="A160" s="67">
        <f t="shared" si="2"/>
        <v>2</v>
      </c>
      <c r="B160" s="68" t="s">
        <v>101</v>
      </c>
      <c r="C160" s="67" t="s">
        <v>71</v>
      </c>
      <c r="D160" s="67">
        <v>2022</v>
      </c>
      <c r="E160" s="67">
        <v>1</v>
      </c>
      <c r="F160" s="67">
        <v>1</v>
      </c>
      <c r="G160" s="67">
        <v>1</v>
      </c>
      <c r="H160" s="67">
        <v>0</v>
      </c>
      <c r="I160" s="67"/>
      <c r="J160" s="67"/>
      <c r="K160" s="67" t="s">
        <v>631</v>
      </c>
      <c r="L160" s="67" t="s">
        <v>688</v>
      </c>
      <c r="M160" s="67" t="s">
        <v>649</v>
      </c>
      <c r="N160" s="68"/>
      <c r="O160" s="67"/>
      <c r="P160" s="68"/>
    </row>
    <row r="161" spans="1:16" s="66" customFormat="1" ht="25.5" customHeight="1">
      <c r="A161" s="67">
        <f t="shared" si="2"/>
        <v>3</v>
      </c>
      <c r="B161" s="68" t="s">
        <v>70</v>
      </c>
      <c r="C161" s="67" t="s">
        <v>71</v>
      </c>
      <c r="D161" s="67">
        <v>2022</v>
      </c>
      <c r="E161" s="67">
        <v>5</v>
      </c>
      <c r="F161" s="67">
        <v>5</v>
      </c>
      <c r="G161" s="67">
        <v>5</v>
      </c>
      <c r="H161" s="67">
        <v>0</v>
      </c>
      <c r="I161" s="67"/>
      <c r="J161" s="67"/>
      <c r="K161" s="67" t="s">
        <v>631</v>
      </c>
      <c r="L161" s="67" t="s">
        <v>688</v>
      </c>
      <c r="M161" s="67" t="s">
        <v>649</v>
      </c>
      <c r="N161" s="68"/>
      <c r="O161" s="67"/>
      <c r="P161" s="68"/>
    </row>
    <row r="162" spans="1:16" s="66" customFormat="1" ht="25.5" customHeight="1">
      <c r="A162" s="67">
        <f t="shared" si="2"/>
        <v>4</v>
      </c>
      <c r="B162" s="68" t="s">
        <v>67</v>
      </c>
      <c r="C162" s="67" t="s">
        <v>71</v>
      </c>
      <c r="D162" s="67">
        <v>2022</v>
      </c>
      <c r="E162" s="67">
        <v>1</v>
      </c>
      <c r="F162" s="67">
        <v>1</v>
      </c>
      <c r="G162" s="67">
        <v>1</v>
      </c>
      <c r="H162" s="67">
        <v>0</v>
      </c>
      <c r="I162" s="67"/>
      <c r="J162" s="67"/>
      <c r="K162" s="67" t="s">
        <v>631</v>
      </c>
      <c r="L162" s="67" t="s">
        <v>688</v>
      </c>
      <c r="M162" s="67" t="s">
        <v>649</v>
      </c>
      <c r="N162" s="68"/>
      <c r="O162" s="67"/>
      <c r="P162" s="68"/>
    </row>
    <row r="163" spans="1:16" s="66" customFormat="1" ht="25.5" customHeight="1">
      <c r="A163" s="67">
        <f t="shared" si="2"/>
        <v>5</v>
      </c>
      <c r="B163" s="68" t="s">
        <v>884</v>
      </c>
      <c r="C163" s="67" t="s">
        <v>71</v>
      </c>
      <c r="D163" s="67">
        <v>2022</v>
      </c>
      <c r="E163" s="67">
        <v>1</v>
      </c>
      <c r="F163" s="67">
        <v>1</v>
      </c>
      <c r="G163" s="67">
        <v>1</v>
      </c>
      <c r="H163" s="67">
        <v>0</v>
      </c>
      <c r="I163" s="357">
        <v>15675000</v>
      </c>
      <c r="J163" s="356">
        <f>G163*I163</f>
        <v>15675000</v>
      </c>
      <c r="K163" s="67" t="s">
        <v>631</v>
      </c>
      <c r="L163" s="67" t="s">
        <v>688</v>
      </c>
      <c r="M163" s="67" t="s">
        <v>649</v>
      </c>
      <c r="N163" s="68"/>
      <c r="O163" s="67"/>
      <c r="P163" s="68"/>
    </row>
    <row r="164" spans="1:16" s="66" customFormat="1" ht="25.5" customHeight="1">
      <c r="A164" s="67">
        <f t="shared" si="2"/>
        <v>6</v>
      </c>
      <c r="B164" s="68" t="s">
        <v>465</v>
      </c>
      <c r="C164" s="67" t="s">
        <v>71</v>
      </c>
      <c r="D164" s="67">
        <v>2022</v>
      </c>
      <c r="E164" s="67">
        <v>1</v>
      </c>
      <c r="F164" s="67">
        <v>1</v>
      </c>
      <c r="G164" s="67">
        <v>1</v>
      </c>
      <c r="H164" s="67">
        <v>0</v>
      </c>
      <c r="I164" s="67"/>
      <c r="J164" s="67"/>
      <c r="K164" s="67" t="s">
        <v>631</v>
      </c>
      <c r="L164" s="67" t="s">
        <v>688</v>
      </c>
      <c r="M164" s="67" t="s">
        <v>649</v>
      </c>
      <c r="N164" s="68"/>
      <c r="O164" s="67"/>
      <c r="P164" s="68"/>
    </row>
    <row r="165" spans="1:16" s="66" customFormat="1" ht="25.5" customHeight="1">
      <c r="A165" s="67">
        <f t="shared" si="2"/>
        <v>7</v>
      </c>
      <c r="B165" s="172" t="s">
        <v>319</v>
      </c>
      <c r="C165" s="67" t="s">
        <v>191</v>
      </c>
      <c r="D165" s="67">
        <v>2022</v>
      </c>
      <c r="E165" s="67">
        <v>1</v>
      </c>
      <c r="F165" s="67">
        <v>1</v>
      </c>
      <c r="G165" s="67">
        <v>1</v>
      </c>
      <c r="H165" s="67">
        <v>0</v>
      </c>
      <c r="I165" s="67"/>
      <c r="J165" s="67"/>
      <c r="K165" s="67" t="s">
        <v>631</v>
      </c>
      <c r="L165" s="67" t="s">
        <v>688</v>
      </c>
      <c r="M165" s="67" t="s">
        <v>649</v>
      </c>
      <c r="N165" s="68"/>
      <c r="O165" s="68"/>
      <c r="P165" s="68"/>
    </row>
    <row r="166" spans="1:16" s="66" customFormat="1" ht="25.5" customHeight="1">
      <c r="A166" s="67">
        <f t="shared" si="2"/>
        <v>8</v>
      </c>
      <c r="B166" s="69" t="s">
        <v>342</v>
      </c>
      <c r="C166" s="67" t="s">
        <v>191</v>
      </c>
      <c r="D166" s="67">
        <v>2022</v>
      </c>
      <c r="E166" s="67">
        <v>1</v>
      </c>
      <c r="F166" s="67">
        <v>1</v>
      </c>
      <c r="G166" s="67">
        <v>1</v>
      </c>
      <c r="H166" s="67">
        <v>0</v>
      </c>
      <c r="I166" s="67"/>
      <c r="J166" s="67"/>
      <c r="K166" s="67" t="s">
        <v>631</v>
      </c>
      <c r="L166" s="67" t="s">
        <v>688</v>
      </c>
      <c r="M166" s="67" t="s">
        <v>649</v>
      </c>
      <c r="N166" s="68"/>
      <c r="O166" s="68"/>
      <c r="P166" s="68"/>
    </row>
    <row r="167" spans="1:16" s="66" customFormat="1" ht="25.5" customHeight="1">
      <c r="A167" s="67">
        <f>A166+1</f>
        <v>9</v>
      </c>
      <c r="B167" s="69" t="s">
        <v>893</v>
      </c>
      <c r="C167" s="67" t="s">
        <v>191</v>
      </c>
      <c r="D167" s="67">
        <v>2022</v>
      </c>
      <c r="E167" s="67">
        <v>1</v>
      </c>
      <c r="F167" s="67">
        <v>1</v>
      </c>
      <c r="G167" s="67">
        <v>1</v>
      </c>
      <c r="H167" s="67">
        <v>0</v>
      </c>
      <c r="I167" s="67"/>
      <c r="J167" s="67"/>
      <c r="K167" s="67" t="s">
        <v>631</v>
      </c>
      <c r="L167" s="67" t="s">
        <v>688</v>
      </c>
      <c r="M167" s="67" t="s">
        <v>649</v>
      </c>
      <c r="N167" s="68"/>
      <c r="O167" s="68"/>
      <c r="P167" s="68"/>
    </row>
    <row r="168" spans="1:16" s="66" customFormat="1" ht="25.5" customHeight="1">
      <c r="A168" s="319" t="s">
        <v>760</v>
      </c>
      <c r="B168" s="171" t="s">
        <v>524</v>
      </c>
      <c r="C168" s="319"/>
      <c r="D168" s="319"/>
      <c r="E168" s="319"/>
      <c r="F168" s="319"/>
      <c r="G168" s="187"/>
      <c r="H168" s="319"/>
      <c r="I168" s="352"/>
      <c r="J168" s="352"/>
      <c r="K168" s="187"/>
      <c r="L168" s="187"/>
      <c r="M168" s="187"/>
      <c r="N168" s="187"/>
      <c r="O168" s="319"/>
      <c r="P168" s="68"/>
    </row>
    <row r="169" spans="1:16" s="66" customFormat="1" ht="25.5" customHeight="1">
      <c r="A169" s="67">
        <v>1</v>
      </c>
      <c r="B169" s="68" t="s">
        <v>904</v>
      </c>
      <c r="C169" s="67" t="s">
        <v>71</v>
      </c>
      <c r="D169" s="67">
        <v>2022</v>
      </c>
      <c r="E169" s="67">
        <v>4</v>
      </c>
      <c r="F169" s="67">
        <v>4</v>
      </c>
      <c r="G169" s="67">
        <v>4</v>
      </c>
      <c r="H169" s="67">
        <v>0</v>
      </c>
      <c r="I169" s="67"/>
      <c r="J169" s="67"/>
      <c r="K169" s="67" t="s">
        <v>631</v>
      </c>
      <c r="L169" s="67" t="s">
        <v>939</v>
      </c>
      <c r="M169" s="67" t="s">
        <v>649</v>
      </c>
      <c r="N169" s="68"/>
      <c r="O169" s="67"/>
      <c r="P169" s="68"/>
    </row>
    <row r="170" spans="1:16" s="66" customFormat="1" ht="25.5" customHeight="1">
      <c r="A170" s="67">
        <f t="shared" ref="A170:A207" si="3">A169+1</f>
        <v>2</v>
      </c>
      <c r="B170" s="68" t="s">
        <v>101</v>
      </c>
      <c r="C170" s="67" t="s">
        <v>71</v>
      </c>
      <c r="D170" s="67">
        <v>2022</v>
      </c>
      <c r="E170" s="67">
        <v>1</v>
      </c>
      <c r="F170" s="67">
        <v>1</v>
      </c>
      <c r="G170" s="67">
        <v>1</v>
      </c>
      <c r="H170" s="67">
        <v>0</v>
      </c>
      <c r="I170" s="67"/>
      <c r="J170" s="67"/>
      <c r="K170" s="67" t="s">
        <v>631</v>
      </c>
      <c r="L170" s="67" t="s">
        <v>939</v>
      </c>
      <c r="M170" s="67" t="s">
        <v>649</v>
      </c>
      <c r="N170" s="68"/>
      <c r="O170" s="67"/>
      <c r="P170" s="68"/>
    </row>
    <row r="171" spans="1:16" s="66" customFormat="1" ht="25.5" customHeight="1">
      <c r="A171" s="67">
        <f t="shared" si="3"/>
        <v>3</v>
      </c>
      <c r="B171" s="68" t="s">
        <v>70</v>
      </c>
      <c r="C171" s="67" t="s">
        <v>71</v>
      </c>
      <c r="D171" s="67">
        <v>2022</v>
      </c>
      <c r="E171" s="67">
        <v>3</v>
      </c>
      <c r="F171" s="67">
        <v>3</v>
      </c>
      <c r="G171" s="67">
        <v>3</v>
      </c>
      <c r="H171" s="67">
        <v>0</v>
      </c>
      <c r="I171" s="67"/>
      <c r="J171" s="67"/>
      <c r="K171" s="67" t="s">
        <v>631</v>
      </c>
      <c r="L171" s="67" t="s">
        <v>939</v>
      </c>
      <c r="M171" s="67" t="s">
        <v>649</v>
      </c>
      <c r="N171" s="68"/>
      <c r="O171" s="67"/>
      <c r="P171" s="68"/>
    </row>
    <row r="172" spans="1:16" s="66" customFormat="1" ht="25.5" customHeight="1">
      <c r="A172" s="67">
        <f t="shared" si="3"/>
        <v>4</v>
      </c>
      <c r="B172" s="68" t="s">
        <v>67</v>
      </c>
      <c r="C172" s="67" t="s">
        <v>71</v>
      </c>
      <c r="D172" s="67">
        <v>2022</v>
      </c>
      <c r="E172" s="67">
        <v>1</v>
      </c>
      <c r="F172" s="67">
        <v>1</v>
      </c>
      <c r="G172" s="67">
        <v>1</v>
      </c>
      <c r="H172" s="67">
        <v>0</v>
      </c>
      <c r="I172" s="67"/>
      <c r="J172" s="67"/>
      <c r="K172" s="67" t="s">
        <v>631</v>
      </c>
      <c r="L172" s="67" t="s">
        <v>939</v>
      </c>
      <c r="M172" s="67" t="s">
        <v>649</v>
      </c>
      <c r="N172" s="68"/>
      <c r="O172" s="67"/>
      <c r="P172" s="68"/>
    </row>
    <row r="173" spans="1:16" s="66" customFormat="1" ht="25.5" customHeight="1">
      <c r="A173" s="67">
        <f t="shared" si="3"/>
        <v>5</v>
      </c>
      <c r="B173" s="68" t="s">
        <v>884</v>
      </c>
      <c r="C173" s="67" t="s">
        <v>71</v>
      </c>
      <c r="D173" s="67">
        <v>2022</v>
      </c>
      <c r="E173" s="67">
        <v>1</v>
      </c>
      <c r="F173" s="67">
        <v>1</v>
      </c>
      <c r="G173" s="67">
        <v>1</v>
      </c>
      <c r="H173" s="67">
        <v>0</v>
      </c>
      <c r="I173" s="357">
        <v>15675000</v>
      </c>
      <c r="J173" s="356">
        <f>G173*I173</f>
        <v>15675000</v>
      </c>
      <c r="K173" s="67" t="s">
        <v>631</v>
      </c>
      <c r="L173" s="67" t="s">
        <v>939</v>
      </c>
      <c r="M173" s="67" t="s">
        <v>649</v>
      </c>
      <c r="N173" s="68"/>
      <c r="O173" s="67"/>
      <c r="P173" s="68"/>
    </row>
    <row r="174" spans="1:16" s="66" customFormat="1" ht="25.5" customHeight="1">
      <c r="A174" s="67">
        <f t="shared" si="3"/>
        <v>6</v>
      </c>
      <c r="B174" s="68" t="s">
        <v>465</v>
      </c>
      <c r="C174" s="67" t="s">
        <v>71</v>
      </c>
      <c r="D174" s="67">
        <v>2022</v>
      </c>
      <c r="E174" s="67">
        <v>1</v>
      </c>
      <c r="F174" s="67">
        <v>1</v>
      </c>
      <c r="G174" s="67">
        <v>1</v>
      </c>
      <c r="H174" s="67">
        <v>0</v>
      </c>
      <c r="I174" s="67"/>
      <c r="J174" s="67"/>
      <c r="K174" s="67" t="s">
        <v>631</v>
      </c>
      <c r="L174" s="67" t="s">
        <v>939</v>
      </c>
      <c r="M174" s="67" t="s">
        <v>649</v>
      </c>
      <c r="N174" s="68"/>
      <c r="O174" s="67"/>
      <c r="P174" s="68"/>
    </row>
    <row r="175" spans="1:16" s="66" customFormat="1" ht="25.5" customHeight="1">
      <c r="A175" s="67">
        <f t="shared" si="3"/>
        <v>7</v>
      </c>
      <c r="B175" s="172" t="s">
        <v>319</v>
      </c>
      <c r="C175" s="67" t="s">
        <v>191</v>
      </c>
      <c r="D175" s="67">
        <v>2022</v>
      </c>
      <c r="E175" s="67">
        <v>1</v>
      </c>
      <c r="F175" s="67">
        <v>1</v>
      </c>
      <c r="G175" s="67">
        <v>1</v>
      </c>
      <c r="H175" s="67">
        <v>0</v>
      </c>
      <c r="I175" s="67"/>
      <c r="J175" s="67"/>
      <c r="K175" s="67" t="s">
        <v>631</v>
      </c>
      <c r="L175" s="67" t="s">
        <v>939</v>
      </c>
      <c r="M175" s="67" t="s">
        <v>649</v>
      </c>
      <c r="N175" s="68"/>
      <c r="O175" s="68"/>
      <c r="P175" s="68"/>
    </row>
    <row r="176" spans="1:16" s="66" customFormat="1" ht="25.5" customHeight="1">
      <c r="A176" s="67">
        <f t="shared" si="3"/>
        <v>8</v>
      </c>
      <c r="B176" s="69" t="s">
        <v>342</v>
      </c>
      <c r="C176" s="67" t="s">
        <v>191</v>
      </c>
      <c r="D176" s="67">
        <v>2022</v>
      </c>
      <c r="E176" s="67">
        <v>1</v>
      </c>
      <c r="F176" s="67">
        <v>1</v>
      </c>
      <c r="G176" s="67">
        <v>1</v>
      </c>
      <c r="H176" s="67">
        <v>0</v>
      </c>
      <c r="I176" s="67"/>
      <c r="J176" s="67"/>
      <c r="K176" s="67" t="s">
        <v>631</v>
      </c>
      <c r="L176" s="67" t="s">
        <v>939</v>
      </c>
      <c r="M176" s="67" t="s">
        <v>649</v>
      </c>
      <c r="N176" s="68"/>
      <c r="O176" s="68"/>
      <c r="P176" s="68"/>
    </row>
    <row r="177" spans="1:16" s="66" customFormat="1" ht="25.5" customHeight="1">
      <c r="A177" s="67">
        <f t="shared" si="3"/>
        <v>9</v>
      </c>
      <c r="B177" s="68" t="s">
        <v>900</v>
      </c>
      <c r="C177" s="67" t="s">
        <v>71</v>
      </c>
      <c r="D177" s="67">
        <v>2022</v>
      </c>
      <c r="E177" s="67">
        <v>2</v>
      </c>
      <c r="F177" s="67">
        <v>2</v>
      </c>
      <c r="G177" s="67">
        <v>2</v>
      </c>
      <c r="H177" s="67">
        <v>0</v>
      </c>
      <c r="I177" s="67"/>
      <c r="J177" s="67"/>
      <c r="K177" s="67" t="s">
        <v>631</v>
      </c>
      <c r="L177" s="67" t="s">
        <v>939</v>
      </c>
      <c r="M177" s="67" t="s">
        <v>649</v>
      </c>
      <c r="N177" s="68"/>
      <c r="O177" s="67"/>
      <c r="P177" s="68"/>
    </row>
    <row r="178" spans="1:16" s="66" customFormat="1" ht="25.5" customHeight="1">
      <c r="A178" s="319" t="s">
        <v>761</v>
      </c>
      <c r="B178" s="429" t="s">
        <v>905</v>
      </c>
      <c r="C178" s="430"/>
      <c r="D178" s="431"/>
      <c r="E178" s="67"/>
      <c r="F178" s="67"/>
      <c r="G178" s="68"/>
      <c r="H178" s="67"/>
      <c r="I178" s="67"/>
      <c r="J178" s="67"/>
      <c r="K178" s="68"/>
      <c r="L178" s="68"/>
      <c r="M178" s="68"/>
      <c r="N178" s="68"/>
      <c r="O178" s="67"/>
      <c r="P178" s="68"/>
    </row>
    <row r="179" spans="1:16" s="66" customFormat="1" ht="25.5" customHeight="1">
      <c r="A179" s="67">
        <v>1</v>
      </c>
      <c r="B179" s="68" t="s">
        <v>904</v>
      </c>
      <c r="C179" s="67" t="s">
        <v>71</v>
      </c>
      <c r="D179" s="67">
        <v>2022</v>
      </c>
      <c r="E179" s="67">
        <v>4</v>
      </c>
      <c r="F179" s="67">
        <v>4</v>
      </c>
      <c r="G179" s="67">
        <v>4</v>
      </c>
      <c r="H179" s="67">
        <v>0</v>
      </c>
      <c r="I179" s="67"/>
      <c r="J179" s="67"/>
      <c r="K179" s="67" t="s">
        <v>631</v>
      </c>
      <c r="L179" s="67" t="s">
        <v>940</v>
      </c>
      <c r="M179" s="67" t="s">
        <v>649</v>
      </c>
      <c r="N179" s="68"/>
      <c r="O179" s="67"/>
      <c r="P179" s="68"/>
    </row>
    <row r="180" spans="1:16" s="66" customFormat="1" ht="25.5" customHeight="1">
      <c r="A180" s="67">
        <f t="shared" si="3"/>
        <v>2</v>
      </c>
      <c r="B180" s="68" t="s">
        <v>101</v>
      </c>
      <c r="C180" s="67" t="s">
        <v>71</v>
      </c>
      <c r="D180" s="67">
        <v>2022</v>
      </c>
      <c r="E180" s="67">
        <v>1</v>
      </c>
      <c r="F180" s="67">
        <v>1</v>
      </c>
      <c r="G180" s="67">
        <v>1</v>
      </c>
      <c r="H180" s="67">
        <v>0</v>
      </c>
      <c r="I180" s="67"/>
      <c r="J180" s="67"/>
      <c r="K180" s="67" t="s">
        <v>631</v>
      </c>
      <c r="L180" s="67" t="s">
        <v>940</v>
      </c>
      <c r="M180" s="67" t="s">
        <v>649</v>
      </c>
      <c r="N180" s="68"/>
      <c r="O180" s="67"/>
      <c r="P180" s="68"/>
    </row>
    <row r="181" spans="1:16" s="66" customFormat="1" ht="25.5" customHeight="1">
      <c r="A181" s="67">
        <f t="shared" si="3"/>
        <v>3</v>
      </c>
      <c r="B181" s="68" t="s">
        <v>70</v>
      </c>
      <c r="C181" s="67" t="s">
        <v>71</v>
      </c>
      <c r="D181" s="67">
        <v>2022</v>
      </c>
      <c r="E181" s="67">
        <v>3</v>
      </c>
      <c r="F181" s="67">
        <v>3</v>
      </c>
      <c r="G181" s="67">
        <v>3</v>
      </c>
      <c r="H181" s="67">
        <v>0</v>
      </c>
      <c r="I181" s="67"/>
      <c r="J181" s="67"/>
      <c r="K181" s="67" t="s">
        <v>631</v>
      </c>
      <c r="L181" s="67" t="s">
        <v>940</v>
      </c>
      <c r="M181" s="67" t="s">
        <v>649</v>
      </c>
      <c r="N181" s="68"/>
      <c r="O181" s="67"/>
      <c r="P181" s="68"/>
    </row>
    <row r="182" spans="1:16" s="66" customFormat="1" ht="25.5" customHeight="1">
      <c r="A182" s="67">
        <f t="shared" si="3"/>
        <v>4</v>
      </c>
      <c r="B182" s="68" t="s">
        <v>67</v>
      </c>
      <c r="C182" s="67" t="s">
        <v>71</v>
      </c>
      <c r="D182" s="67">
        <v>2022</v>
      </c>
      <c r="E182" s="67">
        <v>1</v>
      </c>
      <c r="F182" s="67">
        <v>1</v>
      </c>
      <c r="G182" s="67">
        <v>1</v>
      </c>
      <c r="H182" s="67">
        <v>0</v>
      </c>
      <c r="I182" s="67"/>
      <c r="J182" s="67"/>
      <c r="K182" s="67" t="s">
        <v>631</v>
      </c>
      <c r="L182" s="67" t="s">
        <v>940</v>
      </c>
      <c r="M182" s="67" t="s">
        <v>649</v>
      </c>
      <c r="N182" s="68"/>
      <c r="O182" s="67"/>
      <c r="P182" s="68"/>
    </row>
    <row r="183" spans="1:16" s="66" customFormat="1" ht="25.5" customHeight="1">
      <c r="A183" s="67">
        <f t="shared" si="3"/>
        <v>5</v>
      </c>
      <c r="B183" s="68" t="s">
        <v>888</v>
      </c>
      <c r="C183" s="67" t="s">
        <v>71</v>
      </c>
      <c r="D183" s="67">
        <v>2022</v>
      </c>
      <c r="E183" s="67">
        <v>1</v>
      </c>
      <c r="F183" s="67">
        <v>1</v>
      </c>
      <c r="G183" s="67">
        <v>1</v>
      </c>
      <c r="H183" s="67">
        <v>0</v>
      </c>
      <c r="I183" s="354">
        <v>12669000</v>
      </c>
      <c r="J183" s="356">
        <f>+G183*I183</f>
        <v>12669000</v>
      </c>
      <c r="K183" s="67" t="s">
        <v>631</v>
      </c>
      <c r="L183" s="67" t="s">
        <v>940</v>
      </c>
      <c r="M183" s="67" t="s">
        <v>649</v>
      </c>
      <c r="N183" s="68"/>
      <c r="O183" s="67"/>
      <c r="P183" s="68"/>
    </row>
    <row r="184" spans="1:16" s="66" customFormat="1" ht="25.5" customHeight="1">
      <c r="A184" s="67">
        <f t="shared" si="3"/>
        <v>6</v>
      </c>
      <c r="B184" s="68" t="s">
        <v>465</v>
      </c>
      <c r="C184" s="67" t="s">
        <v>71</v>
      </c>
      <c r="D184" s="67">
        <v>2022</v>
      </c>
      <c r="E184" s="67">
        <v>1</v>
      </c>
      <c r="F184" s="67">
        <v>1</v>
      </c>
      <c r="G184" s="67">
        <v>1</v>
      </c>
      <c r="H184" s="67">
        <v>0</v>
      </c>
      <c r="I184" s="67"/>
      <c r="J184" s="67"/>
      <c r="K184" s="67" t="s">
        <v>631</v>
      </c>
      <c r="L184" s="67" t="s">
        <v>940</v>
      </c>
      <c r="M184" s="67" t="s">
        <v>649</v>
      </c>
      <c r="N184" s="68"/>
      <c r="O184" s="67"/>
      <c r="P184" s="68"/>
    </row>
    <row r="185" spans="1:16" s="66" customFormat="1" ht="25.5" customHeight="1">
      <c r="A185" s="67">
        <f t="shared" si="3"/>
        <v>7</v>
      </c>
      <c r="B185" s="172" t="s">
        <v>319</v>
      </c>
      <c r="C185" s="67" t="s">
        <v>191</v>
      </c>
      <c r="D185" s="67">
        <v>2022</v>
      </c>
      <c r="E185" s="67">
        <v>1</v>
      </c>
      <c r="F185" s="67">
        <v>1</v>
      </c>
      <c r="G185" s="67">
        <v>1</v>
      </c>
      <c r="H185" s="67">
        <v>0</v>
      </c>
      <c r="I185" s="67"/>
      <c r="J185" s="67"/>
      <c r="K185" s="67" t="s">
        <v>631</v>
      </c>
      <c r="L185" s="67" t="s">
        <v>940</v>
      </c>
      <c r="M185" s="67" t="s">
        <v>649</v>
      </c>
      <c r="N185" s="68"/>
      <c r="O185" s="68"/>
      <c r="P185" s="68"/>
    </row>
    <row r="186" spans="1:16" s="66" customFormat="1" ht="25.5" customHeight="1">
      <c r="A186" s="67">
        <f t="shared" si="3"/>
        <v>8</v>
      </c>
      <c r="B186" s="69" t="s">
        <v>342</v>
      </c>
      <c r="C186" s="67" t="s">
        <v>191</v>
      </c>
      <c r="D186" s="67">
        <v>2022</v>
      </c>
      <c r="E186" s="67">
        <v>1</v>
      </c>
      <c r="F186" s="67">
        <v>1</v>
      </c>
      <c r="G186" s="67">
        <v>1</v>
      </c>
      <c r="H186" s="67">
        <v>0</v>
      </c>
      <c r="I186" s="67"/>
      <c r="J186" s="67"/>
      <c r="K186" s="67" t="s">
        <v>631</v>
      </c>
      <c r="L186" s="67" t="s">
        <v>940</v>
      </c>
      <c r="M186" s="67" t="s">
        <v>649</v>
      </c>
      <c r="N186" s="68"/>
      <c r="O186" s="68"/>
      <c r="P186" s="68"/>
    </row>
    <row r="187" spans="1:16" s="66" customFormat="1" ht="25.5" customHeight="1">
      <c r="A187" s="319" t="s">
        <v>762</v>
      </c>
      <c r="B187" s="171" t="s">
        <v>906</v>
      </c>
      <c r="C187" s="319"/>
      <c r="D187" s="319"/>
      <c r="E187" s="319"/>
      <c r="F187" s="319"/>
      <c r="G187" s="187"/>
      <c r="H187" s="319"/>
      <c r="I187" s="352"/>
      <c r="J187" s="352"/>
      <c r="K187" s="187"/>
      <c r="L187" s="187"/>
      <c r="M187" s="187"/>
      <c r="N187" s="187"/>
      <c r="O187" s="319"/>
      <c r="P187" s="68"/>
    </row>
    <row r="188" spans="1:16" s="66" customFormat="1" ht="25.5" customHeight="1">
      <c r="A188" s="67">
        <v>1</v>
      </c>
      <c r="B188" s="68" t="s">
        <v>506</v>
      </c>
      <c r="C188" s="67" t="s">
        <v>71</v>
      </c>
      <c r="D188" s="67">
        <v>2022</v>
      </c>
      <c r="E188" s="67">
        <v>9</v>
      </c>
      <c r="F188" s="67">
        <v>9</v>
      </c>
      <c r="G188" s="67">
        <v>9</v>
      </c>
      <c r="H188" s="67">
        <v>0</v>
      </c>
      <c r="I188" s="67"/>
      <c r="J188" s="67"/>
      <c r="K188" s="67" t="s">
        <v>631</v>
      </c>
      <c r="L188" s="67" t="s">
        <v>862</v>
      </c>
      <c r="M188" s="67" t="s">
        <v>649</v>
      </c>
      <c r="N188" s="68"/>
      <c r="O188" s="67"/>
      <c r="P188" s="68"/>
    </row>
    <row r="189" spans="1:16" s="66" customFormat="1" ht="25.5" customHeight="1">
      <c r="A189" s="67">
        <f t="shared" si="3"/>
        <v>2</v>
      </c>
      <c r="B189" s="68" t="s">
        <v>77</v>
      </c>
      <c r="C189" s="67" t="s">
        <v>71</v>
      </c>
      <c r="D189" s="67">
        <v>2022</v>
      </c>
      <c r="E189" s="67">
        <v>1</v>
      </c>
      <c r="F189" s="67">
        <v>1</v>
      </c>
      <c r="G189" s="67">
        <v>1</v>
      </c>
      <c r="H189" s="67">
        <v>0</v>
      </c>
      <c r="I189" s="67"/>
      <c r="J189" s="67"/>
      <c r="K189" s="67" t="s">
        <v>631</v>
      </c>
      <c r="L189" s="67" t="s">
        <v>862</v>
      </c>
      <c r="M189" s="67" t="s">
        <v>649</v>
      </c>
      <c r="N189" s="68"/>
      <c r="O189" s="67"/>
      <c r="P189" s="68"/>
    </row>
    <row r="190" spans="1:16" s="66" customFormat="1" ht="25.5" customHeight="1">
      <c r="A190" s="67">
        <f t="shared" si="3"/>
        <v>3</v>
      </c>
      <c r="B190" s="68" t="s">
        <v>70</v>
      </c>
      <c r="C190" s="67" t="s">
        <v>71</v>
      </c>
      <c r="D190" s="67">
        <v>2022</v>
      </c>
      <c r="E190" s="67">
        <v>7</v>
      </c>
      <c r="F190" s="67">
        <v>7</v>
      </c>
      <c r="G190" s="67">
        <v>7</v>
      </c>
      <c r="H190" s="67">
        <v>0</v>
      </c>
      <c r="I190" s="67"/>
      <c r="J190" s="67"/>
      <c r="K190" s="67" t="s">
        <v>631</v>
      </c>
      <c r="L190" s="67" t="s">
        <v>862</v>
      </c>
      <c r="M190" s="67" t="s">
        <v>649</v>
      </c>
      <c r="N190" s="68"/>
      <c r="O190" s="67"/>
      <c r="P190" s="68"/>
    </row>
    <row r="191" spans="1:16" s="66" customFormat="1" ht="25.5" customHeight="1">
      <c r="A191" s="67">
        <f t="shared" si="3"/>
        <v>4</v>
      </c>
      <c r="B191" s="68" t="s">
        <v>81</v>
      </c>
      <c r="C191" s="67" t="s">
        <v>71</v>
      </c>
      <c r="D191" s="67">
        <v>2022</v>
      </c>
      <c r="E191" s="67">
        <v>1</v>
      </c>
      <c r="F191" s="67">
        <v>1</v>
      </c>
      <c r="G191" s="67">
        <v>1</v>
      </c>
      <c r="H191" s="67">
        <v>0</v>
      </c>
      <c r="I191" s="67"/>
      <c r="J191" s="67"/>
      <c r="K191" s="67" t="s">
        <v>631</v>
      </c>
      <c r="L191" s="67" t="s">
        <v>862</v>
      </c>
      <c r="M191" s="67" t="s">
        <v>649</v>
      </c>
      <c r="N191" s="68"/>
      <c r="O191" s="67"/>
      <c r="P191" s="68"/>
    </row>
    <row r="192" spans="1:16" s="66" customFormat="1" ht="25.5" customHeight="1">
      <c r="A192" s="67">
        <f t="shared" si="3"/>
        <v>5</v>
      </c>
      <c r="B192" s="68" t="s">
        <v>67</v>
      </c>
      <c r="C192" s="67" t="s">
        <v>71</v>
      </c>
      <c r="D192" s="67">
        <v>2022</v>
      </c>
      <c r="E192" s="67">
        <v>1</v>
      </c>
      <c r="F192" s="67">
        <v>1</v>
      </c>
      <c r="G192" s="67">
        <v>1</v>
      </c>
      <c r="H192" s="67">
        <v>0</v>
      </c>
      <c r="I192" s="67"/>
      <c r="J192" s="67"/>
      <c r="K192" s="67" t="s">
        <v>631</v>
      </c>
      <c r="L192" s="67" t="s">
        <v>862</v>
      </c>
      <c r="M192" s="67" t="s">
        <v>649</v>
      </c>
      <c r="N192" s="68"/>
      <c r="O192" s="67"/>
      <c r="P192" s="68"/>
    </row>
    <row r="193" spans="1:16" s="66" customFormat="1" ht="25.5" customHeight="1">
      <c r="A193" s="67">
        <f t="shared" si="3"/>
        <v>6</v>
      </c>
      <c r="B193" s="68" t="s">
        <v>315</v>
      </c>
      <c r="C193" s="67" t="s">
        <v>71</v>
      </c>
      <c r="D193" s="67">
        <v>2022</v>
      </c>
      <c r="E193" s="67">
        <v>1</v>
      </c>
      <c r="F193" s="67">
        <v>1</v>
      </c>
      <c r="G193" s="67">
        <v>1</v>
      </c>
      <c r="H193" s="67">
        <v>0</v>
      </c>
      <c r="I193" s="67"/>
      <c r="J193" s="67"/>
      <c r="K193" s="67" t="s">
        <v>631</v>
      </c>
      <c r="L193" s="67" t="s">
        <v>862</v>
      </c>
      <c r="M193" s="67" t="s">
        <v>649</v>
      </c>
      <c r="N193" s="68"/>
      <c r="O193" s="67"/>
      <c r="P193" s="68"/>
    </row>
    <row r="194" spans="1:16" s="66" customFormat="1" ht="25.5" customHeight="1">
      <c r="A194" s="67">
        <f t="shared" si="3"/>
        <v>7</v>
      </c>
      <c r="B194" s="68" t="s">
        <v>884</v>
      </c>
      <c r="C194" s="67" t="s">
        <v>71</v>
      </c>
      <c r="D194" s="67">
        <v>2022</v>
      </c>
      <c r="E194" s="67">
        <v>2</v>
      </c>
      <c r="F194" s="67">
        <v>2</v>
      </c>
      <c r="G194" s="67">
        <v>2</v>
      </c>
      <c r="H194" s="67">
        <v>0</v>
      </c>
      <c r="I194" s="357">
        <v>15675000</v>
      </c>
      <c r="J194" s="356">
        <f>G194*I194</f>
        <v>31350000</v>
      </c>
      <c r="K194" s="67" t="s">
        <v>631</v>
      </c>
      <c r="L194" s="67" t="s">
        <v>862</v>
      </c>
      <c r="M194" s="67" t="s">
        <v>649</v>
      </c>
      <c r="N194" s="68"/>
      <c r="O194" s="67"/>
      <c r="P194" s="68"/>
    </row>
    <row r="195" spans="1:16" s="66" customFormat="1" ht="25.5" customHeight="1">
      <c r="A195" s="67">
        <f t="shared" si="3"/>
        <v>8</v>
      </c>
      <c r="B195" s="68" t="s">
        <v>382</v>
      </c>
      <c r="C195" s="67" t="s">
        <v>71</v>
      </c>
      <c r="D195" s="67">
        <v>2022</v>
      </c>
      <c r="E195" s="67">
        <v>4</v>
      </c>
      <c r="F195" s="67">
        <v>4</v>
      </c>
      <c r="G195" s="67">
        <v>4</v>
      </c>
      <c r="H195" s="67">
        <v>0</v>
      </c>
      <c r="I195" s="67"/>
      <c r="J195" s="67"/>
      <c r="K195" s="67" t="s">
        <v>631</v>
      </c>
      <c r="L195" s="67" t="s">
        <v>862</v>
      </c>
      <c r="M195" s="67" t="s">
        <v>649</v>
      </c>
      <c r="N195" s="68"/>
      <c r="O195" s="67"/>
      <c r="P195" s="68"/>
    </row>
    <row r="196" spans="1:16" s="66" customFormat="1" ht="25.5" customHeight="1">
      <c r="A196" s="67">
        <f t="shared" si="3"/>
        <v>9</v>
      </c>
      <c r="B196" s="68" t="s">
        <v>471</v>
      </c>
      <c r="C196" s="67" t="s">
        <v>71</v>
      </c>
      <c r="D196" s="67">
        <v>2022</v>
      </c>
      <c r="E196" s="67">
        <v>1</v>
      </c>
      <c r="F196" s="67">
        <v>1</v>
      </c>
      <c r="G196" s="67">
        <v>1</v>
      </c>
      <c r="H196" s="67">
        <v>0</v>
      </c>
      <c r="I196" s="67"/>
      <c r="J196" s="67"/>
      <c r="K196" s="67" t="s">
        <v>631</v>
      </c>
      <c r="L196" s="67" t="s">
        <v>862</v>
      </c>
      <c r="M196" s="67" t="s">
        <v>649</v>
      </c>
      <c r="N196" s="68"/>
      <c r="O196" s="67"/>
      <c r="P196" s="68"/>
    </row>
    <row r="197" spans="1:16" s="66" customFormat="1" ht="25.5" customHeight="1">
      <c r="A197" s="67">
        <f t="shared" si="3"/>
        <v>10</v>
      </c>
      <c r="B197" s="172" t="s">
        <v>319</v>
      </c>
      <c r="C197" s="67" t="s">
        <v>191</v>
      </c>
      <c r="D197" s="67">
        <v>2022</v>
      </c>
      <c r="E197" s="67">
        <v>1</v>
      </c>
      <c r="F197" s="67">
        <v>1</v>
      </c>
      <c r="G197" s="67">
        <v>1</v>
      </c>
      <c r="H197" s="67">
        <v>0</v>
      </c>
      <c r="I197" s="67"/>
      <c r="J197" s="67"/>
      <c r="K197" s="67" t="s">
        <v>631</v>
      </c>
      <c r="L197" s="67" t="s">
        <v>862</v>
      </c>
      <c r="M197" s="67" t="s">
        <v>649</v>
      </c>
      <c r="N197" s="68"/>
      <c r="O197" s="68"/>
      <c r="P197" s="68"/>
    </row>
    <row r="198" spans="1:16" s="66" customFormat="1" ht="25.5" customHeight="1">
      <c r="A198" s="67">
        <f t="shared" si="3"/>
        <v>11</v>
      </c>
      <c r="B198" s="69" t="s">
        <v>342</v>
      </c>
      <c r="C198" s="67" t="s">
        <v>191</v>
      </c>
      <c r="D198" s="67">
        <v>2022</v>
      </c>
      <c r="E198" s="67">
        <v>6</v>
      </c>
      <c r="F198" s="67">
        <v>6</v>
      </c>
      <c r="G198" s="67">
        <v>6</v>
      </c>
      <c r="H198" s="67">
        <v>0</v>
      </c>
      <c r="I198" s="67"/>
      <c r="J198" s="67"/>
      <c r="K198" s="67" t="s">
        <v>631</v>
      </c>
      <c r="L198" s="67" t="s">
        <v>862</v>
      </c>
      <c r="M198" s="67" t="s">
        <v>649</v>
      </c>
      <c r="N198" s="68"/>
      <c r="O198" s="68"/>
      <c r="P198" s="68"/>
    </row>
    <row r="199" spans="1:16" s="66" customFormat="1" ht="25.5" customHeight="1">
      <c r="A199" s="319" t="s">
        <v>763</v>
      </c>
      <c r="B199" s="171" t="s">
        <v>907</v>
      </c>
      <c r="C199" s="319"/>
      <c r="D199" s="319"/>
      <c r="E199" s="319"/>
      <c r="F199" s="319"/>
      <c r="G199" s="187"/>
      <c r="H199" s="319"/>
      <c r="I199" s="352"/>
      <c r="J199" s="352"/>
      <c r="K199" s="187"/>
      <c r="L199" s="187"/>
      <c r="M199" s="187"/>
      <c r="N199" s="187"/>
      <c r="O199" s="319"/>
      <c r="P199" s="68"/>
    </row>
    <row r="200" spans="1:16" s="66" customFormat="1" ht="25.5" customHeight="1">
      <c r="A200" s="67">
        <v>1</v>
      </c>
      <c r="B200" s="68" t="s">
        <v>904</v>
      </c>
      <c r="C200" s="67" t="s">
        <v>71</v>
      </c>
      <c r="D200" s="67">
        <v>2022</v>
      </c>
      <c r="E200" s="67">
        <v>3</v>
      </c>
      <c r="F200" s="67">
        <v>3</v>
      </c>
      <c r="G200" s="67">
        <v>3</v>
      </c>
      <c r="H200" s="67">
        <v>0</v>
      </c>
      <c r="I200" s="67"/>
      <c r="J200" s="67"/>
      <c r="K200" s="67" t="s">
        <v>631</v>
      </c>
      <c r="L200" s="67" t="s">
        <v>941</v>
      </c>
      <c r="M200" s="67" t="s">
        <v>649</v>
      </c>
      <c r="N200" s="68"/>
      <c r="O200" s="67"/>
      <c r="P200" s="68"/>
    </row>
    <row r="201" spans="1:16" s="66" customFormat="1" ht="25.5" customHeight="1">
      <c r="A201" s="67">
        <f t="shared" si="3"/>
        <v>2</v>
      </c>
      <c r="B201" s="68" t="s">
        <v>101</v>
      </c>
      <c r="C201" s="67" t="s">
        <v>71</v>
      </c>
      <c r="D201" s="67">
        <v>2022</v>
      </c>
      <c r="E201" s="67">
        <v>1</v>
      </c>
      <c r="F201" s="67">
        <v>1</v>
      </c>
      <c r="G201" s="67">
        <v>1</v>
      </c>
      <c r="H201" s="67">
        <v>0</v>
      </c>
      <c r="I201" s="67"/>
      <c r="J201" s="67"/>
      <c r="K201" s="67" t="s">
        <v>631</v>
      </c>
      <c r="L201" s="67" t="s">
        <v>941</v>
      </c>
      <c r="M201" s="67" t="s">
        <v>649</v>
      </c>
      <c r="N201" s="68"/>
      <c r="O201" s="67"/>
      <c r="P201" s="68"/>
    </row>
    <row r="202" spans="1:16" s="66" customFormat="1" ht="25.5" customHeight="1">
      <c r="A202" s="67">
        <f t="shared" si="3"/>
        <v>3</v>
      </c>
      <c r="B202" s="68" t="s">
        <v>70</v>
      </c>
      <c r="C202" s="67" t="s">
        <v>71</v>
      </c>
      <c r="D202" s="67">
        <v>2022</v>
      </c>
      <c r="E202" s="67">
        <v>6</v>
      </c>
      <c r="F202" s="67">
        <v>6</v>
      </c>
      <c r="G202" s="67">
        <v>6</v>
      </c>
      <c r="H202" s="67">
        <v>0</v>
      </c>
      <c r="I202" s="67"/>
      <c r="J202" s="67"/>
      <c r="K202" s="67" t="s">
        <v>631</v>
      </c>
      <c r="L202" s="67" t="s">
        <v>941</v>
      </c>
      <c r="M202" s="67" t="s">
        <v>649</v>
      </c>
      <c r="N202" s="68"/>
      <c r="O202" s="67"/>
      <c r="P202" s="68"/>
    </row>
    <row r="203" spans="1:16" s="66" customFormat="1" ht="25.5" customHeight="1">
      <c r="A203" s="67">
        <f t="shared" si="3"/>
        <v>4</v>
      </c>
      <c r="B203" s="68" t="s">
        <v>67</v>
      </c>
      <c r="C203" s="67" t="s">
        <v>71</v>
      </c>
      <c r="D203" s="67">
        <v>2022</v>
      </c>
      <c r="E203" s="67">
        <v>1</v>
      </c>
      <c r="F203" s="67">
        <v>1</v>
      </c>
      <c r="G203" s="67">
        <v>1</v>
      </c>
      <c r="H203" s="67">
        <v>0</v>
      </c>
      <c r="I203" s="67"/>
      <c r="J203" s="67"/>
      <c r="K203" s="67" t="s">
        <v>631</v>
      </c>
      <c r="L203" s="67" t="s">
        <v>941</v>
      </c>
      <c r="M203" s="67" t="s">
        <v>649</v>
      </c>
      <c r="N203" s="68"/>
      <c r="O203" s="67"/>
      <c r="P203" s="68"/>
    </row>
    <row r="204" spans="1:16" s="66" customFormat="1" ht="25.5" customHeight="1">
      <c r="A204" s="67">
        <f t="shared" si="3"/>
        <v>5</v>
      </c>
      <c r="B204" s="68" t="s">
        <v>884</v>
      </c>
      <c r="C204" s="67" t="s">
        <v>71</v>
      </c>
      <c r="D204" s="67">
        <v>2022</v>
      </c>
      <c r="E204" s="67">
        <v>1</v>
      </c>
      <c r="F204" s="67">
        <v>1</v>
      </c>
      <c r="G204" s="67">
        <v>1</v>
      </c>
      <c r="H204" s="67">
        <v>0</v>
      </c>
      <c r="I204" s="357">
        <v>15675000</v>
      </c>
      <c r="J204" s="356">
        <f>G204*I204</f>
        <v>15675000</v>
      </c>
      <c r="K204" s="67" t="s">
        <v>631</v>
      </c>
      <c r="L204" s="67" t="s">
        <v>941</v>
      </c>
      <c r="M204" s="67" t="s">
        <v>649</v>
      </c>
      <c r="N204" s="68"/>
      <c r="O204" s="67"/>
      <c r="P204" s="68"/>
    </row>
    <row r="205" spans="1:16" s="66" customFormat="1" ht="25.5" customHeight="1">
      <c r="A205" s="67">
        <f t="shared" si="3"/>
        <v>6</v>
      </c>
      <c r="B205" s="68" t="s">
        <v>471</v>
      </c>
      <c r="C205" s="67" t="s">
        <v>71</v>
      </c>
      <c r="D205" s="67">
        <v>2022</v>
      </c>
      <c r="E205" s="67">
        <v>1</v>
      </c>
      <c r="F205" s="67">
        <v>1</v>
      </c>
      <c r="G205" s="67">
        <v>1</v>
      </c>
      <c r="H205" s="67">
        <v>0</v>
      </c>
      <c r="I205" s="67"/>
      <c r="J205" s="67"/>
      <c r="K205" s="67" t="s">
        <v>631</v>
      </c>
      <c r="L205" s="67" t="s">
        <v>941</v>
      </c>
      <c r="M205" s="67" t="s">
        <v>649</v>
      </c>
      <c r="N205" s="68"/>
      <c r="O205" s="67"/>
      <c r="P205" s="68"/>
    </row>
    <row r="206" spans="1:16" s="66" customFormat="1" ht="25.5" customHeight="1">
      <c r="A206" s="67">
        <f t="shared" si="3"/>
        <v>7</v>
      </c>
      <c r="B206" s="172" t="s">
        <v>319</v>
      </c>
      <c r="C206" s="67" t="s">
        <v>191</v>
      </c>
      <c r="D206" s="67">
        <v>2022</v>
      </c>
      <c r="E206" s="67">
        <v>1</v>
      </c>
      <c r="F206" s="67">
        <v>1</v>
      </c>
      <c r="G206" s="67">
        <v>1</v>
      </c>
      <c r="H206" s="67">
        <v>0</v>
      </c>
      <c r="I206" s="67"/>
      <c r="J206" s="67"/>
      <c r="K206" s="67" t="s">
        <v>631</v>
      </c>
      <c r="L206" s="67" t="s">
        <v>941</v>
      </c>
      <c r="M206" s="67" t="s">
        <v>649</v>
      </c>
      <c r="N206" s="68"/>
      <c r="O206" s="68"/>
      <c r="P206" s="68"/>
    </row>
    <row r="207" spans="1:16" s="66" customFormat="1" ht="25.5" customHeight="1">
      <c r="A207" s="67">
        <f t="shared" si="3"/>
        <v>8</v>
      </c>
      <c r="B207" s="69" t="s">
        <v>342</v>
      </c>
      <c r="C207" s="67" t="s">
        <v>191</v>
      </c>
      <c r="D207" s="67">
        <v>2022</v>
      </c>
      <c r="E207" s="67">
        <v>2</v>
      </c>
      <c r="F207" s="67">
        <v>2</v>
      </c>
      <c r="G207" s="67">
        <v>2</v>
      </c>
      <c r="H207" s="67">
        <v>0</v>
      </c>
      <c r="I207" s="67"/>
      <c r="J207" s="67"/>
      <c r="K207" s="67" t="s">
        <v>631</v>
      </c>
      <c r="L207" s="67" t="s">
        <v>941</v>
      </c>
      <c r="M207" s="67" t="s">
        <v>649</v>
      </c>
      <c r="N207" s="68"/>
      <c r="O207" s="68"/>
      <c r="P207" s="68"/>
    </row>
    <row r="208" spans="1:16" s="66" customFormat="1" ht="25.5" customHeight="1">
      <c r="A208" s="67">
        <f>A207+1</f>
        <v>9</v>
      </c>
      <c r="B208" s="68" t="s">
        <v>900</v>
      </c>
      <c r="C208" s="67" t="s">
        <v>71</v>
      </c>
      <c r="D208" s="67">
        <v>2022</v>
      </c>
      <c r="E208" s="67">
        <v>1</v>
      </c>
      <c r="F208" s="67">
        <v>1</v>
      </c>
      <c r="G208" s="67">
        <v>1</v>
      </c>
      <c r="H208" s="67">
        <v>0</v>
      </c>
      <c r="I208" s="67"/>
      <c r="J208" s="67"/>
      <c r="K208" s="67" t="s">
        <v>631</v>
      </c>
      <c r="L208" s="67" t="s">
        <v>941</v>
      </c>
      <c r="M208" s="67" t="s">
        <v>649</v>
      </c>
      <c r="N208" s="68"/>
      <c r="O208" s="67"/>
      <c r="P208" s="68"/>
    </row>
    <row r="209" spans="1:16" s="66" customFormat="1" ht="25.5" customHeight="1">
      <c r="A209" s="319" t="s">
        <v>764</v>
      </c>
      <c r="B209" s="171" t="s">
        <v>908</v>
      </c>
      <c r="C209" s="319"/>
      <c r="D209" s="319"/>
      <c r="E209" s="319"/>
      <c r="F209" s="319"/>
      <c r="G209" s="187"/>
      <c r="H209" s="319"/>
      <c r="I209" s="352"/>
      <c r="J209" s="352"/>
      <c r="K209" s="187"/>
      <c r="L209" s="187"/>
      <c r="M209" s="187"/>
      <c r="N209" s="187"/>
      <c r="O209" s="319"/>
      <c r="P209" s="68"/>
    </row>
    <row r="210" spans="1:16" s="66" customFormat="1" ht="25.5" customHeight="1">
      <c r="A210" s="67">
        <v>1</v>
      </c>
      <c r="B210" s="68" t="s">
        <v>904</v>
      </c>
      <c r="C210" s="67" t="s">
        <v>71</v>
      </c>
      <c r="D210" s="67">
        <v>2022</v>
      </c>
      <c r="E210" s="67">
        <v>3</v>
      </c>
      <c r="F210" s="67">
        <v>3</v>
      </c>
      <c r="G210" s="67">
        <v>3</v>
      </c>
      <c r="H210" s="67">
        <v>0</v>
      </c>
      <c r="I210" s="67"/>
      <c r="J210" s="67"/>
      <c r="K210" s="67" t="s">
        <v>631</v>
      </c>
      <c r="L210" s="67" t="s">
        <v>941</v>
      </c>
      <c r="M210" s="67" t="s">
        <v>649</v>
      </c>
      <c r="N210" s="68"/>
      <c r="O210" s="67"/>
      <c r="P210" s="68"/>
    </row>
    <row r="211" spans="1:16" s="66" customFormat="1" ht="25.5" customHeight="1">
      <c r="A211" s="67">
        <f t="shared" ref="A211:A217" si="4">A210+1</f>
        <v>2</v>
      </c>
      <c r="B211" s="68" t="s">
        <v>101</v>
      </c>
      <c r="C211" s="67" t="s">
        <v>71</v>
      </c>
      <c r="D211" s="67">
        <v>2022</v>
      </c>
      <c r="E211" s="67">
        <v>1</v>
      </c>
      <c r="F211" s="67">
        <v>1</v>
      </c>
      <c r="G211" s="67">
        <v>1</v>
      </c>
      <c r="H211" s="67">
        <v>0</v>
      </c>
      <c r="I211" s="67"/>
      <c r="J211" s="67"/>
      <c r="K211" s="67" t="s">
        <v>631</v>
      </c>
      <c r="L211" s="67" t="s">
        <v>941</v>
      </c>
      <c r="M211" s="67" t="s">
        <v>649</v>
      </c>
      <c r="N211" s="68"/>
      <c r="O211" s="67"/>
      <c r="P211" s="68"/>
    </row>
    <row r="212" spans="1:16" s="66" customFormat="1" ht="25.5" customHeight="1">
      <c r="A212" s="67">
        <f t="shared" si="4"/>
        <v>3</v>
      </c>
      <c r="B212" s="68" t="s">
        <v>70</v>
      </c>
      <c r="C212" s="67" t="s">
        <v>71</v>
      </c>
      <c r="D212" s="67">
        <v>2022</v>
      </c>
      <c r="E212" s="67">
        <v>6</v>
      </c>
      <c r="F212" s="67">
        <v>6</v>
      </c>
      <c r="G212" s="67">
        <v>6</v>
      </c>
      <c r="H212" s="67">
        <v>0</v>
      </c>
      <c r="I212" s="67"/>
      <c r="J212" s="67"/>
      <c r="K212" s="67" t="s">
        <v>631</v>
      </c>
      <c r="L212" s="67" t="s">
        <v>941</v>
      </c>
      <c r="M212" s="67" t="s">
        <v>649</v>
      </c>
      <c r="N212" s="68"/>
      <c r="O212" s="67"/>
      <c r="P212" s="68"/>
    </row>
    <row r="213" spans="1:16" s="66" customFormat="1" ht="25.5" customHeight="1">
      <c r="A213" s="67">
        <f t="shared" si="4"/>
        <v>4</v>
      </c>
      <c r="B213" s="68" t="s">
        <v>67</v>
      </c>
      <c r="C213" s="67" t="s">
        <v>71</v>
      </c>
      <c r="D213" s="67">
        <v>2022</v>
      </c>
      <c r="E213" s="67">
        <v>1</v>
      </c>
      <c r="F213" s="67">
        <v>1</v>
      </c>
      <c r="G213" s="67">
        <v>1</v>
      </c>
      <c r="H213" s="67">
        <v>0</v>
      </c>
      <c r="I213" s="67"/>
      <c r="J213" s="67"/>
      <c r="K213" s="67" t="s">
        <v>631</v>
      </c>
      <c r="L213" s="67" t="s">
        <v>941</v>
      </c>
      <c r="M213" s="67" t="s">
        <v>649</v>
      </c>
      <c r="N213" s="68"/>
      <c r="O213" s="67"/>
      <c r="P213" s="68"/>
    </row>
    <row r="214" spans="1:16" s="66" customFormat="1" ht="25.5" customHeight="1">
      <c r="A214" s="67">
        <f t="shared" si="4"/>
        <v>5</v>
      </c>
      <c r="B214" s="68" t="s">
        <v>884</v>
      </c>
      <c r="C214" s="67" t="s">
        <v>71</v>
      </c>
      <c r="D214" s="67">
        <v>2022</v>
      </c>
      <c r="E214" s="67">
        <v>1</v>
      </c>
      <c r="F214" s="67">
        <v>1</v>
      </c>
      <c r="G214" s="67">
        <v>1</v>
      </c>
      <c r="H214" s="67">
        <v>0</v>
      </c>
      <c r="I214" s="357">
        <v>15675000</v>
      </c>
      <c r="J214" s="356">
        <f>G214*I214</f>
        <v>15675000</v>
      </c>
      <c r="K214" s="67" t="s">
        <v>631</v>
      </c>
      <c r="L214" s="67" t="s">
        <v>941</v>
      </c>
      <c r="M214" s="67" t="s">
        <v>649</v>
      </c>
      <c r="N214" s="68"/>
      <c r="O214" s="67"/>
      <c r="P214" s="68"/>
    </row>
    <row r="215" spans="1:16" s="66" customFormat="1" ht="25.5" customHeight="1">
      <c r="A215" s="67">
        <f t="shared" si="4"/>
        <v>6</v>
      </c>
      <c r="B215" s="68" t="s">
        <v>471</v>
      </c>
      <c r="C215" s="67" t="s">
        <v>71</v>
      </c>
      <c r="D215" s="67">
        <v>2022</v>
      </c>
      <c r="E215" s="67">
        <v>1</v>
      </c>
      <c r="F215" s="67">
        <v>1</v>
      </c>
      <c r="G215" s="67">
        <v>1</v>
      </c>
      <c r="H215" s="67">
        <v>0</v>
      </c>
      <c r="I215" s="67"/>
      <c r="J215" s="67"/>
      <c r="K215" s="67" t="s">
        <v>631</v>
      </c>
      <c r="L215" s="67" t="s">
        <v>941</v>
      </c>
      <c r="M215" s="67" t="s">
        <v>649</v>
      </c>
      <c r="N215" s="68"/>
      <c r="O215" s="67"/>
      <c r="P215" s="68"/>
    </row>
    <row r="216" spans="1:16" s="66" customFormat="1" ht="25.5" customHeight="1">
      <c r="A216" s="67">
        <f t="shared" si="4"/>
        <v>7</v>
      </c>
      <c r="B216" s="172" t="s">
        <v>319</v>
      </c>
      <c r="C216" s="67" t="s">
        <v>191</v>
      </c>
      <c r="D216" s="67">
        <v>2022</v>
      </c>
      <c r="E216" s="67">
        <v>1</v>
      </c>
      <c r="F216" s="67">
        <v>1</v>
      </c>
      <c r="G216" s="67">
        <v>1</v>
      </c>
      <c r="H216" s="67">
        <v>0</v>
      </c>
      <c r="I216" s="67"/>
      <c r="J216" s="67"/>
      <c r="K216" s="67" t="s">
        <v>631</v>
      </c>
      <c r="L216" s="67" t="s">
        <v>941</v>
      </c>
      <c r="M216" s="67" t="s">
        <v>649</v>
      </c>
      <c r="N216" s="68"/>
      <c r="O216" s="68"/>
      <c r="P216" s="68"/>
    </row>
    <row r="217" spans="1:16" s="66" customFormat="1" ht="25.5" customHeight="1">
      <c r="A217" s="67">
        <f t="shared" si="4"/>
        <v>8</v>
      </c>
      <c r="B217" s="69" t="s">
        <v>342</v>
      </c>
      <c r="C217" s="67" t="s">
        <v>191</v>
      </c>
      <c r="D217" s="67">
        <v>2022</v>
      </c>
      <c r="E217" s="67">
        <v>2</v>
      </c>
      <c r="F217" s="67">
        <v>2</v>
      </c>
      <c r="G217" s="67">
        <v>2</v>
      </c>
      <c r="H217" s="67">
        <v>0</v>
      </c>
      <c r="I217" s="67"/>
      <c r="J217" s="67"/>
      <c r="K217" s="67" t="s">
        <v>631</v>
      </c>
      <c r="L217" s="67" t="s">
        <v>941</v>
      </c>
      <c r="M217" s="67" t="s">
        <v>649</v>
      </c>
      <c r="N217" s="68"/>
      <c r="O217" s="68"/>
      <c r="P217" s="68"/>
    </row>
    <row r="218" spans="1:16" s="66" customFormat="1" ht="25.5" customHeight="1">
      <c r="A218" s="67">
        <f>A217+1</f>
        <v>9</v>
      </c>
      <c r="B218" s="68" t="s">
        <v>900</v>
      </c>
      <c r="C218" s="67" t="s">
        <v>71</v>
      </c>
      <c r="D218" s="67">
        <v>2022</v>
      </c>
      <c r="E218" s="67">
        <v>1</v>
      </c>
      <c r="F218" s="67">
        <v>1</v>
      </c>
      <c r="G218" s="67">
        <v>1</v>
      </c>
      <c r="H218" s="67">
        <v>0</v>
      </c>
      <c r="I218" s="67"/>
      <c r="J218" s="67"/>
      <c r="K218" s="67" t="s">
        <v>631</v>
      </c>
      <c r="L218" s="67" t="s">
        <v>941</v>
      </c>
      <c r="M218" s="67" t="s">
        <v>649</v>
      </c>
      <c r="N218" s="68"/>
      <c r="O218" s="67"/>
      <c r="P218" s="68"/>
    </row>
    <row r="219" spans="1:16" s="66" customFormat="1" ht="25.5" customHeight="1">
      <c r="A219" s="319" t="s">
        <v>765</v>
      </c>
      <c r="B219" s="171" t="s">
        <v>909</v>
      </c>
      <c r="C219" s="319"/>
      <c r="D219" s="319"/>
      <c r="E219" s="319"/>
      <c r="F219" s="319"/>
      <c r="G219" s="187"/>
      <c r="H219" s="319"/>
      <c r="I219" s="352"/>
      <c r="J219" s="352"/>
      <c r="K219" s="187"/>
      <c r="L219" s="187"/>
      <c r="M219" s="187"/>
      <c r="N219" s="187"/>
      <c r="O219" s="319"/>
      <c r="P219" s="68"/>
    </row>
    <row r="220" spans="1:16" s="66" customFormat="1" ht="25.5" customHeight="1">
      <c r="A220" s="67">
        <v>1</v>
      </c>
      <c r="B220" s="68" t="s">
        <v>904</v>
      </c>
      <c r="C220" s="67" t="s">
        <v>71</v>
      </c>
      <c r="D220" s="67">
        <v>2022</v>
      </c>
      <c r="E220" s="67">
        <v>3</v>
      </c>
      <c r="F220" s="67">
        <v>3</v>
      </c>
      <c r="G220" s="67">
        <v>3</v>
      </c>
      <c r="H220" s="67">
        <v>0</v>
      </c>
      <c r="I220" s="67"/>
      <c r="J220" s="67"/>
      <c r="K220" s="67" t="s">
        <v>631</v>
      </c>
      <c r="L220" s="67" t="s">
        <v>941</v>
      </c>
      <c r="M220" s="67" t="s">
        <v>649</v>
      </c>
      <c r="N220" s="68"/>
      <c r="O220" s="67"/>
      <c r="P220" s="68"/>
    </row>
    <row r="221" spans="1:16" s="66" customFormat="1" ht="25.5" customHeight="1">
      <c r="A221" s="67">
        <f t="shared" ref="A221:A227" si="5">A220+1</f>
        <v>2</v>
      </c>
      <c r="B221" s="68" t="s">
        <v>101</v>
      </c>
      <c r="C221" s="67" t="s">
        <v>71</v>
      </c>
      <c r="D221" s="67">
        <v>2022</v>
      </c>
      <c r="E221" s="67">
        <v>1</v>
      </c>
      <c r="F221" s="67">
        <v>1</v>
      </c>
      <c r="G221" s="67">
        <v>1</v>
      </c>
      <c r="H221" s="67">
        <v>0</v>
      </c>
      <c r="I221" s="67"/>
      <c r="J221" s="67"/>
      <c r="K221" s="67" t="s">
        <v>631</v>
      </c>
      <c r="L221" s="67" t="s">
        <v>941</v>
      </c>
      <c r="M221" s="67" t="s">
        <v>649</v>
      </c>
      <c r="N221" s="68"/>
      <c r="O221" s="67"/>
      <c r="P221" s="68"/>
    </row>
    <row r="222" spans="1:16" s="66" customFormat="1" ht="25.5" customHeight="1">
      <c r="A222" s="67">
        <f t="shared" si="5"/>
        <v>3</v>
      </c>
      <c r="B222" s="68" t="s">
        <v>70</v>
      </c>
      <c r="C222" s="67" t="s">
        <v>71</v>
      </c>
      <c r="D222" s="67">
        <v>2022</v>
      </c>
      <c r="E222" s="67">
        <v>6</v>
      </c>
      <c r="F222" s="67">
        <v>6</v>
      </c>
      <c r="G222" s="67">
        <v>6</v>
      </c>
      <c r="H222" s="67">
        <v>0</v>
      </c>
      <c r="I222" s="67"/>
      <c r="J222" s="67"/>
      <c r="K222" s="67" t="s">
        <v>631</v>
      </c>
      <c r="L222" s="67" t="s">
        <v>941</v>
      </c>
      <c r="M222" s="67" t="s">
        <v>649</v>
      </c>
      <c r="N222" s="68"/>
      <c r="O222" s="67"/>
      <c r="P222" s="68"/>
    </row>
    <row r="223" spans="1:16" s="66" customFormat="1" ht="25.5" customHeight="1">
      <c r="A223" s="67">
        <f t="shared" si="5"/>
        <v>4</v>
      </c>
      <c r="B223" s="68" t="s">
        <v>67</v>
      </c>
      <c r="C223" s="67" t="s">
        <v>71</v>
      </c>
      <c r="D223" s="67">
        <v>2022</v>
      </c>
      <c r="E223" s="67">
        <v>1</v>
      </c>
      <c r="F223" s="67">
        <v>1</v>
      </c>
      <c r="G223" s="67">
        <v>1</v>
      </c>
      <c r="H223" s="67">
        <v>0</v>
      </c>
      <c r="I223" s="67"/>
      <c r="J223" s="67"/>
      <c r="K223" s="67" t="s">
        <v>631</v>
      </c>
      <c r="L223" s="67" t="s">
        <v>941</v>
      </c>
      <c r="M223" s="67" t="s">
        <v>649</v>
      </c>
      <c r="N223" s="68"/>
      <c r="O223" s="67"/>
      <c r="P223" s="68"/>
    </row>
    <row r="224" spans="1:16" s="66" customFormat="1" ht="25.5" customHeight="1">
      <c r="A224" s="67">
        <f t="shared" si="5"/>
        <v>5</v>
      </c>
      <c r="B224" s="68" t="s">
        <v>884</v>
      </c>
      <c r="C224" s="67" t="s">
        <v>71</v>
      </c>
      <c r="D224" s="67">
        <v>2022</v>
      </c>
      <c r="E224" s="67">
        <v>1</v>
      </c>
      <c r="F224" s="67">
        <v>1</v>
      </c>
      <c r="G224" s="67">
        <v>1</v>
      </c>
      <c r="H224" s="67">
        <v>0</v>
      </c>
      <c r="I224" s="357">
        <v>15675000</v>
      </c>
      <c r="J224" s="356">
        <f>G224*I224</f>
        <v>15675000</v>
      </c>
      <c r="K224" s="67" t="s">
        <v>631</v>
      </c>
      <c r="L224" s="67" t="s">
        <v>941</v>
      </c>
      <c r="M224" s="67" t="s">
        <v>649</v>
      </c>
      <c r="N224" s="68"/>
      <c r="O224" s="67"/>
      <c r="P224" s="68"/>
    </row>
    <row r="225" spans="1:16" s="66" customFormat="1" ht="25.5" customHeight="1">
      <c r="A225" s="67">
        <f t="shared" si="5"/>
        <v>6</v>
      </c>
      <c r="B225" s="68" t="s">
        <v>471</v>
      </c>
      <c r="C225" s="67" t="s">
        <v>71</v>
      </c>
      <c r="D225" s="67">
        <v>2022</v>
      </c>
      <c r="E225" s="67">
        <v>1</v>
      </c>
      <c r="F225" s="67">
        <v>1</v>
      </c>
      <c r="G225" s="67">
        <v>1</v>
      </c>
      <c r="H225" s="67">
        <v>0</v>
      </c>
      <c r="I225" s="67"/>
      <c r="J225" s="67"/>
      <c r="K225" s="67" t="s">
        <v>631</v>
      </c>
      <c r="L225" s="67" t="s">
        <v>941</v>
      </c>
      <c r="M225" s="67" t="s">
        <v>649</v>
      </c>
      <c r="N225" s="68"/>
      <c r="O225" s="67"/>
      <c r="P225" s="68"/>
    </row>
    <row r="226" spans="1:16" s="66" customFormat="1" ht="25.5" customHeight="1">
      <c r="A226" s="67">
        <f t="shared" si="5"/>
        <v>7</v>
      </c>
      <c r="B226" s="172" t="s">
        <v>319</v>
      </c>
      <c r="C226" s="67" t="s">
        <v>191</v>
      </c>
      <c r="D226" s="67">
        <v>2022</v>
      </c>
      <c r="E226" s="67">
        <v>1</v>
      </c>
      <c r="F226" s="67">
        <v>1</v>
      </c>
      <c r="G226" s="67">
        <v>1</v>
      </c>
      <c r="H226" s="67">
        <v>0</v>
      </c>
      <c r="I226" s="67"/>
      <c r="J226" s="67"/>
      <c r="K226" s="67" t="s">
        <v>631</v>
      </c>
      <c r="L226" s="67" t="s">
        <v>941</v>
      </c>
      <c r="M226" s="67" t="s">
        <v>649</v>
      </c>
      <c r="N226" s="68"/>
      <c r="O226" s="68"/>
      <c r="P226" s="68"/>
    </row>
    <row r="227" spans="1:16" s="66" customFormat="1" ht="25.5" customHeight="1">
      <c r="A227" s="67">
        <f t="shared" si="5"/>
        <v>8</v>
      </c>
      <c r="B227" s="69" t="s">
        <v>342</v>
      </c>
      <c r="C227" s="67" t="s">
        <v>191</v>
      </c>
      <c r="D227" s="67">
        <v>2022</v>
      </c>
      <c r="E227" s="67">
        <v>2</v>
      </c>
      <c r="F227" s="67">
        <v>2</v>
      </c>
      <c r="G227" s="67">
        <v>2</v>
      </c>
      <c r="H227" s="67">
        <v>0</v>
      </c>
      <c r="I227" s="67"/>
      <c r="J227" s="67"/>
      <c r="K227" s="67" t="s">
        <v>631</v>
      </c>
      <c r="L227" s="67" t="s">
        <v>941</v>
      </c>
      <c r="M227" s="67" t="s">
        <v>649</v>
      </c>
      <c r="N227" s="68"/>
      <c r="O227" s="68"/>
      <c r="P227" s="68"/>
    </row>
    <row r="228" spans="1:16" s="66" customFormat="1" ht="25.5" customHeight="1">
      <c r="A228" s="67">
        <f>A227+1</f>
        <v>9</v>
      </c>
      <c r="B228" s="68" t="s">
        <v>900</v>
      </c>
      <c r="C228" s="67" t="s">
        <v>71</v>
      </c>
      <c r="D228" s="67">
        <v>2022</v>
      </c>
      <c r="E228" s="67">
        <v>1</v>
      </c>
      <c r="F228" s="67">
        <v>1</v>
      </c>
      <c r="G228" s="67">
        <v>1</v>
      </c>
      <c r="H228" s="67">
        <v>0</v>
      </c>
      <c r="I228" s="67"/>
      <c r="J228" s="67"/>
      <c r="K228" s="67" t="s">
        <v>631</v>
      </c>
      <c r="L228" s="67" t="s">
        <v>941</v>
      </c>
      <c r="M228" s="67" t="s">
        <v>649</v>
      </c>
      <c r="N228" s="68"/>
      <c r="O228" s="67"/>
      <c r="P228" s="68"/>
    </row>
    <row r="229" spans="1:16" s="66" customFormat="1" ht="25.5" customHeight="1">
      <c r="A229" s="319" t="s">
        <v>766</v>
      </c>
      <c r="B229" s="171" t="s">
        <v>910</v>
      </c>
      <c r="C229" s="67"/>
      <c r="D229" s="67"/>
      <c r="E229" s="67"/>
      <c r="F229" s="67"/>
      <c r="G229" s="68"/>
      <c r="H229" s="67"/>
      <c r="I229" s="67"/>
      <c r="J229" s="67"/>
      <c r="K229" s="68"/>
      <c r="L229" s="68"/>
      <c r="M229" s="68"/>
      <c r="N229" s="68"/>
      <c r="O229" s="67"/>
      <c r="P229" s="68"/>
    </row>
    <row r="230" spans="1:16" s="66" customFormat="1" ht="25.5" customHeight="1">
      <c r="A230" s="67">
        <v>1</v>
      </c>
      <c r="B230" s="68" t="s">
        <v>904</v>
      </c>
      <c r="C230" s="67" t="s">
        <v>71</v>
      </c>
      <c r="D230" s="67">
        <v>2022</v>
      </c>
      <c r="E230" s="67">
        <v>3</v>
      </c>
      <c r="F230" s="67">
        <v>3</v>
      </c>
      <c r="G230" s="67">
        <v>3</v>
      </c>
      <c r="H230" s="67">
        <v>0</v>
      </c>
      <c r="I230" s="67"/>
      <c r="J230" s="67"/>
      <c r="K230" s="67" t="s">
        <v>631</v>
      </c>
      <c r="L230" s="67" t="s">
        <v>941</v>
      </c>
      <c r="M230" s="67" t="s">
        <v>649</v>
      </c>
      <c r="N230" s="68"/>
      <c r="O230" s="67"/>
      <c r="P230" s="68"/>
    </row>
    <row r="231" spans="1:16" s="66" customFormat="1" ht="25.5" customHeight="1">
      <c r="A231" s="67">
        <f t="shared" ref="A231:A237" si="6">A230+1</f>
        <v>2</v>
      </c>
      <c r="B231" s="68" t="s">
        <v>101</v>
      </c>
      <c r="C231" s="67" t="s">
        <v>71</v>
      </c>
      <c r="D231" s="67">
        <v>2022</v>
      </c>
      <c r="E231" s="67">
        <v>1</v>
      </c>
      <c r="F231" s="67">
        <v>1</v>
      </c>
      <c r="G231" s="67">
        <v>1</v>
      </c>
      <c r="H231" s="67">
        <v>0</v>
      </c>
      <c r="I231" s="67"/>
      <c r="J231" s="67"/>
      <c r="K231" s="67" t="s">
        <v>631</v>
      </c>
      <c r="L231" s="67" t="s">
        <v>941</v>
      </c>
      <c r="M231" s="67" t="s">
        <v>649</v>
      </c>
      <c r="N231" s="68"/>
      <c r="O231" s="67"/>
      <c r="P231" s="68"/>
    </row>
    <row r="232" spans="1:16" s="66" customFormat="1" ht="25.5" customHeight="1">
      <c r="A232" s="67">
        <f t="shared" si="6"/>
        <v>3</v>
      </c>
      <c r="B232" s="68" t="s">
        <v>70</v>
      </c>
      <c r="C232" s="67" t="s">
        <v>71</v>
      </c>
      <c r="D232" s="67">
        <v>2022</v>
      </c>
      <c r="E232" s="67">
        <v>6</v>
      </c>
      <c r="F232" s="67">
        <v>6</v>
      </c>
      <c r="G232" s="67">
        <v>6</v>
      </c>
      <c r="H232" s="67">
        <v>0</v>
      </c>
      <c r="I232" s="67"/>
      <c r="J232" s="67"/>
      <c r="K232" s="67" t="s">
        <v>631</v>
      </c>
      <c r="L232" s="67" t="s">
        <v>941</v>
      </c>
      <c r="M232" s="67" t="s">
        <v>649</v>
      </c>
      <c r="N232" s="68"/>
      <c r="O232" s="67"/>
      <c r="P232" s="68"/>
    </row>
    <row r="233" spans="1:16" s="66" customFormat="1" ht="25.5" customHeight="1">
      <c r="A233" s="67">
        <f t="shared" si="6"/>
        <v>4</v>
      </c>
      <c r="B233" s="68" t="s">
        <v>67</v>
      </c>
      <c r="C233" s="67" t="s">
        <v>71</v>
      </c>
      <c r="D233" s="67">
        <v>2022</v>
      </c>
      <c r="E233" s="67">
        <v>1</v>
      </c>
      <c r="F233" s="67">
        <v>1</v>
      </c>
      <c r="G233" s="67">
        <v>1</v>
      </c>
      <c r="H233" s="67">
        <v>0</v>
      </c>
      <c r="I233" s="67"/>
      <c r="J233" s="67"/>
      <c r="K233" s="67" t="s">
        <v>631</v>
      </c>
      <c r="L233" s="67" t="s">
        <v>941</v>
      </c>
      <c r="M233" s="67" t="s">
        <v>649</v>
      </c>
      <c r="N233" s="68"/>
      <c r="O233" s="67"/>
      <c r="P233" s="68"/>
    </row>
    <row r="234" spans="1:16" s="66" customFormat="1" ht="25.5" customHeight="1">
      <c r="A234" s="67">
        <f t="shared" si="6"/>
        <v>5</v>
      </c>
      <c r="B234" s="68" t="s">
        <v>884</v>
      </c>
      <c r="C234" s="67" t="s">
        <v>71</v>
      </c>
      <c r="D234" s="67">
        <v>2022</v>
      </c>
      <c r="E234" s="67">
        <v>1</v>
      </c>
      <c r="F234" s="67">
        <v>1</v>
      </c>
      <c r="G234" s="67">
        <v>1</v>
      </c>
      <c r="H234" s="67">
        <v>0</v>
      </c>
      <c r="I234" s="357">
        <v>15675000</v>
      </c>
      <c r="J234" s="356">
        <f>G234*I234</f>
        <v>15675000</v>
      </c>
      <c r="K234" s="67" t="s">
        <v>631</v>
      </c>
      <c r="L234" s="67" t="s">
        <v>941</v>
      </c>
      <c r="M234" s="67" t="s">
        <v>649</v>
      </c>
      <c r="N234" s="68"/>
      <c r="O234" s="67"/>
      <c r="P234" s="68"/>
    </row>
    <row r="235" spans="1:16" s="66" customFormat="1" ht="25.5" customHeight="1">
      <c r="A235" s="67">
        <f t="shared" si="6"/>
        <v>6</v>
      </c>
      <c r="B235" s="68" t="s">
        <v>471</v>
      </c>
      <c r="C235" s="67" t="s">
        <v>71</v>
      </c>
      <c r="D235" s="67">
        <v>2022</v>
      </c>
      <c r="E235" s="67">
        <v>1</v>
      </c>
      <c r="F235" s="67">
        <v>1</v>
      </c>
      <c r="G235" s="67">
        <v>1</v>
      </c>
      <c r="H235" s="67">
        <v>0</v>
      </c>
      <c r="I235" s="67"/>
      <c r="J235" s="67"/>
      <c r="K235" s="67" t="s">
        <v>631</v>
      </c>
      <c r="L235" s="67" t="s">
        <v>941</v>
      </c>
      <c r="M235" s="67" t="s">
        <v>649</v>
      </c>
      <c r="N235" s="68"/>
      <c r="O235" s="67"/>
      <c r="P235" s="68"/>
    </row>
    <row r="236" spans="1:16" s="66" customFormat="1" ht="25.5" customHeight="1">
      <c r="A236" s="67">
        <f t="shared" si="6"/>
        <v>7</v>
      </c>
      <c r="B236" s="172" t="s">
        <v>319</v>
      </c>
      <c r="C236" s="67" t="s">
        <v>191</v>
      </c>
      <c r="D236" s="67">
        <v>2022</v>
      </c>
      <c r="E236" s="67">
        <v>1</v>
      </c>
      <c r="F236" s="67">
        <v>1</v>
      </c>
      <c r="G236" s="67">
        <v>1</v>
      </c>
      <c r="H236" s="67">
        <v>0</v>
      </c>
      <c r="I236" s="67"/>
      <c r="J236" s="67"/>
      <c r="K236" s="67" t="s">
        <v>631</v>
      </c>
      <c r="L236" s="67" t="s">
        <v>941</v>
      </c>
      <c r="M236" s="67" t="s">
        <v>649</v>
      </c>
      <c r="N236" s="68"/>
      <c r="O236" s="68"/>
      <c r="P236" s="68"/>
    </row>
    <row r="237" spans="1:16" s="66" customFormat="1" ht="25.5" customHeight="1">
      <c r="A237" s="67">
        <f t="shared" si="6"/>
        <v>8</v>
      </c>
      <c r="B237" s="69" t="s">
        <v>342</v>
      </c>
      <c r="C237" s="67" t="s">
        <v>191</v>
      </c>
      <c r="D237" s="67">
        <v>2022</v>
      </c>
      <c r="E237" s="67">
        <v>2</v>
      </c>
      <c r="F237" s="67">
        <v>2</v>
      </c>
      <c r="G237" s="67">
        <v>2</v>
      </c>
      <c r="H237" s="67">
        <v>0</v>
      </c>
      <c r="I237" s="67"/>
      <c r="J237" s="67"/>
      <c r="K237" s="67" t="s">
        <v>631</v>
      </c>
      <c r="L237" s="67" t="s">
        <v>941</v>
      </c>
      <c r="M237" s="67" t="s">
        <v>649</v>
      </c>
      <c r="N237" s="68"/>
      <c r="O237" s="68"/>
      <c r="P237" s="68"/>
    </row>
    <row r="238" spans="1:16" s="66" customFormat="1" ht="25.5" customHeight="1">
      <c r="A238" s="67">
        <f>A237+1</f>
        <v>9</v>
      </c>
      <c r="B238" s="68" t="s">
        <v>900</v>
      </c>
      <c r="C238" s="67" t="s">
        <v>71</v>
      </c>
      <c r="D238" s="67">
        <v>2022</v>
      </c>
      <c r="E238" s="67">
        <v>1</v>
      </c>
      <c r="F238" s="67">
        <v>1</v>
      </c>
      <c r="G238" s="67">
        <v>1</v>
      </c>
      <c r="H238" s="67">
        <v>0</v>
      </c>
      <c r="I238" s="67"/>
      <c r="J238" s="67"/>
      <c r="K238" s="67" t="s">
        <v>631</v>
      </c>
      <c r="L238" s="67" t="s">
        <v>941</v>
      </c>
      <c r="M238" s="67" t="s">
        <v>649</v>
      </c>
      <c r="N238" s="68"/>
      <c r="O238" s="67"/>
      <c r="P238" s="68"/>
    </row>
    <row r="239" spans="1:16" s="66" customFormat="1" ht="25.5" customHeight="1">
      <c r="A239" s="319" t="s">
        <v>767</v>
      </c>
      <c r="B239" s="171" t="s">
        <v>911</v>
      </c>
      <c r="C239" s="319"/>
      <c r="D239" s="319"/>
      <c r="E239" s="319"/>
      <c r="F239" s="319"/>
      <c r="G239" s="187"/>
      <c r="H239" s="319"/>
      <c r="I239" s="352"/>
      <c r="J239" s="352"/>
      <c r="K239" s="187"/>
      <c r="L239" s="187"/>
      <c r="M239" s="187"/>
      <c r="N239" s="187"/>
      <c r="O239" s="319"/>
      <c r="P239" s="68"/>
    </row>
    <row r="240" spans="1:16" s="66" customFormat="1" ht="25.5" customHeight="1">
      <c r="A240" s="67">
        <v>1</v>
      </c>
      <c r="B240" s="68" t="s">
        <v>904</v>
      </c>
      <c r="C240" s="67" t="s">
        <v>71</v>
      </c>
      <c r="D240" s="67">
        <v>2022</v>
      </c>
      <c r="E240" s="67">
        <v>3</v>
      </c>
      <c r="F240" s="67">
        <v>3</v>
      </c>
      <c r="G240" s="67">
        <v>3</v>
      </c>
      <c r="H240" s="67">
        <v>0</v>
      </c>
      <c r="I240" s="67"/>
      <c r="J240" s="67"/>
      <c r="K240" s="67" t="s">
        <v>631</v>
      </c>
      <c r="L240" s="67" t="s">
        <v>941</v>
      </c>
      <c r="M240" s="67" t="s">
        <v>649</v>
      </c>
      <c r="N240" s="68"/>
      <c r="O240" s="67"/>
      <c r="P240" s="68"/>
    </row>
    <row r="241" spans="1:16" s="66" customFormat="1" ht="25.5" customHeight="1">
      <c r="A241" s="67">
        <f t="shared" ref="A241:A247" si="7">A240+1</f>
        <v>2</v>
      </c>
      <c r="B241" s="68" t="s">
        <v>101</v>
      </c>
      <c r="C241" s="67" t="s">
        <v>71</v>
      </c>
      <c r="D241" s="67">
        <v>2022</v>
      </c>
      <c r="E241" s="67">
        <v>1</v>
      </c>
      <c r="F241" s="67">
        <v>1</v>
      </c>
      <c r="G241" s="67">
        <v>1</v>
      </c>
      <c r="H241" s="67">
        <v>0</v>
      </c>
      <c r="I241" s="67"/>
      <c r="J241" s="67"/>
      <c r="K241" s="67" t="s">
        <v>631</v>
      </c>
      <c r="L241" s="67" t="s">
        <v>941</v>
      </c>
      <c r="M241" s="67" t="s">
        <v>649</v>
      </c>
      <c r="N241" s="68"/>
      <c r="O241" s="67"/>
      <c r="P241" s="68"/>
    </row>
    <row r="242" spans="1:16" s="66" customFormat="1" ht="25.5" customHeight="1">
      <c r="A242" s="67">
        <f t="shared" si="7"/>
        <v>3</v>
      </c>
      <c r="B242" s="68" t="s">
        <v>70</v>
      </c>
      <c r="C242" s="67" t="s">
        <v>71</v>
      </c>
      <c r="D242" s="67">
        <v>2022</v>
      </c>
      <c r="E242" s="67">
        <v>6</v>
      </c>
      <c r="F242" s="67">
        <v>6</v>
      </c>
      <c r="G242" s="67">
        <v>6</v>
      </c>
      <c r="H242" s="67">
        <v>0</v>
      </c>
      <c r="I242" s="67"/>
      <c r="J242" s="67"/>
      <c r="K242" s="67" t="s">
        <v>631</v>
      </c>
      <c r="L242" s="67" t="s">
        <v>941</v>
      </c>
      <c r="M242" s="67" t="s">
        <v>649</v>
      </c>
      <c r="N242" s="68"/>
      <c r="O242" s="67"/>
      <c r="P242" s="68"/>
    </row>
    <row r="243" spans="1:16" s="66" customFormat="1" ht="25.5" customHeight="1">
      <c r="A243" s="67">
        <f t="shared" si="7"/>
        <v>4</v>
      </c>
      <c r="B243" s="68" t="s">
        <v>67</v>
      </c>
      <c r="C243" s="67" t="s">
        <v>71</v>
      </c>
      <c r="D243" s="67">
        <v>2022</v>
      </c>
      <c r="E243" s="67">
        <v>1</v>
      </c>
      <c r="F243" s="67">
        <v>1</v>
      </c>
      <c r="G243" s="67">
        <v>1</v>
      </c>
      <c r="H243" s="67">
        <v>0</v>
      </c>
      <c r="I243" s="67"/>
      <c r="J243" s="67"/>
      <c r="K243" s="67" t="s">
        <v>631</v>
      </c>
      <c r="L243" s="67" t="s">
        <v>941</v>
      </c>
      <c r="M243" s="67" t="s">
        <v>649</v>
      </c>
      <c r="N243" s="68"/>
      <c r="O243" s="67"/>
      <c r="P243" s="68"/>
    </row>
    <row r="244" spans="1:16" s="66" customFormat="1" ht="25.5" customHeight="1">
      <c r="A244" s="67">
        <f t="shared" si="7"/>
        <v>5</v>
      </c>
      <c r="B244" s="68" t="s">
        <v>884</v>
      </c>
      <c r="C244" s="67" t="s">
        <v>71</v>
      </c>
      <c r="D244" s="67">
        <v>2022</v>
      </c>
      <c r="E244" s="67">
        <v>1</v>
      </c>
      <c r="F244" s="67">
        <v>1</v>
      </c>
      <c r="G244" s="67">
        <v>1</v>
      </c>
      <c r="H244" s="67">
        <v>0</v>
      </c>
      <c r="I244" s="357">
        <v>15675000</v>
      </c>
      <c r="J244" s="356">
        <f>G244*I244</f>
        <v>15675000</v>
      </c>
      <c r="K244" s="67" t="s">
        <v>631</v>
      </c>
      <c r="L244" s="67" t="s">
        <v>941</v>
      </c>
      <c r="M244" s="67" t="s">
        <v>649</v>
      </c>
      <c r="N244" s="68"/>
      <c r="O244" s="67"/>
      <c r="P244" s="68"/>
    </row>
    <row r="245" spans="1:16" s="66" customFormat="1" ht="25.5" customHeight="1">
      <c r="A245" s="67">
        <f t="shared" si="7"/>
        <v>6</v>
      </c>
      <c r="B245" s="68" t="s">
        <v>471</v>
      </c>
      <c r="C245" s="67" t="s">
        <v>71</v>
      </c>
      <c r="D245" s="67">
        <v>2022</v>
      </c>
      <c r="E245" s="67">
        <v>1</v>
      </c>
      <c r="F245" s="67">
        <v>1</v>
      </c>
      <c r="G245" s="67">
        <v>1</v>
      </c>
      <c r="H245" s="67">
        <v>0</v>
      </c>
      <c r="I245" s="67"/>
      <c r="J245" s="67"/>
      <c r="K245" s="67" t="s">
        <v>631</v>
      </c>
      <c r="L245" s="67" t="s">
        <v>941</v>
      </c>
      <c r="M245" s="67" t="s">
        <v>649</v>
      </c>
      <c r="N245" s="68"/>
      <c r="O245" s="67"/>
      <c r="P245" s="68"/>
    </row>
    <row r="246" spans="1:16" s="66" customFormat="1" ht="25.5" customHeight="1">
      <c r="A246" s="67">
        <f t="shared" si="7"/>
        <v>7</v>
      </c>
      <c r="B246" s="172" t="s">
        <v>319</v>
      </c>
      <c r="C246" s="67" t="s">
        <v>191</v>
      </c>
      <c r="D246" s="67">
        <v>2022</v>
      </c>
      <c r="E246" s="67">
        <v>1</v>
      </c>
      <c r="F246" s="67">
        <v>1</v>
      </c>
      <c r="G246" s="67">
        <v>1</v>
      </c>
      <c r="H246" s="67">
        <v>0</v>
      </c>
      <c r="I246" s="67"/>
      <c r="J246" s="67"/>
      <c r="K246" s="67" t="s">
        <v>631</v>
      </c>
      <c r="L246" s="67" t="s">
        <v>941</v>
      </c>
      <c r="M246" s="67" t="s">
        <v>649</v>
      </c>
      <c r="N246" s="68"/>
      <c r="O246" s="68"/>
      <c r="P246" s="68"/>
    </row>
    <row r="247" spans="1:16" s="66" customFormat="1" ht="25.5" customHeight="1">
      <c r="A247" s="67">
        <f t="shared" si="7"/>
        <v>8</v>
      </c>
      <c r="B247" s="69" t="s">
        <v>342</v>
      </c>
      <c r="C247" s="67" t="s">
        <v>191</v>
      </c>
      <c r="D247" s="67">
        <v>2022</v>
      </c>
      <c r="E247" s="67">
        <v>2</v>
      </c>
      <c r="F247" s="67">
        <v>2</v>
      </c>
      <c r="G247" s="67">
        <v>2</v>
      </c>
      <c r="H247" s="67">
        <v>0</v>
      </c>
      <c r="I247" s="67"/>
      <c r="J247" s="67"/>
      <c r="K247" s="67" t="s">
        <v>631</v>
      </c>
      <c r="L247" s="67" t="s">
        <v>941</v>
      </c>
      <c r="M247" s="67" t="s">
        <v>649</v>
      </c>
      <c r="N247" s="68"/>
      <c r="O247" s="68"/>
      <c r="P247" s="68"/>
    </row>
    <row r="248" spans="1:16" s="66" customFormat="1" ht="25.5" customHeight="1">
      <c r="A248" s="67">
        <f>A247+1</f>
        <v>9</v>
      </c>
      <c r="B248" s="68" t="s">
        <v>900</v>
      </c>
      <c r="C248" s="67" t="s">
        <v>71</v>
      </c>
      <c r="D248" s="67">
        <v>2022</v>
      </c>
      <c r="E248" s="67">
        <v>1</v>
      </c>
      <c r="F248" s="67">
        <v>1</v>
      </c>
      <c r="G248" s="67">
        <v>1</v>
      </c>
      <c r="H248" s="67">
        <v>0</v>
      </c>
      <c r="I248" s="67"/>
      <c r="J248" s="67"/>
      <c r="K248" s="67" t="s">
        <v>631</v>
      </c>
      <c r="L248" s="67" t="s">
        <v>941</v>
      </c>
      <c r="M248" s="67" t="s">
        <v>649</v>
      </c>
      <c r="N248" s="68"/>
      <c r="O248" s="67"/>
      <c r="P248" s="68"/>
    </row>
    <row r="249" spans="1:16" s="66" customFormat="1" ht="25.5" customHeight="1">
      <c r="A249" s="319" t="s">
        <v>768</v>
      </c>
      <c r="B249" s="171" t="s">
        <v>523</v>
      </c>
      <c r="C249" s="67"/>
      <c r="D249" s="67"/>
      <c r="E249" s="67"/>
      <c r="F249" s="67"/>
      <c r="G249" s="68"/>
      <c r="H249" s="67"/>
      <c r="I249" s="67"/>
      <c r="J249" s="67"/>
      <c r="K249" s="68"/>
      <c r="L249" s="68"/>
      <c r="M249" s="68"/>
      <c r="N249" s="68"/>
      <c r="O249" s="67"/>
      <c r="P249" s="68"/>
    </row>
    <row r="250" spans="1:16" s="66" customFormat="1" ht="25.5" customHeight="1">
      <c r="A250" s="67">
        <v>1</v>
      </c>
      <c r="B250" s="68" t="s">
        <v>904</v>
      </c>
      <c r="C250" s="67" t="s">
        <v>71</v>
      </c>
      <c r="D250" s="67">
        <v>2022</v>
      </c>
      <c r="E250" s="67">
        <v>2</v>
      </c>
      <c r="F250" s="67">
        <v>2</v>
      </c>
      <c r="G250" s="67">
        <v>2</v>
      </c>
      <c r="H250" s="67">
        <v>0</v>
      </c>
      <c r="I250" s="67"/>
      <c r="J250" s="67"/>
      <c r="K250" s="67" t="s">
        <v>631</v>
      </c>
      <c r="L250" s="67" t="s">
        <v>704</v>
      </c>
      <c r="M250" s="67" t="s">
        <v>649</v>
      </c>
      <c r="N250" s="68"/>
      <c r="O250" s="67"/>
      <c r="P250" s="68"/>
    </row>
    <row r="251" spans="1:16" s="66" customFormat="1" ht="25.5" customHeight="1">
      <c r="A251" s="67">
        <f t="shared" ref="A251:A257" si="8">A250+1</f>
        <v>2</v>
      </c>
      <c r="B251" s="68" t="s">
        <v>75</v>
      </c>
      <c r="C251" s="67" t="s">
        <v>71</v>
      </c>
      <c r="D251" s="67">
        <v>2022</v>
      </c>
      <c r="E251" s="67">
        <v>1</v>
      </c>
      <c r="F251" s="67">
        <v>1</v>
      </c>
      <c r="G251" s="67">
        <v>1</v>
      </c>
      <c r="H251" s="67">
        <v>0</v>
      </c>
      <c r="I251" s="67"/>
      <c r="J251" s="67"/>
      <c r="K251" s="67" t="s">
        <v>631</v>
      </c>
      <c r="L251" s="67" t="s">
        <v>704</v>
      </c>
      <c r="M251" s="67" t="s">
        <v>649</v>
      </c>
      <c r="N251" s="68"/>
      <c r="O251" s="67"/>
      <c r="P251" s="68"/>
    </row>
    <row r="252" spans="1:16" s="66" customFormat="1" ht="25.5" customHeight="1">
      <c r="A252" s="67">
        <f t="shared" si="8"/>
        <v>3</v>
      </c>
      <c r="B252" s="68" t="s">
        <v>74</v>
      </c>
      <c r="C252" s="67" t="s">
        <v>71</v>
      </c>
      <c r="D252" s="67">
        <v>2022</v>
      </c>
      <c r="E252" s="67">
        <v>1</v>
      </c>
      <c r="F252" s="67">
        <v>1</v>
      </c>
      <c r="G252" s="67">
        <v>1</v>
      </c>
      <c r="H252" s="67">
        <v>0</v>
      </c>
      <c r="I252" s="67"/>
      <c r="J252" s="67"/>
      <c r="K252" s="67" t="s">
        <v>631</v>
      </c>
      <c r="L252" s="67" t="s">
        <v>704</v>
      </c>
      <c r="M252" s="67" t="s">
        <v>649</v>
      </c>
      <c r="N252" s="68"/>
      <c r="O252" s="67"/>
      <c r="P252" s="68"/>
    </row>
    <row r="253" spans="1:16" s="66" customFormat="1" ht="25.5" customHeight="1">
      <c r="A253" s="67">
        <f t="shared" si="8"/>
        <v>4</v>
      </c>
      <c r="B253" s="68" t="s">
        <v>101</v>
      </c>
      <c r="C253" s="67" t="s">
        <v>71</v>
      </c>
      <c r="D253" s="67">
        <v>2022</v>
      </c>
      <c r="E253" s="67">
        <v>2</v>
      </c>
      <c r="F253" s="67">
        <v>2</v>
      </c>
      <c r="G253" s="67">
        <v>2</v>
      </c>
      <c r="H253" s="67">
        <v>0</v>
      </c>
      <c r="I253" s="67"/>
      <c r="J253" s="67"/>
      <c r="K253" s="67" t="s">
        <v>631</v>
      </c>
      <c r="L253" s="67" t="s">
        <v>704</v>
      </c>
      <c r="M253" s="67" t="s">
        <v>649</v>
      </c>
      <c r="N253" s="68"/>
      <c r="O253" s="67"/>
      <c r="P253" s="68"/>
    </row>
    <row r="254" spans="1:16" s="66" customFormat="1" ht="25.5" customHeight="1">
      <c r="A254" s="67">
        <f t="shared" si="8"/>
        <v>5</v>
      </c>
      <c r="B254" s="68" t="s">
        <v>70</v>
      </c>
      <c r="C254" s="67" t="s">
        <v>71</v>
      </c>
      <c r="D254" s="67">
        <v>2022</v>
      </c>
      <c r="E254" s="67">
        <v>4</v>
      </c>
      <c r="F254" s="67">
        <v>4</v>
      </c>
      <c r="G254" s="67">
        <v>4</v>
      </c>
      <c r="H254" s="67">
        <v>0</v>
      </c>
      <c r="I254" s="67"/>
      <c r="J254" s="67"/>
      <c r="K254" s="67" t="s">
        <v>631</v>
      </c>
      <c r="L254" s="67" t="s">
        <v>704</v>
      </c>
      <c r="M254" s="67" t="s">
        <v>649</v>
      </c>
      <c r="N254" s="68"/>
      <c r="O254" s="67"/>
      <c r="P254" s="68"/>
    </row>
    <row r="255" spans="1:16" s="66" customFormat="1" ht="25.5" customHeight="1">
      <c r="A255" s="67">
        <f t="shared" si="8"/>
        <v>6</v>
      </c>
      <c r="B255" s="68" t="s">
        <v>67</v>
      </c>
      <c r="C255" s="67" t="s">
        <v>71</v>
      </c>
      <c r="D255" s="67">
        <v>2022</v>
      </c>
      <c r="E255" s="67">
        <v>1</v>
      </c>
      <c r="F255" s="67">
        <v>1</v>
      </c>
      <c r="G255" s="67">
        <v>1</v>
      </c>
      <c r="H255" s="67">
        <v>0</v>
      </c>
      <c r="I255" s="67"/>
      <c r="J255" s="67"/>
      <c r="K255" s="67" t="s">
        <v>631</v>
      </c>
      <c r="L255" s="67" t="s">
        <v>704</v>
      </c>
      <c r="M255" s="67" t="s">
        <v>649</v>
      </c>
      <c r="N255" s="68"/>
      <c r="O255" s="67"/>
      <c r="P255" s="68"/>
    </row>
    <row r="256" spans="1:16" s="66" customFormat="1" ht="25.5" customHeight="1">
      <c r="A256" s="67">
        <f t="shared" si="8"/>
        <v>7</v>
      </c>
      <c r="B256" s="68" t="s">
        <v>232</v>
      </c>
      <c r="C256" s="67" t="s">
        <v>71</v>
      </c>
      <c r="D256" s="67">
        <v>2022</v>
      </c>
      <c r="E256" s="67">
        <v>1</v>
      </c>
      <c r="F256" s="67">
        <v>1</v>
      </c>
      <c r="G256" s="67">
        <v>1</v>
      </c>
      <c r="H256" s="67">
        <v>0</v>
      </c>
      <c r="I256" s="67"/>
      <c r="J256" s="67"/>
      <c r="K256" s="67" t="s">
        <v>631</v>
      </c>
      <c r="L256" s="67" t="s">
        <v>704</v>
      </c>
      <c r="M256" s="67" t="s">
        <v>649</v>
      </c>
      <c r="N256" s="68"/>
      <c r="O256" s="67"/>
      <c r="P256" s="68"/>
    </row>
    <row r="257" spans="1:16" s="66" customFormat="1" ht="25.5" customHeight="1">
      <c r="A257" s="67">
        <f t="shared" si="8"/>
        <v>8</v>
      </c>
      <c r="B257" s="68" t="s">
        <v>315</v>
      </c>
      <c r="C257" s="67" t="s">
        <v>71</v>
      </c>
      <c r="D257" s="67">
        <v>2022</v>
      </c>
      <c r="E257" s="67">
        <v>1</v>
      </c>
      <c r="F257" s="67">
        <v>1</v>
      </c>
      <c r="G257" s="67">
        <v>1</v>
      </c>
      <c r="H257" s="67">
        <v>0</v>
      </c>
      <c r="I257" s="67"/>
      <c r="J257" s="67"/>
      <c r="K257" s="67" t="s">
        <v>631</v>
      </c>
      <c r="L257" s="67" t="s">
        <v>704</v>
      </c>
      <c r="M257" s="67" t="s">
        <v>649</v>
      </c>
      <c r="N257" s="68"/>
      <c r="O257" s="67"/>
      <c r="P257" s="68"/>
    </row>
    <row r="258" spans="1:16" s="66" customFormat="1" ht="25.5" customHeight="1">
      <c r="A258" s="67">
        <f>A257+1</f>
        <v>9</v>
      </c>
      <c r="B258" s="68" t="s">
        <v>899</v>
      </c>
      <c r="C258" s="67" t="s">
        <v>71</v>
      </c>
      <c r="D258" s="67">
        <v>2022</v>
      </c>
      <c r="E258" s="67">
        <v>1</v>
      </c>
      <c r="F258" s="67">
        <v>1</v>
      </c>
      <c r="G258" s="67">
        <v>1</v>
      </c>
      <c r="H258" s="67">
        <v>0</v>
      </c>
      <c r="I258" s="67"/>
      <c r="J258" s="67"/>
      <c r="K258" s="67" t="s">
        <v>631</v>
      </c>
      <c r="L258" s="67" t="s">
        <v>704</v>
      </c>
      <c r="M258" s="67" t="s">
        <v>649</v>
      </c>
      <c r="N258" s="68"/>
      <c r="O258" s="67"/>
      <c r="P258" s="68"/>
    </row>
    <row r="259" spans="1:16" s="66" customFormat="1" ht="25.5" customHeight="1">
      <c r="A259" s="67">
        <f t="shared" ref="A259" si="9">A258+1</f>
        <v>10</v>
      </c>
      <c r="B259" s="68" t="s">
        <v>257</v>
      </c>
      <c r="C259" s="67" t="s">
        <v>71</v>
      </c>
      <c r="D259" s="67">
        <v>2022</v>
      </c>
      <c r="E259" s="67">
        <v>1</v>
      </c>
      <c r="F259" s="67">
        <v>1</v>
      </c>
      <c r="G259" s="67">
        <v>1</v>
      </c>
      <c r="H259" s="67">
        <v>0</v>
      </c>
      <c r="I259" s="67"/>
      <c r="J259" s="67"/>
      <c r="K259" s="67" t="s">
        <v>631</v>
      </c>
      <c r="L259" s="67" t="s">
        <v>704</v>
      </c>
      <c r="M259" s="67" t="s">
        <v>649</v>
      </c>
      <c r="N259" s="68"/>
      <c r="O259" s="67"/>
      <c r="P259" s="68"/>
    </row>
    <row r="260" spans="1:16" s="66" customFormat="1" ht="25.5" customHeight="1">
      <c r="A260" s="67">
        <f>A259+1</f>
        <v>11</v>
      </c>
      <c r="B260" s="68" t="s">
        <v>231</v>
      </c>
      <c r="C260" s="67" t="s">
        <v>71</v>
      </c>
      <c r="D260" s="67">
        <v>2022</v>
      </c>
      <c r="E260" s="67">
        <v>1</v>
      </c>
      <c r="F260" s="67">
        <v>1</v>
      </c>
      <c r="G260" s="67">
        <v>1</v>
      </c>
      <c r="H260" s="67">
        <v>0</v>
      </c>
      <c r="I260" s="67"/>
      <c r="J260" s="67"/>
      <c r="K260" s="67" t="s">
        <v>631</v>
      </c>
      <c r="L260" s="67" t="s">
        <v>704</v>
      </c>
      <c r="M260" s="67" t="s">
        <v>649</v>
      </c>
      <c r="N260" s="68"/>
      <c r="O260" s="67"/>
      <c r="P260" s="68"/>
    </row>
    <row r="261" spans="1:16" s="66" customFormat="1" ht="25.5" customHeight="1">
      <c r="A261" s="67">
        <f t="shared" ref="A261:A324" si="10">A260+1</f>
        <v>12</v>
      </c>
      <c r="B261" s="68" t="s">
        <v>888</v>
      </c>
      <c r="C261" s="67" t="s">
        <v>71</v>
      </c>
      <c r="D261" s="67">
        <v>2022</v>
      </c>
      <c r="E261" s="67">
        <v>1</v>
      </c>
      <c r="F261" s="67">
        <v>1</v>
      </c>
      <c r="G261" s="67">
        <v>1</v>
      </c>
      <c r="H261" s="67">
        <v>0</v>
      </c>
      <c r="I261" s="354">
        <v>12669000</v>
      </c>
      <c r="J261" s="356">
        <f>+G261*I261</f>
        <v>12669000</v>
      </c>
      <c r="K261" s="67" t="s">
        <v>631</v>
      </c>
      <c r="L261" s="67" t="s">
        <v>704</v>
      </c>
      <c r="M261" s="67" t="s">
        <v>649</v>
      </c>
      <c r="N261" s="68"/>
      <c r="O261" s="67"/>
      <c r="P261" s="68"/>
    </row>
    <row r="262" spans="1:16" s="64" customFormat="1" ht="25.5" customHeight="1">
      <c r="A262" s="67">
        <f t="shared" si="10"/>
        <v>13</v>
      </c>
      <c r="B262" s="68" t="s">
        <v>382</v>
      </c>
      <c r="C262" s="67" t="s">
        <v>71</v>
      </c>
      <c r="D262" s="67">
        <v>2022</v>
      </c>
      <c r="E262" s="67">
        <v>1</v>
      </c>
      <c r="F262" s="67">
        <v>1</v>
      </c>
      <c r="G262" s="67">
        <v>1</v>
      </c>
      <c r="H262" s="67">
        <v>0</v>
      </c>
      <c r="I262" s="67"/>
      <c r="J262" s="67"/>
      <c r="K262" s="67" t="s">
        <v>631</v>
      </c>
      <c r="L262" s="67" t="s">
        <v>704</v>
      </c>
      <c r="M262" s="67" t="s">
        <v>649</v>
      </c>
      <c r="N262" s="63"/>
      <c r="O262" s="67"/>
      <c r="P262" s="63"/>
    </row>
    <row r="263" spans="1:16" s="64" customFormat="1" ht="25.5" customHeight="1">
      <c r="A263" s="67">
        <f t="shared" si="10"/>
        <v>14</v>
      </c>
      <c r="B263" s="68" t="s">
        <v>464</v>
      </c>
      <c r="C263" s="67" t="s">
        <v>71</v>
      </c>
      <c r="D263" s="67">
        <v>2022</v>
      </c>
      <c r="E263" s="67">
        <v>1</v>
      </c>
      <c r="F263" s="67">
        <v>1</v>
      </c>
      <c r="G263" s="67">
        <v>1</v>
      </c>
      <c r="H263" s="67">
        <v>0</v>
      </c>
      <c r="I263" s="67"/>
      <c r="J263" s="67"/>
      <c r="K263" s="67" t="s">
        <v>631</v>
      </c>
      <c r="L263" s="67" t="s">
        <v>704</v>
      </c>
      <c r="M263" s="67" t="s">
        <v>649</v>
      </c>
      <c r="N263" s="63"/>
      <c r="O263" s="67"/>
      <c r="P263" s="63"/>
    </row>
    <row r="264" spans="1:16" s="66" customFormat="1" ht="25.5" customHeight="1">
      <c r="A264" s="67">
        <f t="shared" si="10"/>
        <v>15</v>
      </c>
      <c r="B264" s="68" t="s">
        <v>446</v>
      </c>
      <c r="C264" s="67" t="s">
        <v>71</v>
      </c>
      <c r="D264" s="67">
        <v>2022</v>
      </c>
      <c r="E264" s="67">
        <v>1</v>
      </c>
      <c r="F264" s="67">
        <v>1</v>
      </c>
      <c r="G264" s="67">
        <v>1</v>
      </c>
      <c r="H264" s="67">
        <v>0</v>
      </c>
      <c r="I264" s="67"/>
      <c r="J264" s="67"/>
      <c r="K264" s="67" t="s">
        <v>631</v>
      </c>
      <c r="L264" s="67" t="s">
        <v>704</v>
      </c>
      <c r="M264" s="67" t="s">
        <v>649</v>
      </c>
      <c r="N264" s="67"/>
      <c r="O264" s="67"/>
      <c r="P264" s="68"/>
    </row>
    <row r="265" spans="1:16" s="66" customFormat="1" ht="25.5" customHeight="1">
      <c r="A265" s="67">
        <f t="shared" si="10"/>
        <v>16</v>
      </c>
      <c r="B265" s="68" t="s">
        <v>449</v>
      </c>
      <c r="C265" s="67" t="s">
        <v>71</v>
      </c>
      <c r="D265" s="67">
        <v>2022</v>
      </c>
      <c r="E265" s="67">
        <v>1</v>
      </c>
      <c r="F265" s="67">
        <v>1</v>
      </c>
      <c r="G265" s="67">
        <v>1</v>
      </c>
      <c r="H265" s="67">
        <v>0</v>
      </c>
      <c r="I265" s="67"/>
      <c r="J265" s="67"/>
      <c r="K265" s="67" t="s">
        <v>631</v>
      </c>
      <c r="L265" s="67" t="s">
        <v>704</v>
      </c>
      <c r="M265" s="67" t="s">
        <v>649</v>
      </c>
      <c r="N265" s="67"/>
      <c r="O265" s="67"/>
      <c r="P265" s="68"/>
    </row>
    <row r="266" spans="1:16" s="66" customFormat="1" ht="25.5" customHeight="1">
      <c r="A266" s="67">
        <f t="shared" si="10"/>
        <v>17</v>
      </c>
      <c r="B266" s="172" t="s">
        <v>319</v>
      </c>
      <c r="C266" s="67" t="s">
        <v>191</v>
      </c>
      <c r="D266" s="67">
        <v>2022</v>
      </c>
      <c r="E266" s="67">
        <v>1</v>
      </c>
      <c r="F266" s="67">
        <v>1</v>
      </c>
      <c r="G266" s="67">
        <v>1</v>
      </c>
      <c r="H266" s="67">
        <v>0</v>
      </c>
      <c r="I266" s="67"/>
      <c r="J266" s="67"/>
      <c r="K266" s="67" t="s">
        <v>631</v>
      </c>
      <c r="L266" s="67" t="s">
        <v>704</v>
      </c>
      <c r="M266" s="67" t="s">
        <v>649</v>
      </c>
      <c r="N266" s="67"/>
      <c r="O266" s="68"/>
      <c r="P266" s="68"/>
    </row>
    <row r="267" spans="1:16" s="66" customFormat="1" ht="25.5" customHeight="1">
      <c r="A267" s="67">
        <f t="shared" si="10"/>
        <v>18</v>
      </c>
      <c r="B267" s="69" t="s">
        <v>342</v>
      </c>
      <c r="C267" s="67" t="s">
        <v>191</v>
      </c>
      <c r="D267" s="67">
        <v>2022</v>
      </c>
      <c r="E267" s="67">
        <v>2</v>
      </c>
      <c r="F267" s="67">
        <v>2</v>
      </c>
      <c r="G267" s="67">
        <v>2</v>
      </c>
      <c r="H267" s="67">
        <v>0</v>
      </c>
      <c r="I267" s="67"/>
      <c r="J267" s="67"/>
      <c r="K267" s="67" t="s">
        <v>631</v>
      </c>
      <c r="L267" s="67" t="s">
        <v>704</v>
      </c>
      <c r="M267" s="67" t="s">
        <v>649</v>
      </c>
      <c r="N267" s="67"/>
      <c r="O267" s="68"/>
      <c r="P267" s="63"/>
    </row>
    <row r="268" spans="1:16" s="66" customFormat="1" ht="25.5" customHeight="1">
      <c r="A268" s="319" t="s">
        <v>769</v>
      </c>
      <c r="B268" s="171" t="s">
        <v>912</v>
      </c>
      <c r="C268" s="319"/>
      <c r="D268" s="319"/>
      <c r="E268" s="319"/>
      <c r="F268" s="319"/>
      <c r="G268" s="319"/>
      <c r="H268" s="319"/>
      <c r="I268" s="352"/>
      <c r="J268" s="352"/>
      <c r="K268" s="319"/>
      <c r="L268" s="187"/>
      <c r="M268" s="187"/>
      <c r="N268" s="187"/>
      <c r="O268" s="319"/>
      <c r="P268" s="68"/>
    </row>
    <row r="269" spans="1:16" s="64" customFormat="1" ht="25.5" customHeight="1">
      <c r="A269" s="67">
        <v>1</v>
      </c>
      <c r="B269" s="68" t="s">
        <v>75</v>
      </c>
      <c r="C269" s="67" t="s">
        <v>71</v>
      </c>
      <c r="D269" s="61">
        <v>2022</v>
      </c>
      <c r="E269" s="67">
        <v>20</v>
      </c>
      <c r="F269" s="67">
        <v>20</v>
      </c>
      <c r="G269" s="67">
        <v>20</v>
      </c>
      <c r="H269" s="61">
        <v>0</v>
      </c>
      <c r="I269" s="61"/>
      <c r="J269" s="61"/>
      <c r="K269" s="61" t="s">
        <v>631</v>
      </c>
      <c r="L269" s="61" t="s">
        <v>706</v>
      </c>
      <c r="M269" s="61" t="s">
        <v>649</v>
      </c>
      <c r="N269" s="63"/>
      <c r="O269" s="67"/>
      <c r="P269" s="63"/>
    </row>
    <row r="270" spans="1:16" s="64" customFormat="1" ht="25.5" customHeight="1">
      <c r="A270" s="67">
        <f t="shared" si="10"/>
        <v>2</v>
      </c>
      <c r="B270" s="68" t="s">
        <v>79</v>
      </c>
      <c r="C270" s="67" t="s">
        <v>71</v>
      </c>
      <c r="D270" s="61">
        <v>2022</v>
      </c>
      <c r="E270" s="67">
        <v>1</v>
      </c>
      <c r="F270" s="67">
        <v>1</v>
      </c>
      <c r="G270" s="67">
        <v>1</v>
      </c>
      <c r="H270" s="61">
        <v>0</v>
      </c>
      <c r="I270" s="61"/>
      <c r="J270" s="61"/>
      <c r="K270" s="61" t="s">
        <v>631</v>
      </c>
      <c r="L270" s="61" t="s">
        <v>706</v>
      </c>
      <c r="M270" s="61" t="s">
        <v>649</v>
      </c>
      <c r="N270" s="63"/>
      <c r="O270" s="67"/>
      <c r="P270" s="63"/>
    </row>
    <row r="271" spans="1:16" s="64" customFormat="1" ht="25.5" customHeight="1">
      <c r="A271" s="67">
        <f t="shared" si="10"/>
        <v>3</v>
      </c>
      <c r="B271" s="68" t="s">
        <v>70</v>
      </c>
      <c r="C271" s="67" t="s">
        <v>71</v>
      </c>
      <c r="D271" s="61">
        <v>2022</v>
      </c>
      <c r="E271" s="67">
        <v>4</v>
      </c>
      <c r="F271" s="67">
        <v>4</v>
      </c>
      <c r="G271" s="67">
        <v>4</v>
      </c>
      <c r="H271" s="61">
        <v>0</v>
      </c>
      <c r="I271" s="61"/>
      <c r="J271" s="61"/>
      <c r="K271" s="61" t="s">
        <v>631</v>
      </c>
      <c r="L271" s="61" t="s">
        <v>706</v>
      </c>
      <c r="M271" s="61" t="s">
        <v>649</v>
      </c>
      <c r="N271" s="63"/>
      <c r="O271" s="67"/>
      <c r="P271" s="63"/>
    </row>
    <row r="272" spans="1:16" s="64" customFormat="1" ht="25.5" customHeight="1">
      <c r="A272" s="67">
        <f t="shared" si="10"/>
        <v>4</v>
      </c>
      <c r="B272" s="68" t="s">
        <v>67</v>
      </c>
      <c r="C272" s="67" t="s">
        <v>71</v>
      </c>
      <c r="D272" s="61">
        <v>2022</v>
      </c>
      <c r="E272" s="67">
        <v>1</v>
      </c>
      <c r="F272" s="67">
        <v>1</v>
      </c>
      <c r="G272" s="67">
        <v>1</v>
      </c>
      <c r="H272" s="61">
        <v>0</v>
      </c>
      <c r="I272" s="61"/>
      <c r="J272" s="61"/>
      <c r="K272" s="61" t="s">
        <v>631</v>
      </c>
      <c r="L272" s="61" t="s">
        <v>706</v>
      </c>
      <c r="M272" s="61" t="s">
        <v>649</v>
      </c>
      <c r="N272" s="63"/>
      <c r="O272" s="67"/>
      <c r="P272" s="63"/>
    </row>
    <row r="273" spans="1:16" s="64" customFormat="1" ht="25.5" customHeight="1">
      <c r="A273" s="67">
        <f t="shared" si="10"/>
        <v>5</v>
      </c>
      <c r="B273" s="68" t="s">
        <v>884</v>
      </c>
      <c r="C273" s="67" t="s">
        <v>71</v>
      </c>
      <c r="D273" s="61">
        <v>2022</v>
      </c>
      <c r="E273" s="67">
        <v>2</v>
      </c>
      <c r="F273" s="67">
        <v>2</v>
      </c>
      <c r="G273" s="67">
        <v>2</v>
      </c>
      <c r="H273" s="61">
        <v>0</v>
      </c>
      <c r="I273" s="357">
        <v>15675000</v>
      </c>
      <c r="J273" s="356">
        <f>G273*I273</f>
        <v>31350000</v>
      </c>
      <c r="K273" s="61" t="s">
        <v>631</v>
      </c>
      <c r="L273" s="61" t="s">
        <v>706</v>
      </c>
      <c r="M273" s="61" t="s">
        <v>649</v>
      </c>
      <c r="N273" s="67"/>
      <c r="O273" s="67"/>
      <c r="P273" s="63" t="s">
        <v>570</v>
      </c>
    </row>
    <row r="274" spans="1:16" s="66" customFormat="1" ht="25.5" customHeight="1">
      <c r="A274" s="67">
        <f t="shared" si="10"/>
        <v>6</v>
      </c>
      <c r="B274" s="68" t="s">
        <v>382</v>
      </c>
      <c r="C274" s="67" t="s">
        <v>71</v>
      </c>
      <c r="D274" s="61">
        <v>2022</v>
      </c>
      <c r="E274" s="67">
        <v>4</v>
      </c>
      <c r="F274" s="67">
        <v>4</v>
      </c>
      <c r="G274" s="67">
        <v>4</v>
      </c>
      <c r="H274" s="61">
        <v>0</v>
      </c>
      <c r="I274" s="61"/>
      <c r="J274" s="61"/>
      <c r="K274" s="61" t="s">
        <v>631</v>
      </c>
      <c r="L274" s="61" t="s">
        <v>706</v>
      </c>
      <c r="M274" s="61" t="s">
        <v>649</v>
      </c>
      <c r="N274" s="68"/>
      <c r="O274" s="67"/>
      <c r="P274" s="68"/>
    </row>
    <row r="275" spans="1:16" s="64" customFormat="1" ht="25.5" customHeight="1">
      <c r="A275" s="67">
        <f t="shared" si="10"/>
        <v>7</v>
      </c>
      <c r="B275" s="68" t="s">
        <v>482</v>
      </c>
      <c r="C275" s="67" t="s">
        <v>71</v>
      </c>
      <c r="D275" s="61">
        <v>2022</v>
      </c>
      <c r="E275" s="67">
        <v>1</v>
      </c>
      <c r="F275" s="67">
        <v>1</v>
      </c>
      <c r="G275" s="67">
        <v>1</v>
      </c>
      <c r="H275" s="61">
        <v>0</v>
      </c>
      <c r="I275" s="61"/>
      <c r="J275" s="61"/>
      <c r="K275" s="61" t="s">
        <v>631</v>
      </c>
      <c r="L275" s="61" t="s">
        <v>706</v>
      </c>
      <c r="M275" s="61" t="s">
        <v>649</v>
      </c>
      <c r="N275" s="63"/>
      <c r="O275" s="67"/>
      <c r="P275" s="63"/>
    </row>
    <row r="276" spans="1:16" s="64" customFormat="1" ht="25.5" customHeight="1">
      <c r="A276" s="67">
        <f t="shared" si="10"/>
        <v>8</v>
      </c>
      <c r="B276" s="172" t="s">
        <v>319</v>
      </c>
      <c r="C276" s="67" t="s">
        <v>191</v>
      </c>
      <c r="D276" s="61">
        <v>2022</v>
      </c>
      <c r="E276" s="67">
        <v>1</v>
      </c>
      <c r="F276" s="67">
        <v>1</v>
      </c>
      <c r="G276" s="67">
        <v>1</v>
      </c>
      <c r="H276" s="61">
        <v>0</v>
      </c>
      <c r="I276" s="61"/>
      <c r="J276" s="61"/>
      <c r="K276" s="61" t="s">
        <v>631</v>
      </c>
      <c r="L276" s="61" t="s">
        <v>706</v>
      </c>
      <c r="M276" s="61" t="s">
        <v>649</v>
      </c>
      <c r="N276" s="63"/>
      <c r="O276" s="68"/>
      <c r="P276" s="63"/>
    </row>
    <row r="277" spans="1:16" s="64" customFormat="1" ht="25.5" customHeight="1">
      <c r="A277" s="67">
        <f t="shared" si="10"/>
        <v>9</v>
      </c>
      <c r="B277" s="69" t="s">
        <v>342</v>
      </c>
      <c r="C277" s="67" t="s">
        <v>191</v>
      </c>
      <c r="D277" s="61">
        <v>2022</v>
      </c>
      <c r="E277" s="67">
        <v>4</v>
      </c>
      <c r="F277" s="67">
        <v>4</v>
      </c>
      <c r="G277" s="67">
        <v>4</v>
      </c>
      <c r="H277" s="61">
        <v>0</v>
      </c>
      <c r="I277" s="61"/>
      <c r="J277" s="61"/>
      <c r="K277" s="61" t="s">
        <v>631</v>
      </c>
      <c r="L277" s="61" t="s">
        <v>706</v>
      </c>
      <c r="M277" s="61" t="s">
        <v>649</v>
      </c>
      <c r="N277" s="63"/>
      <c r="O277" s="68"/>
      <c r="P277" s="63"/>
    </row>
    <row r="278" spans="1:16" s="64" customFormat="1" ht="25.5" customHeight="1">
      <c r="A278" s="319" t="s">
        <v>770</v>
      </c>
      <c r="B278" s="171" t="s">
        <v>913</v>
      </c>
      <c r="C278" s="319"/>
      <c r="D278" s="320"/>
      <c r="E278" s="319"/>
      <c r="F278" s="320"/>
      <c r="G278" s="320"/>
      <c r="H278" s="320"/>
      <c r="I278" s="353"/>
      <c r="J278" s="353"/>
      <c r="K278" s="320"/>
      <c r="L278" s="173"/>
      <c r="M278" s="173"/>
      <c r="N278" s="173"/>
      <c r="O278" s="319"/>
      <c r="P278" s="63"/>
    </row>
    <row r="279" spans="1:16" s="64" customFormat="1" ht="25.5" customHeight="1">
      <c r="A279" s="67">
        <v>1</v>
      </c>
      <c r="B279" s="68" t="s">
        <v>506</v>
      </c>
      <c r="C279" s="67" t="s">
        <v>71</v>
      </c>
      <c r="D279" s="61">
        <v>2022</v>
      </c>
      <c r="E279" s="67">
        <v>3</v>
      </c>
      <c r="F279" s="67">
        <v>3</v>
      </c>
      <c r="G279" s="67">
        <v>3</v>
      </c>
      <c r="H279" s="61">
        <v>0</v>
      </c>
      <c r="I279" s="61"/>
      <c r="J279" s="61"/>
      <c r="K279" s="61" t="s">
        <v>631</v>
      </c>
      <c r="L279" s="61" t="s">
        <v>942</v>
      </c>
      <c r="M279" s="61" t="s">
        <v>649</v>
      </c>
      <c r="N279" s="67"/>
      <c r="O279" s="67"/>
      <c r="P279" s="63" t="s">
        <v>583</v>
      </c>
    </row>
    <row r="280" spans="1:16" s="66" customFormat="1" ht="25.5" customHeight="1">
      <c r="A280" s="67">
        <f t="shared" si="10"/>
        <v>2</v>
      </c>
      <c r="B280" s="68" t="s">
        <v>101</v>
      </c>
      <c r="C280" s="67" t="s">
        <v>71</v>
      </c>
      <c r="D280" s="61">
        <v>2022</v>
      </c>
      <c r="E280" s="67">
        <v>1</v>
      </c>
      <c r="F280" s="67">
        <v>1</v>
      </c>
      <c r="G280" s="67">
        <v>1</v>
      </c>
      <c r="H280" s="61">
        <v>0</v>
      </c>
      <c r="I280" s="61"/>
      <c r="J280" s="61"/>
      <c r="K280" s="61" t="s">
        <v>631</v>
      </c>
      <c r="L280" s="61" t="s">
        <v>942</v>
      </c>
      <c r="M280" s="61" t="s">
        <v>649</v>
      </c>
      <c r="N280" s="68"/>
      <c r="O280" s="67"/>
      <c r="P280" s="68"/>
    </row>
    <row r="281" spans="1:16" s="64" customFormat="1" ht="25.5" customHeight="1">
      <c r="A281" s="67">
        <f t="shared" si="10"/>
        <v>3</v>
      </c>
      <c r="B281" s="68" t="s">
        <v>70</v>
      </c>
      <c r="C281" s="67" t="s">
        <v>71</v>
      </c>
      <c r="D281" s="61">
        <v>2022</v>
      </c>
      <c r="E281" s="67">
        <v>4</v>
      </c>
      <c r="F281" s="67">
        <v>4</v>
      </c>
      <c r="G281" s="67">
        <v>4</v>
      </c>
      <c r="H281" s="61">
        <v>0</v>
      </c>
      <c r="I281" s="61"/>
      <c r="J281" s="61"/>
      <c r="K281" s="61" t="s">
        <v>631</v>
      </c>
      <c r="L281" s="61" t="s">
        <v>942</v>
      </c>
      <c r="M281" s="61" t="s">
        <v>649</v>
      </c>
      <c r="N281" s="63"/>
      <c r="O281" s="67"/>
      <c r="P281" s="63"/>
    </row>
    <row r="282" spans="1:16" s="64" customFormat="1" ht="25.5" customHeight="1">
      <c r="A282" s="67">
        <f t="shared" si="10"/>
        <v>4</v>
      </c>
      <c r="B282" s="68" t="s">
        <v>67</v>
      </c>
      <c r="C282" s="67" t="s">
        <v>71</v>
      </c>
      <c r="D282" s="61">
        <v>2022</v>
      </c>
      <c r="E282" s="67">
        <v>1</v>
      </c>
      <c r="F282" s="67">
        <v>1</v>
      </c>
      <c r="G282" s="67">
        <v>1</v>
      </c>
      <c r="H282" s="61">
        <v>0</v>
      </c>
      <c r="I282" s="61"/>
      <c r="J282" s="61"/>
      <c r="K282" s="61" t="s">
        <v>631</v>
      </c>
      <c r="L282" s="61" t="s">
        <v>942</v>
      </c>
      <c r="M282" s="61" t="s">
        <v>649</v>
      </c>
      <c r="N282" s="63"/>
      <c r="O282" s="67"/>
      <c r="P282" s="63"/>
    </row>
    <row r="283" spans="1:16" s="64" customFormat="1" ht="25.5" customHeight="1">
      <c r="A283" s="67">
        <f t="shared" si="10"/>
        <v>5</v>
      </c>
      <c r="B283" s="68" t="s">
        <v>888</v>
      </c>
      <c r="C283" s="67" t="s">
        <v>71</v>
      </c>
      <c r="D283" s="61">
        <v>2022</v>
      </c>
      <c r="E283" s="67">
        <v>1</v>
      </c>
      <c r="F283" s="67">
        <v>1</v>
      </c>
      <c r="G283" s="67">
        <v>1</v>
      </c>
      <c r="H283" s="61">
        <v>0</v>
      </c>
      <c r="I283" s="354">
        <v>12669000</v>
      </c>
      <c r="J283" s="356">
        <f>+G283*I283</f>
        <v>12669000</v>
      </c>
      <c r="K283" s="61" t="s">
        <v>631</v>
      </c>
      <c r="L283" s="61" t="s">
        <v>942</v>
      </c>
      <c r="M283" s="61" t="s">
        <v>649</v>
      </c>
      <c r="N283" s="63"/>
      <c r="O283" s="67"/>
      <c r="P283" s="63"/>
    </row>
    <row r="284" spans="1:16" s="64" customFormat="1" ht="25.5" customHeight="1">
      <c r="A284" s="67">
        <f t="shared" si="10"/>
        <v>6</v>
      </c>
      <c r="B284" s="68" t="s">
        <v>382</v>
      </c>
      <c r="C284" s="67" t="s">
        <v>71</v>
      </c>
      <c r="D284" s="61">
        <v>2022</v>
      </c>
      <c r="E284" s="67">
        <v>2</v>
      </c>
      <c r="F284" s="67">
        <v>2</v>
      </c>
      <c r="G284" s="67">
        <v>2</v>
      </c>
      <c r="H284" s="61">
        <v>0</v>
      </c>
      <c r="I284" s="61"/>
      <c r="J284" s="61"/>
      <c r="K284" s="61" t="s">
        <v>631</v>
      </c>
      <c r="L284" s="61" t="s">
        <v>942</v>
      </c>
      <c r="M284" s="61" t="s">
        <v>649</v>
      </c>
      <c r="N284" s="63"/>
      <c r="O284" s="67"/>
      <c r="P284" s="63"/>
    </row>
    <row r="285" spans="1:16" s="64" customFormat="1" ht="25.5" customHeight="1">
      <c r="A285" s="67">
        <f t="shared" si="10"/>
        <v>7</v>
      </c>
      <c r="B285" s="68" t="s">
        <v>464</v>
      </c>
      <c r="C285" s="67" t="s">
        <v>71</v>
      </c>
      <c r="D285" s="61">
        <v>2022</v>
      </c>
      <c r="E285" s="67">
        <v>1</v>
      </c>
      <c r="F285" s="67">
        <v>1</v>
      </c>
      <c r="G285" s="67">
        <v>1</v>
      </c>
      <c r="H285" s="61">
        <v>0</v>
      </c>
      <c r="I285" s="61"/>
      <c r="J285" s="61"/>
      <c r="K285" s="61" t="s">
        <v>631</v>
      </c>
      <c r="L285" s="61" t="s">
        <v>942</v>
      </c>
      <c r="M285" s="61" t="s">
        <v>649</v>
      </c>
      <c r="N285" s="67"/>
      <c r="O285" s="67"/>
      <c r="P285" s="63" t="s">
        <v>580</v>
      </c>
    </row>
    <row r="286" spans="1:16" s="64" customFormat="1" ht="25.5" customHeight="1">
      <c r="A286" s="67">
        <f t="shared" si="10"/>
        <v>8</v>
      </c>
      <c r="B286" s="172" t="s">
        <v>319</v>
      </c>
      <c r="C286" s="67" t="s">
        <v>191</v>
      </c>
      <c r="D286" s="61">
        <v>2022</v>
      </c>
      <c r="E286" s="67">
        <v>1</v>
      </c>
      <c r="F286" s="67">
        <v>1</v>
      </c>
      <c r="G286" s="67">
        <v>1</v>
      </c>
      <c r="H286" s="61">
        <v>0</v>
      </c>
      <c r="I286" s="61"/>
      <c r="J286" s="61"/>
      <c r="K286" s="61" t="s">
        <v>631</v>
      </c>
      <c r="L286" s="61" t="s">
        <v>942</v>
      </c>
      <c r="M286" s="61" t="s">
        <v>649</v>
      </c>
      <c r="N286" s="67"/>
      <c r="O286" s="68"/>
      <c r="P286" s="63" t="s">
        <v>573</v>
      </c>
    </row>
    <row r="287" spans="1:16" s="64" customFormat="1" ht="25.5" customHeight="1">
      <c r="A287" s="67">
        <f t="shared" si="10"/>
        <v>9</v>
      </c>
      <c r="B287" s="69" t="s">
        <v>342</v>
      </c>
      <c r="C287" s="67" t="s">
        <v>191</v>
      </c>
      <c r="D287" s="61">
        <v>2022</v>
      </c>
      <c r="E287" s="67">
        <v>2</v>
      </c>
      <c r="F287" s="67">
        <v>2</v>
      </c>
      <c r="G287" s="67">
        <v>2</v>
      </c>
      <c r="H287" s="61">
        <v>0</v>
      </c>
      <c r="I287" s="61"/>
      <c r="J287" s="61"/>
      <c r="K287" s="61" t="s">
        <v>631</v>
      </c>
      <c r="L287" s="61" t="s">
        <v>942</v>
      </c>
      <c r="M287" s="61" t="s">
        <v>649</v>
      </c>
      <c r="N287" s="67"/>
      <c r="O287" s="68"/>
      <c r="P287" s="63" t="s">
        <v>582</v>
      </c>
    </row>
    <row r="288" spans="1:16" s="64" customFormat="1" ht="25.5" customHeight="1">
      <c r="A288" s="319" t="s">
        <v>771</v>
      </c>
      <c r="B288" s="171" t="s">
        <v>914</v>
      </c>
      <c r="C288" s="319"/>
      <c r="D288" s="320"/>
      <c r="E288" s="319"/>
      <c r="F288" s="320"/>
      <c r="G288" s="320"/>
      <c r="H288" s="320"/>
      <c r="I288" s="353"/>
      <c r="J288" s="353"/>
      <c r="K288" s="320"/>
      <c r="L288" s="188"/>
      <c r="M288" s="173"/>
      <c r="N288" s="319"/>
      <c r="O288" s="319"/>
      <c r="P288" s="63" t="s">
        <v>566</v>
      </c>
    </row>
    <row r="289" spans="1:16" s="64" customFormat="1" ht="25.5" customHeight="1">
      <c r="A289" s="67">
        <v>1</v>
      </c>
      <c r="B289" s="68" t="s">
        <v>506</v>
      </c>
      <c r="C289" s="67" t="s">
        <v>71</v>
      </c>
      <c r="D289" s="61">
        <v>2022</v>
      </c>
      <c r="E289" s="67">
        <v>3</v>
      </c>
      <c r="F289" s="67">
        <v>3</v>
      </c>
      <c r="G289" s="67">
        <v>3</v>
      </c>
      <c r="H289" s="61">
        <v>0</v>
      </c>
      <c r="I289" s="61"/>
      <c r="J289" s="61"/>
      <c r="K289" s="61" t="s">
        <v>631</v>
      </c>
      <c r="L289" s="61" t="s">
        <v>943</v>
      </c>
      <c r="M289" s="61" t="s">
        <v>649</v>
      </c>
      <c r="N289" s="67"/>
      <c r="O289" s="67"/>
      <c r="P289" s="63" t="s">
        <v>595</v>
      </c>
    </row>
    <row r="290" spans="1:16" s="189" customFormat="1" ht="25.5" customHeight="1">
      <c r="A290" s="67">
        <f t="shared" si="10"/>
        <v>2</v>
      </c>
      <c r="B290" s="68" t="s">
        <v>101</v>
      </c>
      <c r="C290" s="67" t="s">
        <v>71</v>
      </c>
      <c r="D290" s="61">
        <v>2022</v>
      </c>
      <c r="E290" s="67">
        <v>1</v>
      </c>
      <c r="F290" s="67">
        <v>1</v>
      </c>
      <c r="G290" s="67">
        <v>1</v>
      </c>
      <c r="H290" s="61">
        <v>0</v>
      </c>
      <c r="I290" s="61"/>
      <c r="J290" s="61"/>
      <c r="K290" s="61" t="s">
        <v>631</v>
      </c>
      <c r="L290" s="61" t="s">
        <v>943</v>
      </c>
      <c r="M290" s="61" t="s">
        <v>649</v>
      </c>
      <c r="N290" s="173"/>
      <c r="O290" s="67"/>
      <c r="P290" s="173"/>
    </row>
    <row r="291" spans="1:16" s="64" customFormat="1" ht="25.5" customHeight="1">
      <c r="A291" s="67">
        <f t="shared" si="10"/>
        <v>3</v>
      </c>
      <c r="B291" s="68" t="s">
        <v>70</v>
      </c>
      <c r="C291" s="67" t="s">
        <v>71</v>
      </c>
      <c r="D291" s="61">
        <v>2022</v>
      </c>
      <c r="E291" s="67">
        <v>6</v>
      </c>
      <c r="F291" s="67">
        <v>6</v>
      </c>
      <c r="G291" s="67">
        <v>6</v>
      </c>
      <c r="H291" s="61">
        <v>0</v>
      </c>
      <c r="I291" s="61"/>
      <c r="J291" s="61"/>
      <c r="K291" s="61" t="s">
        <v>631</v>
      </c>
      <c r="L291" s="61" t="s">
        <v>943</v>
      </c>
      <c r="M291" s="61" t="s">
        <v>649</v>
      </c>
      <c r="N291" s="63"/>
      <c r="O291" s="67"/>
      <c r="P291" s="63"/>
    </row>
    <row r="292" spans="1:16" s="64" customFormat="1" ht="25.5" customHeight="1">
      <c r="A292" s="67">
        <f t="shared" si="10"/>
        <v>4</v>
      </c>
      <c r="B292" s="68" t="s">
        <v>67</v>
      </c>
      <c r="C292" s="67" t="s">
        <v>71</v>
      </c>
      <c r="D292" s="61">
        <v>2022</v>
      </c>
      <c r="E292" s="67">
        <v>1</v>
      </c>
      <c r="F292" s="67">
        <v>1</v>
      </c>
      <c r="G292" s="67">
        <v>1</v>
      </c>
      <c r="H292" s="61">
        <v>0</v>
      </c>
      <c r="I292" s="61"/>
      <c r="J292" s="61"/>
      <c r="K292" s="61" t="s">
        <v>631</v>
      </c>
      <c r="L292" s="61" t="s">
        <v>943</v>
      </c>
      <c r="M292" s="61" t="s">
        <v>649</v>
      </c>
      <c r="N292" s="63"/>
      <c r="O292" s="67"/>
      <c r="P292" s="63"/>
    </row>
    <row r="293" spans="1:16" s="64" customFormat="1" ht="25.5" customHeight="1">
      <c r="A293" s="67">
        <f t="shared" si="10"/>
        <v>5</v>
      </c>
      <c r="B293" s="68" t="s">
        <v>315</v>
      </c>
      <c r="C293" s="67" t="s">
        <v>71</v>
      </c>
      <c r="D293" s="61">
        <v>2022</v>
      </c>
      <c r="E293" s="67">
        <v>1</v>
      </c>
      <c r="F293" s="67">
        <v>1</v>
      </c>
      <c r="G293" s="67">
        <v>1</v>
      </c>
      <c r="H293" s="61">
        <v>0</v>
      </c>
      <c r="I293" s="61"/>
      <c r="J293" s="61"/>
      <c r="K293" s="61" t="s">
        <v>631</v>
      </c>
      <c r="L293" s="61" t="s">
        <v>943</v>
      </c>
      <c r="M293" s="61" t="s">
        <v>649</v>
      </c>
      <c r="N293" s="63"/>
      <c r="O293" s="67"/>
      <c r="P293" s="63"/>
    </row>
    <row r="294" spans="1:16" s="64" customFormat="1" ht="25.5" customHeight="1">
      <c r="A294" s="67">
        <f t="shared" si="10"/>
        <v>6</v>
      </c>
      <c r="B294" s="68" t="s">
        <v>888</v>
      </c>
      <c r="C294" s="67" t="s">
        <v>71</v>
      </c>
      <c r="D294" s="61">
        <v>2022</v>
      </c>
      <c r="E294" s="67">
        <v>1</v>
      </c>
      <c r="F294" s="67">
        <v>1</v>
      </c>
      <c r="G294" s="67">
        <v>1</v>
      </c>
      <c r="H294" s="61">
        <v>0</v>
      </c>
      <c r="I294" s="354">
        <v>12669000</v>
      </c>
      <c r="J294" s="356">
        <f>+G294*I294</f>
        <v>12669000</v>
      </c>
      <c r="K294" s="61" t="s">
        <v>631</v>
      </c>
      <c r="L294" s="61" t="s">
        <v>943</v>
      </c>
      <c r="M294" s="61" t="s">
        <v>649</v>
      </c>
      <c r="N294" s="63"/>
      <c r="O294" s="67"/>
      <c r="P294" s="63"/>
    </row>
    <row r="295" spans="1:16" s="64" customFormat="1" ht="25.5" customHeight="1">
      <c r="A295" s="67">
        <f t="shared" si="10"/>
        <v>7</v>
      </c>
      <c r="B295" s="68" t="s">
        <v>382</v>
      </c>
      <c r="C295" s="67" t="s">
        <v>71</v>
      </c>
      <c r="D295" s="61">
        <v>2022</v>
      </c>
      <c r="E295" s="67">
        <v>2</v>
      </c>
      <c r="F295" s="67">
        <v>2</v>
      </c>
      <c r="G295" s="67">
        <v>2</v>
      </c>
      <c r="H295" s="61">
        <v>0</v>
      </c>
      <c r="I295" s="61"/>
      <c r="J295" s="61"/>
      <c r="K295" s="61" t="s">
        <v>631</v>
      </c>
      <c r="L295" s="61" t="s">
        <v>943</v>
      </c>
      <c r="M295" s="61" t="s">
        <v>649</v>
      </c>
      <c r="N295" s="67"/>
      <c r="O295" s="67"/>
      <c r="P295" s="63"/>
    </row>
    <row r="296" spans="1:16" s="64" customFormat="1" ht="25.5" customHeight="1">
      <c r="A296" s="67">
        <f t="shared" si="10"/>
        <v>8</v>
      </c>
      <c r="B296" s="68" t="s">
        <v>464</v>
      </c>
      <c r="C296" s="67" t="s">
        <v>71</v>
      </c>
      <c r="D296" s="61">
        <v>2022</v>
      </c>
      <c r="E296" s="67">
        <v>1</v>
      </c>
      <c r="F296" s="67">
        <v>1</v>
      </c>
      <c r="G296" s="67">
        <v>1</v>
      </c>
      <c r="H296" s="61">
        <v>0</v>
      </c>
      <c r="I296" s="61"/>
      <c r="J296" s="61"/>
      <c r="K296" s="61" t="s">
        <v>631</v>
      </c>
      <c r="L296" s="61" t="s">
        <v>943</v>
      </c>
      <c r="M296" s="61" t="s">
        <v>649</v>
      </c>
      <c r="N296" s="67"/>
      <c r="O296" s="67"/>
      <c r="P296" s="63"/>
    </row>
    <row r="297" spans="1:16" s="64" customFormat="1" ht="25.5" customHeight="1">
      <c r="A297" s="67">
        <f t="shared" si="10"/>
        <v>9</v>
      </c>
      <c r="B297" s="172" t="s">
        <v>319</v>
      </c>
      <c r="C297" s="67" t="s">
        <v>191</v>
      </c>
      <c r="D297" s="61">
        <v>2022</v>
      </c>
      <c r="E297" s="67">
        <v>1</v>
      </c>
      <c r="F297" s="67">
        <v>1</v>
      </c>
      <c r="G297" s="67">
        <v>1</v>
      </c>
      <c r="H297" s="61">
        <v>0</v>
      </c>
      <c r="I297" s="61"/>
      <c r="J297" s="61"/>
      <c r="K297" s="61" t="s">
        <v>631</v>
      </c>
      <c r="L297" s="61" t="s">
        <v>943</v>
      </c>
      <c r="M297" s="61" t="s">
        <v>649</v>
      </c>
      <c r="N297" s="67"/>
      <c r="O297" s="68"/>
      <c r="P297" s="63"/>
    </row>
    <row r="298" spans="1:16" s="64" customFormat="1" ht="25.5" customHeight="1">
      <c r="A298" s="67">
        <f t="shared" si="10"/>
        <v>10</v>
      </c>
      <c r="B298" s="69" t="s">
        <v>342</v>
      </c>
      <c r="C298" s="67" t="s">
        <v>191</v>
      </c>
      <c r="D298" s="61">
        <v>2022</v>
      </c>
      <c r="E298" s="67">
        <v>2</v>
      </c>
      <c r="F298" s="67">
        <v>2</v>
      </c>
      <c r="G298" s="67">
        <v>2</v>
      </c>
      <c r="H298" s="61">
        <v>0</v>
      </c>
      <c r="I298" s="61"/>
      <c r="J298" s="61"/>
      <c r="K298" s="61" t="s">
        <v>631</v>
      </c>
      <c r="L298" s="61" t="s">
        <v>943</v>
      </c>
      <c r="M298" s="61" t="s">
        <v>649</v>
      </c>
      <c r="N298" s="67"/>
      <c r="O298" s="68"/>
      <c r="P298" s="63"/>
    </row>
    <row r="299" spans="1:16" s="64" customFormat="1" ht="25.5" customHeight="1">
      <c r="A299" s="319" t="s">
        <v>861</v>
      </c>
      <c r="B299" s="171" t="s">
        <v>915</v>
      </c>
      <c r="C299" s="319"/>
      <c r="D299" s="320"/>
      <c r="E299" s="319"/>
      <c r="F299" s="320"/>
      <c r="G299" s="320"/>
      <c r="H299" s="320"/>
      <c r="I299" s="353"/>
      <c r="J299" s="353"/>
      <c r="K299" s="320"/>
      <c r="L299" s="173"/>
      <c r="M299" s="173"/>
      <c r="N299" s="319"/>
      <c r="O299" s="319"/>
      <c r="P299" s="63"/>
    </row>
    <row r="300" spans="1:16" s="66" customFormat="1" ht="25.5" customHeight="1">
      <c r="A300" s="67">
        <v>1</v>
      </c>
      <c r="B300" s="68" t="s">
        <v>506</v>
      </c>
      <c r="C300" s="67" t="s">
        <v>71</v>
      </c>
      <c r="D300" s="61">
        <v>2022</v>
      </c>
      <c r="E300" s="67">
        <v>3</v>
      </c>
      <c r="F300" s="67">
        <v>3</v>
      </c>
      <c r="G300" s="67">
        <v>3</v>
      </c>
      <c r="H300" s="67">
        <v>0</v>
      </c>
      <c r="I300" s="67"/>
      <c r="J300" s="67"/>
      <c r="K300" s="61" t="s">
        <v>631</v>
      </c>
      <c r="L300" s="61" t="s">
        <v>943</v>
      </c>
      <c r="M300" s="61" t="s">
        <v>649</v>
      </c>
      <c r="N300" s="68"/>
      <c r="O300" s="67"/>
      <c r="P300" s="68"/>
    </row>
    <row r="301" spans="1:16" s="64" customFormat="1" ht="25.5" customHeight="1">
      <c r="A301" s="67">
        <f t="shared" si="10"/>
        <v>2</v>
      </c>
      <c r="B301" s="68" t="s">
        <v>101</v>
      </c>
      <c r="C301" s="67" t="s">
        <v>71</v>
      </c>
      <c r="D301" s="61">
        <v>2022</v>
      </c>
      <c r="E301" s="67">
        <v>1</v>
      </c>
      <c r="F301" s="67">
        <v>1</v>
      </c>
      <c r="G301" s="67">
        <v>1</v>
      </c>
      <c r="H301" s="61">
        <v>0</v>
      </c>
      <c r="I301" s="61"/>
      <c r="J301" s="61"/>
      <c r="K301" s="61" t="s">
        <v>631</v>
      </c>
      <c r="L301" s="61" t="s">
        <v>943</v>
      </c>
      <c r="M301" s="61" t="s">
        <v>649</v>
      </c>
      <c r="N301" s="63"/>
      <c r="O301" s="67"/>
      <c r="P301" s="63"/>
    </row>
    <row r="302" spans="1:16" s="64" customFormat="1" ht="25.5" customHeight="1">
      <c r="A302" s="67">
        <f t="shared" si="10"/>
        <v>3</v>
      </c>
      <c r="B302" s="68" t="s">
        <v>70</v>
      </c>
      <c r="C302" s="67" t="s">
        <v>71</v>
      </c>
      <c r="D302" s="61">
        <v>2022</v>
      </c>
      <c r="E302" s="67">
        <v>6</v>
      </c>
      <c r="F302" s="67">
        <v>6</v>
      </c>
      <c r="G302" s="67">
        <v>6</v>
      </c>
      <c r="H302" s="67">
        <v>0</v>
      </c>
      <c r="I302" s="67"/>
      <c r="J302" s="67"/>
      <c r="K302" s="61" t="s">
        <v>631</v>
      </c>
      <c r="L302" s="61" t="s">
        <v>943</v>
      </c>
      <c r="M302" s="61" t="s">
        <v>649</v>
      </c>
      <c r="N302" s="63"/>
      <c r="O302" s="67"/>
      <c r="P302" s="63"/>
    </row>
    <row r="303" spans="1:16" s="64" customFormat="1" ht="25.5" customHeight="1">
      <c r="A303" s="67">
        <f t="shared" si="10"/>
        <v>4</v>
      </c>
      <c r="B303" s="68" t="s">
        <v>67</v>
      </c>
      <c r="C303" s="67" t="s">
        <v>71</v>
      </c>
      <c r="D303" s="61">
        <v>2022</v>
      </c>
      <c r="E303" s="67">
        <v>1</v>
      </c>
      <c r="F303" s="67">
        <v>1</v>
      </c>
      <c r="G303" s="67">
        <v>1</v>
      </c>
      <c r="H303" s="61">
        <v>0</v>
      </c>
      <c r="I303" s="61"/>
      <c r="J303" s="61"/>
      <c r="K303" s="61" t="s">
        <v>631</v>
      </c>
      <c r="L303" s="61" t="s">
        <v>943</v>
      </c>
      <c r="M303" s="61" t="s">
        <v>649</v>
      </c>
      <c r="N303" s="63"/>
      <c r="O303" s="67"/>
      <c r="P303" s="63"/>
    </row>
    <row r="304" spans="1:16" s="64" customFormat="1" ht="25.5" customHeight="1">
      <c r="A304" s="67">
        <f t="shared" si="10"/>
        <v>5</v>
      </c>
      <c r="B304" s="68" t="s">
        <v>315</v>
      </c>
      <c r="C304" s="67" t="s">
        <v>71</v>
      </c>
      <c r="D304" s="61">
        <v>2022</v>
      </c>
      <c r="E304" s="67">
        <v>1</v>
      </c>
      <c r="F304" s="67">
        <v>1</v>
      </c>
      <c r="G304" s="67">
        <v>1</v>
      </c>
      <c r="H304" s="67">
        <v>0</v>
      </c>
      <c r="I304" s="67"/>
      <c r="J304" s="67"/>
      <c r="K304" s="61" t="s">
        <v>631</v>
      </c>
      <c r="L304" s="61" t="s">
        <v>943</v>
      </c>
      <c r="M304" s="61" t="s">
        <v>649</v>
      </c>
      <c r="N304" s="63"/>
      <c r="O304" s="67"/>
      <c r="P304" s="63"/>
    </row>
    <row r="305" spans="1:16" s="64" customFormat="1" ht="25.5" customHeight="1">
      <c r="A305" s="67">
        <f t="shared" si="10"/>
        <v>6</v>
      </c>
      <c r="B305" s="68" t="s">
        <v>884</v>
      </c>
      <c r="C305" s="67" t="s">
        <v>71</v>
      </c>
      <c r="D305" s="61">
        <v>2022</v>
      </c>
      <c r="E305" s="67">
        <v>1</v>
      </c>
      <c r="F305" s="67">
        <v>1</v>
      </c>
      <c r="G305" s="67">
        <v>1</v>
      </c>
      <c r="H305" s="61">
        <v>0</v>
      </c>
      <c r="I305" s="357">
        <v>15675000</v>
      </c>
      <c r="J305" s="356">
        <f>G305*I305</f>
        <v>15675000</v>
      </c>
      <c r="K305" s="61" t="s">
        <v>631</v>
      </c>
      <c r="L305" s="61" t="s">
        <v>943</v>
      </c>
      <c r="M305" s="61" t="s">
        <v>649</v>
      </c>
      <c r="N305" s="67"/>
      <c r="O305" s="67"/>
      <c r="P305" s="63"/>
    </row>
    <row r="306" spans="1:16" s="64" customFormat="1" ht="25.5" customHeight="1">
      <c r="A306" s="67">
        <f t="shared" si="10"/>
        <v>7</v>
      </c>
      <c r="B306" s="68" t="s">
        <v>382</v>
      </c>
      <c r="C306" s="67" t="s">
        <v>71</v>
      </c>
      <c r="D306" s="61">
        <v>2022</v>
      </c>
      <c r="E306" s="67">
        <v>2</v>
      </c>
      <c r="F306" s="67">
        <v>2</v>
      </c>
      <c r="G306" s="67">
        <v>2</v>
      </c>
      <c r="H306" s="67">
        <v>0</v>
      </c>
      <c r="I306" s="67"/>
      <c r="J306" s="67"/>
      <c r="K306" s="61" t="s">
        <v>631</v>
      </c>
      <c r="L306" s="61" t="s">
        <v>943</v>
      </c>
      <c r="M306" s="61" t="s">
        <v>649</v>
      </c>
      <c r="N306" s="67"/>
      <c r="O306" s="67"/>
      <c r="P306" s="63"/>
    </row>
    <row r="307" spans="1:16" s="66" customFormat="1" ht="25.5" customHeight="1">
      <c r="A307" s="67">
        <f t="shared" si="10"/>
        <v>8</v>
      </c>
      <c r="B307" s="68" t="s">
        <v>464</v>
      </c>
      <c r="C307" s="67" t="s">
        <v>71</v>
      </c>
      <c r="D307" s="61">
        <v>2022</v>
      </c>
      <c r="E307" s="67">
        <v>1</v>
      </c>
      <c r="F307" s="67">
        <v>1</v>
      </c>
      <c r="G307" s="67">
        <v>1</v>
      </c>
      <c r="H307" s="61">
        <v>0</v>
      </c>
      <c r="I307" s="61"/>
      <c r="J307" s="61"/>
      <c r="K307" s="61" t="s">
        <v>631</v>
      </c>
      <c r="L307" s="61" t="s">
        <v>943</v>
      </c>
      <c r="M307" s="61" t="s">
        <v>649</v>
      </c>
      <c r="N307" s="68"/>
      <c r="O307" s="67"/>
      <c r="P307" s="68"/>
    </row>
    <row r="308" spans="1:16" s="64" customFormat="1" ht="25.5" customHeight="1">
      <c r="A308" s="67">
        <f t="shared" si="10"/>
        <v>9</v>
      </c>
      <c r="B308" s="172" t="s">
        <v>319</v>
      </c>
      <c r="C308" s="67" t="s">
        <v>191</v>
      </c>
      <c r="D308" s="61">
        <v>2022</v>
      </c>
      <c r="E308" s="67">
        <v>1</v>
      </c>
      <c r="F308" s="67">
        <v>1</v>
      </c>
      <c r="G308" s="67">
        <v>1</v>
      </c>
      <c r="H308" s="67">
        <v>0</v>
      </c>
      <c r="I308" s="67"/>
      <c r="J308" s="67"/>
      <c r="K308" s="61" t="s">
        <v>631</v>
      </c>
      <c r="L308" s="61" t="s">
        <v>943</v>
      </c>
      <c r="M308" s="61" t="s">
        <v>649</v>
      </c>
      <c r="N308" s="63"/>
      <c r="O308" s="68"/>
      <c r="P308" s="63"/>
    </row>
    <row r="309" spans="1:16" s="64" customFormat="1" ht="25.5" customHeight="1">
      <c r="A309" s="67">
        <f t="shared" si="10"/>
        <v>10</v>
      </c>
      <c r="B309" s="69" t="s">
        <v>342</v>
      </c>
      <c r="C309" s="67" t="s">
        <v>191</v>
      </c>
      <c r="D309" s="61">
        <v>2022</v>
      </c>
      <c r="E309" s="67">
        <v>2</v>
      </c>
      <c r="F309" s="67">
        <v>2</v>
      </c>
      <c r="G309" s="67">
        <v>2</v>
      </c>
      <c r="H309" s="61">
        <v>0</v>
      </c>
      <c r="I309" s="61"/>
      <c r="J309" s="61"/>
      <c r="K309" s="61" t="s">
        <v>631</v>
      </c>
      <c r="L309" s="61" t="s">
        <v>943</v>
      </c>
      <c r="M309" s="61" t="s">
        <v>649</v>
      </c>
      <c r="N309" s="63"/>
      <c r="O309" s="68"/>
      <c r="P309" s="63"/>
    </row>
    <row r="310" spans="1:16" s="64" customFormat="1" ht="25.5" customHeight="1">
      <c r="A310" s="319" t="s">
        <v>863</v>
      </c>
      <c r="B310" s="171" t="s">
        <v>916</v>
      </c>
      <c r="C310" s="67"/>
      <c r="D310" s="61"/>
      <c r="E310" s="67"/>
      <c r="F310" s="61"/>
      <c r="G310" s="61"/>
      <c r="H310" s="61"/>
      <c r="I310" s="61"/>
      <c r="J310" s="61"/>
      <c r="K310" s="61"/>
      <c r="L310" s="63"/>
      <c r="M310" s="63"/>
      <c r="N310" s="67"/>
      <c r="O310" s="67"/>
      <c r="P310" s="63" t="s">
        <v>587</v>
      </c>
    </row>
    <row r="311" spans="1:16" s="64" customFormat="1" ht="25.5" customHeight="1">
      <c r="A311" s="67">
        <v>1</v>
      </c>
      <c r="B311" s="68" t="s">
        <v>80</v>
      </c>
      <c r="C311" s="67" t="s">
        <v>71</v>
      </c>
      <c r="D311" s="61">
        <v>2022</v>
      </c>
      <c r="E311" s="67">
        <v>3</v>
      </c>
      <c r="F311" s="67">
        <v>3</v>
      </c>
      <c r="G311" s="67">
        <v>3</v>
      </c>
      <c r="H311" s="61">
        <v>0</v>
      </c>
      <c r="I311" s="61"/>
      <c r="J311" s="61"/>
      <c r="K311" s="61" t="s">
        <v>631</v>
      </c>
      <c r="L311" s="61" t="s">
        <v>943</v>
      </c>
      <c r="M311" s="61" t="s">
        <v>649</v>
      </c>
      <c r="N311" s="63"/>
      <c r="O311" s="67"/>
      <c r="P311" s="63"/>
    </row>
    <row r="312" spans="1:16" s="64" customFormat="1" ht="25.5" customHeight="1">
      <c r="A312" s="67">
        <f t="shared" si="10"/>
        <v>2</v>
      </c>
      <c r="B312" s="68" t="s">
        <v>101</v>
      </c>
      <c r="C312" s="67" t="s">
        <v>71</v>
      </c>
      <c r="D312" s="61">
        <v>2022</v>
      </c>
      <c r="E312" s="67">
        <v>1</v>
      </c>
      <c r="F312" s="67">
        <v>1</v>
      </c>
      <c r="G312" s="67">
        <v>1</v>
      </c>
      <c r="H312" s="61">
        <v>0</v>
      </c>
      <c r="I312" s="61"/>
      <c r="J312" s="61"/>
      <c r="K312" s="61" t="s">
        <v>631</v>
      </c>
      <c r="L312" s="61" t="s">
        <v>943</v>
      </c>
      <c r="M312" s="61" t="s">
        <v>649</v>
      </c>
      <c r="N312" s="63"/>
      <c r="O312" s="67"/>
      <c r="P312" s="63"/>
    </row>
    <row r="313" spans="1:16" s="64" customFormat="1" ht="25.5" customHeight="1">
      <c r="A313" s="67">
        <f t="shared" si="10"/>
        <v>3</v>
      </c>
      <c r="B313" s="68" t="s">
        <v>70</v>
      </c>
      <c r="C313" s="67" t="s">
        <v>71</v>
      </c>
      <c r="D313" s="61">
        <v>2022</v>
      </c>
      <c r="E313" s="67">
        <v>6</v>
      </c>
      <c r="F313" s="67">
        <v>6</v>
      </c>
      <c r="G313" s="67">
        <v>6</v>
      </c>
      <c r="H313" s="61">
        <v>0</v>
      </c>
      <c r="I313" s="61"/>
      <c r="J313" s="61"/>
      <c r="K313" s="61" t="s">
        <v>631</v>
      </c>
      <c r="L313" s="61" t="s">
        <v>943</v>
      </c>
      <c r="M313" s="61" t="s">
        <v>649</v>
      </c>
      <c r="N313" s="67"/>
      <c r="O313" s="67"/>
      <c r="P313" s="63" t="s">
        <v>581</v>
      </c>
    </row>
    <row r="314" spans="1:16" s="64" customFormat="1" ht="25.5" customHeight="1">
      <c r="A314" s="67">
        <f t="shared" si="10"/>
        <v>4</v>
      </c>
      <c r="B314" s="68" t="s">
        <v>67</v>
      </c>
      <c r="C314" s="67" t="s">
        <v>71</v>
      </c>
      <c r="D314" s="61">
        <v>2022</v>
      </c>
      <c r="E314" s="67">
        <v>1</v>
      </c>
      <c r="F314" s="67">
        <v>1</v>
      </c>
      <c r="G314" s="67">
        <v>1</v>
      </c>
      <c r="H314" s="61">
        <v>0</v>
      </c>
      <c r="I314" s="61"/>
      <c r="J314" s="61"/>
      <c r="K314" s="61" t="s">
        <v>631</v>
      </c>
      <c r="L314" s="61" t="s">
        <v>943</v>
      </c>
      <c r="M314" s="61" t="s">
        <v>649</v>
      </c>
      <c r="N314" s="63"/>
      <c r="O314" s="67"/>
      <c r="P314" s="63"/>
    </row>
    <row r="315" spans="1:16" s="64" customFormat="1" ht="25.5" customHeight="1">
      <c r="A315" s="67">
        <f t="shared" si="10"/>
        <v>5</v>
      </c>
      <c r="B315" s="68" t="s">
        <v>315</v>
      </c>
      <c r="C315" s="67" t="s">
        <v>71</v>
      </c>
      <c r="D315" s="61">
        <v>2022</v>
      </c>
      <c r="E315" s="67">
        <v>1</v>
      </c>
      <c r="F315" s="67">
        <v>1</v>
      </c>
      <c r="G315" s="67">
        <v>1</v>
      </c>
      <c r="H315" s="61">
        <v>0</v>
      </c>
      <c r="I315" s="61"/>
      <c r="J315" s="61"/>
      <c r="K315" s="61" t="s">
        <v>631</v>
      </c>
      <c r="L315" s="61" t="s">
        <v>943</v>
      </c>
      <c r="M315" s="61" t="s">
        <v>649</v>
      </c>
      <c r="N315" s="63"/>
      <c r="O315" s="67"/>
      <c r="P315" s="63"/>
    </row>
    <row r="316" spans="1:16" s="64" customFormat="1" ht="25.5" customHeight="1">
      <c r="A316" s="67">
        <f t="shared" si="10"/>
        <v>6</v>
      </c>
      <c r="B316" s="68" t="s">
        <v>884</v>
      </c>
      <c r="C316" s="67" t="s">
        <v>71</v>
      </c>
      <c r="D316" s="61">
        <v>2022</v>
      </c>
      <c r="E316" s="67">
        <v>1</v>
      </c>
      <c r="F316" s="67">
        <v>1</v>
      </c>
      <c r="G316" s="67">
        <v>1</v>
      </c>
      <c r="H316" s="61">
        <v>0</v>
      </c>
      <c r="I316" s="357">
        <v>15675000</v>
      </c>
      <c r="J316" s="356">
        <f>G316*I316</f>
        <v>15675000</v>
      </c>
      <c r="K316" s="61" t="s">
        <v>631</v>
      </c>
      <c r="L316" s="61" t="s">
        <v>943</v>
      </c>
      <c r="M316" s="61" t="s">
        <v>649</v>
      </c>
      <c r="N316" s="63"/>
      <c r="O316" s="67"/>
      <c r="P316" s="63"/>
    </row>
    <row r="317" spans="1:16" s="64" customFormat="1" ht="25.5" customHeight="1">
      <c r="A317" s="67">
        <f t="shared" si="10"/>
        <v>7</v>
      </c>
      <c r="B317" s="68" t="s">
        <v>382</v>
      </c>
      <c r="C317" s="67" t="s">
        <v>71</v>
      </c>
      <c r="D317" s="61">
        <v>2022</v>
      </c>
      <c r="E317" s="67">
        <v>2</v>
      </c>
      <c r="F317" s="67">
        <v>2</v>
      </c>
      <c r="G317" s="67">
        <v>2</v>
      </c>
      <c r="H317" s="61">
        <v>0</v>
      </c>
      <c r="I317" s="61"/>
      <c r="J317" s="61"/>
      <c r="K317" s="61" t="s">
        <v>631</v>
      </c>
      <c r="L317" s="61" t="s">
        <v>943</v>
      </c>
      <c r="M317" s="61" t="s">
        <v>649</v>
      </c>
      <c r="N317" s="63"/>
      <c r="O317" s="67"/>
      <c r="P317" s="63"/>
    </row>
    <row r="318" spans="1:16" s="64" customFormat="1" ht="25.5" customHeight="1">
      <c r="A318" s="67">
        <f t="shared" si="10"/>
        <v>8</v>
      </c>
      <c r="B318" s="68" t="s">
        <v>464</v>
      </c>
      <c r="C318" s="67" t="s">
        <v>71</v>
      </c>
      <c r="D318" s="61">
        <v>2022</v>
      </c>
      <c r="E318" s="67">
        <v>1</v>
      </c>
      <c r="F318" s="67">
        <v>1</v>
      </c>
      <c r="G318" s="67">
        <v>1</v>
      </c>
      <c r="H318" s="61">
        <v>0</v>
      </c>
      <c r="I318" s="61"/>
      <c r="J318" s="61"/>
      <c r="K318" s="61" t="s">
        <v>631</v>
      </c>
      <c r="L318" s="61" t="s">
        <v>943</v>
      </c>
      <c r="M318" s="61" t="s">
        <v>649</v>
      </c>
      <c r="N318" s="67"/>
      <c r="O318" s="67"/>
      <c r="P318" s="63"/>
    </row>
    <row r="319" spans="1:16" s="64" customFormat="1" ht="25.5" customHeight="1">
      <c r="A319" s="67">
        <f t="shared" si="10"/>
        <v>9</v>
      </c>
      <c r="B319" s="172" t="s">
        <v>319</v>
      </c>
      <c r="C319" s="67" t="s">
        <v>191</v>
      </c>
      <c r="D319" s="61">
        <v>2022</v>
      </c>
      <c r="E319" s="67">
        <v>1</v>
      </c>
      <c r="F319" s="67">
        <v>1</v>
      </c>
      <c r="G319" s="67">
        <v>1</v>
      </c>
      <c r="H319" s="61">
        <v>0</v>
      </c>
      <c r="I319" s="61"/>
      <c r="J319" s="61"/>
      <c r="K319" s="61" t="s">
        <v>631</v>
      </c>
      <c r="L319" s="61" t="s">
        <v>943</v>
      </c>
      <c r="M319" s="61" t="s">
        <v>649</v>
      </c>
      <c r="N319" s="67"/>
      <c r="O319" s="68"/>
      <c r="P319" s="63"/>
    </row>
    <row r="320" spans="1:16" s="64" customFormat="1" ht="25.5" customHeight="1">
      <c r="A320" s="67">
        <f t="shared" si="10"/>
        <v>10</v>
      </c>
      <c r="B320" s="69" t="s">
        <v>342</v>
      </c>
      <c r="C320" s="67" t="s">
        <v>191</v>
      </c>
      <c r="D320" s="61">
        <v>2022</v>
      </c>
      <c r="E320" s="67">
        <v>2</v>
      </c>
      <c r="F320" s="67">
        <v>2</v>
      </c>
      <c r="G320" s="67">
        <v>2</v>
      </c>
      <c r="H320" s="61">
        <v>0</v>
      </c>
      <c r="I320" s="61"/>
      <c r="J320" s="61"/>
      <c r="K320" s="61" t="s">
        <v>631</v>
      </c>
      <c r="L320" s="61" t="s">
        <v>943</v>
      </c>
      <c r="M320" s="61" t="s">
        <v>649</v>
      </c>
      <c r="N320" s="67"/>
      <c r="O320" s="68"/>
      <c r="P320" s="63"/>
    </row>
    <row r="321" spans="1:16" s="64" customFormat="1" ht="25.5" customHeight="1">
      <c r="A321" s="319" t="s">
        <v>865</v>
      </c>
      <c r="B321" s="171" t="s">
        <v>917</v>
      </c>
      <c r="C321" s="319"/>
      <c r="D321" s="320"/>
      <c r="E321" s="319"/>
      <c r="F321" s="320"/>
      <c r="G321" s="320"/>
      <c r="H321" s="320"/>
      <c r="I321" s="353"/>
      <c r="J321" s="353"/>
      <c r="K321" s="320"/>
      <c r="L321" s="173"/>
      <c r="M321" s="173"/>
      <c r="N321" s="173"/>
      <c r="O321" s="319"/>
      <c r="P321" s="63"/>
    </row>
    <row r="322" spans="1:16" s="64" customFormat="1" ht="25.5" customHeight="1">
      <c r="A322" s="67">
        <v>1</v>
      </c>
      <c r="B322" s="68" t="s">
        <v>506</v>
      </c>
      <c r="C322" s="67" t="s">
        <v>71</v>
      </c>
      <c r="D322" s="61">
        <v>2022</v>
      </c>
      <c r="E322" s="67">
        <v>3</v>
      </c>
      <c r="F322" s="67">
        <v>3</v>
      </c>
      <c r="G322" s="67">
        <v>3</v>
      </c>
      <c r="H322" s="61">
        <v>0</v>
      </c>
      <c r="I322" s="61"/>
      <c r="J322" s="61"/>
      <c r="K322" s="61" t="s">
        <v>631</v>
      </c>
      <c r="L322" s="61" t="s">
        <v>943</v>
      </c>
      <c r="M322" s="61" t="s">
        <v>649</v>
      </c>
      <c r="N322" s="63"/>
      <c r="O322" s="67"/>
      <c r="P322" s="63"/>
    </row>
    <row r="323" spans="1:16" s="64" customFormat="1" ht="25.5" customHeight="1">
      <c r="A323" s="67">
        <f t="shared" si="10"/>
        <v>2</v>
      </c>
      <c r="B323" s="68" t="s">
        <v>101</v>
      </c>
      <c r="C323" s="67" t="s">
        <v>71</v>
      </c>
      <c r="D323" s="61">
        <v>2022</v>
      </c>
      <c r="E323" s="67">
        <v>1</v>
      </c>
      <c r="F323" s="67">
        <v>1</v>
      </c>
      <c r="G323" s="67">
        <v>1</v>
      </c>
      <c r="H323" s="61">
        <v>0</v>
      </c>
      <c r="I323" s="61"/>
      <c r="J323" s="61"/>
      <c r="K323" s="61" t="s">
        <v>631</v>
      </c>
      <c r="L323" s="61" t="s">
        <v>943</v>
      </c>
      <c r="M323" s="61" t="s">
        <v>649</v>
      </c>
      <c r="N323" s="63"/>
      <c r="O323" s="67"/>
      <c r="P323" s="63"/>
    </row>
    <row r="324" spans="1:16" s="64" customFormat="1" ht="25.5" customHeight="1">
      <c r="A324" s="67">
        <f t="shared" si="10"/>
        <v>3</v>
      </c>
      <c r="B324" s="68" t="s">
        <v>70</v>
      </c>
      <c r="C324" s="67" t="s">
        <v>71</v>
      </c>
      <c r="D324" s="61">
        <v>2022</v>
      </c>
      <c r="E324" s="67">
        <v>6</v>
      </c>
      <c r="F324" s="67">
        <v>6</v>
      </c>
      <c r="G324" s="67">
        <v>6</v>
      </c>
      <c r="H324" s="61">
        <v>0</v>
      </c>
      <c r="I324" s="61"/>
      <c r="J324" s="61"/>
      <c r="K324" s="61" t="s">
        <v>631</v>
      </c>
      <c r="L324" s="61" t="s">
        <v>943</v>
      </c>
      <c r="M324" s="61" t="s">
        <v>649</v>
      </c>
      <c r="N324" s="67"/>
      <c r="O324" s="67"/>
      <c r="P324" s="63" t="s">
        <v>560</v>
      </c>
    </row>
    <row r="325" spans="1:16" s="64" customFormat="1" ht="25.5" customHeight="1">
      <c r="A325" s="67">
        <f t="shared" ref="A325:A366" si="11">A324+1</f>
        <v>4</v>
      </c>
      <c r="B325" s="68" t="s">
        <v>67</v>
      </c>
      <c r="C325" s="67" t="s">
        <v>71</v>
      </c>
      <c r="D325" s="61">
        <v>2022</v>
      </c>
      <c r="E325" s="67">
        <v>1</v>
      </c>
      <c r="F325" s="67">
        <v>1</v>
      </c>
      <c r="G325" s="67">
        <v>1</v>
      </c>
      <c r="H325" s="61">
        <v>0</v>
      </c>
      <c r="I325" s="61"/>
      <c r="J325" s="61"/>
      <c r="K325" s="61" t="s">
        <v>631</v>
      </c>
      <c r="L325" s="61" t="s">
        <v>943</v>
      </c>
      <c r="M325" s="61" t="s">
        <v>649</v>
      </c>
      <c r="N325" s="63"/>
      <c r="O325" s="67"/>
      <c r="P325" s="63"/>
    </row>
    <row r="326" spans="1:16" s="64" customFormat="1" ht="25.5" customHeight="1">
      <c r="A326" s="67">
        <f t="shared" si="11"/>
        <v>5</v>
      </c>
      <c r="B326" s="68" t="s">
        <v>315</v>
      </c>
      <c r="C326" s="67" t="s">
        <v>71</v>
      </c>
      <c r="D326" s="61">
        <v>2022</v>
      </c>
      <c r="E326" s="67">
        <v>1</v>
      </c>
      <c r="F326" s="67">
        <v>1</v>
      </c>
      <c r="G326" s="67">
        <v>1</v>
      </c>
      <c r="H326" s="61">
        <v>0</v>
      </c>
      <c r="I326" s="61"/>
      <c r="J326" s="61"/>
      <c r="K326" s="61" t="s">
        <v>631</v>
      </c>
      <c r="L326" s="61" t="s">
        <v>943</v>
      </c>
      <c r="M326" s="61" t="s">
        <v>649</v>
      </c>
      <c r="N326" s="63"/>
      <c r="O326" s="67"/>
      <c r="P326" s="63"/>
    </row>
    <row r="327" spans="1:16" s="64" customFormat="1" ht="25.5" customHeight="1">
      <c r="A327" s="67">
        <f t="shared" si="11"/>
        <v>6</v>
      </c>
      <c r="B327" s="68" t="s">
        <v>888</v>
      </c>
      <c r="C327" s="67" t="s">
        <v>71</v>
      </c>
      <c r="D327" s="61">
        <v>2022</v>
      </c>
      <c r="E327" s="67">
        <v>1</v>
      </c>
      <c r="F327" s="67">
        <v>1</v>
      </c>
      <c r="G327" s="67">
        <v>1</v>
      </c>
      <c r="H327" s="61">
        <v>0</v>
      </c>
      <c r="I327" s="354">
        <v>12669000</v>
      </c>
      <c r="J327" s="356">
        <f>+G327*I327</f>
        <v>12669000</v>
      </c>
      <c r="K327" s="61" t="s">
        <v>631</v>
      </c>
      <c r="L327" s="61" t="s">
        <v>943</v>
      </c>
      <c r="M327" s="61" t="s">
        <v>649</v>
      </c>
      <c r="N327" s="63"/>
      <c r="O327" s="67"/>
      <c r="P327" s="63"/>
    </row>
    <row r="328" spans="1:16" s="64" customFormat="1" ht="25.5" customHeight="1">
      <c r="A328" s="67">
        <f t="shared" si="11"/>
        <v>7</v>
      </c>
      <c r="B328" s="68" t="s">
        <v>382</v>
      </c>
      <c r="C328" s="67" t="s">
        <v>71</v>
      </c>
      <c r="D328" s="61">
        <v>2022</v>
      </c>
      <c r="E328" s="67">
        <v>2</v>
      </c>
      <c r="F328" s="67">
        <v>2</v>
      </c>
      <c r="G328" s="67">
        <v>2</v>
      </c>
      <c r="H328" s="61">
        <v>0</v>
      </c>
      <c r="I328" s="61"/>
      <c r="J328" s="61"/>
      <c r="K328" s="61" t="s">
        <v>631</v>
      </c>
      <c r="L328" s="61" t="s">
        <v>943</v>
      </c>
      <c r="M328" s="61" t="s">
        <v>649</v>
      </c>
      <c r="N328" s="63"/>
      <c r="O328" s="67"/>
      <c r="P328" s="63"/>
    </row>
    <row r="329" spans="1:16" s="64" customFormat="1" ht="25.5" customHeight="1">
      <c r="A329" s="67">
        <f t="shared" si="11"/>
        <v>8</v>
      </c>
      <c r="B329" s="68" t="s">
        <v>464</v>
      </c>
      <c r="C329" s="67" t="s">
        <v>71</v>
      </c>
      <c r="D329" s="61">
        <v>2022</v>
      </c>
      <c r="E329" s="67">
        <v>1</v>
      </c>
      <c r="F329" s="67">
        <v>1</v>
      </c>
      <c r="G329" s="67">
        <v>1</v>
      </c>
      <c r="H329" s="61">
        <v>0</v>
      </c>
      <c r="I329" s="61"/>
      <c r="J329" s="61"/>
      <c r="K329" s="61" t="s">
        <v>631</v>
      </c>
      <c r="L329" s="61" t="s">
        <v>943</v>
      </c>
      <c r="M329" s="61" t="s">
        <v>649</v>
      </c>
      <c r="N329" s="67"/>
      <c r="O329" s="67"/>
      <c r="P329" s="63" t="s">
        <v>560</v>
      </c>
    </row>
    <row r="330" spans="1:16" s="64" customFormat="1" ht="25.5" customHeight="1">
      <c r="A330" s="67">
        <f t="shared" si="11"/>
        <v>9</v>
      </c>
      <c r="B330" s="172" t="s">
        <v>319</v>
      </c>
      <c r="C330" s="67" t="s">
        <v>191</v>
      </c>
      <c r="D330" s="61">
        <v>2022</v>
      </c>
      <c r="E330" s="67">
        <v>1</v>
      </c>
      <c r="F330" s="67">
        <v>1</v>
      </c>
      <c r="G330" s="67">
        <v>1</v>
      </c>
      <c r="H330" s="61">
        <v>0</v>
      </c>
      <c r="I330" s="61"/>
      <c r="J330" s="61"/>
      <c r="K330" s="61" t="s">
        <v>631</v>
      </c>
      <c r="L330" s="61" t="s">
        <v>943</v>
      </c>
      <c r="M330" s="61" t="s">
        <v>649</v>
      </c>
      <c r="N330" s="67"/>
      <c r="O330" s="68"/>
      <c r="P330" s="63"/>
    </row>
    <row r="331" spans="1:16" s="64" customFormat="1" ht="25.5" customHeight="1">
      <c r="A331" s="67">
        <f t="shared" si="11"/>
        <v>10</v>
      </c>
      <c r="B331" s="69" t="s">
        <v>342</v>
      </c>
      <c r="C331" s="67" t="s">
        <v>191</v>
      </c>
      <c r="D331" s="61">
        <v>2022</v>
      </c>
      <c r="E331" s="67">
        <v>2</v>
      </c>
      <c r="F331" s="67">
        <v>2</v>
      </c>
      <c r="G331" s="67">
        <v>2</v>
      </c>
      <c r="H331" s="61">
        <v>0</v>
      </c>
      <c r="I331" s="61"/>
      <c r="J331" s="61"/>
      <c r="K331" s="61" t="s">
        <v>631</v>
      </c>
      <c r="L331" s="61" t="s">
        <v>943</v>
      </c>
      <c r="M331" s="61" t="s">
        <v>649</v>
      </c>
      <c r="N331" s="63"/>
      <c r="O331" s="68"/>
      <c r="P331" s="63"/>
    </row>
    <row r="332" spans="1:16" s="64" customFormat="1" ht="25.5" customHeight="1">
      <c r="A332" s="319" t="s">
        <v>867</v>
      </c>
      <c r="B332" s="171" t="s">
        <v>918</v>
      </c>
      <c r="C332" s="319"/>
      <c r="D332" s="320"/>
      <c r="E332" s="319"/>
      <c r="F332" s="320"/>
      <c r="G332" s="320"/>
      <c r="H332" s="320"/>
      <c r="I332" s="353"/>
      <c r="J332" s="353"/>
      <c r="K332" s="320"/>
      <c r="L332" s="173"/>
      <c r="M332" s="320"/>
      <c r="N332" s="173"/>
      <c r="O332" s="319"/>
      <c r="P332" s="63"/>
    </row>
    <row r="333" spans="1:16" s="64" customFormat="1" ht="25.5" customHeight="1">
      <c r="A333" s="67">
        <v>1</v>
      </c>
      <c r="B333" s="68" t="s">
        <v>506</v>
      </c>
      <c r="C333" s="67" t="s">
        <v>71</v>
      </c>
      <c r="D333" s="61">
        <v>2022</v>
      </c>
      <c r="E333" s="67">
        <v>3</v>
      </c>
      <c r="F333" s="67">
        <v>3</v>
      </c>
      <c r="G333" s="67">
        <v>3</v>
      </c>
      <c r="H333" s="61">
        <v>0</v>
      </c>
      <c r="I333" s="61"/>
      <c r="J333" s="61"/>
      <c r="K333" s="61" t="s">
        <v>631</v>
      </c>
      <c r="L333" s="61" t="s">
        <v>943</v>
      </c>
      <c r="M333" s="61" t="s">
        <v>649</v>
      </c>
      <c r="N333" s="63"/>
      <c r="O333" s="67"/>
      <c r="P333" s="63"/>
    </row>
    <row r="334" spans="1:16" s="64" customFormat="1" ht="25.5" customHeight="1">
      <c r="A334" s="67">
        <f t="shared" si="11"/>
        <v>2</v>
      </c>
      <c r="B334" s="68" t="s">
        <v>101</v>
      </c>
      <c r="C334" s="67" t="s">
        <v>71</v>
      </c>
      <c r="D334" s="61">
        <v>2022</v>
      </c>
      <c r="E334" s="67">
        <v>1</v>
      </c>
      <c r="F334" s="67">
        <v>1</v>
      </c>
      <c r="G334" s="67">
        <v>1</v>
      </c>
      <c r="H334" s="61">
        <v>0</v>
      </c>
      <c r="I334" s="61"/>
      <c r="J334" s="61"/>
      <c r="K334" s="61" t="s">
        <v>631</v>
      </c>
      <c r="L334" s="61" t="s">
        <v>943</v>
      </c>
      <c r="M334" s="61" t="s">
        <v>649</v>
      </c>
      <c r="N334" s="67"/>
      <c r="O334" s="67"/>
      <c r="P334" s="63" t="s">
        <v>560</v>
      </c>
    </row>
    <row r="335" spans="1:16" s="64" customFormat="1" ht="25.5" customHeight="1">
      <c r="A335" s="67">
        <f t="shared" si="11"/>
        <v>3</v>
      </c>
      <c r="B335" s="68" t="s">
        <v>70</v>
      </c>
      <c r="C335" s="67" t="s">
        <v>71</v>
      </c>
      <c r="D335" s="61">
        <v>2022</v>
      </c>
      <c r="E335" s="67">
        <v>6</v>
      </c>
      <c r="F335" s="67">
        <v>6</v>
      </c>
      <c r="G335" s="67">
        <v>6</v>
      </c>
      <c r="H335" s="61">
        <v>0</v>
      </c>
      <c r="I335" s="61"/>
      <c r="J335" s="61"/>
      <c r="K335" s="61" t="s">
        <v>631</v>
      </c>
      <c r="L335" s="61" t="s">
        <v>943</v>
      </c>
      <c r="M335" s="61" t="s">
        <v>649</v>
      </c>
      <c r="N335" s="63"/>
      <c r="O335" s="67"/>
      <c r="P335" s="63"/>
    </row>
    <row r="336" spans="1:16" s="64" customFormat="1" ht="25.5" customHeight="1">
      <c r="A336" s="67">
        <f t="shared" si="11"/>
        <v>4</v>
      </c>
      <c r="B336" s="68" t="s">
        <v>67</v>
      </c>
      <c r="C336" s="67" t="s">
        <v>71</v>
      </c>
      <c r="D336" s="61">
        <v>2022</v>
      </c>
      <c r="E336" s="67">
        <v>1</v>
      </c>
      <c r="F336" s="67">
        <v>1</v>
      </c>
      <c r="G336" s="67">
        <v>1</v>
      </c>
      <c r="H336" s="61">
        <v>0</v>
      </c>
      <c r="I336" s="61"/>
      <c r="J336" s="61"/>
      <c r="K336" s="61" t="s">
        <v>631</v>
      </c>
      <c r="L336" s="61" t="s">
        <v>943</v>
      </c>
      <c r="M336" s="61" t="s">
        <v>649</v>
      </c>
      <c r="N336" s="63"/>
      <c r="O336" s="67"/>
      <c r="P336" s="63"/>
    </row>
    <row r="337" spans="1:16" s="64" customFormat="1" ht="25.5" customHeight="1">
      <c r="A337" s="67">
        <f t="shared" si="11"/>
        <v>5</v>
      </c>
      <c r="B337" s="68" t="s">
        <v>315</v>
      </c>
      <c r="C337" s="67" t="s">
        <v>71</v>
      </c>
      <c r="D337" s="61">
        <v>2022</v>
      </c>
      <c r="E337" s="67">
        <v>1</v>
      </c>
      <c r="F337" s="67">
        <v>1</v>
      </c>
      <c r="G337" s="67">
        <v>1</v>
      </c>
      <c r="H337" s="61">
        <v>0</v>
      </c>
      <c r="I337" s="61"/>
      <c r="J337" s="61"/>
      <c r="K337" s="61" t="s">
        <v>631</v>
      </c>
      <c r="L337" s="61" t="s">
        <v>943</v>
      </c>
      <c r="M337" s="61" t="s">
        <v>649</v>
      </c>
      <c r="N337" s="63"/>
      <c r="O337" s="67"/>
      <c r="P337" s="63"/>
    </row>
    <row r="338" spans="1:16" s="64" customFormat="1" ht="25.5" customHeight="1">
      <c r="A338" s="67">
        <f t="shared" si="11"/>
        <v>6</v>
      </c>
      <c r="B338" s="68" t="s">
        <v>888</v>
      </c>
      <c r="C338" s="67" t="s">
        <v>71</v>
      </c>
      <c r="D338" s="61">
        <v>2022</v>
      </c>
      <c r="E338" s="67">
        <v>1</v>
      </c>
      <c r="F338" s="67">
        <v>1</v>
      </c>
      <c r="G338" s="67">
        <v>1</v>
      </c>
      <c r="H338" s="61">
        <v>0</v>
      </c>
      <c r="I338" s="354">
        <v>12669000</v>
      </c>
      <c r="J338" s="356">
        <f>+G338*I338</f>
        <v>12669000</v>
      </c>
      <c r="K338" s="61" t="s">
        <v>631</v>
      </c>
      <c r="L338" s="61" t="s">
        <v>943</v>
      </c>
      <c r="M338" s="61" t="s">
        <v>649</v>
      </c>
      <c r="N338" s="67"/>
      <c r="O338" s="67"/>
      <c r="P338" s="63" t="s">
        <v>560</v>
      </c>
    </row>
    <row r="339" spans="1:16" s="64" customFormat="1" ht="25.5" customHeight="1">
      <c r="A339" s="67">
        <f t="shared" si="11"/>
        <v>7</v>
      </c>
      <c r="B339" s="68" t="s">
        <v>382</v>
      </c>
      <c r="C339" s="67" t="s">
        <v>71</v>
      </c>
      <c r="D339" s="61">
        <v>2022</v>
      </c>
      <c r="E339" s="67">
        <v>2</v>
      </c>
      <c r="F339" s="67">
        <v>2</v>
      </c>
      <c r="G339" s="67">
        <v>2</v>
      </c>
      <c r="H339" s="61">
        <v>0</v>
      </c>
      <c r="I339" s="61"/>
      <c r="J339" s="61"/>
      <c r="K339" s="61" t="s">
        <v>631</v>
      </c>
      <c r="L339" s="61" t="s">
        <v>943</v>
      </c>
      <c r="M339" s="61" t="s">
        <v>649</v>
      </c>
      <c r="N339" s="63"/>
      <c r="O339" s="67"/>
      <c r="P339" s="63"/>
    </row>
    <row r="340" spans="1:16" s="64" customFormat="1" ht="25.5" customHeight="1">
      <c r="A340" s="67">
        <f t="shared" si="11"/>
        <v>8</v>
      </c>
      <c r="B340" s="68" t="s">
        <v>464</v>
      </c>
      <c r="C340" s="67" t="s">
        <v>71</v>
      </c>
      <c r="D340" s="61">
        <v>2022</v>
      </c>
      <c r="E340" s="67">
        <v>1</v>
      </c>
      <c r="F340" s="67">
        <v>1</v>
      </c>
      <c r="G340" s="67">
        <v>1</v>
      </c>
      <c r="H340" s="61">
        <v>0</v>
      </c>
      <c r="I340" s="61"/>
      <c r="J340" s="61"/>
      <c r="K340" s="61" t="s">
        <v>631</v>
      </c>
      <c r="L340" s="61" t="s">
        <v>943</v>
      </c>
      <c r="M340" s="61" t="s">
        <v>649</v>
      </c>
      <c r="N340" s="63"/>
      <c r="O340" s="67"/>
      <c r="P340" s="63"/>
    </row>
    <row r="341" spans="1:16" s="66" customFormat="1" ht="25.5" customHeight="1">
      <c r="A341" s="67">
        <f t="shared" si="11"/>
        <v>9</v>
      </c>
      <c r="B341" s="172" t="s">
        <v>319</v>
      </c>
      <c r="C341" s="67" t="s">
        <v>191</v>
      </c>
      <c r="D341" s="61">
        <v>2022</v>
      </c>
      <c r="E341" s="67">
        <v>1</v>
      </c>
      <c r="F341" s="67">
        <v>1</v>
      </c>
      <c r="G341" s="67">
        <v>1</v>
      </c>
      <c r="H341" s="61">
        <v>0</v>
      </c>
      <c r="I341" s="61"/>
      <c r="J341" s="61"/>
      <c r="K341" s="61" t="s">
        <v>631</v>
      </c>
      <c r="L341" s="61" t="s">
        <v>943</v>
      </c>
      <c r="M341" s="61" t="s">
        <v>649</v>
      </c>
      <c r="N341" s="67"/>
      <c r="O341" s="68"/>
      <c r="P341" s="68"/>
    </row>
    <row r="342" spans="1:16" s="66" customFormat="1" ht="25.5" customHeight="1">
      <c r="A342" s="67">
        <f t="shared" si="11"/>
        <v>10</v>
      </c>
      <c r="B342" s="69" t="s">
        <v>342</v>
      </c>
      <c r="C342" s="67" t="s">
        <v>191</v>
      </c>
      <c r="D342" s="61">
        <v>2022</v>
      </c>
      <c r="E342" s="67">
        <v>2</v>
      </c>
      <c r="F342" s="67">
        <v>2</v>
      </c>
      <c r="G342" s="67">
        <v>2</v>
      </c>
      <c r="H342" s="61">
        <v>0</v>
      </c>
      <c r="I342" s="61"/>
      <c r="J342" s="61"/>
      <c r="K342" s="61" t="s">
        <v>631</v>
      </c>
      <c r="L342" s="61" t="s">
        <v>943</v>
      </c>
      <c r="M342" s="61" t="s">
        <v>649</v>
      </c>
      <c r="N342" s="67"/>
      <c r="O342" s="68"/>
      <c r="P342" s="68"/>
    </row>
    <row r="343" spans="1:16" s="66" customFormat="1" ht="25.5" customHeight="1">
      <c r="A343" s="319" t="s">
        <v>879</v>
      </c>
      <c r="B343" s="171" t="s">
        <v>919</v>
      </c>
      <c r="C343" s="67"/>
      <c r="D343" s="67"/>
      <c r="E343" s="67"/>
      <c r="F343" s="67"/>
      <c r="G343" s="67"/>
      <c r="H343" s="67"/>
      <c r="I343" s="67"/>
      <c r="J343" s="67"/>
      <c r="K343" s="61"/>
      <c r="L343" s="63"/>
      <c r="M343" s="61"/>
      <c r="N343" s="67"/>
      <c r="O343" s="67"/>
      <c r="P343" s="63"/>
    </row>
    <row r="344" spans="1:16" s="66" customFormat="1" ht="25.5" customHeight="1">
      <c r="A344" s="67">
        <v>1</v>
      </c>
      <c r="B344" s="68" t="s">
        <v>506</v>
      </c>
      <c r="C344" s="67" t="s">
        <v>71</v>
      </c>
      <c r="D344" s="61">
        <v>2022</v>
      </c>
      <c r="E344" s="67">
        <v>6</v>
      </c>
      <c r="F344" s="67">
        <v>6</v>
      </c>
      <c r="G344" s="67">
        <v>6</v>
      </c>
      <c r="H344" s="67">
        <v>0</v>
      </c>
      <c r="I344" s="67"/>
      <c r="J344" s="67"/>
      <c r="K344" s="61" t="s">
        <v>631</v>
      </c>
      <c r="L344" s="61" t="s">
        <v>943</v>
      </c>
      <c r="M344" s="61" t="s">
        <v>649</v>
      </c>
      <c r="N344" s="67"/>
      <c r="O344" s="67"/>
      <c r="P344" s="68"/>
    </row>
    <row r="345" spans="1:16" s="64" customFormat="1" ht="25.5" customHeight="1">
      <c r="A345" s="67">
        <f t="shared" si="11"/>
        <v>2</v>
      </c>
      <c r="B345" s="68" t="s">
        <v>101</v>
      </c>
      <c r="C345" s="67" t="s">
        <v>71</v>
      </c>
      <c r="D345" s="61">
        <v>2022</v>
      </c>
      <c r="E345" s="67">
        <v>1</v>
      </c>
      <c r="F345" s="67">
        <v>1</v>
      </c>
      <c r="G345" s="67">
        <v>1</v>
      </c>
      <c r="H345" s="67">
        <v>0</v>
      </c>
      <c r="I345" s="67"/>
      <c r="J345" s="67"/>
      <c r="K345" s="61" t="s">
        <v>631</v>
      </c>
      <c r="L345" s="61" t="s">
        <v>943</v>
      </c>
      <c r="M345" s="61" t="s">
        <v>649</v>
      </c>
      <c r="N345" s="63"/>
      <c r="O345" s="67"/>
      <c r="P345" s="63"/>
    </row>
    <row r="346" spans="1:16" s="64" customFormat="1" ht="25.5" customHeight="1">
      <c r="A346" s="67">
        <f t="shared" si="11"/>
        <v>3</v>
      </c>
      <c r="B346" s="68" t="s">
        <v>70</v>
      </c>
      <c r="C346" s="67" t="s">
        <v>71</v>
      </c>
      <c r="D346" s="61">
        <v>2022</v>
      </c>
      <c r="E346" s="67">
        <v>5</v>
      </c>
      <c r="F346" s="67">
        <v>5</v>
      </c>
      <c r="G346" s="67">
        <v>5</v>
      </c>
      <c r="H346" s="67">
        <v>0</v>
      </c>
      <c r="I346" s="67"/>
      <c r="J346" s="67"/>
      <c r="K346" s="61" t="s">
        <v>631</v>
      </c>
      <c r="L346" s="61" t="s">
        <v>943</v>
      </c>
      <c r="M346" s="61" t="s">
        <v>649</v>
      </c>
      <c r="N346" s="63"/>
      <c r="O346" s="67"/>
      <c r="P346" s="63"/>
    </row>
    <row r="347" spans="1:16" s="64" customFormat="1" ht="25.5" customHeight="1">
      <c r="A347" s="67">
        <f t="shared" si="11"/>
        <v>4</v>
      </c>
      <c r="B347" s="68" t="s">
        <v>67</v>
      </c>
      <c r="C347" s="67" t="s">
        <v>71</v>
      </c>
      <c r="D347" s="61">
        <v>2022</v>
      </c>
      <c r="E347" s="67">
        <v>1</v>
      </c>
      <c r="F347" s="67">
        <v>1</v>
      </c>
      <c r="G347" s="67">
        <v>1</v>
      </c>
      <c r="H347" s="67">
        <v>0</v>
      </c>
      <c r="I347" s="67"/>
      <c r="J347" s="67"/>
      <c r="K347" s="61" t="s">
        <v>631</v>
      </c>
      <c r="L347" s="61" t="s">
        <v>943</v>
      </c>
      <c r="M347" s="61" t="s">
        <v>649</v>
      </c>
      <c r="N347" s="63"/>
      <c r="O347" s="67"/>
      <c r="P347" s="63"/>
    </row>
    <row r="348" spans="1:16" s="64" customFormat="1" ht="25.5" customHeight="1">
      <c r="A348" s="67">
        <f t="shared" si="11"/>
        <v>5</v>
      </c>
      <c r="B348" s="68" t="s">
        <v>315</v>
      </c>
      <c r="C348" s="67" t="s">
        <v>71</v>
      </c>
      <c r="D348" s="61">
        <v>2022</v>
      </c>
      <c r="E348" s="67">
        <v>1</v>
      </c>
      <c r="F348" s="67">
        <v>1</v>
      </c>
      <c r="G348" s="67">
        <v>1</v>
      </c>
      <c r="H348" s="67">
        <v>0</v>
      </c>
      <c r="I348" s="67"/>
      <c r="J348" s="67"/>
      <c r="K348" s="61" t="s">
        <v>631</v>
      </c>
      <c r="L348" s="61" t="s">
        <v>943</v>
      </c>
      <c r="M348" s="61" t="s">
        <v>649</v>
      </c>
      <c r="N348" s="63"/>
      <c r="O348" s="67"/>
      <c r="P348" s="63"/>
    </row>
    <row r="349" spans="1:16" s="64" customFormat="1" ht="25.5" customHeight="1">
      <c r="A349" s="67">
        <f t="shared" si="11"/>
        <v>6</v>
      </c>
      <c r="B349" s="68" t="s">
        <v>884</v>
      </c>
      <c r="C349" s="67" t="s">
        <v>71</v>
      </c>
      <c r="D349" s="61">
        <v>2022</v>
      </c>
      <c r="E349" s="67">
        <v>1</v>
      </c>
      <c r="F349" s="67">
        <v>1</v>
      </c>
      <c r="G349" s="67">
        <v>1</v>
      </c>
      <c r="H349" s="67">
        <v>0</v>
      </c>
      <c r="I349" s="357">
        <v>15675000</v>
      </c>
      <c r="J349" s="356">
        <f>G349*I349</f>
        <v>15675000</v>
      </c>
      <c r="K349" s="61" t="s">
        <v>631</v>
      </c>
      <c r="L349" s="61" t="s">
        <v>943</v>
      </c>
      <c r="M349" s="61" t="s">
        <v>649</v>
      </c>
      <c r="N349" s="63"/>
      <c r="O349" s="67"/>
      <c r="P349" s="63"/>
    </row>
    <row r="350" spans="1:16" s="64" customFormat="1" ht="25.5" customHeight="1">
      <c r="A350" s="67">
        <f t="shared" si="11"/>
        <v>7</v>
      </c>
      <c r="B350" s="68" t="s">
        <v>382</v>
      </c>
      <c r="C350" s="67" t="s">
        <v>71</v>
      </c>
      <c r="D350" s="61">
        <v>2022</v>
      </c>
      <c r="E350" s="67">
        <v>2</v>
      </c>
      <c r="F350" s="67">
        <v>2</v>
      </c>
      <c r="G350" s="67">
        <v>2</v>
      </c>
      <c r="H350" s="67">
        <v>0</v>
      </c>
      <c r="I350" s="67"/>
      <c r="J350" s="67"/>
      <c r="K350" s="61" t="s">
        <v>631</v>
      </c>
      <c r="L350" s="61" t="s">
        <v>943</v>
      </c>
      <c r="M350" s="61" t="s">
        <v>649</v>
      </c>
      <c r="N350" s="63"/>
      <c r="O350" s="67"/>
      <c r="P350" s="63"/>
    </row>
    <row r="351" spans="1:16" s="64" customFormat="1" ht="25.5" customHeight="1">
      <c r="A351" s="67">
        <f t="shared" si="11"/>
        <v>8</v>
      </c>
      <c r="B351" s="68" t="s">
        <v>464</v>
      </c>
      <c r="C351" s="67" t="s">
        <v>71</v>
      </c>
      <c r="D351" s="61">
        <v>2022</v>
      </c>
      <c r="E351" s="67">
        <v>1</v>
      </c>
      <c r="F351" s="67">
        <v>1</v>
      </c>
      <c r="G351" s="67">
        <v>1</v>
      </c>
      <c r="H351" s="67">
        <v>0</v>
      </c>
      <c r="I351" s="67"/>
      <c r="J351" s="67"/>
      <c r="K351" s="61" t="s">
        <v>631</v>
      </c>
      <c r="L351" s="61" t="s">
        <v>943</v>
      </c>
      <c r="M351" s="61" t="s">
        <v>649</v>
      </c>
      <c r="N351" s="63"/>
      <c r="O351" s="67"/>
      <c r="P351" s="63"/>
    </row>
    <row r="352" spans="1:16" s="64" customFormat="1" ht="25.5" customHeight="1">
      <c r="A352" s="67">
        <f t="shared" si="11"/>
        <v>9</v>
      </c>
      <c r="B352" s="172" t="s">
        <v>319</v>
      </c>
      <c r="C352" s="67" t="s">
        <v>191</v>
      </c>
      <c r="D352" s="61">
        <v>2022</v>
      </c>
      <c r="E352" s="67">
        <v>1</v>
      </c>
      <c r="F352" s="67">
        <v>1</v>
      </c>
      <c r="G352" s="67">
        <v>1</v>
      </c>
      <c r="H352" s="67">
        <v>0</v>
      </c>
      <c r="I352" s="67"/>
      <c r="J352" s="67"/>
      <c r="K352" s="61" t="s">
        <v>631</v>
      </c>
      <c r="L352" s="61" t="s">
        <v>943</v>
      </c>
      <c r="M352" s="61" t="s">
        <v>649</v>
      </c>
      <c r="N352" s="63"/>
      <c r="O352" s="68"/>
      <c r="P352" s="63"/>
    </row>
    <row r="353" spans="1:16" s="64" customFormat="1" ht="25.5" customHeight="1">
      <c r="A353" s="67">
        <f t="shared" si="11"/>
        <v>10</v>
      </c>
      <c r="B353" s="69" t="s">
        <v>342</v>
      </c>
      <c r="C353" s="67" t="s">
        <v>191</v>
      </c>
      <c r="D353" s="61">
        <v>2022</v>
      </c>
      <c r="E353" s="67">
        <v>2</v>
      </c>
      <c r="F353" s="67">
        <v>2</v>
      </c>
      <c r="G353" s="67">
        <v>2</v>
      </c>
      <c r="H353" s="67">
        <v>0</v>
      </c>
      <c r="I353" s="67"/>
      <c r="J353" s="67"/>
      <c r="K353" s="61" t="s">
        <v>631</v>
      </c>
      <c r="L353" s="61" t="s">
        <v>943</v>
      </c>
      <c r="M353" s="61" t="s">
        <v>649</v>
      </c>
      <c r="N353" s="63"/>
      <c r="O353" s="68"/>
      <c r="P353" s="63"/>
    </row>
    <row r="354" spans="1:16" s="64" customFormat="1" ht="25.5" customHeight="1">
      <c r="A354" s="319" t="s">
        <v>880</v>
      </c>
      <c r="B354" s="171" t="s">
        <v>920</v>
      </c>
      <c r="C354" s="67"/>
      <c r="D354" s="61"/>
      <c r="E354" s="67"/>
      <c r="F354" s="61"/>
      <c r="G354" s="61"/>
      <c r="H354" s="61"/>
      <c r="I354" s="61"/>
      <c r="J354" s="61"/>
      <c r="K354" s="61"/>
      <c r="L354" s="63"/>
      <c r="M354" s="61"/>
      <c r="N354" s="63"/>
      <c r="O354" s="67"/>
      <c r="P354" s="63"/>
    </row>
    <row r="355" spans="1:16" s="66" customFormat="1" ht="25.5" customHeight="1">
      <c r="A355" s="67">
        <v>1</v>
      </c>
      <c r="B355" s="68" t="s">
        <v>74</v>
      </c>
      <c r="C355" s="67" t="s">
        <v>71</v>
      </c>
      <c r="D355" s="61">
        <v>2022</v>
      </c>
      <c r="E355" s="67">
        <v>8</v>
      </c>
      <c r="F355" s="67">
        <v>8</v>
      </c>
      <c r="G355" s="67">
        <v>8</v>
      </c>
      <c r="H355" s="67">
        <v>0</v>
      </c>
      <c r="I355" s="67"/>
      <c r="J355" s="67"/>
      <c r="K355" s="61" t="s">
        <v>631</v>
      </c>
      <c r="L355" s="67" t="s">
        <v>944</v>
      </c>
      <c r="M355" s="61" t="s">
        <v>649</v>
      </c>
      <c r="N355" s="68"/>
      <c r="O355" s="67"/>
      <c r="P355" s="68"/>
    </row>
    <row r="356" spans="1:16" s="64" customFormat="1" ht="25.5" customHeight="1">
      <c r="A356" s="67">
        <f t="shared" si="11"/>
        <v>2</v>
      </c>
      <c r="B356" s="68" t="s">
        <v>232</v>
      </c>
      <c r="C356" s="67" t="s">
        <v>71</v>
      </c>
      <c r="D356" s="61">
        <v>2022</v>
      </c>
      <c r="E356" s="67">
        <v>2</v>
      </c>
      <c r="F356" s="67">
        <v>2</v>
      </c>
      <c r="G356" s="67">
        <v>2</v>
      </c>
      <c r="H356" s="61">
        <v>0</v>
      </c>
      <c r="I356" s="61"/>
      <c r="J356" s="61"/>
      <c r="K356" s="61" t="s">
        <v>631</v>
      </c>
      <c r="L356" s="67" t="s">
        <v>944</v>
      </c>
      <c r="M356" s="61" t="s">
        <v>649</v>
      </c>
      <c r="N356" s="63"/>
      <c r="O356" s="67"/>
      <c r="P356" s="63"/>
    </row>
    <row r="357" spans="1:16" s="64" customFormat="1" ht="25.5" customHeight="1">
      <c r="A357" s="67">
        <f t="shared" si="11"/>
        <v>3</v>
      </c>
      <c r="B357" s="68" t="s">
        <v>314</v>
      </c>
      <c r="C357" s="67" t="s">
        <v>71</v>
      </c>
      <c r="D357" s="61">
        <v>2022</v>
      </c>
      <c r="E357" s="67">
        <v>2</v>
      </c>
      <c r="F357" s="67">
        <v>2</v>
      </c>
      <c r="G357" s="67">
        <v>2</v>
      </c>
      <c r="H357" s="61">
        <v>0</v>
      </c>
      <c r="I357" s="61"/>
      <c r="J357" s="61"/>
      <c r="K357" s="61" t="s">
        <v>631</v>
      </c>
      <c r="L357" s="67" t="s">
        <v>944</v>
      </c>
      <c r="M357" s="61" t="s">
        <v>649</v>
      </c>
      <c r="N357" s="63"/>
      <c r="O357" s="67"/>
      <c r="P357" s="63"/>
    </row>
    <row r="358" spans="1:16" s="64" customFormat="1" ht="25.5" customHeight="1">
      <c r="A358" s="67">
        <f t="shared" si="11"/>
        <v>4</v>
      </c>
      <c r="B358" s="68" t="s">
        <v>237</v>
      </c>
      <c r="C358" s="67" t="s">
        <v>71</v>
      </c>
      <c r="D358" s="61">
        <v>2022</v>
      </c>
      <c r="E358" s="67">
        <v>2</v>
      </c>
      <c r="F358" s="67">
        <v>2</v>
      </c>
      <c r="G358" s="67">
        <v>2</v>
      </c>
      <c r="H358" s="61">
        <v>0</v>
      </c>
      <c r="I358" s="61"/>
      <c r="J358" s="61"/>
      <c r="K358" s="61" t="s">
        <v>631</v>
      </c>
      <c r="L358" s="67" t="s">
        <v>944</v>
      </c>
      <c r="M358" s="61" t="s">
        <v>649</v>
      </c>
      <c r="N358" s="63"/>
      <c r="O358" s="67"/>
      <c r="P358" s="63"/>
    </row>
    <row r="359" spans="1:16" s="64" customFormat="1" ht="25.5" customHeight="1">
      <c r="A359" s="67">
        <f t="shared" si="11"/>
        <v>5</v>
      </c>
      <c r="B359" s="68" t="s">
        <v>231</v>
      </c>
      <c r="C359" s="67" t="s">
        <v>71</v>
      </c>
      <c r="D359" s="61">
        <v>2022</v>
      </c>
      <c r="E359" s="67">
        <v>6</v>
      </c>
      <c r="F359" s="67">
        <v>6</v>
      </c>
      <c r="G359" s="67">
        <v>6</v>
      </c>
      <c r="H359" s="61">
        <v>0</v>
      </c>
      <c r="I359" s="61"/>
      <c r="J359" s="61"/>
      <c r="K359" s="61" t="s">
        <v>631</v>
      </c>
      <c r="L359" s="67" t="s">
        <v>944</v>
      </c>
      <c r="M359" s="61" t="s">
        <v>649</v>
      </c>
      <c r="N359" s="63"/>
      <c r="O359" s="67"/>
      <c r="P359" s="63" t="s">
        <v>571</v>
      </c>
    </row>
    <row r="360" spans="1:16" s="64" customFormat="1" ht="25.5" customHeight="1">
      <c r="A360" s="67">
        <f t="shared" si="11"/>
        <v>6</v>
      </c>
      <c r="B360" s="68" t="s">
        <v>478</v>
      </c>
      <c r="C360" s="67" t="s">
        <v>71</v>
      </c>
      <c r="D360" s="61">
        <v>2022</v>
      </c>
      <c r="E360" s="67">
        <v>2</v>
      </c>
      <c r="F360" s="67">
        <v>2</v>
      </c>
      <c r="G360" s="67">
        <v>2</v>
      </c>
      <c r="H360" s="61">
        <v>0</v>
      </c>
      <c r="I360" s="61"/>
      <c r="J360" s="61"/>
      <c r="K360" s="61" t="s">
        <v>631</v>
      </c>
      <c r="L360" s="67" t="s">
        <v>944</v>
      </c>
      <c r="M360" s="61" t="s">
        <v>649</v>
      </c>
      <c r="N360" s="67"/>
      <c r="O360" s="441" t="s">
        <v>480</v>
      </c>
      <c r="P360" s="63"/>
    </row>
    <row r="361" spans="1:16" s="64" customFormat="1" ht="25.5" customHeight="1">
      <c r="A361" s="67">
        <f t="shared" si="11"/>
        <v>7</v>
      </c>
      <c r="B361" s="68" t="s">
        <v>479</v>
      </c>
      <c r="C361" s="67" t="s">
        <v>71</v>
      </c>
      <c r="D361" s="61">
        <v>2022</v>
      </c>
      <c r="E361" s="67">
        <v>4</v>
      </c>
      <c r="F361" s="67">
        <v>4</v>
      </c>
      <c r="G361" s="67">
        <v>4</v>
      </c>
      <c r="H361" s="61">
        <v>0</v>
      </c>
      <c r="I361" s="61"/>
      <c r="J361" s="61"/>
      <c r="K361" s="61" t="s">
        <v>631</v>
      </c>
      <c r="L361" s="67" t="s">
        <v>944</v>
      </c>
      <c r="M361" s="61" t="s">
        <v>649</v>
      </c>
      <c r="N361" s="63"/>
      <c r="O361" s="443"/>
      <c r="P361" s="63"/>
    </row>
    <row r="362" spans="1:16" s="64" customFormat="1" ht="25.5" customHeight="1">
      <c r="A362" s="319" t="s">
        <v>927</v>
      </c>
      <c r="B362" s="187" t="s">
        <v>921</v>
      </c>
      <c r="C362" s="319"/>
      <c r="D362" s="320"/>
      <c r="E362" s="319"/>
      <c r="F362" s="320"/>
      <c r="G362" s="320"/>
      <c r="H362" s="320"/>
      <c r="I362" s="353"/>
      <c r="J362" s="353"/>
      <c r="K362" s="320"/>
      <c r="L362" s="173"/>
      <c r="M362" s="320"/>
      <c r="N362" s="173"/>
      <c r="O362" s="319"/>
      <c r="P362" s="63"/>
    </row>
    <row r="363" spans="1:16" s="64" customFormat="1" ht="25.5" customHeight="1">
      <c r="A363" s="67">
        <v>1</v>
      </c>
      <c r="B363" s="68" t="s">
        <v>232</v>
      </c>
      <c r="C363" s="67" t="s">
        <v>71</v>
      </c>
      <c r="D363" s="61">
        <v>2022</v>
      </c>
      <c r="E363" s="67">
        <v>12</v>
      </c>
      <c r="F363" s="67">
        <v>12</v>
      </c>
      <c r="G363" s="67">
        <v>12</v>
      </c>
      <c r="H363" s="61">
        <v>0</v>
      </c>
      <c r="I363" s="61"/>
      <c r="J363" s="61"/>
      <c r="K363" s="61" t="s">
        <v>631</v>
      </c>
      <c r="L363" s="61" t="s">
        <v>945</v>
      </c>
      <c r="M363" s="61" t="s">
        <v>649</v>
      </c>
      <c r="N363" s="63"/>
      <c r="O363" s="67"/>
      <c r="P363" s="63"/>
    </row>
    <row r="364" spans="1:16" s="64" customFormat="1" ht="25.5" customHeight="1">
      <c r="A364" s="67">
        <f t="shared" si="11"/>
        <v>2</v>
      </c>
      <c r="B364" s="68" t="s">
        <v>315</v>
      </c>
      <c r="C364" s="67" t="s">
        <v>71</v>
      </c>
      <c r="D364" s="61">
        <v>2022</v>
      </c>
      <c r="E364" s="67">
        <v>10</v>
      </c>
      <c r="F364" s="67">
        <v>10</v>
      </c>
      <c r="G364" s="67">
        <v>10</v>
      </c>
      <c r="H364" s="61">
        <v>0</v>
      </c>
      <c r="I364" s="61"/>
      <c r="J364" s="61"/>
      <c r="K364" s="61" t="s">
        <v>631</v>
      </c>
      <c r="L364" s="61" t="s">
        <v>945</v>
      </c>
      <c r="M364" s="61" t="s">
        <v>649</v>
      </c>
      <c r="N364" s="63"/>
      <c r="O364" s="67"/>
      <c r="P364" s="63"/>
    </row>
    <row r="365" spans="1:16" s="64" customFormat="1" ht="25.5" customHeight="1">
      <c r="A365" s="67">
        <f t="shared" si="11"/>
        <v>3</v>
      </c>
      <c r="B365" s="68" t="s">
        <v>233</v>
      </c>
      <c r="C365" s="67" t="s">
        <v>71</v>
      </c>
      <c r="D365" s="61">
        <v>2022</v>
      </c>
      <c r="E365" s="67">
        <v>7</v>
      </c>
      <c r="F365" s="67">
        <v>7</v>
      </c>
      <c r="G365" s="67">
        <v>7</v>
      </c>
      <c r="H365" s="61">
        <v>0</v>
      </c>
      <c r="I365" s="61"/>
      <c r="J365" s="61"/>
      <c r="K365" s="61" t="s">
        <v>631</v>
      </c>
      <c r="L365" s="61" t="s">
        <v>945</v>
      </c>
      <c r="M365" s="61" t="s">
        <v>649</v>
      </c>
      <c r="N365" s="67"/>
      <c r="O365" s="67"/>
      <c r="P365" s="63"/>
    </row>
    <row r="366" spans="1:16" s="64" customFormat="1" ht="25.5" customHeight="1">
      <c r="A366" s="67">
        <f t="shared" si="11"/>
        <v>4</v>
      </c>
      <c r="B366" s="68" t="s">
        <v>231</v>
      </c>
      <c r="C366" s="67" t="s">
        <v>71</v>
      </c>
      <c r="D366" s="61">
        <v>2022</v>
      </c>
      <c r="E366" s="67">
        <v>8</v>
      </c>
      <c r="F366" s="67">
        <v>8</v>
      </c>
      <c r="G366" s="67">
        <v>8</v>
      </c>
      <c r="H366" s="61">
        <v>0</v>
      </c>
      <c r="I366" s="61"/>
      <c r="J366" s="61"/>
      <c r="K366" s="61" t="s">
        <v>631</v>
      </c>
      <c r="L366" s="61" t="s">
        <v>945</v>
      </c>
      <c r="M366" s="61" t="s">
        <v>649</v>
      </c>
      <c r="N366" s="63"/>
      <c r="O366" s="67"/>
      <c r="P366" s="63"/>
    </row>
    <row r="367" spans="1:16" s="64" customFormat="1" ht="25.5" customHeight="1">
      <c r="A367" s="67">
        <f>A366+1</f>
        <v>5</v>
      </c>
      <c r="B367" s="68" t="s">
        <v>890</v>
      </c>
      <c r="C367" s="67" t="s">
        <v>191</v>
      </c>
      <c r="D367" s="61">
        <v>2022</v>
      </c>
      <c r="E367" s="67">
        <v>1</v>
      </c>
      <c r="F367" s="67">
        <v>1</v>
      </c>
      <c r="G367" s="67">
        <v>1</v>
      </c>
      <c r="H367" s="61">
        <v>0</v>
      </c>
      <c r="I367" s="61"/>
      <c r="J367" s="61"/>
      <c r="K367" s="61" t="s">
        <v>631</v>
      </c>
      <c r="L367" s="61" t="s">
        <v>945</v>
      </c>
      <c r="M367" s="61" t="s">
        <v>649</v>
      </c>
      <c r="N367" s="63"/>
      <c r="O367" s="67"/>
      <c r="P367" s="63"/>
    </row>
    <row r="368" spans="1:16" s="64" customFormat="1" ht="25.5" customHeight="1">
      <c r="A368" s="67">
        <f>A367+1</f>
        <v>6</v>
      </c>
      <c r="B368" s="68" t="s">
        <v>74</v>
      </c>
      <c r="C368" s="67" t="s">
        <v>71</v>
      </c>
      <c r="D368" s="61">
        <v>2022</v>
      </c>
      <c r="E368" s="67">
        <v>24</v>
      </c>
      <c r="F368" s="67">
        <v>24</v>
      </c>
      <c r="G368" s="67">
        <v>24</v>
      </c>
      <c r="H368" s="61">
        <v>0</v>
      </c>
      <c r="I368" s="61"/>
      <c r="J368" s="61"/>
      <c r="K368" s="61" t="s">
        <v>631</v>
      </c>
      <c r="L368" s="61" t="s">
        <v>945</v>
      </c>
      <c r="M368" s="61" t="s">
        <v>649</v>
      </c>
      <c r="N368" s="63"/>
      <c r="O368" s="67"/>
      <c r="P368" s="63"/>
    </row>
    <row r="369" spans="1:16" s="64" customFormat="1" ht="25.5" customHeight="1">
      <c r="A369" s="67">
        <f t="shared" ref="A369:A378" si="12">A368+1</f>
        <v>7</v>
      </c>
      <c r="B369" s="68" t="s">
        <v>70</v>
      </c>
      <c r="C369" s="67" t="s">
        <v>71</v>
      </c>
      <c r="D369" s="61">
        <v>2022</v>
      </c>
      <c r="E369" s="67">
        <v>2</v>
      </c>
      <c r="F369" s="67">
        <v>2</v>
      </c>
      <c r="G369" s="67">
        <v>2</v>
      </c>
      <c r="H369" s="61">
        <v>0</v>
      </c>
      <c r="I369" s="61"/>
      <c r="J369" s="61"/>
      <c r="K369" s="61" t="s">
        <v>631</v>
      </c>
      <c r="L369" s="61" t="s">
        <v>945</v>
      </c>
      <c r="M369" s="61" t="s">
        <v>649</v>
      </c>
      <c r="N369" s="67"/>
      <c r="O369" s="67"/>
      <c r="P369" s="63" t="s">
        <v>584</v>
      </c>
    </row>
    <row r="370" spans="1:16" s="64" customFormat="1" ht="25.5" customHeight="1">
      <c r="A370" s="67">
        <f t="shared" si="12"/>
        <v>8</v>
      </c>
      <c r="B370" s="68" t="s">
        <v>478</v>
      </c>
      <c r="C370" s="67" t="s">
        <v>71</v>
      </c>
      <c r="D370" s="61">
        <v>2022</v>
      </c>
      <c r="E370" s="67">
        <v>9</v>
      </c>
      <c r="F370" s="67">
        <v>9</v>
      </c>
      <c r="G370" s="67">
        <v>9</v>
      </c>
      <c r="H370" s="61">
        <v>0</v>
      </c>
      <c r="I370" s="61"/>
      <c r="J370" s="61"/>
      <c r="K370" s="61" t="s">
        <v>631</v>
      </c>
      <c r="L370" s="61" t="s">
        <v>945</v>
      </c>
      <c r="M370" s="61" t="s">
        <v>649</v>
      </c>
      <c r="N370" s="67"/>
      <c r="O370" s="441" t="s">
        <v>406</v>
      </c>
      <c r="P370" s="63" t="s">
        <v>585</v>
      </c>
    </row>
    <row r="371" spans="1:16" s="64" customFormat="1" ht="25.5" customHeight="1">
      <c r="A371" s="67">
        <f t="shared" si="12"/>
        <v>9</v>
      </c>
      <c r="B371" s="68" t="s">
        <v>395</v>
      </c>
      <c r="C371" s="67" t="s">
        <v>71</v>
      </c>
      <c r="D371" s="61">
        <v>2022</v>
      </c>
      <c r="E371" s="67">
        <v>2</v>
      </c>
      <c r="F371" s="67">
        <v>2</v>
      </c>
      <c r="G371" s="67">
        <v>2</v>
      </c>
      <c r="H371" s="61">
        <v>0</v>
      </c>
      <c r="I371" s="61"/>
      <c r="J371" s="61"/>
      <c r="K371" s="61" t="s">
        <v>631</v>
      </c>
      <c r="L371" s="61" t="s">
        <v>945</v>
      </c>
      <c r="M371" s="61" t="s">
        <v>649</v>
      </c>
      <c r="N371" s="67"/>
      <c r="O371" s="442"/>
      <c r="P371" s="63" t="s">
        <v>567</v>
      </c>
    </row>
    <row r="372" spans="1:16" s="64" customFormat="1" ht="25.5" customHeight="1">
      <c r="A372" s="67">
        <f t="shared" si="12"/>
        <v>10</v>
      </c>
      <c r="B372" s="68" t="s">
        <v>396</v>
      </c>
      <c r="C372" s="67" t="s">
        <v>71</v>
      </c>
      <c r="D372" s="61">
        <v>2022</v>
      </c>
      <c r="E372" s="67">
        <v>1</v>
      </c>
      <c r="F372" s="67">
        <v>1</v>
      </c>
      <c r="G372" s="67">
        <v>1</v>
      </c>
      <c r="H372" s="61">
        <v>0</v>
      </c>
      <c r="I372" s="61"/>
      <c r="J372" s="61"/>
      <c r="K372" s="61" t="s">
        <v>631</v>
      </c>
      <c r="L372" s="61" t="s">
        <v>945</v>
      </c>
      <c r="M372" s="61" t="s">
        <v>649</v>
      </c>
      <c r="N372" s="67"/>
      <c r="O372" s="443"/>
      <c r="P372" s="63"/>
    </row>
    <row r="373" spans="1:16" s="64" customFormat="1" ht="25.5" customHeight="1">
      <c r="A373" s="67">
        <f t="shared" si="12"/>
        <v>11</v>
      </c>
      <c r="B373" s="68" t="s">
        <v>394</v>
      </c>
      <c r="C373" s="67" t="s">
        <v>71</v>
      </c>
      <c r="D373" s="61">
        <v>2022</v>
      </c>
      <c r="E373" s="67">
        <v>3</v>
      </c>
      <c r="F373" s="67">
        <v>3</v>
      </c>
      <c r="G373" s="67">
        <v>3</v>
      </c>
      <c r="H373" s="61">
        <v>0</v>
      </c>
      <c r="I373" s="61"/>
      <c r="J373" s="61"/>
      <c r="K373" s="61" t="s">
        <v>631</v>
      </c>
      <c r="L373" s="61" t="s">
        <v>945</v>
      </c>
      <c r="M373" s="61" t="s">
        <v>649</v>
      </c>
      <c r="N373" s="63"/>
      <c r="O373" s="67" t="s">
        <v>926</v>
      </c>
      <c r="P373" s="63"/>
    </row>
    <row r="374" spans="1:16" s="64" customFormat="1" ht="25.5" customHeight="1">
      <c r="A374" s="319" t="s">
        <v>928</v>
      </c>
      <c r="B374" s="187" t="s">
        <v>922</v>
      </c>
      <c r="C374" s="319"/>
      <c r="D374" s="320"/>
      <c r="E374" s="319"/>
      <c r="F374" s="320"/>
      <c r="G374" s="320"/>
      <c r="H374" s="190"/>
      <c r="I374" s="190"/>
      <c r="J374" s="190"/>
      <c r="K374" s="320"/>
      <c r="L374" s="173"/>
      <c r="M374" s="320"/>
      <c r="N374" s="173"/>
      <c r="O374" s="319"/>
      <c r="P374" s="444"/>
    </row>
    <row r="375" spans="1:16" s="64" customFormat="1" ht="25.5" customHeight="1">
      <c r="A375" s="67">
        <v>1</v>
      </c>
      <c r="B375" s="68" t="s">
        <v>232</v>
      </c>
      <c r="C375" s="67" t="s">
        <v>71</v>
      </c>
      <c r="D375" s="61">
        <v>2022</v>
      </c>
      <c r="E375" s="67">
        <v>12</v>
      </c>
      <c r="F375" s="67">
        <v>12</v>
      </c>
      <c r="G375" s="67">
        <v>12</v>
      </c>
      <c r="H375" s="70">
        <v>0</v>
      </c>
      <c r="I375" s="70"/>
      <c r="J375" s="70"/>
      <c r="K375" s="61" t="s">
        <v>631</v>
      </c>
      <c r="L375" s="61" t="s">
        <v>946</v>
      </c>
      <c r="M375" s="61" t="s">
        <v>649</v>
      </c>
      <c r="N375" s="63"/>
      <c r="O375" s="67"/>
      <c r="P375" s="445"/>
    </row>
    <row r="376" spans="1:16" s="64" customFormat="1" ht="25.5" customHeight="1">
      <c r="A376" s="67">
        <f t="shared" si="12"/>
        <v>2</v>
      </c>
      <c r="B376" s="68" t="s">
        <v>315</v>
      </c>
      <c r="C376" s="67" t="s">
        <v>71</v>
      </c>
      <c r="D376" s="61">
        <v>2022</v>
      </c>
      <c r="E376" s="67">
        <v>10</v>
      </c>
      <c r="F376" s="67">
        <v>10</v>
      </c>
      <c r="G376" s="67">
        <v>10</v>
      </c>
      <c r="H376" s="70">
        <v>0</v>
      </c>
      <c r="I376" s="70"/>
      <c r="J376" s="70"/>
      <c r="K376" s="61" t="s">
        <v>631</v>
      </c>
      <c r="L376" s="61" t="s">
        <v>946</v>
      </c>
      <c r="M376" s="61" t="s">
        <v>649</v>
      </c>
      <c r="N376" s="63"/>
      <c r="O376" s="67"/>
      <c r="P376" s="63"/>
    </row>
    <row r="377" spans="1:16" s="64" customFormat="1" ht="25.5" customHeight="1">
      <c r="A377" s="67">
        <f t="shared" si="12"/>
        <v>3</v>
      </c>
      <c r="B377" s="68" t="s">
        <v>233</v>
      </c>
      <c r="C377" s="67" t="s">
        <v>71</v>
      </c>
      <c r="D377" s="61">
        <v>2022</v>
      </c>
      <c r="E377" s="67">
        <v>7</v>
      </c>
      <c r="F377" s="67">
        <v>7</v>
      </c>
      <c r="G377" s="67">
        <v>7</v>
      </c>
      <c r="H377" s="70">
        <v>0</v>
      </c>
      <c r="I377" s="70"/>
      <c r="J377" s="70"/>
      <c r="K377" s="61" t="s">
        <v>631</v>
      </c>
      <c r="L377" s="61" t="s">
        <v>946</v>
      </c>
      <c r="M377" s="61" t="s">
        <v>649</v>
      </c>
      <c r="N377" s="67"/>
      <c r="O377" s="67"/>
      <c r="P377" s="63" t="s">
        <v>586</v>
      </c>
    </row>
    <row r="378" spans="1:16" s="64" customFormat="1" ht="25.5" customHeight="1">
      <c r="A378" s="67">
        <f t="shared" si="12"/>
        <v>4</v>
      </c>
      <c r="B378" s="68" t="s">
        <v>231</v>
      </c>
      <c r="C378" s="67" t="s">
        <v>71</v>
      </c>
      <c r="D378" s="61">
        <v>2022</v>
      </c>
      <c r="E378" s="67">
        <v>8</v>
      </c>
      <c r="F378" s="67">
        <v>8</v>
      </c>
      <c r="G378" s="67">
        <v>8</v>
      </c>
      <c r="H378" s="70">
        <v>0</v>
      </c>
      <c r="I378" s="70"/>
      <c r="J378" s="70"/>
      <c r="K378" s="61" t="s">
        <v>631</v>
      </c>
      <c r="L378" s="61" t="s">
        <v>946</v>
      </c>
      <c r="M378" s="61" t="s">
        <v>649</v>
      </c>
      <c r="N378" s="63"/>
      <c r="O378" s="67"/>
      <c r="P378" s="63"/>
    </row>
    <row r="379" spans="1:16" s="64" customFormat="1" ht="25.5" customHeight="1">
      <c r="A379" s="67">
        <f>A378+1</f>
        <v>5</v>
      </c>
      <c r="B379" s="68" t="s">
        <v>890</v>
      </c>
      <c r="C379" s="67" t="s">
        <v>191</v>
      </c>
      <c r="D379" s="61">
        <v>2022</v>
      </c>
      <c r="E379" s="67">
        <v>1</v>
      </c>
      <c r="F379" s="67">
        <v>1</v>
      </c>
      <c r="G379" s="67">
        <v>1</v>
      </c>
      <c r="H379" s="70">
        <v>0</v>
      </c>
      <c r="I379" s="70"/>
      <c r="J379" s="70"/>
      <c r="K379" s="61" t="s">
        <v>631</v>
      </c>
      <c r="L379" s="61" t="s">
        <v>946</v>
      </c>
      <c r="M379" s="61" t="s">
        <v>649</v>
      </c>
      <c r="N379" s="63"/>
      <c r="O379" s="67"/>
      <c r="P379" s="63"/>
    </row>
    <row r="380" spans="1:16" s="64" customFormat="1" ht="25.5" customHeight="1">
      <c r="A380" s="67">
        <f>A379+1</f>
        <v>6</v>
      </c>
      <c r="B380" s="68" t="s">
        <v>74</v>
      </c>
      <c r="C380" s="67" t="s">
        <v>71</v>
      </c>
      <c r="D380" s="61">
        <v>2022</v>
      </c>
      <c r="E380" s="67">
        <v>24</v>
      </c>
      <c r="F380" s="67">
        <v>24</v>
      </c>
      <c r="G380" s="67">
        <v>24</v>
      </c>
      <c r="H380" s="70">
        <v>0</v>
      </c>
      <c r="I380" s="70"/>
      <c r="J380" s="70"/>
      <c r="K380" s="61" t="s">
        <v>631</v>
      </c>
      <c r="L380" s="61" t="s">
        <v>946</v>
      </c>
      <c r="M380" s="61" t="s">
        <v>649</v>
      </c>
      <c r="N380" s="63"/>
      <c r="O380" s="67"/>
      <c r="P380" s="63"/>
    </row>
    <row r="381" spans="1:16" s="64" customFormat="1" ht="25.5" customHeight="1">
      <c r="A381" s="67">
        <f t="shared" ref="A381:A385" si="13">A380+1</f>
        <v>7</v>
      </c>
      <c r="B381" s="68" t="s">
        <v>70</v>
      </c>
      <c r="C381" s="67" t="s">
        <v>71</v>
      </c>
      <c r="D381" s="61">
        <v>2022</v>
      </c>
      <c r="E381" s="67">
        <v>2</v>
      </c>
      <c r="F381" s="67">
        <v>2</v>
      </c>
      <c r="G381" s="67">
        <v>2</v>
      </c>
      <c r="H381" s="70">
        <v>0</v>
      </c>
      <c r="I381" s="70"/>
      <c r="J381" s="70"/>
      <c r="K381" s="61" t="s">
        <v>631</v>
      </c>
      <c r="L381" s="61" t="s">
        <v>946</v>
      </c>
      <c r="M381" s="61" t="s">
        <v>649</v>
      </c>
      <c r="N381" s="63"/>
      <c r="O381" s="67"/>
      <c r="P381" s="63"/>
    </row>
    <row r="382" spans="1:16" s="64" customFormat="1" ht="25.5" customHeight="1">
      <c r="A382" s="67">
        <f t="shared" si="13"/>
        <v>8</v>
      </c>
      <c r="B382" s="68" t="s">
        <v>478</v>
      </c>
      <c r="C382" s="67" t="s">
        <v>71</v>
      </c>
      <c r="D382" s="61">
        <v>2022</v>
      </c>
      <c r="E382" s="67">
        <v>9</v>
      </c>
      <c r="F382" s="67">
        <v>9</v>
      </c>
      <c r="G382" s="67">
        <v>9</v>
      </c>
      <c r="H382" s="70">
        <v>0</v>
      </c>
      <c r="I382" s="70"/>
      <c r="J382" s="70"/>
      <c r="K382" s="61" t="s">
        <v>631</v>
      </c>
      <c r="L382" s="61" t="s">
        <v>946</v>
      </c>
      <c r="M382" s="61" t="s">
        <v>649</v>
      </c>
      <c r="N382" s="67"/>
      <c r="O382" s="441" t="s">
        <v>403</v>
      </c>
      <c r="P382" s="63" t="s">
        <v>561</v>
      </c>
    </row>
    <row r="383" spans="1:16" s="64" customFormat="1" ht="25.5" customHeight="1">
      <c r="A383" s="67">
        <f t="shared" si="13"/>
        <v>9</v>
      </c>
      <c r="B383" s="68" t="s">
        <v>395</v>
      </c>
      <c r="C383" s="67" t="s">
        <v>71</v>
      </c>
      <c r="D383" s="61">
        <v>2022</v>
      </c>
      <c r="E383" s="67">
        <v>2</v>
      </c>
      <c r="F383" s="67">
        <v>2</v>
      </c>
      <c r="G383" s="67">
        <v>2</v>
      </c>
      <c r="H383" s="70">
        <v>0</v>
      </c>
      <c r="I383" s="70"/>
      <c r="J383" s="70"/>
      <c r="K383" s="61" t="s">
        <v>631</v>
      </c>
      <c r="L383" s="61" t="s">
        <v>946</v>
      </c>
      <c r="M383" s="61" t="s">
        <v>649</v>
      </c>
      <c r="N383" s="63"/>
      <c r="O383" s="442"/>
      <c r="P383" s="63"/>
    </row>
    <row r="384" spans="1:16" s="64" customFormat="1" ht="25.5" customHeight="1">
      <c r="A384" s="67">
        <f t="shared" si="13"/>
        <v>10</v>
      </c>
      <c r="B384" s="68" t="s">
        <v>396</v>
      </c>
      <c r="C384" s="67" t="s">
        <v>71</v>
      </c>
      <c r="D384" s="61">
        <v>2022</v>
      </c>
      <c r="E384" s="67">
        <v>1</v>
      </c>
      <c r="F384" s="67">
        <v>1</v>
      </c>
      <c r="G384" s="67">
        <v>1</v>
      </c>
      <c r="H384" s="70">
        <v>0</v>
      </c>
      <c r="I384" s="70"/>
      <c r="J384" s="70"/>
      <c r="K384" s="61" t="s">
        <v>631</v>
      </c>
      <c r="L384" s="61" t="s">
        <v>946</v>
      </c>
      <c r="M384" s="61" t="s">
        <v>649</v>
      </c>
      <c r="N384" s="63"/>
      <c r="O384" s="443"/>
      <c r="P384" s="63"/>
    </row>
    <row r="385" spans="1:16" s="64" customFormat="1" ht="25.5" customHeight="1">
      <c r="A385" s="67">
        <f t="shared" si="13"/>
        <v>11</v>
      </c>
      <c r="B385" s="68" t="s">
        <v>394</v>
      </c>
      <c r="C385" s="67" t="s">
        <v>71</v>
      </c>
      <c r="D385" s="61">
        <v>2022</v>
      </c>
      <c r="E385" s="67">
        <v>3</v>
      </c>
      <c r="F385" s="67">
        <v>3</v>
      </c>
      <c r="G385" s="67">
        <v>3</v>
      </c>
      <c r="H385" s="70">
        <v>0</v>
      </c>
      <c r="I385" s="70"/>
      <c r="J385" s="70"/>
      <c r="K385" s="61" t="s">
        <v>631</v>
      </c>
      <c r="L385" s="61" t="s">
        <v>946</v>
      </c>
      <c r="M385" s="61" t="s">
        <v>649</v>
      </c>
      <c r="N385" s="63"/>
      <c r="O385" s="67" t="s">
        <v>926</v>
      </c>
      <c r="P385" s="63"/>
    </row>
    <row r="386" spans="1:16" s="363" customFormat="1" ht="20.25" customHeight="1">
      <c r="A386" s="360"/>
      <c r="B386" s="361" t="s">
        <v>1155</v>
      </c>
      <c r="C386" s="360"/>
      <c r="D386" s="361"/>
      <c r="E386" s="361"/>
      <c r="F386" s="361"/>
      <c r="G386" s="360"/>
      <c r="H386" s="361"/>
      <c r="I386" s="361"/>
      <c r="J386" s="365">
        <f>SUM(J16:J385)</f>
        <v>516204000</v>
      </c>
      <c r="K386" s="360"/>
      <c r="L386" s="360"/>
      <c r="M386" s="360"/>
      <c r="N386" s="360"/>
      <c r="O386" s="362"/>
    </row>
    <row r="387" spans="1:16" s="363" customFormat="1" ht="20.25" customHeight="1">
      <c r="A387" s="360"/>
      <c r="B387" s="361" t="s">
        <v>1156</v>
      </c>
      <c r="C387" s="360"/>
      <c r="D387" s="361"/>
      <c r="E387" s="361"/>
      <c r="F387" s="361"/>
      <c r="G387" s="360"/>
      <c r="H387" s="361"/>
      <c r="I387" s="361"/>
      <c r="J387" s="365"/>
      <c r="K387" s="360"/>
      <c r="L387" s="360"/>
      <c r="M387" s="360"/>
      <c r="N387" s="360"/>
      <c r="O387" s="362"/>
    </row>
    <row r="388" spans="1:16" s="66" customFormat="1" ht="25.5" customHeight="1">
      <c r="A388" s="366" t="s">
        <v>193</v>
      </c>
      <c r="B388" s="171" t="s">
        <v>894</v>
      </c>
      <c r="C388" s="366"/>
      <c r="D388" s="366"/>
      <c r="E388" s="366"/>
      <c r="F388" s="366"/>
      <c r="G388" s="187"/>
      <c r="H388" s="366"/>
      <c r="I388" s="366"/>
      <c r="J388" s="366"/>
      <c r="K388" s="187"/>
      <c r="L388" s="187"/>
      <c r="M388" s="187"/>
      <c r="N388" s="187"/>
      <c r="O388" s="366"/>
      <c r="P388" s="68"/>
    </row>
    <row r="389" spans="1:16" s="66" customFormat="1" ht="25.5" customHeight="1">
      <c r="A389" s="67">
        <v>1</v>
      </c>
      <c r="B389" s="68" t="s">
        <v>895</v>
      </c>
      <c r="C389" s="67" t="s">
        <v>71</v>
      </c>
      <c r="D389" s="67">
        <v>2022</v>
      </c>
      <c r="E389" s="67">
        <v>1</v>
      </c>
      <c r="F389" s="67">
        <v>1</v>
      </c>
      <c r="G389" s="67">
        <v>1</v>
      </c>
      <c r="H389" s="67">
        <v>0</v>
      </c>
      <c r="I389" s="354">
        <v>8965000</v>
      </c>
      <c r="J389" s="354">
        <v>8965000</v>
      </c>
      <c r="K389" s="67" t="s">
        <v>631</v>
      </c>
      <c r="L389" s="67" t="s">
        <v>930</v>
      </c>
      <c r="M389" s="67" t="s">
        <v>649</v>
      </c>
      <c r="N389" s="68"/>
      <c r="O389" s="67"/>
      <c r="P389" s="68"/>
    </row>
    <row r="390" spans="1:16" s="66" customFormat="1" ht="25.5" customHeight="1">
      <c r="A390" s="366" t="s">
        <v>199</v>
      </c>
      <c r="B390" s="171" t="s">
        <v>896</v>
      </c>
      <c r="C390" s="67"/>
      <c r="D390" s="67"/>
      <c r="E390" s="67"/>
      <c r="F390" s="67"/>
      <c r="G390" s="68"/>
      <c r="H390" s="67"/>
      <c r="I390" s="67"/>
      <c r="J390" s="67"/>
      <c r="K390" s="68"/>
      <c r="L390" s="68"/>
      <c r="M390" s="68"/>
      <c r="N390" s="68"/>
      <c r="O390" s="67"/>
      <c r="P390" s="68"/>
    </row>
    <row r="391" spans="1:16" s="66" customFormat="1" ht="25.5" customHeight="1">
      <c r="A391" s="67">
        <v>1</v>
      </c>
      <c r="B391" s="68" t="s">
        <v>895</v>
      </c>
      <c r="C391" s="67" t="s">
        <v>71</v>
      </c>
      <c r="D391" s="67">
        <v>2022</v>
      </c>
      <c r="E391" s="67">
        <v>1</v>
      </c>
      <c r="F391" s="67">
        <v>1</v>
      </c>
      <c r="G391" s="67">
        <v>1</v>
      </c>
      <c r="H391" s="67">
        <v>0</v>
      </c>
      <c r="I391" s="354">
        <v>8965000</v>
      </c>
      <c r="J391" s="354">
        <v>8965000</v>
      </c>
      <c r="K391" s="67" t="s">
        <v>631</v>
      </c>
      <c r="L391" s="67" t="s">
        <v>931</v>
      </c>
      <c r="M391" s="67" t="s">
        <v>649</v>
      </c>
      <c r="N391" s="68"/>
      <c r="O391" s="67"/>
      <c r="P391" s="68"/>
    </row>
    <row r="392" spans="1:16" s="66" customFormat="1" ht="25.5" customHeight="1">
      <c r="A392" s="366" t="s">
        <v>670</v>
      </c>
      <c r="B392" s="171" t="s">
        <v>898</v>
      </c>
      <c r="C392" s="67"/>
      <c r="D392" s="67"/>
      <c r="E392" s="67"/>
      <c r="F392" s="67"/>
      <c r="G392" s="68"/>
      <c r="H392" s="67"/>
      <c r="I392" s="67"/>
      <c r="J392" s="67"/>
      <c r="K392" s="68"/>
      <c r="L392" s="68"/>
      <c r="M392" s="68"/>
      <c r="N392" s="68"/>
      <c r="O392" s="67"/>
      <c r="P392" s="68"/>
    </row>
    <row r="393" spans="1:16" s="66" customFormat="1" ht="25.5" customHeight="1">
      <c r="A393" s="67">
        <v>1</v>
      </c>
      <c r="B393" s="68" t="s">
        <v>895</v>
      </c>
      <c r="C393" s="67" t="s">
        <v>71</v>
      </c>
      <c r="D393" s="67">
        <v>2022</v>
      </c>
      <c r="E393" s="67">
        <v>1</v>
      </c>
      <c r="F393" s="67">
        <v>1</v>
      </c>
      <c r="G393" s="67">
        <v>1</v>
      </c>
      <c r="H393" s="67">
        <v>0</v>
      </c>
      <c r="I393" s="354">
        <v>8965000</v>
      </c>
      <c r="J393" s="354">
        <v>8965000</v>
      </c>
      <c r="K393" s="67" t="s">
        <v>631</v>
      </c>
      <c r="L393" s="67" t="s">
        <v>933</v>
      </c>
      <c r="M393" s="67" t="s">
        <v>649</v>
      </c>
      <c r="N393" s="68"/>
      <c r="O393" s="67"/>
      <c r="P393" s="68"/>
    </row>
    <row r="394" spans="1:16" s="131" customFormat="1" ht="14.25" customHeight="1">
      <c r="A394" s="103"/>
      <c r="B394" s="103"/>
      <c r="C394" s="103"/>
      <c r="D394" s="312"/>
      <c r="E394" s="312"/>
      <c r="F394" s="129"/>
      <c r="G394" s="312"/>
      <c r="H394" s="312"/>
      <c r="I394" s="347"/>
      <c r="J394" s="347"/>
      <c r="K394" s="130"/>
      <c r="L394" s="405" t="s">
        <v>1164</v>
      </c>
      <c r="M394" s="405"/>
      <c r="N394" s="405"/>
      <c r="O394" s="405"/>
      <c r="P394" s="405"/>
    </row>
    <row r="395" spans="1:16" s="73" customFormat="1">
      <c r="A395" s="103" t="s">
        <v>633</v>
      </c>
      <c r="B395" s="103"/>
      <c r="C395" s="397" t="s">
        <v>967</v>
      </c>
      <c r="D395" s="397"/>
      <c r="E395" s="397"/>
      <c r="F395" s="397"/>
      <c r="G395" s="397"/>
      <c r="H395" s="397" t="s">
        <v>772</v>
      </c>
      <c r="I395" s="397"/>
      <c r="J395" s="397"/>
      <c r="K395" s="397"/>
      <c r="L395" s="397"/>
      <c r="M395" s="397"/>
      <c r="N395" s="397" t="s">
        <v>773</v>
      </c>
      <c r="O395" s="397"/>
      <c r="P395" s="397"/>
    </row>
    <row r="396" spans="1:16" s="73" customFormat="1">
      <c r="A396" s="389" t="s">
        <v>959</v>
      </c>
      <c r="B396" s="389"/>
      <c r="C396" s="312"/>
      <c r="D396" s="312"/>
      <c r="E396" s="312"/>
      <c r="F396" s="312"/>
      <c r="G396" s="312"/>
      <c r="H396" s="312"/>
      <c r="I396" s="347"/>
      <c r="J396" s="347"/>
      <c r="K396" s="312"/>
      <c r="L396" s="312"/>
      <c r="M396" s="312"/>
      <c r="N396" s="312"/>
      <c r="O396" s="317"/>
    </row>
    <row r="397" spans="1:16" s="73" customFormat="1" ht="20.25" customHeight="1">
      <c r="A397" s="389" t="s">
        <v>960</v>
      </c>
      <c r="B397" s="389"/>
      <c r="C397" s="312"/>
      <c r="D397" s="312"/>
      <c r="E397" s="312"/>
      <c r="F397" s="312"/>
      <c r="G397" s="312"/>
      <c r="H397" s="312"/>
      <c r="I397" s="347"/>
      <c r="J397" s="347"/>
      <c r="K397" s="312"/>
      <c r="L397" s="312"/>
      <c r="M397" s="312"/>
      <c r="N397" s="312"/>
      <c r="O397" s="317"/>
    </row>
    <row r="398" spans="1:16" s="73" customFormat="1" ht="20.25" customHeight="1">
      <c r="A398" s="389" t="s">
        <v>1012</v>
      </c>
      <c r="B398" s="389"/>
      <c r="C398" s="312"/>
      <c r="D398" s="312"/>
      <c r="E398" s="312"/>
      <c r="F398" s="312"/>
      <c r="G398" s="312"/>
      <c r="H398" s="312"/>
      <c r="I398" s="347"/>
      <c r="J398" s="347"/>
      <c r="K398" s="312"/>
      <c r="L398" s="312"/>
      <c r="M398" s="312"/>
      <c r="N398" s="312"/>
      <c r="O398" s="317"/>
    </row>
    <row r="399" spans="1:16" s="73" customFormat="1" ht="20.25" customHeight="1">
      <c r="A399" s="389" t="s">
        <v>1133</v>
      </c>
      <c r="B399" s="389"/>
      <c r="C399" s="312"/>
      <c r="D399" s="312"/>
      <c r="E399" s="312"/>
      <c r="F399" s="312"/>
      <c r="G399" s="312"/>
      <c r="H399" s="312"/>
      <c r="I399" s="347"/>
      <c r="J399" s="347"/>
      <c r="K399" s="312"/>
      <c r="L399" s="312"/>
      <c r="M399" s="312"/>
      <c r="N399" s="103"/>
      <c r="O399" s="317"/>
      <c r="P399" s="103"/>
    </row>
    <row r="400" spans="1:16" s="73" customFormat="1" ht="20.25" customHeight="1">
      <c r="A400" s="389" t="s">
        <v>1161</v>
      </c>
      <c r="B400" s="389"/>
      <c r="C400" s="397" t="s">
        <v>968</v>
      </c>
      <c r="D400" s="397"/>
      <c r="E400" s="397"/>
      <c r="F400" s="397"/>
      <c r="G400" s="397"/>
      <c r="H400" s="397" t="s">
        <v>1046</v>
      </c>
      <c r="I400" s="397"/>
      <c r="J400" s="397"/>
      <c r="K400" s="397"/>
      <c r="L400" s="397"/>
      <c r="M400" s="397"/>
      <c r="N400" s="397" t="s">
        <v>1005</v>
      </c>
      <c r="O400" s="397"/>
      <c r="P400" s="397"/>
    </row>
    <row r="401" spans="7:7">
      <c r="G401" s="65">
        <f>SUBTOTAL(9,G33:G349)</f>
        <v>611</v>
      </c>
    </row>
  </sheetData>
  <autoFilter ref="A14:AL400" xr:uid="{F1A60B61-5833-472C-B238-22E1B1EC0FC6}">
    <filterColumn colId="4" showButton="0"/>
  </autoFilter>
  <mergeCells count="44">
    <mergeCell ref="I14:I15"/>
    <mergeCell ref="J14:J15"/>
    <mergeCell ref="O90:O94"/>
    <mergeCell ref="O360:O361"/>
    <mergeCell ref="O370:O372"/>
    <mergeCell ref="P374:P375"/>
    <mergeCell ref="O382:O384"/>
    <mergeCell ref="L394:P394"/>
    <mergeCell ref="H395:M395"/>
    <mergeCell ref="N395:P395"/>
    <mergeCell ref="A12:B12"/>
    <mergeCell ref="A14:A15"/>
    <mergeCell ref="B14:B15"/>
    <mergeCell ref="C14:C15"/>
    <mergeCell ref="D14:D15"/>
    <mergeCell ref="E14:F14"/>
    <mergeCell ref="M14:M15"/>
    <mergeCell ref="N14:N15"/>
    <mergeCell ref="O14:O15"/>
    <mergeCell ref="P14:P15"/>
    <mergeCell ref="K14:K15"/>
    <mergeCell ref="L14:L15"/>
    <mergeCell ref="B131:C131"/>
    <mergeCell ref="A8:C8"/>
    <mergeCell ref="A9:B9"/>
    <mergeCell ref="A10:B10"/>
    <mergeCell ref="A11:B11"/>
    <mergeCell ref="A7:AL7"/>
    <mergeCell ref="H1:P1"/>
    <mergeCell ref="H2:P2"/>
    <mergeCell ref="A3:AL3"/>
    <mergeCell ref="H4:P4"/>
    <mergeCell ref="A6:P6"/>
    <mergeCell ref="B178:D178"/>
    <mergeCell ref="A397:B397"/>
    <mergeCell ref="A398:B398"/>
    <mergeCell ref="A13:B13"/>
    <mergeCell ref="A396:B396"/>
    <mergeCell ref="N400:P400"/>
    <mergeCell ref="A399:B399"/>
    <mergeCell ref="C395:G395"/>
    <mergeCell ref="C400:G400"/>
    <mergeCell ref="A400:B400"/>
    <mergeCell ref="H400:M400"/>
  </mergeCells>
  <pageMargins left="0" right="0" top="0.5" bottom="0" header="0.31496062992126" footer="0.31496062992126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AL60"/>
  <sheetViews>
    <sheetView topLeftCell="A10" zoomScale="80" zoomScaleNormal="80" workbookViewId="0">
      <selection activeCell="B42" sqref="B42"/>
    </sheetView>
  </sheetViews>
  <sheetFormatPr defaultColWidth="9.140625" defaultRowHeight="16.5"/>
  <cols>
    <col min="1" max="1" width="7.140625" style="107" customWidth="1"/>
    <col min="2" max="2" width="45.7109375" style="107" customWidth="1"/>
    <col min="3" max="4" width="9.42578125" style="107" customWidth="1"/>
    <col min="5" max="5" width="9.140625" style="107" customWidth="1"/>
    <col min="6" max="6" width="9.140625" style="107" hidden="1" customWidth="1"/>
    <col min="7" max="8" width="9.140625" style="107" customWidth="1"/>
    <col min="9" max="10" width="17.140625" style="107" customWidth="1"/>
    <col min="11" max="11" width="10.42578125" style="107" customWidth="1"/>
    <col min="12" max="12" width="15.28515625" style="107" customWidth="1"/>
    <col min="13" max="13" width="11.140625" style="107" customWidth="1"/>
    <col min="14" max="14" width="10.5703125" style="107" customWidth="1"/>
    <col min="15" max="15" width="13.140625" style="107" customWidth="1"/>
    <col min="16" max="16" width="0.140625" style="107" hidden="1" customWidth="1"/>
    <col min="17" max="17" width="18.140625" style="107" customWidth="1"/>
    <col min="18" max="16384" width="9.140625" style="107"/>
  </cols>
  <sheetData>
    <row r="1" spans="1:38" s="73" customFormat="1" ht="15.75" customHeight="1">
      <c r="A1" s="72" t="s">
        <v>641</v>
      </c>
      <c r="B1" s="72"/>
      <c r="C1" s="72"/>
      <c r="D1" s="72"/>
      <c r="E1" s="72"/>
      <c r="F1" s="72"/>
      <c r="G1" s="72"/>
      <c r="H1" s="397" t="s">
        <v>642</v>
      </c>
      <c r="I1" s="397"/>
      <c r="J1" s="397"/>
      <c r="K1" s="397"/>
      <c r="L1" s="397"/>
      <c r="M1" s="397"/>
      <c r="N1" s="397"/>
      <c r="O1" s="397"/>
      <c r="P1" s="397"/>
      <c r="Q1" s="312"/>
      <c r="R1" s="312"/>
      <c r="S1" s="312"/>
      <c r="V1" s="72"/>
      <c r="W1" s="72"/>
      <c r="X1" s="72"/>
      <c r="Y1" s="72"/>
    </row>
    <row r="2" spans="1:38" s="73" customFormat="1" ht="15" customHeight="1">
      <c r="A2" s="72" t="s">
        <v>596</v>
      </c>
      <c r="B2" s="72"/>
      <c r="C2" s="72"/>
      <c r="D2" s="72"/>
      <c r="E2" s="72"/>
      <c r="F2" s="72"/>
      <c r="G2" s="72"/>
      <c r="H2" s="398"/>
      <c r="I2" s="398"/>
      <c r="J2" s="398"/>
      <c r="K2" s="398"/>
      <c r="L2" s="398"/>
      <c r="M2" s="398"/>
      <c r="N2" s="398"/>
      <c r="O2" s="398"/>
      <c r="P2" s="398"/>
      <c r="Q2" s="313"/>
      <c r="R2" s="313"/>
      <c r="S2" s="313"/>
      <c r="V2" s="72"/>
      <c r="W2" s="72"/>
      <c r="X2" s="72"/>
      <c r="Y2" s="72"/>
    </row>
    <row r="3" spans="1:38" s="73" customFormat="1" ht="22.5" hidden="1" customHeight="1">
      <c r="A3" s="397" t="s">
        <v>644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397"/>
      <c r="AD3" s="397"/>
      <c r="AE3" s="397"/>
      <c r="AF3" s="397"/>
      <c r="AG3" s="397"/>
      <c r="AH3" s="397"/>
      <c r="AI3" s="397"/>
      <c r="AJ3" s="397"/>
      <c r="AK3" s="397"/>
    </row>
    <row r="4" spans="1:38" s="73" customFormat="1" ht="15" customHeight="1">
      <c r="A4" s="312"/>
      <c r="B4" s="312"/>
      <c r="C4" s="312"/>
      <c r="D4" s="312"/>
      <c r="E4" s="312"/>
      <c r="F4" s="312"/>
      <c r="G4" s="312"/>
      <c r="H4" s="398"/>
      <c r="I4" s="398"/>
      <c r="J4" s="398"/>
      <c r="K4" s="398"/>
      <c r="L4" s="398"/>
      <c r="M4" s="398"/>
      <c r="N4" s="398"/>
      <c r="O4" s="398"/>
      <c r="P4" s="398"/>
      <c r="W4" s="312"/>
      <c r="X4" s="312"/>
      <c r="Y4" s="312"/>
      <c r="Z4" s="312"/>
    </row>
    <row r="5" spans="1:38" s="73" customFormat="1" ht="15" customHeight="1">
      <c r="A5" s="312"/>
      <c r="B5" s="312"/>
      <c r="C5" s="312"/>
      <c r="D5" s="312"/>
      <c r="E5" s="312"/>
      <c r="F5" s="312"/>
      <c r="G5" s="312"/>
      <c r="H5" s="313"/>
      <c r="I5" s="348"/>
      <c r="J5" s="348"/>
      <c r="K5" s="313"/>
      <c r="L5" s="313"/>
      <c r="M5" s="313"/>
      <c r="N5" s="313"/>
      <c r="O5" s="204"/>
      <c r="P5" s="313"/>
      <c r="W5" s="312"/>
      <c r="X5" s="312"/>
      <c r="Y5" s="312"/>
      <c r="Z5" s="312"/>
    </row>
    <row r="6" spans="1:38" s="73" customFormat="1" ht="48" customHeight="1">
      <c r="A6" s="399" t="s">
        <v>1165</v>
      </c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</row>
    <row r="7" spans="1:38" s="73" customFormat="1" ht="18" customHeight="1">
      <c r="A7" s="436" t="s">
        <v>1166</v>
      </c>
      <c r="B7" s="436"/>
      <c r="C7" s="436"/>
      <c r="D7" s="436"/>
      <c r="E7" s="436"/>
      <c r="F7" s="436"/>
      <c r="G7" s="436"/>
      <c r="H7" s="436"/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  <c r="AB7" s="436"/>
      <c r="AC7" s="436"/>
      <c r="AD7" s="436"/>
      <c r="AE7" s="436"/>
      <c r="AF7" s="436"/>
      <c r="AG7" s="436"/>
      <c r="AH7" s="436"/>
      <c r="AI7" s="436"/>
      <c r="AJ7" s="436"/>
      <c r="AK7" s="436"/>
      <c r="AL7" s="436"/>
    </row>
    <row r="8" spans="1:38" s="73" customFormat="1" ht="15" customHeight="1">
      <c r="A8" s="393" t="s">
        <v>1002</v>
      </c>
      <c r="B8" s="393"/>
      <c r="C8" s="393"/>
      <c r="D8" s="73" t="s">
        <v>1003</v>
      </c>
      <c r="E8" s="312"/>
      <c r="H8" s="311"/>
      <c r="I8" s="346"/>
      <c r="J8" s="346"/>
      <c r="K8" s="312"/>
      <c r="M8" s="76" t="s">
        <v>600</v>
      </c>
      <c r="N8" s="312"/>
      <c r="O8" s="204"/>
      <c r="T8" s="311"/>
      <c r="U8" s="77"/>
      <c r="X8" s="78"/>
      <c r="Y8" s="312"/>
      <c r="AA8" s="312"/>
      <c r="AB8" s="312"/>
      <c r="AC8" s="311"/>
      <c r="AG8" s="313"/>
      <c r="AH8" s="311" t="s">
        <v>600</v>
      </c>
      <c r="AI8" s="313"/>
      <c r="AJ8" s="313"/>
      <c r="AK8" s="79"/>
    </row>
    <row r="9" spans="1:38" s="73" customFormat="1" ht="15.75">
      <c r="A9" s="393" t="s">
        <v>1045</v>
      </c>
      <c r="B9" s="393"/>
      <c r="D9" s="73" t="s">
        <v>602</v>
      </c>
      <c r="F9" s="313"/>
      <c r="G9" s="313"/>
      <c r="H9" s="313"/>
      <c r="I9" s="348"/>
      <c r="J9" s="348"/>
      <c r="K9" s="312"/>
      <c r="L9" s="313"/>
      <c r="M9" s="83" t="s">
        <v>603</v>
      </c>
      <c r="N9" s="312"/>
      <c r="O9" s="74"/>
      <c r="U9" s="311"/>
      <c r="V9" s="77"/>
      <c r="Y9" s="78"/>
      <c r="Z9" s="312"/>
      <c r="AB9" s="312"/>
      <c r="AC9" s="312"/>
      <c r="AD9" s="311"/>
      <c r="AH9" s="313"/>
      <c r="AI9" s="311" t="s">
        <v>603</v>
      </c>
      <c r="AJ9" s="313"/>
      <c r="AK9" s="313"/>
      <c r="AL9" s="79"/>
    </row>
    <row r="10" spans="1:38" s="73" customFormat="1" ht="15" customHeight="1">
      <c r="A10" s="393" t="s">
        <v>604</v>
      </c>
      <c r="B10" s="393"/>
      <c r="D10" s="73" t="s">
        <v>605</v>
      </c>
      <c r="E10" s="312"/>
      <c r="H10" s="311"/>
      <c r="I10" s="346"/>
      <c r="J10" s="346"/>
      <c r="K10" s="312"/>
      <c r="M10" s="76" t="s">
        <v>606</v>
      </c>
      <c r="N10" s="312"/>
      <c r="O10" s="204"/>
      <c r="T10" s="311"/>
      <c r="U10" s="77"/>
      <c r="X10" s="78"/>
      <c r="Y10" s="312"/>
      <c r="AA10" s="312"/>
      <c r="AB10" s="312"/>
      <c r="AC10" s="311"/>
      <c r="AG10" s="313"/>
      <c r="AH10" s="311" t="s">
        <v>606</v>
      </c>
      <c r="AI10" s="313"/>
      <c r="AJ10" s="313"/>
      <c r="AK10" s="79"/>
    </row>
    <row r="11" spans="1:38" s="73" customFormat="1" ht="15" customHeight="1">
      <c r="A11" s="393" t="s">
        <v>966</v>
      </c>
      <c r="B11" s="393"/>
      <c r="D11" s="73" t="s">
        <v>967</v>
      </c>
      <c r="M11" s="76" t="s">
        <v>607</v>
      </c>
      <c r="O11" s="204"/>
      <c r="AG11" s="313"/>
      <c r="AH11" s="311" t="s">
        <v>607</v>
      </c>
      <c r="AI11" s="313"/>
      <c r="AJ11" s="313"/>
    </row>
    <row r="12" spans="1:38" s="73" customFormat="1" ht="15" customHeight="1">
      <c r="A12" s="393" t="s">
        <v>608</v>
      </c>
      <c r="B12" s="393"/>
      <c r="O12" s="204"/>
      <c r="AG12" s="313"/>
      <c r="AH12" s="313"/>
      <c r="AI12" s="313"/>
      <c r="AJ12" s="313"/>
    </row>
    <row r="13" spans="1:38" s="73" customFormat="1" ht="15.75" customHeight="1">
      <c r="A13" s="311" t="s">
        <v>609</v>
      </c>
      <c r="B13" s="311"/>
      <c r="C13" s="311"/>
      <c r="E13" s="313"/>
      <c r="F13" s="80"/>
      <c r="M13" s="313"/>
      <c r="O13" s="204"/>
      <c r="Y13" s="313"/>
      <c r="AB13" s="81"/>
      <c r="AG13" s="313"/>
      <c r="AH13" s="313"/>
      <c r="AI13" s="313"/>
      <c r="AJ13" s="313"/>
      <c r="AK13" s="79"/>
    </row>
    <row r="14" spans="1:38" s="73" customFormat="1" ht="12.75" customHeight="1">
      <c r="A14" s="205"/>
      <c r="B14" s="311"/>
      <c r="C14" s="311"/>
      <c r="E14" s="313"/>
      <c r="F14" s="80"/>
      <c r="M14" s="313"/>
      <c r="O14" s="204"/>
      <c r="Y14" s="313"/>
      <c r="AB14" s="81"/>
      <c r="AG14" s="313"/>
      <c r="AH14" s="313"/>
      <c r="AI14" s="313"/>
      <c r="AJ14" s="313"/>
      <c r="AK14" s="79"/>
    </row>
    <row r="15" spans="1:38" s="83" customFormat="1" ht="39" customHeight="1">
      <c r="A15" s="425" t="s">
        <v>610</v>
      </c>
      <c r="B15" s="446" t="s">
        <v>611</v>
      </c>
      <c r="C15" s="425" t="s">
        <v>923</v>
      </c>
      <c r="D15" s="425" t="s">
        <v>613</v>
      </c>
      <c r="E15" s="425" t="s">
        <v>614</v>
      </c>
      <c r="F15" s="427"/>
      <c r="G15" s="82" t="s">
        <v>615</v>
      </c>
      <c r="H15" s="82" t="s">
        <v>616</v>
      </c>
      <c r="I15" s="448" t="s">
        <v>1074</v>
      </c>
      <c r="J15" s="448" t="s">
        <v>1075</v>
      </c>
      <c r="K15" s="425" t="s">
        <v>617</v>
      </c>
      <c r="L15" s="425" t="s">
        <v>618</v>
      </c>
      <c r="M15" s="425" t="s">
        <v>619</v>
      </c>
      <c r="N15" s="425" t="s">
        <v>620</v>
      </c>
      <c r="O15" s="425" t="s">
        <v>961</v>
      </c>
      <c r="P15" s="126"/>
    </row>
    <row r="16" spans="1:38" s="83" customFormat="1" ht="38.25" hidden="1" customHeight="1">
      <c r="A16" s="427"/>
      <c r="B16" s="447"/>
      <c r="C16" s="425"/>
      <c r="D16" s="427"/>
      <c r="E16" s="315" t="s">
        <v>7</v>
      </c>
      <c r="F16" s="82" t="s">
        <v>622</v>
      </c>
      <c r="G16" s="315" t="s">
        <v>7</v>
      </c>
      <c r="H16" s="315" t="s">
        <v>7</v>
      </c>
      <c r="I16" s="449"/>
      <c r="J16" s="449"/>
      <c r="K16" s="426"/>
      <c r="L16" s="426"/>
      <c r="M16" s="425"/>
      <c r="N16" s="425"/>
      <c r="O16" s="426"/>
      <c r="P16" s="126"/>
    </row>
    <row r="17" spans="1:16" s="166" customFormat="1" ht="21.75" hidden="1" customHeight="1">
      <c r="A17" s="450" t="s">
        <v>3</v>
      </c>
      <c r="B17" s="450"/>
      <c r="C17" s="450"/>
      <c r="D17" s="450"/>
      <c r="E17" s="450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165"/>
    </row>
    <row r="18" spans="1:16" s="207" customFormat="1" ht="24.75" hidden="1" customHeight="1">
      <c r="A18" s="339" t="s">
        <v>10</v>
      </c>
      <c r="B18" s="340" t="s">
        <v>85</v>
      </c>
      <c r="C18" s="339"/>
      <c r="D18" s="341"/>
      <c r="E18" s="339"/>
      <c r="F18" s="339"/>
      <c r="G18" s="339"/>
      <c r="H18" s="342"/>
      <c r="I18" s="342"/>
      <c r="J18" s="342"/>
      <c r="K18" s="342"/>
      <c r="L18" s="342"/>
      <c r="M18" s="342"/>
      <c r="N18" s="342"/>
      <c r="O18" s="342"/>
      <c r="P18" s="168"/>
    </row>
    <row r="19" spans="1:16" s="207" customFormat="1" ht="24.75" hidden="1" customHeight="1">
      <c r="A19" s="90">
        <v>1</v>
      </c>
      <c r="B19" s="91" t="s">
        <v>506</v>
      </c>
      <c r="C19" s="90" t="s">
        <v>71</v>
      </c>
      <c r="D19" s="84">
        <v>2022</v>
      </c>
      <c r="E19" s="90">
        <v>4</v>
      </c>
      <c r="F19" s="90">
        <v>4</v>
      </c>
      <c r="G19" s="90">
        <v>4</v>
      </c>
      <c r="H19" s="84">
        <v>0</v>
      </c>
      <c r="I19" s="84"/>
      <c r="J19" s="84"/>
      <c r="K19" s="84" t="s">
        <v>631</v>
      </c>
      <c r="L19" s="84" t="s">
        <v>949</v>
      </c>
      <c r="M19" s="84" t="s">
        <v>649</v>
      </c>
      <c r="N19" s="85"/>
      <c r="O19" s="85"/>
      <c r="P19" s="168"/>
    </row>
    <row r="20" spans="1:16" s="207" customFormat="1" ht="24.75" hidden="1" customHeight="1">
      <c r="A20" s="90">
        <f t="shared" ref="A20:A52" si="0">+A19+1</f>
        <v>2</v>
      </c>
      <c r="B20" s="91" t="s">
        <v>101</v>
      </c>
      <c r="C20" s="90" t="s">
        <v>71</v>
      </c>
      <c r="D20" s="84">
        <v>2022</v>
      </c>
      <c r="E20" s="90">
        <v>1</v>
      </c>
      <c r="F20" s="90">
        <v>1</v>
      </c>
      <c r="G20" s="90">
        <v>1</v>
      </c>
      <c r="H20" s="84">
        <v>0</v>
      </c>
      <c r="I20" s="84"/>
      <c r="J20" s="84"/>
      <c r="K20" s="84" t="s">
        <v>631</v>
      </c>
      <c r="L20" s="84" t="s">
        <v>949</v>
      </c>
      <c r="M20" s="84" t="s">
        <v>649</v>
      </c>
      <c r="N20" s="85"/>
      <c r="O20" s="85"/>
      <c r="P20" s="168"/>
    </row>
    <row r="21" spans="1:16" s="207" customFormat="1" ht="24.75" hidden="1" customHeight="1">
      <c r="A21" s="90">
        <f t="shared" si="0"/>
        <v>3</v>
      </c>
      <c r="B21" s="91" t="s">
        <v>70</v>
      </c>
      <c r="C21" s="90" t="s">
        <v>71</v>
      </c>
      <c r="D21" s="84">
        <v>2022</v>
      </c>
      <c r="E21" s="90">
        <v>4</v>
      </c>
      <c r="F21" s="90">
        <v>4</v>
      </c>
      <c r="G21" s="90">
        <v>4</v>
      </c>
      <c r="H21" s="84">
        <v>0</v>
      </c>
      <c r="I21" s="84"/>
      <c r="J21" s="84"/>
      <c r="K21" s="84" t="s">
        <v>631</v>
      </c>
      <c r="L21" s="84" t="s">
        <v>949</v>
      </c>
      <c r="M21" s="84" t="s">
        <v>649</v>
      </c>
      <c r="N21" s="85"/>
      <c r="O21" s="85"/>
      <c r="P21" s="168"/>
    </row>
    <row r="22" spans="1:16" s="207" customFormat="1" ht="24.75" hidden="1" customHeight="1">
      <c r="A22" s="90">
        <f t="shared" si="0"/>
        <v>4</v>
      </c>
      <c r="B22" s="91" t="s">
        <v>102</v>
      </c>
      <c r="C22" s="90" t="s">
        <v>71</v>
      </c>
      <c r="D22" s="84">
        <v>2022</v>
      </c>
      <c r="E22" s="90">
        <v>1</v>
      </c>
      <c r="F22" s="90">
        <v>1</v>
      </c>
      <c r="G22" s="90">
        <v>1</v>
      </c>
      <c r="H22" s="84">
        <v>0</v>
      </c>
      <c r="I22" s="84"/>
      <c r="J22" s="84"/>
      <c r="K22" s="84" t="s">
        <v>631</v>
      </c>
      <c r="L22" s="84" t="s">
        <v>949</v>
      </c>
      <c r="M22" s="84" t="s">
        <v>649</v>
      </c>
      <c r="N22" s="85"/>
      <c r="O22" s="85"/>
      <c r="P22" s="168"/>
    </row>
    <row r="23" spans="1:16" s="207" customFormat="1" ht="24.75" customHeight="1">
      <c r="A23" s="90">
        <f t="shared" si="0"/>
        <v>5</v>
      </c>
      <c r="B23" s="91" t="s">
        <v>947</v>
      </c>
      <c r="C23" s="90" t="s">
        <v>71</v>
      </c>
      <c r="D23" s="84">
        <v>2022</v>
      </c>
      <c r="E23" s="90">
        <v>1</v>
      </c>
      <c r="F23" s="90">
        <v>1</v>
      </c>
      <c r="G23" s="90">
        <v>1</v>
      </c>
      <c r="H23" s="84">
        <v>0</v>
      </c>
      <c r="I23" s="357">
        <v>15675000</v>
      </c>
      <c r="J23" s="359">
        <f>+G23*I23</f>
        <v>15675000</v>
      </c>
      <c r="K23" s="84" t="s">
        <v>631</v>
      </c>
      <c r="L23" s="84" t="s">
        <v>949</v>
      </c>
      <c r="M23" s="84" t="s">
        <v>649</v>
      </c>
      <c r="N23" s="85"/>
      <c r="O23" s="85"/>
      <c r="P23" s="168"/>
    </row>
    <row r="24" spans="1:16" s="207" customFormat="1" ht="24.75" hidden="1" customHeight="1">
      <c r="A24" s="90">
        <f t="shared" si="0"/>
        <v>6</v>
      </c>
      <c r="B24" s="91" t="s">
        <v>464</v>
      </c>
      <c r="C24" s="90" t="s">
        <v>71</v>
      </c>
      <c r="D24" s="84">
        <v>2022</v>
      </c>
      <c r="E24" s="90">
        <v>1</v>
      </c>
      <c r="F24" s="90">
        <v>1</v>
      </c>
      <c r="G24" s="90">
        <v>1</v>
      </c>
      <c r="H24" s="84">
        <v>0</v>
      </c>
      <c r="I24" s="84"/>
      <c r="J24" s="84"/>
      <c r="K24" s="84" t="s">
        <v>631</v>
      </c>
      <c r="L24" s="84" t="s">
        <v>949</v>
      </c>
      <c r="M24" s="84" t="s">
        <v>649</v>
      </c>
      <c r="N24" s="85"/>
      <c r="O24" s="85"/>
      <c r="P24" s="168"/>
    </row>
    <row r="25" spans="1:16" s="207" customFormat="1" ht="24.75" hidden="1" customHeight="1">
      <c r="A25" s="90">
        <f t="shared" si="0"/>
        <v>7</v>
      </c>
      <c r="B25" s="96" t="s">
        <v>319</v>
      </c>
      <c r="C25" s="90" t="s">
        <v>191</v>
      </c>
      <c r="D25" s="84">
        <v>2022</v>
      </c>
      <c r="E25" s="90">
        <v>1</v>
      </c>
      <c r="F25" s="90">
        <v>1</v>
      </c>
      <c r="G25" s="90">
        <v>1</v>
      </c>
      <c r="H25" s="84">
        <v>0</v>
      </c>
      <c r="I25" s="84"/>
      <c r="J25" s="84"/>
      <c r="K25" s="84" t="s">
        <v>631</v>
      </c>
      <c r="L25" s="84" t="s">
        <v>949</v>
      </c>
      <c r="M25" s="84" t="s">
        <v>649</v>
      </c>
      <c r="N25" s="85"/>
      <c r="O25" s="85"/>
      <c r="P25" s="168"/>
    </row>
    <row r="26" spans="1:16" s="207" customFormat="1" ht="24.75" hidden="1" customHeight="1">
      <c r="A26" s="90">
        <f t="shared" si="0"/>
        <v>8</v>
      </c>
      <c r="B26" s="71" t="s">
        <v>342</v>
      </c>
      <c r="C26" s="90" t="s">
        <v>191</v>
      </c>
      <c r="D26" s="84">
        <v>2022</v>
      </c>
      <c r="E26" s="90">
        <v>2</v>
      </c>
      <c r="F26" s="90">
        <v>2</v>
      </c>
      <c r="G26" s="90">
        <v>2</v>
      </c>
      <c r="H26" s="84">
        <v>0</v>
      </c>
      <c r="I26" s="84"/>
      <c r="J26" s="84"/>
      <c r="K26" s="84" t="s">
        <v>631</v>
      </c>
      <c r="L26" s="84" t="s">
        <v>949</v>
      </c>
      <c r="M26" s="84" t="s">
        <v>649</v>
      </c>
      <c r="N26" s="85"/>
      <c r="O26" s="85"/>
      <c r="P26" s="168"/>
    </row>
    <row r="27" spans="1:16" s="207" customFormat="1" ht="24.75" hidden="1" customHeight="1">
      <c r="A27" s="339" t="s">
        <v>193</v>
      </c>
      <c r="B27" s="340" t="s">
        <v>514</v>
      </c>
      <c r="C27" s="339"/>
      <c r="D27" s="341"/>
      <c r="E27" s="339"/>
      <c r="F27" s="339"/>
      <c r="G27" s="339"/>
      <c r="H27" s="341"/>
      <c r="I27" s="341"/>
      <c r="J27" s="341"/>
      <c r="K27" s="342"/>
      <c r="L27" s="342"/>
      <c r="M27" s="342"/>
      <c r="N27" s="342"/>
      <c r="O27" s="342"/>
      <c r="P27" s="168"/>
    </row>
    <row r="28" spans="1:16" s="207" customFormat="1" ht="24.75" hidden="1" customHeight="1">
      <c r="A28" s="90">
        <v>1</v>
      </c>
      <c r="B28" s="91" t="s">
        <v>506</v>
      </c>
      <c r="C28" s="90" t="s">
        <v>71</v>
      </c>
      <c r="D28" s="84">
        <v>2022</v>
      </c>
      <c r="E28" s="90">
        <v>6</v>
      </c>
      <c r="F28" s="90">
        <v>6</v>
      </c>
      <c r="G28" s="90">
        <v>6</v>
      </c>
      <c r="H28" s="84">
        <v>0</v>
      </c>
      <c r="I28" s="84"/>
      <c r="J28" s="84"/>
      <c r="K28" s="84" t="s">
        <v>631</v>
      </c>
      <c r="L28" s="84" t="s">
        <v>950</v>
      </c>
      <c r="M28" s="84" t="s">
        <v>649</v>
      </c>
      <c r="N28" s="85"/>
      <c r="O28" s="85"/>
      <c r="P28" s="168"/>
    </row>
    <row r="29" spans="1:16" s="207" customFormat="1" ht="24.75" hidden="1" customHeight="1">
      <c r="A29" s="90">
        <f t="shared" si="0"/>
        <v>2</v>
      </c>
      <c r="B29" s="91" t="s">
        <v>75</v>
      </c>
      <c r="C29" s="90" t="s">
        <v>71</v>
      </c>
      <c r="D29" s="84">
        <v>2022</v>
      </c>
      <c r="E29" s="90">
        <v>2</v>
      </c>
      <c r="F29" s="90">
        <v>2</v>
      </c>
      <c r="G29" s="90">
        <v>2</v>
      </c>
      <c r="H29" s="84">
        <v>0</v>
      </c>
      <c r="I29" s="84"/>
      <c r="J29" s="84"/>
      <c r="K29" s="84" t="s">
        <v>631</v>
      </c>
      <c r="L29" s="84" t="s">
        <v>950</v>
      </c>
      <c r="M29" s="84" t="s">
        <v>649</v>
      </c>
      <c r="N29" s="85"/>
      <c r="O29" s="85"/>
      <c r="P29" s="168"/>
    </row>
    <row r="30" spans="1:16" s="207" customFormat="1" ht="24.75" hidden="1" customHeight="1">
      <c r="A30" s="90">
        <f t="shared" si="0"/>
        <v>3</v>
      </c>
      <c r="B30" s="91" t="s">
        <v>101</v>
      </c>
      <c r="C30" s="90" t="s">
        <v>71</v>
      </c>
      <c r="D30" s="84">
        <v>2022</v>
      </c>
      <c r="E30" s="90">
        <v>1</v>
      </c>
      <c r="F30" s="90">
        <v>1</v>
      </c>
      <c r="G30" s="90">
        <v>1</v>
      </c>
      <c r="H30" s="84">
        <v>0</v>
      </c>
      <c r="I30" s="84"/>
      <c r="J30" s="84"/>
      <c r="K30" s="84" t="s">
        <v>631</v>
      </c>
      <c r="L30" s="84" t="s">
        <v>950</v>
      </c>
      <c r="M30" s="84" t="s">
        <v>649</v>
      </c>
      <c r="N30" s="85"/>
      <c r="O30" s="85"/>
      <c r="P30" s="168"/>
    </row>
    <row r="31" spans="1:16" s="207" customFormat="1" ht="24.75" hidden="1" customHeight="1">
      <c r="A31" s="90">
        <f t="shared" si="0"/>
        <v>4</v>
      </c>
      <c r="B31" s="91" t="s">
        <v>77</v>
      </c>
      <c r="C31" s="90" t="s">
        <v>71</v>
      </c>
      <c r="D31" s="84">
        <v>2022</v>
      </c>
      <c r="E31" s="90">
        <v>1</v>
      </c>
      <c r="F31" s="90">
        <v>1</v>
      </c>
      <c r="G31" s="90">
        <v>1</v>
      </c>
      <c r="H31" s="84">
        <v>0</v>
      </c>
      <c r="I31" s="84"/>
      <c r="J31" s="84"/>
      <c r="K31" s="84" t="s">
        <v>631</v>
      </c>
      <c r="L31" s="84" t="s">
        <v>950</v>
      </c>
      <c r="M31" s="84" t="s">
        <v>649</v>
      </c>
      <c r="N31" s="85"/>
      <c r="O31" s="85"/>
      <c r="P31" s="168"/>
    </row>
    <row r="32" spans="1:16" s="207" customFormat="1" ht="24.75" hidden="1" customHeight="1">
      <c r="A32" s="90">
        <f t="shared" si="0"/>
        <v>5</v>
      </c>
      <c r="B32" s="91" t="s">
        <v>70</v>
      </c>
      <c r="C32" s="90" t="s">
        <v>71</v>
      </c>
      <c r="D32" s="84">
        <v>2022</v>
      </c>
      <c r="E32" s="90">
        <v>10</v>
      </c>
      <c r="F32" s="90">
        <v>10</v>
      </c>
      <c r="G32" s="90">
        <v>10</v>
      </c>
      <c r="H32" s="84">
        <v>0</v>
      </c>
      <c r="I32" s="84"/>
      <c r="J32" s="84"/>
      <c r="K32" s="84" t="s">
        <v>631</v>
      </c>
      <c r="L32" s="84" t="s">
        <v>950</v>
      </c>
      <c r="M32" s="84" t="s">
        <v>649</v>
      </c>
      <c r="N32" s="85"/>
      <c r="O32" s="85"/>
      <c r="P32" s="168"/>
    </row>
    <row r="33" spans="1:17" s="207" customFormat="1" ht="24.75" hidden="1" customHeight="1">
      <c r="A33" s="90">
        <f t="shared" si="0"/>
        <v>6</v>
      </c>
      <c r="B33" s="91" t="s">
        <v>102</v>
      </c>
      <c r="C33" s="90" t="s">
        <v>71</v>
      </c>
      <c r="D33" s="84">
        <v>2022</v>
      </c>
      <c r="E33" s="90">
        <v>1</v>
      </c>
      <c r="F33" s="90">
        <v>1</v>
      </c>
      <c r="G33" s="90">
        <v>1</v>
      </c>
      <c r="H33" s="84">
        <v>0</v>
      </c>
      <c r="I33" s="84"/>
      <c r="J33" s="84"/>
      <c r="K33" s="84" t="s">
        <v>631</v>
      </c>
      <c r="L33" s="84" t="s">
        <v>950</v>
      </c>
      <c r="M33" s="84" t="s">
        <v>649</v>
      </c>
      <c r="N33" s="85"/>
      <c r="O33" s="85"/>
      <c r="P33" s="168"/>
    </row>
    <row r="34" spans="1:17" s="207" customFormat="1" ht="24.75" hidden="1" customHeight="1">
      <c r="A34" s="90">
        <f t="shared" si="0"/>
        <v>7</v>
      </c>
      <c r="B34" s="91" t="s">
        <v>464</v>
      </c>
      <c r="C34" s="90" t="s">
        <v>71</v>
      </c>
      <c r="D34" s="84">
        <v>2022</v>
      </c>
      <c r="E34" s="90">
        <v>1</v>
      </c>
      <c r="F34" s="90">
        <v>1</v>
      </c>
      <c r="G34" s="90">
        <v>1</v>
      </c>
      <c r="H34" s="84">
        <v>0</v>
      </c>
      <c r="I34" s="84"/>
      <c r="J34" s="84"/>
      <c r="K34" s="84" t="s">
        <v>631</v>
      </c>
      <c r="L34" s="84" t="s">
        <v>950</v>
      </c>
      <c r="M34" s="84" t="s">
        <v>649</v>
      </c>
      <c r="N34" s="85"/>
      <c r="O34" s="85"/>
      <c r="P34" s="168"/>
    </row>
    <row r="35" spans="1:17" s="207" customFormat="1" ht="24.75" customHeight="1">
      <c r="A35" s="90">
        <f t="shared" si="0"/>
        <v>8</v>
      </c>
      <c r="B35" s="91" t="s">
        <v>947</v>
      </c>
      <c r="C35" s="90" t="s">
        <v>71</v>
      </c>
      <c r="D35" s="84">
        <v>2022</v>
      </c>
      <c r="E35" s="90">
        <v>1</v>
      </c>
      <c r="F35" s="90">
        <v>1</v>
      </c>
      <c r="G35" s="90">
        <v>1</v>
      </c>
      <c r="H35" s="84">
        <v>0</v>
      </c>
      <c r="I35" s="357">
        <v>15675000</v>
      </c>
      <c r="J35" s="359">
        <f>+G35*I35</f>
        <v>15675000</v>
      </c>
      <c r="K35" s="84" t="s">
        <v>631</v>
      </c>
      <c r="L35" s="84" t="s">
        <v>950</v>
      </c>
      <c r="M35" s="84" t="s">
        <v>649</v>
      </c>
      <c r="N35" s="85"/>
      <c r="O35" s="85"/>
      <c r="P35" s="168"/>
    </row>
    <row r="36" spans="1:17" s="207" customFormat="1" ht="24.75" hidden="1" customHeight="1">
      <c r="A36" s="90">
        <f t="shared" si="0"/>
        <v>9</v>
      </c>
      <c r="B36" s="96" t="s">
        <v>319</v>
      </c>
      <c r="C36" s="90" t="s">
        <v>191</v>
      </c>
      <c r="D36" s="84">
        <v>2022</v>
      </c>
      <c r="E36" s="90">
        <v>4</v>
      </c>
      <c r="F36" s="90">
        <v>4</v>
      </c>
      <c r="G36" s="90">
        <v>4</v>
      </c>
      <c r="H36" s="84">
        <v>0</v>
      </c>
      <c r="I36" s="84"/>
      <c r="J36" s="84"/>
      <c r="K36" s="84" t="s">
        <v>631</v>
      </c>
      <c r="L36" s="84" t="s">
        <v>950</v>
      </c>
      <c r="M36" s="84" t="s">
        <v>649</v>
      </c>
      <c r="N36" s="85"/>
      <c r="O36" s="85"/>
      <c r="P36" s="168"/>
    </row>
    <row r="37" spans="1:17" s="207" customFormat="1" ht="24.75" hidden="1" customHeight="1">
      <c r="A37" s="90">
        <f t="shared" si="0"/>
        <v>10</v>
      </c>
      <c r="B37" s="71" t="s">
        <v>342</v>
      </c>
      <c r="C37" s="90" t="s">
        <v>191</v>
      </c>
      <c r="D37" s="84">
        <v>2022</v>
      </c>
      <c r="E37" s="90">
        <v>5</v>
      </c>
      <c r="F37" s="90">
        <v>5</v>
      </c>
      <c r="G37" s="90">
        <v>5</v>
      </c>
      <c r="H37" s="84">
        <v>0</v>
      </c>
      <c r="I37" s="84"/>
      <c r="J37" s="84"/>
      <c r="K37" s="84" t="s">
        <v>631</v>
      </c>
      <c r="L37" s="84" t="s">
        <v>950</v>
      </c>
      <c r="M37" s="84" t="s">
        <v>649</v>
      </c>
      <c r="N37" s="85"/>
      <c r="O37" s="85"/>
      <c r="P37" s="168"/>
      <c r="Q37" s="207">
        <v>-1</v>
      </c>
    </row>
    <row r="38" spans="1:17" s="207" customFormat="1" ht="24.75" hidden="1" customHeight="1">
      <c r="A38" s="90">
        <f t="shared" si="0"/>
        <v>11</v>
      </c>
      <c r="B38" s="91" t="s">
        <v>948</v>
      </c>
      <c r="C38" s="90" t="s">
        <v>71</v>
      </c>
      <c r="D38" s="84">
        <v>2022</v>
      </c>
      <c r="E38" s="90">
        <v>1</v>
      </c>
      <c r="F38" s="90">
        <v>1</v>
      </c>
      <c r="G38" s="90">
        <v>1</v>
      </c>
      <c r="H38" s="84">
        <v>0</v>
      </c>
      <c r="I38" s="354">
        <v>22275000</v>
      </c>
      <c r="J38" s="356">
        <f>+G38*I38</f>
        <v>22275000</v>
      </c>
      <c r="K38" s="84" t="s">
        <v>631</v>
      </c>
      <c r="L38" s="84" t="s">
        <v>950</v>
      </c>
      <c r="M38" s="84" t="s">
        <v>649</v>
      </c>
      <c r="N38" s="85"/>
      <c r="O38" s="85"/>
      <c r="P38" s="168"/>
    </row>
    <row r="39" spans="1:17" s="207" customFormat="1" ht="24.75" hidden="1" customHeight="1">
      <c r="A39" s="90">
        <f t="shared" si="0"/>
        <v>12</v>
      </c>
      <c r="B39" s="91" t="s">
        <v>467</v>
      </c>
      <c r="C39" s="90" t="s">
        <v>71</v>
      </c>
      <c r="D39" s="84">
        <v>2022</v>
      </c>
      <c r="E39" s="90">
        <v>1</v>
      </c>
      <c r="F39" s="90">
        <v>1</v>
      </c>
      <c r="G39" s="90">
        <v>1</v>
      </c>
      <c r="H39" s="84">
        <v>0</v>
      </c>
      <c r="I39" s="84"/>
      <c r="J39" s="84"/>
      <c r="K39" s="84" t="s">
        <v>631</v>
      </c>
      <c r="L39" s="84" t="s">
        <v>950</v>
      </c>
      <c r="M39" s="84" t="s">
        <v>649</v>
      </c>
      <c r="N39" s="85"/>
      <c r="O39" s="85"/>
      <c r="P39" s="168"/>
    </row>
    <row r="40" spans="1:17" s="207" customFormat="1" ht="24.75" hidden="1" customHeight="1">
      <c r="A40" s="90">
        <f t="shared" si="0"/>
        <v>13</v>
      </c>
      <c r="B40" s="91" t="s">
        <v>463</v>
      </c>
      <c r="C40" s="90" t="s">
        <v>71</v>
      </c>
      <c r="D40" s="84">
        <v>2022</v>
      </c>
      <c r="E40" s="90">
        <v>2</v>
      </c>
      <c r="F40" s="90">
        <v>2</v>
      </c>
      <c r="G40" s="90">
        <v>2</v>
      </c>
      <c r="H40" s="84">
        <v>0</v>
      </c>
      <c r="I40" s="84"/>
      <c r="J40" s="84"/>
      <c r="K40" s="84" t="s">
        <v>631</v>
      </c>
      <c r="L40" s="84" t="s">
        <v>950</v>
      </c>
      <c r="M40" s="84" t="s">
        <v>649</v>
      </c>
      <c r="N40" s="85"/>
      <c r="O40" s="85"/>
      <c r="P40" s="168"/>
    </row>
    <row r="41" spans="1:17" s="207" customFormat="1" ht="24.75" hidden="1" customHeight="1">
      <c r="A41" s="90">
        <f t="shared" si="0"/>
        <v>14</v>
      </c>
      <c r="B41" s="91" t="s">
        <v>515</v>
      </c>
      <c r="C41" s="90" t="s">
        <v>71</v>
      </c>
      <c r="D41" s="84">
        <v>2022</v>
      </c>
      <c r="E41" s="90">
        <v>1</v>
      </c>
      <c r="F41" s="90">
        <v>1</v>
      </c>
      <c r="G41" s="90">
        <v>1</v>
      </c>
      <c r="H41" s="84">
        <v>0</v>
      </c>
      <c r="I41" s="84"/>
      <c r="J41" s="84"/>
      <c r="K41" s="84" t="s">
        <v>631</v>
      </c>
      <c r="L41" s="84" t="s">
        <v>950</v>
      </c>
      <c r="M41" s="84" t="s">
        <v>649</v>
      </c>
      <c r="N41" s="85"/>
      <c r="O41" s="85"/>
      <c r="P41" s="168"/>
    </row>
    <row r="42" spans="1:17" s="207" customFormat="1" ht="24.75" hidden="1" customHeight="1">
      <c r="A42" s="90">
        <f t="shared" si="0"/>
        <v>15</v>
      </c>
      <c r="B42" s="91" t="s">
        <v>516</v>
      </c>
      <c r="C42" s="90" t="s">
        <v>71</v>
      </c>
      <c r="D42" s="84">
        <v>2022</v>
      </c>
      <c r="E42" s="90">
        <v>2</v>
      </c>
      <c r="F42" s="90">
        <v>2</v>
      </c>
      <c r="G42" s="90">
        <v>2</v>
      </c>
      <c r="H42" s="84">
        <v>0</v>
      </c>
      <c r="I42" s="84"/>
      <c r="J42" s="84"/>
      <c r="K42" s="84" t="s">
        <v>631</v>
      </c>
      <c r="L42" s="84" t="s">
        <v>950</v>
      </c>
      <c r="M42" s="84" t="s">
        <v>649</v>
      </c>
      <c r="N42" s="85"/>
      <c r="O42" s="85"/>
      <c r="P42" s="168"/>
    </row>
    <row r="43" spans="1:17" s="207" customFormat="1" ht="26.25" hidden="1" customHeight="1">
      <c r="A43" s="339" t="s">
        <v>670</v>
      </c>
      <c r="B43" s="340" t="s">
        <v>1031</v>
      </c>
      <c r="C43" s="343"/>
      <c r="D43" s="341"/>
      <c r="E43" s="343"/>
      <c r="F43" s="343"/>
      <c r="G43" s="343"/>
      <c r="H43" s="344"/>
      <c r="I43" s="344"/>
      <c r="J43" s="344"/>
      <c r="K43" s="345"/>
      <c r="L43" s="345"/>
      <c r="M43" s="345"/>
      <c r="N43" s="345"/>
      <c r="O43" s="345"/>
      <c r="P43" s="168"/>
    </row>
    <row r="44" spans="1:17" s="207" customFormat="1" ht="24.75" hidden="1" customHeight="1">
      <c r="A44" s="90">
        <v>1</v>
      </c>
      <c r="B44" s="91" t="s">
        <v>506</v>
      </c>
      <c r="C44" s="90" t="s">
        <v>71</v>
      </c>
      <c r="D44" s="84">
        <v>2022</v>
      </c>
      <c r="E44" s="90">
        <v>3</v>
      </c>
      <c r="F44" s="90">
        <v>3</v>
      </c>
      <c r="G44" s="90">
        <v>3</v>
      </c>
      <c r="H44" s="84">
        <v>0</v>
      </c>
      <c r="I44" s="84"/>
      <c r="J44" s="84"/>
      <c r="K44" s="84" t="s">
        <v>631</v>
      </c>
      <c r="L44" s="84" t="s">
        <v>951</v>
      </c>
      <c r="M44" s="84" t="s">
        <v>649</v>
      </c>
      <c r="N44" s="85"/>
      <c r="O44" s="85"/>
      <c r="P44" s="168"/>
    </row>
    <row r="45" spans="1:17" s="207" customFormat="1" ht="24.75" hidden="1" customHeight="1">
      <c r="A45" s="90">
        <f t="shared" si="0"/>
        <v>2</v>
      </c>
      <c r="B45" s="91" t="s">
        <v>101</v>
      </c>
      <c r="C45" s="90" t="s">
        <v>71</v>
      </c>
      <c r="D45" s="84">
        <v>2022</v>
      </c>
      <c r="E45" s="90">
        <v>1</v>
      </c>
      <c r="F45" s="90">
        <v>1</v>
      </c>
      <c r="G45" s="90">
        <v>1</v>
      </c>
      <c r="H45" s="84">
        <v>0</v>
      </c>
      <c r="I45" s="84"/>
      <c r="J45" s="84"/>
      <c r="K45" s="84" t="s">
        <v>631</v>
      </c>
      <c r="L45" s="84" t="s">
        <v>951</v>
      </c>
      <c r="M45" s="84" t="s">
        <v>649</v>
      </c>
      <c r="N45" s="85"/>
      <c r="O45" s="85"/>
      <c r="P45" s="168"/>
    </row>
    <row r="46" spans="1:17" s="207" customFormat="1" ht="24.75" hidden="1" customHeight="1">
      <c r="A46" s="90">
        <f t="shared" si="0"/>
        <v>3</v>
      </c>
      <c r="B46" s="91" t="s">
        <v>70</v>
      </c>
      <c r="C46" s="90" t="s">
        <v>71</v>
      </c>
      <c r="D46" s="84">
        <v>2022</v>
      </c>
      <c r="E46" s="90">
        <v>6</v>
      </c>
      <c r="F46" s="90">
        <v>6</v>
      </c>
      <c r="G46" s="90">
        <v>6</v>
      </c>
      <c r="H46" s="84">
        <v>0</v>
      </c>
      <c r="I46" s="84"/>
      <c r="J46" s="84"/>
      <c r="K46" s="84" t="s">
        <v>631</v>
      </c>
      <c r="L46" s="84" t="s">
        <v>951</v>
      </c>
      <c r="M46" s="84" t="s">
        <v>649</v>
      </c>
      <c r="N46" s="85"/>
      <c r="O46" s="85"/>
      <c r="P46" s="168"/>
    </row>
    <row r="47" spans="1:17" s="207" customFormat="1" ht="24.75" hidden="1" customHeight="1">
      <c r="A47" s="90">
        <f t="shared" si="0"/>
        <v>4</v>
      </c>
      <c r="B47" s="91" t="s">
        <v>67</v>
      </c>
      <c r="C47" s="90" t="s">
        <v>71</v>
      </c>
      <c r="D47" s="84">
        <v>2022</v>
      </c>
      <c r="E47" s="90">
        <v>1</v>
      </c>
      <c r="F47" s="90">
        <v>1</v>
      </c>
      <c r="G47" s="90">
        <v>1</v>
      </c>
      <c r="H47" s="84">
        <v>0</v>
      </c>
      <c r="I47" s="84"/>
      <c r="J47" s="84"/>
      <c r="K47" s="84" t="s">
        <v>631</v>
      </c>
      <c r="L47" s="84" t="s">
        <v>951</v>
      </c>
      <c r="M47" s="84" t="s">
        <v>649</v>
      </c>
      <c r="N47" s="85"/>
      <c r="O47" s="85"/>
      <c r="P47" s="168"/>
    </row>
    <row r="48" spans="1:17" s="207" customFormat="1" ht="24.75" customHeight="1">
      <c r="A48" s="90">
        <f t="shared" si="0"/>
        <v>5</v>
      </c>
      <c r="B48" s="91" t="s">
        <v>947</v>
      </c>
      <c r="C48" s="90" t="s">
        <v>71</v>
      </c>
      <c r="D48" s="84">
        <v>2022</v>
      </c>
      <c r="E48" s="90">
        <v>1</v>
      </c>
      <c r="F48" s="90">
        <v>1</v>
      </c>
      <c r="G48" s="90">
        <v>1</v>
      </c>
      <c r="H48" s="84">
        <v>0</v>
      </c>
      <c r="I48" s="357">
        <v>15675000</v>
      </c>
      <c r="J48" s="359">
        <f>+G48*I48</f>
        <v>15675000</v>
      </c>
      <c r="K48" s="84" t="s">
        <v>631</v>
      </c>
      <c r="L48" s="84" t="s">
        <v>951</v>
      </c>
      <c r="M48" s="84" t="s">
        <v>649</v>
      </c>
      <c r="N48" s="85"/>
      <c r="O48" s="85"/>
      <c r="P48" s="168"/>
    </row>
    <row r="49" spans="1:17" s="207" customFormat="1" ht="24.75" hidden="1" customHeight="1">
      <c r="A49" s="90">
        <f t="shared" si="0"/>
        <v>6</v>
      </c>
      <c r="B49" s="91" t="s">
        <v>382</v>
      </c>
      <c r="C49" s="90" t="s">
        <v>71</v>
      </c>
      <c r="D49" s="84">
        <v>2022</v>
      </c>
      <c r="E49" s="90">
        <v>2</v>
      </c>
      <c r="F49" s="90">
        <v>2</v>
      </c>
      <c r="G49" s="90">
        <v>2</v>
      </c>
      <c r="H49" s="84">
        <v>0</v>
      </c>
      <c r="I49" s="84"/>
      <c r="J49" s="84"/>
      <c r="K49" s="84" t="s">
        <v>631</v>
      </c>
      <c r="L49" s="84" t="s">
        <v>951</v>
      </c>
      <c r="M49" s="84" t="s">
        <v>649</v>
      </c>
      <c r="N49" s="85"/>
      <c r="O49" s="85"/>
      <c r="P49" s="168"/>
    </row>
    <row r="50" spans="1:17" s="207" customFormat="1" ht="24.75" hidden="1" customHeight="1">
      <c r="A50" s="90">
        <f t="shared" si="0"/>
        <v>7</v>
      </c>
      <c r="B50" s="91" t="s">
        <v>387</v>
      </c>
      <c r="C50" s="90" t="s">
        <v>71</v>
      </c>
      <c r="D50" s="84">
        <v>2022</v>
      </c>
      <c r="E50" s="90">
        <v>1</v>
      </c>
      <c r="F50" s="90">
        <v>1</v>
      </c>
      <c r="G50" s="90">
        <v>1</v>
      </c>
      <c r="H50" s="84">
        <v>0</v>
      </c>
      <c r="I50" s="84"/>
      <c r="J50" s="84"/>
      <c r="K50" s="84" t="s">
        <v>631</v>
      </c>
      <c r="L50" s="84" t="s">
        <v>951</v>
      </c>
      <c r="M50" s="84" t="s">
        <v>649</v>
      </c>
      <c r="N50" s="85"/>
      <c r="O50" s="85"/>
      <c r="P50" s="168"/>
    </row>
    <row r="51" spans="1:17" s="207" customFormat="1" ht="24.75" hidden="1" customHeight="1">
      <c r="A51" s="90">
        <f t="shared" si="0"/>
        <v>8</v>
      </c>
      <c r="B51" s="96" t="s">
        <v>319</v>
      </c>
      <c r="C51" s="90" t="s">
        <v>191</v>
      </c>
      <c r="D51" s="84">
        <v>2022</v>
      </c>
      <c r="E51" s="90">
        <v>1</v>
      </c>
      <c r="F51" s="90">
        <v>1</v>
      </c>
      <c r="G51" s="90">
        <v>1</v>
      </c>
      <c r="H51" s="84">
        <v>0</v>
      </c>
      <c r="I51" s="84"/>
      <c r="J51" s="84"/>
      <c r="K51" s="84" t="s">
        <v>631</v>
      </c>
      <c r="L51" s="84" t="s">
        <v>951</v>
      </c>
      <c r="M51" s="84" t="s">
        <v>649</v>
      </c>
      <c r="N51" s="85"/>
      <c r="O51" s="85"/>
      <c r="P51" s="168"/>
    </row>
    <row r="52" spans="1:17" s="207" customFormat="1" ht="24.75" hidden="1" customHeight="1">
      <c r="A52" s="90">
        <f t="shared" si="0"/>
        <v>9</v>
      </c>
      <c r="B52" s="71" t="s">
        <v>342</v>
      </c>
      <c r="C52" s="90" t="s">
        <v>191</v>
      </c>
      <c r="D52" s="84">
        <v>2022</v>
      </c>
      <c r="E52" s="90">
        <v>2</v>
      </c>
      <c r="F52" s="90">
        <v>2</v>
      </c>
      <c r="G52" s="90">
        <v>2</v>
      </c>
      <c r="H52" s="84">
        <v>0</v>
      </c>
      <c r="I52" s="84"/>
      <c r="J52" s="84"/>
      <c r="K52" s="84" t="s">
        <v>631</v>
      </c>
      <c r="L52" s="84" t="s">
        <v>951</v>
      </c>
      <c r="M52" s="84" t="s">
        <v>649</v>
      </c>
      <c r="N52" s="85"/>
      <c r="O52" s="85"/>
      <c r="P52" s="168"/>
    </row>
    <row r="53" spans="1:17" s="363" customFormat="1" ht="20.25" hidden="1" customHeight="1">
      <c r="A53" s="360"/>
      <c r="B53" s="361" t="s">
        <v>1155</v>
      </c>
      <c r="C53" s="360"/>
      <c r="D53" s="361"/>
      <c r="E53" s="361"/>
      <c r="F53" s="361"/>
      <c r="G53" s="360"/>
      <c r="H53" s="361"/>
      <c r="I53" s="361"/>
      <c r="J53" s="365">
        <f>SUM(J18:J52)</f>
        <v>69300000</v>
      </c>
      <c r="K53" s="360"/>
      <c r="L53" s="360"/>
      <c r="M53" s="360"/>
      <c r="N53" s="360"/>
      <c r="O53" s="362"/>
      <c r="Q53" s="367">
        <f>+'TB DIEN T3 2022'!J53+'TB DIEN T2 2022'!J386+'1.TB DIEN T1 2025'!J94</f>
        <v>746550000</v>
      </c>
    </row>
    <row r="54" spans="1:17" s="131" customFormat="1" ht="14.25" hidden="1" customHeight="1">
      <c r="A54" s="103"/>
      <c r="B54" s="103"/>
      <c r="C54" s="103"/>
      <c r="D54" s="312"/>
      <c r="E54" s="312"/>
      <c r="F54" s="129"/>
      <c r="G54" s="312"/>
      <c r="H54" s="312"/>
      <c r="I54" s="347"/>
      <c r="J54" s="347"/>
      <c r="K54" s="130"/>
      <c r="L54" s="405" t="s">
        <v>1167</v>
      </c>
      <c r="M54" s="405"/>
      <c r="N54" s="405"/>
      <c r="O54" s="405"/>
      <c r="P54" s="405"/>
    </row>
    <row r="55" spans="1:17" s="73" customFormat="1" ht="15.75" hidden="1">
      <c r="A55" s="103" t="s">
        <v>633</v>
      </c>
      <c r="B55" s="103"/>
      <c r="C55" s="397" t="s">
        <v>967</v>
      </c>
      <c r="D55" s="397"/>
      <c r="E55" s="397"/>
      <c r="F55" s="397"/>
      <c r="G55" s="397"/>
      <c r="H55" s="397" t="s">
        <v>772</v>
      </c>
      <c r="I55" s="397"/>
      <c r="J55" s="397"/>
      <c r="K55" s="397"/>
      <c r="L55" s="397"/>
      <c r="M55" s="397"/>
      <c r="N55" s="397" t="s">
        <v>773</v>
      </c>
      <c r="O55" s="397"/>
      <c r="P55" s="397"/>
    </row>
    <row r="56" spans="1:17" s="73" customFormat="1" ht="15.75" hidden="1">
      <c r="A56" s="389" t="s">
        <v>959</v>
      </c>
      <c r="B56" s="389"/>
      <c r="C56" s="312"/>
      <c r="D56" s="312"/>
      <c r="E56" s="312"/>
      <c r="F56" s="312"/>
      <c r="G56" s="312"/>
      <c r="H56" s="312"/>
      <c r="I56" s="347"/>
      <c r="J56" s="347"/>
      <c r="K56" s="312"/>
      <c r="L56" s="312"/>
      <c r="M56" s="312"/>
      <c r="N56" s="312"/>
      <c r="O56" s="317"/>
    </row>
    <row r="57" spans="1:17" s="73" customFormat="1" ht="20.25" hidden="1" customHeight="1">
      <c r="A57" s="389" t="s">
        <v>960</v>
      </c>
      <c r="B57" s="389"/>
      <c r="C57" s="312"/>
      <c r="D57" s="312"/>
      <c r="E57" s="312"/>
      <c r="F57" s="312"/>
      <c r="G57" s="312"/>
      <c r="H57" s="312"/>
      <c r="I57" s="347"/>
      <c r="J57" s="347"/>
      <c r="K57" s="312"/>
      <c r="L57" s="312"/>
      <c r="M57" s="312"/>
      <c r="N57" s="312"/>
      <c r="O57" s="317"/>
    </row>
    <row r="58" spans="1:17" s="73" customFormat="1" ht="20.25" hidden="1" customHeight="1">
      <c r="A58" s="389" t="s">
        <v>1012</v>
      </c>
      <c r="B58" s="389"/>
      <c r="C58" s="312"/>
      <c r="D58" s="312"/>
      <c r="E58" s="312"/>
      <c r="F58" s="312"/>
      <c r="G58" s="312"/>
      <c r="H58" s="312"/>
      <c r="I58" s="347"/>
      <c r="J58" s="347"/>
      <c r="K58" s="312"/>
      <c r="L58" s="312"/>
      <c r="M58" s="312"/>
      <c r="N58" s="312"/>
      <c r="O58" s="317"/>
    </row>
    <row r="59" spans="1:17" s="73" customFormat="1" ht="20.25" hidden="1" customHeight="1">
      <c r="A59" s="389" t="s">
        <v>1133</v>
      </c>
      <c r="B59" s="389"/>
      <c r="C59" s="312"/>
      <c r="D59" s="312"/>
      <c r="E59" s="312"/>
      <c r="F59" s="312"/>
      <c r="G59" s="312"/>
      <c r="H59" s="312"/>
      <c r="I59" s="347"/>
      <c r="J59" s="347"/>
      <c r="K59" s="312"/>
      <c r="L59" s="312"/>
      <c r="M59" s="312"/>
      <c r="N59" s="103"/>
      <c r="O59" s="317"/>
      <c r="P59" s="103"/>
    </row>
    <row r="60" spans="1:17" s="73" customFormat="1" ht="20.25" hidden="1" customHeight="1">
      <c r="A60" s="389" t="s">
        <v>1161</v>
      </c>
      <c r="B60" s="389"/>
      <c r="C60" s="397" t="s">
        <v>968</v>
      </c>
      <c r="D60" s="397"/>
      <c r="E60" s="397"/>
      <c r="F60" s="397"/>
      <c r="G60" s="397"/>
      <c r="H60" s="397" t="s">
        <v>1046</v>
      </c>
      <c r="I60" s="397"/>
      <c r="J60" s="397"/>
      <c r="K60" s="397"/>
      <c r="L60" s="397"/>
      <c r="M60" s="397"/>
      <c r="N60" s="397" t="s">
        <v>1005</v>
      </c>
      <c r="O60" s="397"/>
      <c r="P60" s="397"/>
    </row>
  </sheetData>
  <autoFilter ref="A15:AL60" xr:uid="{88C05E6A-990F-4D49-8E23-F8529A4BD7AF}">
    <filterColumn colId="4" showButton="0"/>
    <filterColumn colId="8">
      <filters>
        <filter val="15.675.000"/>
      </filters>
    </filterColumn>
  </autoFilter>
  <mergeCells count="36">
    <mergeCell ref="N55:P55"/>
    <mergeCell ref="A56:B56"/>
    <mergeCell ref="H60:M60"/>
    <mergeCell ref="N60:P60"/>
    <mergeCell ref="L15:L16"/>
    <mergeCell ref="C60:G60"/>
    <mergeCell ref="A60:B60"/>
    <mergeCell ref="A17:E17"/>
    <mergeCell ref="A57:B57"/>
    <mergeCell ref="A58:B58"/>
    <mergeCell ref="A59:B59"/>
    <mergeCell ref="C55:G55"/>
    <mergeCell ref="L54:P54"/>
    <mergeCell ref="H55:M55"/>
    <mergeCell ref="J15:J16"/>
    <mergeCell ref="H1:P1"/>
    <mergeCell ref="H2:P2"/>
    <mergeCell ref="A3:AK3"/>
    <mergeCell ref="H4:P4"/>
    <mergeCell ref="A6:P6"/>
    <mergeCell ref="A7:AL7"/>
    <mergeCell ref="E15:F15"/>
    <mergeCell ref="M15:M16"/>
    <mergeCell ref="D15:D16"/>
    <mergeCell ref="N15:N16"/>
    <mergeCell ref="O15:O16"/>
    <mergeCell ref="K15:K16"/>
    <mergeCell ref="A8:C8"/>
    <mergeCell ref="A9:B9"/>
    <mergeCell ref="A10:B10"/>
    <mergeCell ref="A11:B11"/>
    <mergeCell ref="A12:B12"/>
    <mergeCell ref="A15:A16"/>
    <mergeCell ref="B15:B16"/>
    <mergeCell ref="C15:C16"/>
    <mergeCell ref="I15:I16"/>
  </mergeCells>
  <pageMargins left="0.2" right="0.2" top="0.67" bottom="0.5" header="0.3" footer="0.3"/>
  <pageSetup paperSize="9"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179"/>
  <sheetViews>
    <sheetView topLeftCell="A11" zoomScale="71" zoomScaleNormal="71" workbookViewId="0">
      <selection activeCell="R37" sqref="R37"/>
    </sheetView>
  </sheetViews>
  <sheetFormatPr defaultRowHeight="16.5"/>
  <cols>
    <col min="1" max="1" width="5.5703125" style="95" customWidth="1"/>
    <col min="2" max="2" width="38.7109375" style="95" customWidth="1"/>
    <col min="3" max="3" width="17.140625" style="95" customWidth="1"/>
    <col min="4" max="4" width="8.7109375" style="138" customWidth="1"/>
    <col min="5" max="5" width="7.28515625" style="138" customWidth="1"/>
    <col min="6" max="6" width="0" style="138" hidden="1" customWidth="1"/>
    <col min="7" max="7" width="7.42578125" style="138" customWidth="1"/>
    <col min="8" max="8" width="7.85546875" style="138" customWidth="1"/>
    <col min="9" max="9" width="16.140625" style="138" customWidth="1"/>
    <col min="10" max="10" width="16.5703125" style="138" customWidth="1"/>
    <col min="11" max="11" width="9.42578125" style="138" customWidth="1"/>
    <col min="12" max="12" width="20.42578125" style="138" customWidth="1"/>
    <col min="13" max="14" width="12.42578125" style="138" customWidth="1"/>
    <col min="15" max="15" width="19.28515625" style="128" customWidth="1"/>
    <col min="16" max="16" width="3.140625" style="100" hidden="1" customWidth="1"/>
    <col min="17" max="17" width="9.140625" style="95"/>
    <col min="18" max="18" width="20.140625" style="95" customWidth="1"/>
    <col min="19" max="19" width="9.140625" style="95"/>
    <col min="20" max="20" width="11.5703125" style="95" customWidth="1"/>
    <col min="21" max="16384" width="9.140625" style="95"/>
  </cols>
  <sheetData>
    <row r="1" spans="1:38" s="73" customFormat="1" ht="15.75" hidden="1" customHeight="1">
      <c r="A1" s="72" t="s">
        <v>641</v>
      </c>
      <c r="B1" s="72"/>
      <c r="C1" s="72"/>
      <c r="D1" s="112"/>
      <c r="E1" s="112"/>
      <c r="F1" s="112"/>
      <c r="G1" s="112"/>
      <c r="H1" s="397" t="s">
        <v>642</v>
      </c>
      <c r="I1" s="397"/>
      <c r="J1" s="397"/>
      <c r="K1" s="397"/>
      <c r="L1" s="397"/>
      <c r="M1" s="397"/>
      <c r="N1" s="397"/>
      <c r="O1" s="397"/>
      <c r="P1" s="397"/>
    </row>
    <row r="2" spans="1:38" s="73" customFormat="1" ht="15" hidden="1" customHeight="1">
      <c r="A2" s="72" t="s">
        <v>596</v>
      </c>
      <c r="B2" s="72"/>
      <c r="C2" s="72"/>
      <c r="D2" s="112"/>
      <c r="E2" s="112"/>
      <c r="F2" s="112"/>
      <c r="G2" s="112"/>
      <c r="H2" s="398" t="s">
        <v>643</v>
      </c>
      <c r="I2" s="398"/>
      <c r="J2" s="398"/>
      <c r="K2" s="398"/>
      <c r="L2" s="398"/>
      <c r="M2" s="398"/>
      <c r="N2" s="398"/>
      <c r="O2" s="398"/>
      <c r="P2" s="398"/>
    </row>
    <row r="3" spans="1:38" s="73" customFormat="1" ht="22.5" hidden="1" customHeight="1">
      <c r="A3" s="397" t="s">
        <v>644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</row>
    <row r="4" spans="1:38" s="73" customFormat="1" ht="15" hidden="1" customHeight="1">
      <c r="A4" s="272"/>
      <c r="B4" s="272"/>
      <c r="C4" s="272"/>
      <c r="D4" s="272"/>
      <c r="E4" s="272"/>
      <c r="F4" s="272"/>
      <c r="G4" s="272"/>
      <c r="H4" s="398" t="s">
        <v>645</v>
      </c>
      <c r="I4" s="398"/>
      <c r="J4" s="398"/>
      <c r="K4" s="398"/>
      <c r="L4" s="398"/>
      <c r="M4" s="398"/>
      <c r="N4" s="398"/>
      <c r="O4" s="398"/>
      <c r="P4" s="398"/>
    </row>
    <row r="5" spans="1:38" s="73" customFormat="1" ht="15" hidden="1" customHeight="1">
      <c r="A5" s="272"/>
      <c r="B5" s="272"/>
      <c r="C5" s="272"/>
      <c r="D5" s="272"/>
      <c r="E5" s="272"/>
      <c r="F5" s="272"/>
      <c r="G5" s="272"/>
      <c r="H5" s="273"/>
      <c r="I5" s="273"/>
      <c r="J5" s="273"/>
      <c r="K5" s="273"/>
      <c r="L5" s="273"/>
      <c r="M5" s="273"/>
      <c r="N5" s="273"/>
      <c r="O5" s="74"/>
      <c r="P5" s="273"/>
    </row>
    <row r="6" spans="1:38" s="73" customFormat="1" ht="15.75">
      <c r="A6" s="72" t="s">
        <v>641</v>
      </c>
      <c r="B6" s="72"/>
      <c r="C6" s="72"/>
      <c r="D6" s="112"/>
      <c r="E6" s="112"/>
      <c r="F6" s="112"/>
      <c r="G6" s="112"/>
      <c r="H6" s="397" t="s">
        <v>642</v>
      </c>
      <c r="I6" s="397"/>
      <c r="J6" s="397"/>
      <c r="K6" s="397"/>
      <c r="L6" s="397"/>
      <c r="M6" s="397"/>
      <c r="N6" s="397"/>
      <c r="O6" s="397"/>
      <c r="P6" s="397"/>
      <c r="Q6" s="272"/>
      <c r="R6" s="272"/>
      <c r="S6" s="272"/>
      <c r="T6" s="272"/>
      <c r="W6" s="72"/>
      <c r="X6" s="72"/>
      <c r="Y6" s="72"/>
      <c r="Z6" s="72"/>
    </row>
    <row r="7" spans="1:38" s="73" customFormat="1" ht="15.75">
      <c r="A7" s="72" t="s">
        <v>596</v>
      </c>
      <c r="B7" s="72"/>
      <c r="C7" s="72"/>
      <c r="D7" s="112"/>
      <c r="E7" s="112"/>
      <c r="F7" s="112"/>
      <c r="G7" s="112"/>
      <c r="H7" s="398"/>
      <c r="I7" s="398"/>
      <c r="J7" s="398"/>
      <c r="K7" s="398"/>
      <c r="L7" s="398"/>
      <c r="M7" s="398"/>
      <c r="N7" s="398"/>
      <c r="O7" s="398"/>
      <c r="P7" s="398"/>
      <c r="Q7" s="273"/>
      <c r="R7" s="273"/>
      <c r="S7" s="273"/>
      <c r="T7" s="273"/>
      <c r="W7" s="72"/>
      <c r="X7" s="72"/>
      <c r="Y7" s="72"/>
      <c r="Z7" s="72"/>
    </row>
    <row r="8" spans="1:38" s="73" customFormat="1" ht="15.75">
      <c r="A8" s="272"/>
      <c r="B8" s="272"/>
      <c r="C8" s="272"/>
      <c r="D8" s="272"/>
      <c r="E8" s="272"/>
      <c r="F8" s="272"/>
      <c r="G8" s="272"/>
      <c r="H8" s="398"/>
      <c r="I8" s="398"/>
      <c r="J8" s="398"/>
      <c r="K8" s="398"/>
      <c r="L8" s="398"/>
      <c r="M8" s="398"/>
      <c r="N8" s="398"/>
      <c r="O8" s="398"/>
      <c r="P8" s="398"/>
      <c r="X8" s="272"/>
      <c r="Y8" s="272"/>
      <c r="Z8" s="272"/>
      <c r="AA8" s="272"/>
    </row>
    <row r="9" spans="1:38" s="73" customFormat="1" ht="15.75">
      <c r="A9" s="272"/>
      <c r="B9" s="272"/>
      <c r="C9" s="272"/>
      <c r="D9" s="272"/>
      <c r="E9" s="272"/>
      <c r="F9" s="272"/>
      <c r="G9" s="272"/>
      <c r="H9" s="273"/>
      <c r="I9" s="273"/>
      <c r="J9" s="273"/>
      <c r="K9" s="273"/>
      <c r="L9" s="273"/>
      <c r="M9" s="273"/>
      <c r="N9" s="273"/>
      <c r="O9" s="74"/>
      <c r="P9" s="273"/>
      <c r="X9" s="272"/>
      <c r="Y9" s="272"/>
      <c r="Z9" s="272"/>
      <c r="AA9" s="272"/>
    </row>
    <row r="10" spans="1:38" s="73" customFormat="1" ht="44.25" customHeight="1">
      <c r="A10" s="399" t="s">
        <v>1071</v>
      </c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</row>
    <row r="11" spans="1:38" s="73" customFormat="1" ht="15.75">
      <c r="A11" s="394" t="s">
        <v>1132</v>
      </c>
      <c r="B11" s="394"/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</row>
    <row r="12" spans="1:38" s="73" customFormat="1" ht="15.75">
      <c r="A12" s="73" t="s">
        <v>1002</v>
      </c>
      <c r="D12" s="273" t="s">
        <v>1003</v>
      </c>
      <c r="E12" s="272"/>
      <c r="F12" s="273"/>
      <c r="G12" s="273"/>
      <c r="H12" s="273"/>
      <c r="I12" s="273"/>
      <c r="J12" s="273"/>
      <c r="K12" s="272"/>
      <c r="L12" s="273"/>
      <c r="M12" s="83" t="s">
        <v>600</v>
      </c>
      <c r="N12" s="272"/>
      <c r="O12" s="74"/>
      <c r="U12" s="271"/>
      <c r="V12" s="77"/>
      <c r="Y12" s="78"/>
      <c r="Z12" s="272"/>
      <c r="AB12" s="272"/>
      <c r="AC12" s="272"/>
      <c r="AD12" s="271"/>
      <c r="AH12" s="273"/>
      <c r="AI12" s="271" t="s">
        <v>600</v>
      </c>
      <c r="AJ12" s="273"/>
      <c r="AK12" s="273"/>
      <c r="AL12" s="79"/>
    </row>
    <row r="13" spans="1:38" s="73" customFormat="1" ht="15.75">
      <c r="A13" s="393" t="s">
        <v>1045</v>
      </c>
      <c r="B13" s="393"/>
      <c r="D13" s="273" t="s">
        <v>602</v>
      </c>
      <c r="E13" s="273"/>
      <c r="F13" s="273"/>
      <c r="G13" s="273"/>
      <c r="H13" s="273"/>
      <c r="I13" s="273"/>
      <c r="J13" s="273"/>
      <c r="K13" s="272"/>
      <c r="L13" s="273"/>
      <c r="M13" s="83" t="s">
        <v>603</v>
      </c>
      <c r="N13" s="272"/>
      <c r="O13" s="74"/>
      <c r="U13" s="271"/>
      <c r="V13" s="77"/>
      <c r="Y13" s="78"/>
      <c r="Z13" s="272"/>
      <c r="AB13" s="272"/>
      <c r="AC13" s="272"/>
      <c r="AD13" s="271"/>
      <c r="AH13" s="273"/>
      <c r="AI13" s="271" t="s">
        <v>603</v>
      </c>
      <c r="AJ13" s="273"/>
      <c r="AK13" s="273"/>
      <c r="AL13" s="79"/>
    </row>
    <row r="14" spans="1:38" s="73" customFormat="1" ht="15.75">
      <c r="A14" s="393" t="s">
        <v>604</v>
      </c>
      <c r="B14" s="393"/>
      <c r="D14" s="273" t="s">
        <v>605</v>
      </c>
      <c r="E14" s="272"/>
      <c r="F14" s="273"/>
      <c r="G14" s="273"/>
      <c r="H14" s="273"/>
      <c r="I14" s="273"/>
      <c r="J14" s="273"/>
      <c r="K14" s="272"/>
      <c r="L14" s="273"/>
      <c r="M14" s="83" t="s">
        <v>606</v>
      </c>
      <c r="N14" s="272"/>
      <c r="O14" s="74"/>
      <c r="U14" s="271"/>
      <c r="V14" s="77"/>
      <c r="Y14" s="78"/>
      <c r="Z14" s="272"/>
      <c r="AB14" s="272"/>
      <c r="AC14" s="272"/>
      <c r="AD14" s="271"/>
      <c r="AH14" s="273"/>
      <c r="AI14" s="271" t="s">
        <v>606</v>
      </c>
      <c r="AJ14" s="273"/>
      <c r="AK14" s="273"/>
      <c r="AL14" s="79"/>
    </row>
    <row r="15" spans="1:38" s="73" customFormat="1" ht="15.75">
      <c r="A15" s="393" t="s">
        <v>966</v>
      </c>
      <c r="B15" s="393"/>
      <c r="D15" s="273" t="s">
        <v>967</v>
      </c>
      <c r="E15" s="273"/>
      <c r="F15" s="273"/>
      <c r="G15" s="273"/>
      <c r="H15" s="273"/>
      <c r="I15" s="273"/>
      <c r="J15" s="273"/>
      <c r="K15" s="273"/>
      <c r="L15" s="273"/>
      <c r="M15" s="83" t="s">
        <v>607</v>
      </c>
      <c r="N15" s="273"/>
      <c r="O15" s="74"/>
      <c r="AH15" s="273"/>
      <c r="AI15" s="271" t="s">
        <v>607</v>
      </c>
      <c r="AJ15" s="273"/>
      <c r="AK15" s="273"/>
    </row>
    <row r="16" spans="1:38" s="73" customFormat="1" ht="15.75">
      <c r="A16" s="393" t="s">
        <v>608</v>
      </c>
      <c r="B16" s="39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74"/>
      <c r="AH16" s="273"/>
      <c r="AI16" s="273"/>
      <c r="AJ16" s="273"/>
      <c r="AK16" s="273"/>
    </row>
    <row r="17" spans="1:38" s="73" customFormat="1" ht="15.75">
      <c r="A17" s="393" t="s">
        <v>609</v>
      </c>
      <c r="B17" s="393"/>
      <c r="D17" s="273"/>
      <c r="E17" s="273"/>
      <c r="F17" s="113"/>
      <c r="G17" s="273"/>
      <c r="H17" s="273"/>
      <c r="I17" s="273"/>
      <c r="J17" s="273"/>
      <c r="K17" s="273"/>
      <c r="L17" s="273"/>
      <c r="M17" s="273"/>
      <c r="N17" s="273"/>
      <c r="O17" s="74"/>
      <c r="Z17" s="273"/>
      <c r="AC17" s="81"/>
      <c r="AH17" s="273"/>
      <c r="AI17" s="273"/>
      <c r="AJ17" s="273"/>
      <c r="AK17" s="273"/>
      <c r="AL17" s="79"/>
    </row>
    <row r="18" spans="1:38" s="73" customFormat="1" ht="18" hidden="1" customHeight="1">
      <c r="A18" s="394" t="s">
        <v>597</v>
      </c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4"/>
      <c r="O18" s="394"/>
      <c r="P18" s="394"/>
    </row>
    <row r="19" spans="1:38" s="73" customFormat="1" ht="15" hidden="1" customHeight="1">
      <c r="A19" s="393" t="s">
        <v>598</v>
      </c>
      <c r="B19" s="393"/>
      <c r="C19" s="393"/>
      <c r="D19" s="273" t="s">
        <v>599</v>
      </c>
      <c r="E19" s="272"/>
      <c r="F19" s="273"/>
      <c r="G19" s="273"/>
      <c r="H19" s="273"/>
      <c r="I19" s="273"/>
      <c r="J19" s="273"/>
      <c r="K19" s="272"/>
      <c r="L19" s="273"/>
      <c r="M19" s="83" t="s">
        <v>600</v>
      </c>
      <c r="N19" s="272"/>
      <c r="O19" s="74"/>
    </row>
    <row r="20" spans="1:38" s="73" customFormat="1" ht="15" hidden="1" customHeight="1">
      <c r="A20" s="393" t="s">
        <v>601</v>
      </c>
      <c r="B20" s="393"/>
      <c r="D20" s="273" t="s">
        <v>602</v>
      </c>
      <c r="E20" s="273"/>
      <c r="F20" s="273"/>
      <c r="G20" s="273"/>
      <c r="H20" s="273"/>
      <c r="I20" s="273"/>
      <c r="J20" s="273"/>
      <c r="K20" s="272"/>
      <c r="L20" s="273"/>
      <c r="M20" s="83" t="s">
        <v>603</v>
      </c>
      <c r="N20" s="272"/>
      <c r="O20" s="74"/>
    </row>
    <row r="21" spans="1:38" s="73" customFormat="1" ht="15" hidden="1" customHeight="1">
      <c r="A21" s="393" t="s">
        <v>604</v>
      </c>
      <c r="B21" s="393"/>
      <c r="D21" s="273" t="s">
        <v>605</v>
      </c>
      <c r="E21" s="272"/>
      <c r="F21" s="273"/>
      <c r="G21" s="273"/>
      <c r="H21" s="273"/>
      <c r="I21" s="273"/>
      <c r="J21" s="273"/>
      <c r="K21" s="272"/>
      <c r="L21" s="273"/>
      <c r="M21" s="83" t="s">
        <v>606</v>
      </c>
      <c r="N21" s="272"/>
      <c r="O21" s="74"/>
    </row>
    <row r="22" spans="1:38" s="73" customFormat="1" ht="15" hidden="1" customHeight="1">
      <c r="A22" s="393" t="s">
        <v>646</v>
      </c>
      <c r="B22" s="393"/>
      <c r="D22" s="273" t="s">
        <v>647</v>
      </c>
      <c r="E22" s="273"/>
      <c r="F22" s="273"/>
      <c r="G22" s="273"/>
      <c r="H22" s="273"/>
      <c r="I22" s="273"/>
      <c r="J22" s="273"/>
      <c r="K22" s="273"/>
      <c r="L22" s="273"/>
      <c r="M22" s="83" t="s">
        <v>607</v>
      </c>
      <c r="N22" s="273"/>
      <c r="O22" s="74"/>
    </row>
    <row r="23" spans="1:38" s="73" customFormat="1" ht="15" hidden="1" customHeight="1">
      <c r="A23" s="393" t="s">
        <v>608</v>
      </c>
      <c r="B23" s="39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74"/>
    </row>
    <row r="24" spans="1:38" s="73" customFormat="1" ht="15.75" hidden="1" customHeight="1">
      <c r="A24" s="393" t="s">
        <v>609</v>
      </c>
      <c r="B24" s="393"/>
      <c r="D24" s="273"/>
      <c r="E24" s="273"/>
      <c r="F24" s="113"/>
      <c r="G24" s="273"/>
      <c r="H24" s="273"/>
      <c r="I24" s="273"/>
      <c r="J24" s="273"/>
      <c r="K24" s="273"/>
      <c r="L24" s="273"/>
      <c r="M24" s="273"/>
      <c r="N24" s="273"/>
      <c r="O24" s="74"/>
    </row>
    <row r="25" spans="1:38" s="83" customFormat="1" ht="53.25" customHeight="1">
      <c r="A25" s="395" t="s">
        <v>610</v>
      </c>
      <c r="B25" s="396" t="s">
        <v>611</v>
      </c>
      <c r="C25" s="395" t="s">
        <v>612</v>
      </c>
      <c r="D25" s="395" t="s">
        <v>613</v>
      </c>
      <c r="E25" s="395" t="s">
        <v>614</v>
      </c>
      <c r="F25" s="396"/>
      <c r="G25" s="114" t="s">
        <v>615</v>
      </c>
      <c r="H25" s="114" t="s">
        <v>616</v>
      </c>
      <c r="I25" s="403" t="s">
        <v>1074</v>
      </c>
      <c r="J25" s="403" t="s">
        <v>1075</v>
      </c>
      <c r="K25" s="395" t="s">
        <v>617</v>
      </c>
      <c r="L25" s="395" t="s">
        <v>618</v>
      </c>
      <c r="M25" s="395" t="s">
        <v>619</v>
      </c>
      <c r="N25" s="395" t="s">
        <v>620</v>
      </c>
      <c r="O25" s="395" t="s">
        <v>621</v>
      </c>
      <c r="P25" s="287"/>
    </row>
    <row r="26" spans="1:38" s="83" customFormat="1" ht="39" customHeight="1">
      <c r="A26" s="396"/>
      <c r="B26" s="396"/>
      <c r="C26" s="395"/>
      <c r="D26" s="396"/>
      <c r="E26" s="276" t="s">
        <v>7</v>
      </c>
      <c r="F26" s="114" t="s">
        <v>622</v>
      </c>
      <c r="G26" s="276" t="s">
        <v>7</v>
      </c>
      <c r="H26" s="276" t="s">
        <v>7</v>
      </c>
      <c r="I26" s="404"/>
      <c r="J26" s="404"/>
      <c r="K26" s="402"/>
      <c r="L26" s="402"/>
      <c r="M26" s="395"/>
      <c r="N26" s="395"/>
      <c r="O26" s="400"/>
      <c r="P26" s="287"/>
    </row>
    <row r="27" spans="1:38" s="87" customFormat="1" ht="21.75" hidden="1" customHeight="1">
      <c r="A27" s="401" t="s">
        <v>3</v>
      </c>
      <c r="B27" s="401"/>
      <c r="C27" s="401"/>
      <c r="D27" s="401"/>
      <c r="E27" s="401"/>
      <c r="F27" s="86"/>
      <c r="G27" s="86"/>
      <c r="H27" s="86"/>
      <c r="I27" s="86"/>
      <c r="J27" s="86"/>
      <c r="K27" s="86"/>
      <c r="L27" s="86"/>
      <c r="M27" s="86"/>
      <c r="N27" s="86"/>
      <c r="O27" s="281"/>
      <c r="P27" s="86"/>
    </row>
    <row r="28" spans="1:38" s="100" customFormat="1">
      <c r="A28" s="116">
        <v>64</v>
      </c>
      <c r="B28" s="292" t="s">
        <v>1149</v>
      </c>
      <c r="C28" s="293" t="s">
        <v>1150</v>
      </c>
      <c r="D28" s="293">
        <v>2013</v>
      </c>
      <c r="E28" s="214">
        <v>1</v>
      </c>
      <c r="F28" s="282"/>
      <c r="G28" s="214">
        <v>1</v>
      </c>
      <c r="H28" s="120">
        <v>0</v>
      </c>
      <c r="I28" s="294">
        <v>12540000</v>
      </c>
      <c r="J28" s="294">
        <v>12540000</v>
      </c>
      <c r="K28" s="282" t="s">
        <v>631</v>
      </c>
      <c r="L28" s="282"/>
      <c r="M28" s="282" t="s">
        <v>871</v>
      </c>
      <c r="N28" s="116" t="s">
        <v>1111</v>
      </c>
      <c r="O28" s="110" t="s">
        <v>1114</v>
      </c>
    </row>
    <row r="29" spans="1:38" s="100" customFormat="1">
      <c r="A29" s="282">
        <v>65</v>
      </c>
      <c r="B29" s="292" t="s">
        <v>1135</v>
      </c>
      <c r="C29" s="293" t="s">
        <v>1142</v>
      </c>
      <c r="D29" s="293">
        <v>2014</v>
      </c>
      <c r="E29" s="214">
        <v>1</v>
      </c>
      <c r="F29" s="282"/>
      <c r="G29" s="214">
        <v>1</v>
      </c>
      <c r="H29" s="120">
        <v>0</v>
      </c>
      <c r="I29" s="294">
        <v>14856000</v>
      </c>
      <c r="J29" s="294">
        <v>14856000</v>
      </c>
      <c r="K29" s="282" t="s">
        <v>631</v>
      </c>
      <c r="L29" s="282"/>
      <c r="M29" s="282" t="s">
        <v>871</v>
      </c>
      <c r="N29" s="116" t="s">
        <v>1111</v>
      </c>
      <c r="O29" s="110" t="s">
        <v>1114</v>
      </c>
    </row>
    <row r="30" spans="1:38" s="100" customFormat="1">
      <c r="A30" s="116">
        <v>66</v>
      </c>
      <c r="B30" s="292" t="s">
        <v>1136</v>
      </c>
      <c r="C30" s="293" t="s">
        <v>1143</v>
      </c>
      <c r="D30" s="293">
        <v>2015</v>
      </c>
      <c r="E30" s="214">
        <v>1</v>
      </c>
      <c r="F30" s="282"/>
      <c r="G30" s="214">
        <v>1</v>
      </c>
      <c r="H30" s="120">
        <v>0</v>
      </c>
      <c r="I30" s="294">
        <v>18354000</v>
      </c>
      <c r="J30" s="294">
        <v>18354000</v>
      </c>
      <c r="K30" s="282" t="s">
        <v>631</v>
      </c>
      <c r="L30" s="282"/>
      <c r="M30" s="282" t="s">
        <v>871</v>
      </c>
      <c r="N30" s="116" t="s">
        <v>1111</v>
      </c>
      <c r="O30" s="110" t="s">
        <v>1114</v>
      </c>
    </row>
    <row r="31" spans="1:38" s="100" customFormat="1">
      <c r="A31" s="116">
        <v>67</v>
      </c>
      <c r="B31" s="292" t="s">
        <v>1137</v>
      </c>
      <c r="C31" s="293" t="s">
        <v>1144</v>
      </c>
      <c r="D31" s="293">
        <v>2015</v>
      </c>
      <c r="E31" s="214">
        <v>1</v>
      </c>
      <c r="F31" s="282"/>
      <c r="G31" s="214">
        <v>1</v>
      </c>
      <c r="H31" s="120">
        <v>0</v>
      </c>
      <c r="I31" s="294">
        <v>11050000</v>
      </c>
      <c r="J31" s="294">
        <v>11050000</v>
      </c>
      <c r="K31" s="282" t="s">
        <v>631</v>
      </c>
      <c r="L31" s="282"/>
      <c r="M31" s="282"/>
      <c r="N31" s="116" t="s">
        <v>1111</v>
      </c>
      <c r="O31" s="110" t="s">
        <v>1114</v>
      </c>
    </row>
    <row r="32" spans="1:38" s="100" customFormat="1">
      <c r="A32" s="282">
        <v>68</v>
      </c>
      <c r="B32" s="295" t="s">
        <v>1138</v>
      </c>
      <c r="C32" s="296" t="s">
        <v>1145</v>
      </c>
      <c r="D32" s="297">
        <v>2021</v>
      </c>
      <c r="E32" s="214">
        <v>1</v>
      </c>
      <c r="F32" s="282"/>
      <c r="G32" s="214">
        <v>1</v>
      </c>
      <c r="H32" s="120">
        <v>0</v>
      </c>
      <c r="I32" s="298">
        <v>17755000</v>
      </c>
      <c r="J32" s="298">
        <v>17755000</v>
      </c>
      <c r="K32" s="282" t="s">
        <v>631</v>
      </c>
      <c r="L32" s="282"/>
      <c r="M32" s="282" t="s">
        <v>649</v>
      </c>
      <c r="N32" s="116" t="s">
        <v>1111</v>
      </c>
      <c r="O32" s="110" t="s">
        <v>1113</v>
      </c>
    </row>
    <row r="33" spans="1:18" s="100" customFormat="1" ht="45">
      <c r="A33" s="116">
        <v>69</v>
      </c>
      <c r="B33" s="299" t="s">
        <v>1139</v>
      </c>
      <c r="C33" s="297" t="s">
        <v>1146</v>
      </c>
      <c r="D33" s="297">
        <v>2020</v>
      </c>
      <c r="E33" s="214">
        <v>1</v>
      </c>
      <c r="F33" s="282"/>
      <c r="G33" s="214">
        <v>1</v>
      </c>
      <c r="H33" s="120">
        <v>0</v>
      </c>
      <c r="I33" s="298">
        <v>60500000</v>
      </c>
      <c r="J33" s="298">
        <v>60500000</v>
      </c>
      <c r="K33" s="282" t="s">
        <v>631</v>
      </c>
      <c r="L33" s="282"/>
      <c r="M33" s="282" t="s">
        <v>871</v>
      </c>
      <c r="N33" s="116" t="s">
        <v>1111</v>
      </c>
      <c r="O33" s="110" t="s">
        <v>1113</v>
      </c>
    </row>
    <row r="34" spans="1:18" s="100" customFormat="1">
      <c r="A34" s="116">
        <v>70</v>
      </c>
      <c r="B34" s="299" t="s">
        <v>1140</v>
      </c>
      <c r="C34" s="300" t="s">
        <v>1147</v>
      </c>
      <c r="D34" s="297">
        <v>2022</v>
      </c>
      <c r="E34" s="214">
        <v>1</v>
      </c>
      <c r="F34" s="282"/>
      <c r="G34" s="214">
        <v>1</v>
      </c>
      <c r="H34" s="120">
        <v>0</v>
      </c>
      <c r="I34" s="301">
        <v>28274000</v>
      </c>
      <c r="J34" s="301">
        <v>28274000</v>
      </c>
      <c r="K34" s="282" t="s">
        <v>631</v>
      </c>
      <c r="L34" s="282"/>
      <c r="M34" s="282" t="s">
        <v>649</v>
      </c>
      <c r="N34" s="116" t="s">
        <v>1111</v>
      </c>
      <c r="O34" s="110" t="s">
        <v>1113</v>
      </c>
    </row>
    <row r="35" spans="1:18" s="100" customFormat="1">
      <c r="A35" s="282">
        <v>71</v>
      </c>
      <c r="B35" s="299" t="s">
        <v>1141</v>
      </c>
      <c r="C35" s="297" t="s">
        <v>1148</v>
      </c>
      <c r="D35" s="297">
        <v>2016</v>
      </c>
      <c r="E35" s="214">
        <v>1</v>
      </c>
      <c r="F35" s="282"/>
      <c r="G35" s="214">
        <v>1</v>
      </c>
      <c r="H35" s="120">
        <v>0</v>
      </c>
      <c r="I35" s="302">
        <v>10760000</v>
      </c>
      <c r="J35" s="302">
        <v>10760000</v>
      </c>
      <c r="K35" s="282" t="s">
        <v>631</v>
      </c>
      <c r="L35" s="282"/>
      <c r="M35" s="282" t="s">
        <v>871</v>
      </c>
      <c r="N35" s="116" t="s">
        <v>1111</v>
      </c>
      <c r="O35" s="110" t="s">
        <v>1114</v>
      </c>
    </row>
    <row r="36" spans="1:18" s="121" customFormat="1">
      <c r="A36" s="283"/>
      <c r="B36" s="251" t="s">
        <v>1155</v>
      </c>
      <c r="C36" s="252"/>
      <c r="D36" s="252"/>
      <c r="E36" s="253"/>
      <c r="F36" s="283"/>
      <c r="G36" s="253"/>
      <c r="H36" s="254"/>
      <c r="I36" s="255"/>
      <c r="J36" s="255">
        <f>SUM(J28:J35)</f>
        <v>174089000</v>
      </c>
      <c r="K36" s="283"/>
      <c r="L36" s="283"/>
      <c r="M36" s="283"/>
      <c r="N36" s="284"/>
      <c r="O36" s="281"/>
      <c r="R36" s="310">
        <f>SUM(J28:J35)</f>
        <v>174089000</v>
      </c>
    </row>
    <row r="37" spans="1:18" s="121" customFormat="1">
      <c r="A37" s="283"/>
      <c r="B37" s="251" t="s">
        <v>1156</v>
      </c>
      <c r="C37" s="252"/>
      <c r="D37" s="252"/>
      <c r="E37" s="253"/>
      <c r="F37" s="283"/>
      <c r="G37" s="253"/>
      <c r="H37" s="254"/>
      <c r="I37" s="255"/>
      <c r="J37" s="255"/>
      <c r="K37" s="283"/>
      <c r="L37" s="283"/>
      <c r="M37" s="283"/>
      <c r="N37" s="284"/>
      <c r="O37" s="281"/>
    </row>
    <row r="38" spans="1:18">
      <c r="A38" s="116">
        <v>1</v>
      </c>
      <c r="B38" s="213" t="s">
        <v>1072</v>
      </c>
      <c r="C38" s="109"/>
      <c r="D38" s="116"/>
      <c r="E38" s="214">
        <v>1</v>
      </c>
      <c r="F38" s="116"/>
      <c r="G38" s="214">
        <v>1</v>
      </c>
      <c r="H38" s="120">
        <v>0</v>
      </c>
      <c r="I38" s="214">
        <v>700000</v>
      </c>
      <c r="J38" s="214">
        <v>700000</v>
      </c>
      <c r="K38" s="282" t="s">
        <v>631</v>
      </c>
      <c r="L38" s="116"/>
      <c r="M38" s="116" t="s">
        <v>871</v>
      </c>
      <c r="N38" s="116" t="s">
        <v>1111</v>
      </c>
      <c r="O38" s="110" t="s">
        <v>1112</v>
      </c>
      <c r="P38" s="94"/>
    </row>
    <row r="39" spans="1:18" s="100" customFormat="1">
      <c r="A39" s="282">
        <v>2</v>
      </c>
      <c r="B39" s="213" t="s">
        <v>1073</v>
      </c>
      <c r="C39" s="282"/>
      <c r="D39" s="282"/>
      <c r="E39" s="214">
        <v>1</v>
      </c>
      <c r="F39" s="282"/>
      <c r="G39" s="214">
        <v>1</v>
      </c>
      <c r="H39" s="120">
        <v>0</v>
      </c>
      <c r="I39" s="214">
        <v>800000</v>
      </c>
      <c r="J39" s="214">
        <v>800000</v>
      </c>
      <c r="K39" s="282" t="s">
        <v>631</v>
      </c>
      <c r="L39" s="282"/>
      <c r="M39" s="116" t="s">
        <v>871</v>
      </c>
      <c r="N39" s="116" t="s">
        <v>1111</v>
      </c>
      <c r="O39" s="110" t="s">
        <v>1112</v>
      </c>
      <c r="P39" s="94"/>
    </row>
    <row r="40" spans="1:18">
      <c r="A40" s="116">
        <v>3</v>
      </c>
      <c r="B40" s="213" t="s">
        <v>834</v>
      </c>
      <c r="C40" s="282"/>
      <c r="D40" s="282"/>
      <c r="E40" s="214">
        <v>1</v>
      </c>
      <c r="F40" s="116"/>
      <c r="G40" s="214">
        <v>1</v>
      </c>
      <c r="H40" s="118">
        <v>0</v>
      </c>
      <c r="I40" s="214">
        <v>423000</v>
      </c>
      <c r="J40" s="214">
        <v>423000</v>
      </c>
      <c r="K40" s="282" t="s">
        <v>631</v>
      </c>
      <c r="L40" s="282"/>
      <c r="M40" s="282" t="s">
        <v>1116</v>
      </c>
      <c r="N40" s="116" t="s">
        <v>1111</v>
      </c>
      <c r="O40" s="110" t="s">
        <v>1112</v>
      </c>
      <c r="P40" s="94"/>
    </row>
    <row r="41" spans="1:18">
      <c r="A41" s="282">
        <v>4</v>
      </c>
      <c r="B41" s="213" t="s">
        <v>1076</v>
      </c>
      <c r="C41" s="116"/>
      <c r="D41" s="282"/>
      <c r="E41" s="214">
        <v>1</v>
      </c>
      <c r="F41" s="116"/>
      <c r="G41" s="214">
        <v>1</v>
      </c>
      <c r="H41" s="116">
        <v>0</v>
      </c>
      <c r="I41" s="214">
        <v>5200000</v>
      </c>
      <c r="J41" s="214">
        <v>5200000</v>
      </c>
      <c r="K41" s="282" t="s">
        <v>631</v>
      </c>
      <c r="L41" s="282"/>
      <c r="M41" s="282" t="s">
        <v>871</v>
      </c>
      <c r="N41" s="116" t="s">
        <v>1111</v>
      </c>
      <c r="O41" s="110" t="s">
        <v>1112</v>
      </c>
      <c r="P41" s="94"/>
    </row>
    <row r="42" spans="1:18">
      <c r="A42" s="116">
        <v>5</v>
      </c>
      <c r="B42" s="213" t="s">
        <v>1077</v>
      </c>
      <c r="C42" s="119"/>
      <c r="D42" s="282"/>
      <c r="E42" s="214">
        <v>1</v>
      </c>
      <c r="F42" s="116"/>
      <c r="G42" s="214">
        <v>1</v>
      </c>
      <c r="H42" s="116">
        <v>0</v>
      </c>
      <c r="I42" s="214">
        <v>972000</v>
      </c>
      <c r="J42" s="214">
        <v>972000</v>
      </c>
      <c r="K42" s="282" t="s">
        <v>631</v>
      </c>
      <c r="L42" s="282"/>
      <c r="M42" s="116" t="s">
        <v>871</v>
      </c>
      <c r="N42" s="116" t="s">
        <v>1111</v>
      </c>
      <c r="O42" s="110" t="s">
        <v>1112</v>
      </c>
      <c r="P42" s="94"/>
    </row>
    <row r="43" spans="1:18" ht="40.5" customHeight="1">
      <c r="A43" s="282">
        <v>6</v>
      </c>
      <c r="B43" s="213" t="s">
        <v>1078</v>
      </c>
      <c r="C43" s="119"/>
      <c r="D43" s="116"/>
      <c r="E43" s="214">
        <v>1</v>
      </c>
      <c r="F43" s="116"/>
      <c r="G43" s="214">
        <v>1</v>
      </c>
      <c r="H43" s="116">
        <v>0</v>
      </c>
      <c r="I43" s="214">
        <v>5200000</v>
      </c>
      <c r="J43" s="214">
        <v>5200000</v>
      </c>
      <c r="K43" s="282" t="s">
        <v>631</v>
      </c>
      <c r="L43" s="282"/>
      <c r="M43" s="282" t="s">
        <v>649</v>
      </c>
      <c r="N43" s="116" t="s">
        <v>1111</v>
      </c>
      <c r="O43" s="110" t="s">
        <v>1113</v>
      </c>
      <c r="P43" s="94" t="s">
        <v>594</v>
      </c>
    </row>
    <row r="44" spans="1:18" s="100" customFormat="1">
      <c r="A44" s="116">
        <v>7</v>
      </c>
      <c r="B44" s="213" t="s">
        <v>1079</v>
      </c>
      <c r="C44" s="111" t="s">
        <v>1117</v>
      </c>
      <c r="D44" s="282"/>
      <c r="E44" s="214">
        <v>1</v>
      </c>
      <c r="F44" s="282"/>
      <c r="G44" s="214">
        <v>1</v>
      </c>
      <c r="H44" s="120">
        <v>0</v>
      </c>
      <c r="I44" s="214">
        <v>0</v>
      </c>
      <c r="J44" s="214">
        <v>0</v>
      </c>
      <c r="K44" s="282" t="s">
        <v>631</v>
      </c>
      <c r="L44" s="282"/>
      <c r="M44" s="116" t="s">
        <v>871</v>
      </c>
      <c r="N44" s="116" t="s">
        <v>1111</v>
      </c>
      <c r="O44" s="110" t="s">
        <v>1114</v>
      </c>
      <c r="P44" s="94"/>
    </row>
    <row r="45" spans="1:18" s="100" customFormat="1">
      <c r="A45" s="282">
        <v>8</v>
      </c>
      <c r="B45" s="213" t="s">
        <v>1080</v>
      </c>
      <c r="C45" s="282"/>
      <c r="D45" s="282"/>
      <c r="E45" s="214">
        <v>1</v>
      </c>
      <c r="F45" s="282"/>
      <c r="G45" s="214">
        <v>1</v>
      </c>
      <c r="H45" s="120">
        <v>0</v>
      </c>
      <c r="I45" s="214">
        <v>1400000</v>
      </c>
      <c r="J45" s="214">
        <v>1400000</v>
      </c>
      <c r="K45" s="282" t="s">
        <v>631</v>
      </c>
      <c r="L45" s="282"/>
      <c r="M45" s="116" t="s">
        <v>871</v>
      </c>
      <c r="N45" s="116" t="s">
        <v>1111</v>
      </c>
      <c r="O45" s="110" t="s">
        <v>1112</v>
      </c>
      <c r="P45" s="94"/>
    </row>
    <row r="46" spans="1:18" s="100" customFormat="1">
      <c r="A46" s="116">
        <v>9</v>
      </c>
      <c r="B46" s="213" t="s">
        <v>1081</v>
      </c>
      <c r="C46" s="282"/>
      <c r="D46" s="282"/>
      <c r="E46" s="214">
        <v>1</v>
      </c>
      <c r="F46" s="282"/>
      <c r="G46" s="214">
        <v>1</v>
      </c>
      <c r="H46" s="120">
        <v>0</v>
      </c>
      <c r="I46" s="214">
        <v>6718000</v>
      </c>
      <c r="J46" s="214">
        <v>6718000</v>
      </c>
      <c r="K46" s="282" t="s">
        <v>631</v>
      </c>
      <c r="L46" s="282"/>
      <c r="M46" s="116" t="s">
        <v>871</v>
      </c>
      <c r="N46" s="116" t="s">
        <v>1111</v>
      </c>
      <c r="O46" s="110" t="s">
        <v>1114</v>
      </c>
      <c r="P46" s="101"/>
    </row>
    <row r="47" spans="1:18" s="100" customFormat="1">
      <c r="A47" s="282">
        <v>10</v>
      </c>
      <c r="B47" s="213" t="s">
        <v>1082</v>
      </c>
      <c r="C47" s="109" t="s">
        <v>1118</v>
      </c>
      <c r="D47" s="282"/>
      <c r="E47" s="214">
        <v>4</v>
      </c>
      <c r="F47" s="282"/>
      <c r="G47" s="214">
        <v>4</v>
      </c>
      <c r="H47" s="120">
        <v>0</v>
      </c>
      <c r="I47" s="214">
        <v>550000</v>
      </c>
      <c r="J47" s="214">
        <v>2200000</v>
      </c>
      <c r="K47" s="282" t="s">
        <v>631</v>
      </c>
      <c r="L47" s="282"/>
      <c r="M47" s="116" t="s">
        <v>1116</v>
      </c>
      <c r="N47" s="116" t="s">
        <v>1111</v>
      </c>
      <c r="O47" s="110" t="s">
        <v>1112</v>
      </c>
      <c r="P47" s="94"/>
    </row>
    <row r="48" spans="1:18" s="100" customFormat="1">
      <c r="A48" s="116">
        <v>11</v>
      </c>
      <c r="B48" s="213" t="s">
        <v>1083</v>
      </c>
      <c r="C48" s="110"/>
      <c r="D48" s="282"/>
      <c r="E48" s="214">
        <v>1</v>
      </c>
      <c r="F48" s="282"/>
      <c r="G48" s="214">
        <v>1</v>
      </c>
      <c r="H48" s="120">
        <v>0</v>
      </c>
      <c r="I48" s="214">
        <v>200000</v>
      </c>
      <c r="J48" s="214">
        <v>200000</v>
      </c>
      <c r="K48" s="282" t="s">
        <v>631</v>
      </c>
      <c r="L48" s="282"/>
      <c r="M48" s="282" t="s">
        <v>1116</v>
      </c>
      <c r="N48" s="116" t="s">
        <v>1111</v>
      </c>
      <c r="O48" s="110" t="s">
        <v>1112</v>
      </c>
      <c r="P48" s="94"/>
    </row>
    <row r="49" spans="1:16" s="100" customFormat="1">
      <c r="A49" s="282">
        <v>12</v>
      </c>
      <c r="B49" s="213" t="s">
        <v>1084</v>
      </c>
      <c r="C49" s="94" t="s">
        <v>1119</v>
      </c>
      <c r="D49" s="282"/>
      <c r="E49" s="214">
        <v>1</v>
      </c>
      <c r="F49" s="282"/>
      <c r="G49" s="214">
        <v>1</v>
      </c>
      <c r="H49" s="120">
        <v>0</v>
      </c>
      <c r="I49" s="214">
        <v>0</v>
      </c>
      <c r="J49" s="214">
        <v>0</v>
      </c>
      <c r="K49" s="282" t="s">
        <v>631</v>
      </c>
      <c r="L49" s="282"/>
      <c r="M49" s="282" t="s">
        <v>1116</v>
      </c>
      <c r="N49" s="116" t="s">
        <v>1111</v>
      </c>
      <c r="O49" s="110" t="s">
        <v>1112</v>
      </c>
      <c r="P49" s="94"/>
    </row>
    <row r="50" spans="1:16" s="100" customFormat="1">
      <c r="A50" s="116">
        <v>13</v>
      </c>
      <c r="B50" s="213" t="s">
        <v>1085</v>
      </c>
      <c r="C50" s="282"/>
      <c r="D50" s="282"/>
      <c r="E50" s="214">
        <v>1</v>
      </c>
      <c r="F50" s="282"/>
      <c r="G50" s="214">
        <v>1</v>
      </c>
      <c r="H50" s="120">
        <v>0</v>
      </c>
      <c r="I50" s="214">
        <v>350000</v>
      </c>
      <c r="J50" s="214">
        <v>350000</v>
      </c>
      <c r="K50" s="282" t="s">
        <v>631</v>
      </c>
      <c r="L50" s="282"/>
      <c r="M50" s="116" t="s">
        <v>871</v>
      </c>
      <c r="N50" s="116" t="s">
        <v>1111</v>
      </c>
      <c r="O50" s="110" t="s">
        <v>1112</v>
      </c>
      <c r="P50" s="94"/>
    </row>
    <row r="51" spans="1:16" s="100" customFormat="1">
      <c r="A51" s="282">
        <v>14</v>
      </c>
      <c r="B51" s="213" t="s">
        <v>1086</v>
      </c>
      <c r="C51" s="282"/>
      <c r="D51" s="282"/>
      <c r="E51" s="214">
        <v>1</v>
      </c>
      <c r="F51" s="282"/>
      <c r="G51" s="214">
        <v>1</v>
      </c>
      <c r="H51" s="120">
        <v>0</v>
      </c>
      <c r="I51" s="214">
        <v>6810000</v>
      </c>
      <c r="J51" s="214">
        <v>6810000</v>
      </c>
      <c r="K51" s="282" t="s">
        <v>631</v>
      </c>
      <c r="L51" s="282"/>
      <c r="M51" s="282"/>
      <c r="N51" s="116" t="s">
        <v>1111</v>
      </c>
      <c r="O51" s="110"/>
      <c r="P51" s="94"/>
    </row>
    <row r="52" spans="1:16" s="100" customFormat="1">
      <c r="A52" s="116">
        <v>15</v>
      </c>
      <c r="B52" s="213" t="s">
        <v>1087</v>
      </c>
      <c r="C52" s="282" t="s">
        <v>1120</v>
      </c>
      <c r="D52" s="282"/>
      <c r="E52" s="214">
        <v>1</v>
      </c>
      <c r="F52" s="282"/>
      <c r="G52" s="214">
        <v>1</v>
      </c>
      <c r="H52" s="120">
        <v>0</v>
      </c>
      <c r="I52" s="214">
        <v>2650000</v>
      </c>
      <c r="J52" s="214">
        <v>2650000</v>
      </c>
      <c r="K52" s="282" t="s">
        <v>631</v>
      </c>
      <c r="L52" s="282"/>
      <c r="M52" s="282" t="s">
        <v>1116</v>
      </c>
      <c r="N52" s="116" t="s">
        <v>1111</v>
      </c>
      <c r="O52" s="110" t="s">
        <v>1112</v>
      </c>
      <c r="P52" s="101"/>
    </row>
    <row r="53" spans="1:16">
      <c r="A53" s="282">
        <v>16</v>
      </c>
      <c r="B53" s="213" t="s">
        <v>1088</v>
      </c>
      <c r="C53" s="116"/>
      <c r="D53" s="282"/>
      <c r="E53" s="214">
        <v>1</v>
      </c>
      <c r="F53" s="116"/>
      <c r="G53" s="214">
        <v>1</v>
      </c>
      <c r="H53" s="120">
        <v>0</v>
      </c>
      <c r="I53" s="214">
        <v>1300000</v>
      </c>
      <c r="J53" s="214">
        <v>1300000</v>
      </c>
      <c r="K53" s="282" t="s">
        <v>631</v>
      </c>
      <c r="L53" s="282"/>
      <c r="M53" s="282" t="s">
        <v>871</v>
      </c>
      <c r="N53" s="116" t="s">
        <v>1111</v>
      </c>
      <c r="O53" s="110" t="s">
        <v>1114</v>
      </c>
      <c r="P53" s="94"/>
    </row>
    <row r="54" spans="1:16" s="100" customFormat="1">
      <c r="A54" s="116">
        <v>17</v>
      </c>
      <c r="B54" s="213" t="s">
        <v>1115</v>
      </c>
      <c r="C54" s="282" t="s">
        <v>1121</v>
      </c>
      <c r="D54" s="282"/>
      <c r="E54" s="214">
        <v>6</v>
      </c>
      <c r="F54" s="282"/>
      <c r="G54" s="214">
        <v>6</v>
      </c>
      <c r="H54" s="120">
        <v>0</v>
      </c>
      <c r="I54" s="214">
        <v>356000</v>
      </c>
      <c r="J54" s="214">
        <v>2136000</v>
      </c>
      <c r="K54" s="282" t="s">
        <v>631</v>
      </c>
      <c r="L54" s="282"/>
      <c r="M54" s="282" t="s">
        <v>1116</v>
      </c>
      <c r="N54" s="116" t="s">
        <v>1111</v>
      </c>
      <c r="O54" s="110" t="s">
        <v>1112</v>
      </c>
      <c r="P54" s="101"/>
    </row>
    <row r="55" spans="1:16" s="121" customFormat="1">
      <c r="A55" s="282">
        <v>18</v>
      </c>
      <c r="B55" s="213" t="s">
        <v>542</v>
      </c>
      <c r="C55" s="110"/>
      <c r="D55" s="282"/>
      <c r="E55" s="214">
        <v>1</v>
      </c>
      <c r="F55" s="283"/>
      <c r="G55" s="214">
        <v>1</v>
      </c>
      <c r="H55" s="120">
        <v>0</v>
      </c>
      <c r="I55" s="214">
        <v>250000</v>
      </c>
      <c r="J55" s="214">
        <v>250000</v>
      </c>
      <c r="K55" s="282" t="s">
        <v>631</v>
      </c>
      <c r="L55" s="282"/>
      <c r="M55" s="282" t="s">
        <v>871</v>
      </c>
      <c r="N55" s="116" t="s">
        <v>1111</v>
      </c>
      <c r="O55" s="110" t="s">
        <v>1114</v>
      </c>
      <c r="P55" s="101"/>
    </row>
    <row r="56" spans="1:16" s="121" customFormat="1">
      <c r="A56" s="116">
        <v>19</v>
      </c>
      <c r="B56" s="213" t="s">
        <v>630</v>
      </c>
      <c r="C56" s="110"/>
      <c r="D56" s="282"/>
      <c r="E56" s="214">
        <v>1</v>
      </c>
      <c r="F56" s="283"/>
      <c r="G56" s="214">
        <v>1</v>
      </c>
      <c r="H56" s="120">
        <v>0</v>
      </c>
      <c r="I56" s="214">
        <v>4400000</v>
      </c>
      <c r="J56" s="214">
        <v>4400000</v>
      </c>
      <c r="K56" s="282" t="s">
        <v>631</v>
      </c>
      <c r="L56" s="282"/>
      <c r="M56" s="282" t="s">
        <v>871</v>
      </c>
      <c r="N56" s="116" t="s">
        <v>1111</v>
      </c>
      <c r="O56" s="110" t="s">
        <v>1112</v>
      </c>
      <c r="P56" s="101"/>
    </row>
    <row r="57" spans="1:16" s="100" customFormat="1">
      <c r="A57" s="282">
        <v>20</v>
      </c>
      <c r="B57" s="213" t="s">
        <v>1082</v>
      </c>
      <c r="C57" s="109"/>
      <c r="D57" s="282"/>
      <c r="E57" s="214">
        <v>1</v>
      </c>
      <c r="F57" s="282"/>
      <c r="G57" s="214">
        <v>1</v>
      </c>
      <c r="H57" s="120">
        <v>0</v>
      </c>
      <c r="I57" s="214">
        <v>1100000</v>
      </c>
      <c r="J57" s="214">
        <v>1100000</v>
      </c>
      <c r="K57" s="282" t="s">
        <v>631</v>
      </c>
      <c r="L57" s="282"/>
      <c r="M57" s="282" t="s">
        <v>1116</v>
      </c>
      <c r="N57" s="116" t="s">
        <v>1111</v>
      </c>
      <c r="O57" s="110" t="s">
        <v>1112</v>
      </c>
      <c r="P57" s="94"/>
    </row>
    <row r="58" spans="1:16" s="100" customFormat="1">
      <c r="A58" s="116">
        <v>21</v>
      </c>
      <c r="B58" s="213" t="s">
        <v>1089</v>
      </c>
      <c r="C58" s="122"/>
      <c r="D58" s="282"/>
      <c r="E58" s="214">
        <v>1</v>
      </c>
      <c r="F58" s="282"/>
      <c r="G58" s="214">
        <v>1</v>
      </c>
      <c r="H58" s="120">
        <v>0</v>
      </c>
      <c r="I58" s="214">
        <v>9800000</v>
      </c>
      <c r="J58" s="214">
        <v>9800000</v>
      </c>
      <c r="K58" s="282" t="s">
        <v>631</v>
      </c>
      <c r="L58" s="282"/>
      <c r="M58" s="282" t="s">
        <v>871</v>
      </c>
      <c r="N58" s="116" t="s">
        <v>1111</v>
      </c>
      <c r="O58" s="110" t="s">
        <v>1114</v>
      </c>
      <c r="P58" s="94"/>
    </row>
    <row r="59" spans="1:16" s="100" customFormat="1">
      <c r="A59" s="282">
        <v>22</v>
      </c>
      <c r="B59" s="213" t="s">
        <v>1090</v>
      </c>
      <c r="C59" s="122"/>
      <c r="D59" s="116"/>
      <c r="E59" s="214">
        <v>1</v>
      </c>
      <c r="F59" s="282"/>
      <c r="G59" s="214">
        <v>1</v>
      </c>
      <c r="H59" s="120">
        <v>0</v>
      </c>
      <c r="I59" s="214">
        <v>815000</v>
      </c>
      <c r="J59" s="214">
        <v>815000</v>
      </c>
      <c r="K59" s="282" t="s">
        <v>631</v>
      </c>
      <c r="L59" s="282"/>
      <c r="M59" s="282" t="s">
        <v>871</v>
      </c>
      <c r="N59" s="116" t="s">
        <v>1111</v>
      </c>
      <c r="O59" s="110" t="s">
        <v>1112</v>
      </c>
      <c r="P59" s="94"/>
    </row>
    <row r="60" spans="1:16" s="100" customFormat="1">
      <c r="A60" s="116">
        <v>23</v>
      </c>
      <c r="B60" s="213" t="s">
        <v>1077</v>
      </c>
      <c r="C60" s="111"/>
      <c r="D60" s="282"/>
      <c r="E60" s="214">
        <v>2</v>
      </c>
      <c r="F60" s="282"/>
      <c r="G60" s="214">
        <v>2</v>
      </c>
      <c r="H60" s="120">
        <v>0</v>
      </c>
      <c r="I60" s="214">
        <v>1310000</v>
      </c>
      <c r="J60" s="214">
        <v>2620000</v>
      </c>
      <c r="K60" s="282" t="s">
        <v>631</v>
      </c>
      <c r="L60" s="282"/>
      <c r="M60" s="282" t="s">
        <v>871</v>
      </c>
      <c r="N60" s="116" t="s">
        <v>1111</v>
      </c>
      <c r="O60" s="110" t="s">
        <v>1112</v>
      </c>
      <c r="P60" s="94"/>
    </row>
    <row r="61" spans="1:16" s="100" customFormat="1">
      <c r="A61" s="282">
        <v>24</v>
      </c>
      <c r="B61" s="213" t="s">
        <v>1091</v>
      </c>
      <c r="C61" s="111"/>
      <c r="D61" s="282"/>
      <c r="E61" s="214">
        <v>1</v>
      </c>
      <c r="F61" s="282"/>
      <c r="G61" s="214">
        <v>1</v>
      </c>
      <c r="H61" s="120">
        <v>0</v>
      </c>
      <c r="I61" s="214">
        <v>1400000</v>
      </c>
      <c r="J61" s="214">
        <v>1400000</v>
      </c>
      <c r="K61" s="282" t="s">
        <v>631</v>
      </c>
      <c r="L61" s="282"/>
      <c r="M61" s="282" t="s">
        <v>871</v>
      </c>
      <c r="N61" s="116" t="s">
        <v>1111</v>
      </c>
      <c r="O61" s="110" t="s">
        <v>1112</v>
      </c>
      <c r="P61" s="94"/>
    </row>
    <row r="62" spans="1:16" s="100" customFormat="1">
      <c r="A62" s="116">
        <v>25</v>
      </c>
      <c r="B62" s="213" t="s">
        <v>1092</v>
      </c>
      <c r="C62" s="122"/>
      <c r="D62" s="116"/>
      <c r="E62" s="214">
        <v>2</v>
      </c>
      <c r="F62" s="282"/>
      <c r="G62" s="214">
        <v>2</v>
      </c>
      <c r="H62" s="120">
        <v>0</v>
      </c>
      <c r="I62" s="214">
        <v>1300000</v>
      </c>
      <c r="J62" s="214">
        <v>2600000</v>
      </c>
      <c r="K62" s="282" t="s">
        <v>631</v>
      </c>
      <c r="L62" s="282"/>
      <c r="M62" s="282" t="s">
        <v>1122</v>
      </c>
      <c r="N62" s="116" t="s">
        <v>1111</v>
      </c>
      <c r="O62" s="110" t="s">
        <v>1112</v>
      </c>
      <c r="P62" s="94"/>
    </row>
    <row r="63" spans="1:16" s="100" customFormat="1">
      <c r="A63" s="282">
        <v>26</v>
      </c>
      <c r="B63" s="213" t="s">
        <v>1090</v>
      </c>
      <c r="C63" s="111"/>
      <c r="D63" s="282"/>
      <c r="E63" s="214">
        <v>1</v>
      </c>
      <c r="F63" s="282"/>
      <c r="G63" s="214">
        <v>1</v>
      </c>
      <c r="H63" s="120">
        <v>0</v>
      </c>
      <c r="I63" s="214">
        <v>815000</v>
      </c>
      <c r="J63" s="214">
        <v>815000</v>
      </c>
      <c r="K63" s="282" t="s">
        <v>631</v>
      </c>
      <c r="L63" s="282"/>
      <c r="M63" s="282" t="s">
        <v>871</v>
      </c>
      <c r="N63" s="116" t="s">
        <v>1111</v>
      </c>
      <c r="O63" s="110" t="s">
        <v>1112</v>
      </c>
      <c r="P63" s="94"/>
    </row>
    <row r="64" spans="1:16" s="100" customFormat="1">
      <c r="A64" s="116">
        <v>27</v>
      </c>
      <c r="B64" s="213" t="s">
        <v>1090</v>
      </c>
      <c r="C64" s="109"/>
      <c r="D64" s="282"/>
      <c r="E64" s="214">
        <v>1</v>
      </c>
      <c r="F64" s="282"/>
      <c r="G64" s="214">
        <v>1</v>
      </c>
      <c r="H64" s="120">
        <v>0</v>
      </c>
      <c r="I64" s="214">
        <v>850000</v>
      </c>
      <c r="J64" s="214">
        <v>850000</v>
      </c>
      <c r="K64" s="282" t="s">
        <v>631</v>
      </c>
      <c r="L64" s="282"/>
      <c r="M64" s="282" t="s">
        <v>871</v>
      </c>
      <c r="N64" s="116" t="s">
        <v>1111</v>
      </c>
      <c r="O64" s="110" t="s">
        <v>1112</v>
      </c>
      <c r="P64" s="94"/>
    </row>
    <row r="65" spans="1:16" s="100" customFormat="1">
      <c r="A65" s="282">
        <v>28</v>
      </c>
      <c r="B65" s="213" t="s">
        <v>834</v>
      </c>
      <c r="C65" s="109"/>
      <c r="D65" s="282"/>
      <c r="E65" s="214">
        <v>1</v>
      </c>
      <c r="F65" s="282"/>
      <c r="G65" s="214">
        <v>1</v>
      </c>
      <c r="H65" s="120">
        <v>0</v>
      </c>
      <c r="I65" s="214">
        <v>423000</v>
      </c>
      <c r="J65" s="214">
        <v>423000</v>
      </c>
      <c r="K65" s="282" t="s">
        <v>631</v>
      </c>
      <c r="L65" s="282"/>
      <c r="M65" s="282" t="s">
        <v>871</v>
      </c>
      <c r="N65" s="116" t="s">
        <v>1111</v>
      </c>
      <c r="O65" s="110" t="s">
        <v>1112</v>
      </c>
      <c r="P65" s="94"/>
    </row>
    <row r="66" spans="1:16" s="100" customFormat="1">
      <c r="A66" s="116">
        <v>29</v>
      </c>
      <c r="B66" s="213" t="s">
        <v>1092</v>
      </c>
      <c r="C66" s="111"/>
      <c r="D66" s="282"/>
      <c r="E66" s="214">
        <v>1</v>
      </c>
      <c r="F66" s="282"/>
      <c r="G66" s="214">
        <v>1</v>
      </c>
      <c r="H66" s="120">
        <v>0</v>
      </c>
      <c r="I66" s="214">
        <v>1200000</v>
      </c>
      <c r="J66" s="214">
        <v>1200000</v>
      </c>
      <c r="K66" s="282" t="s">
        <v>631</v>
      </c>
      <c r="L66" s="282"/>
      <c r="M66" s="282" t="s">
        <v>1122</v>
      </c>
      <c r="N66" s="116" t="s">
        <v>1111</v>
      </c>
      <c r="O66" s="110" t="s">
        <v>1112</v>
      </c>
      <c r="P66" s="94"/>
    </row>
    <row r="67" spans="1:16" s="100" customFormat="1">
      <c r="A67" s="282">
        <v>30</v>
      </c>
      <c r="B67" s="213" t="s">
        <v>1081</v>
      </c>
      <c r="C67" s="111"/>
      <c r="D67" s="282"/>
      <c r="E67" s="214">
        <v>1</v>
      </c>
      <c r="F67" s="282"/>
      <c r="G67" s="214">
        <v>1</v>
      </c>
      <c r="H67" s="120">
        <v>0</v>
      </c>
      <c r="I67" s="214">
        <v>7160000</v>
      </c>
      <c r="J67" s="214">
        <v>7160000</v>
      </c>
      <c r="K67" s="282" t="s">
        <v>631</v>
      </c>
      <c r="L67" s="282"/>
      <c r="M67" s="282" t="s">
        <v>1116</v>
      </c>
      <c r="N67" s="116" t="s">
        <v>1111</v>
      </c>
      <c r="O67" s="110" t="s">
        <v>1114</v>
      </c>
      <c r="P67" s="94"/>
    </row>
    <row r="68" spans="1:16" s="100" customFormat="1">
      <c r="A68" s="116">
        <v>31</v>
      </c>
      <c r="B68" s="213" t="s">
        <v>1093</v>
      </c>
      <c r="C68" s="111"/>
      <c r="D68" s="282"/>
      <c r="E68" s="214">
        <v>3</v>
      </c>
      <c r="F68" s="282"/>
      <c r="G68" s="214">
        <v>3</v>
      </c>
      <c r="H68" s="120">
        <v>0</v>
      </c>
      <c r="I68" s="214">
        <v>700000</v>
      </c>
      <c r="J68" s="214">
        <v>2100000</v>
      </c>
      <c r="K68" s="282" t="s">
        <v>631</v>
      </c>
      <c r="L68" s="282"/>
      <c r="M68" s="282" t="s">
        <v>871</v>
      </c>
      <c r="N68" s="116" t="s">
        <v>1111</v>
      </c>
      <c r="O68" s="110" t="s">
        <v>1112</v>
      </c>
      <c r="P68" s="94"/>
    </row>
    <row r="69" spans="1:16" s="100" customFormat="1">
      <c r="A69" s="282">
        <v>32</v>
      </c>
      <c r="B69" s="213" t="s">
        <v>522</v>
      </c>
      <c r="C69" s="111" t="s">
        <v>1123</v>
      </c>
      <c r="D69" s="282"/>
      <c r="E69" s="214">
        <v>1</v>
      </c>
      <c r="F69" s="282"/>
      <c r="G69" s="214">
        <v>1</v>
      </c>
      <c r="H69" s="120">
        <v>0</v>
      </c>
      <c r="I69" s="214">
        <v>400000</v>
      </c>
      <c r="J69" s="214">
        <v>400000</v>
      </c>
      <c r="K69" s="282" t="s">
        <v>631</v>
      </c>
      <c r="L69" s="282"/>
      <c r="M69" s="282" t="s">
        <v>1116</v>
      </c>
      <c r="N69" s="116" t="s">
        <v>1111</v>
      </c>
      <c r="O69" s="110" t="s">
        <v>1112</v>
      </c>
      <c r="P69" s="94"/>
    </row>
    <row r="70" spans="1:16" s="100" customFormat="1" ht="34.5" customHeight="1">
      <c r="A70" s="116">
        <v>33</v>
      </c>
      <c r="B70" s="213" t="s">
        <v>834</v>
      </c>
      <c r="C70" s="111"/>
      <c r="D70" s="282"/>
      <c r="E70" s="214">
        <v>1</v>
      </c>
      <c r="F70" s="282"/>
      <c r="G70" s="214">
        <v>1</v>
      </c>
      <c r="H70" s="120">
        <v>0</v>
      </c>
      <c r="I70" s="214">
        <v>423000</v>
      </c>
      <c r="J70" s="214">
        <v>423000</v>
      </c>
      <c r="K70" s="282" t="s">
        <v>631</v>
      </c>
      <c r="L70" s="282"/>
      <c r="M70" s="282" t="s">
        <v>871</v>
      </c>
      <c r="N70" s="116" t="s">
        <v>1111</v>
      </c>
      <c r="O70" s="110" t="s">
        <v>1112</v>
      </c>
      <c r="P70" s="94" t="s">
        <v>589</v>
      </c>
    </row>
    <row r="71" spans="1:16" s="100" customFormat="1">
      <c r="A71" s="282">
        <v>34</v>
      </c>
      <c r="B71" s="213" t="s">
        <v>1094</v>
      </c>
      <c r="C71" s="109"/>
      <c r="D71" s="282"/>
      <c r="E71" s="214">
        <v>1</v>
      </c>
      <c r="F71" s="282"/>
      <c r="G71" s="214">
        <v>1</v>
      </c>
      <c r="H71" s="120">
        <v>0</v>
      </c>
      <c r="I71" s="214">
        <v>4700000</v>
      </c>
      <c r="J71" s="214">
        <v>4700000</v>
      </c>
      <c r="K71" s="282" t="s">
        <v>631</v>
      </c>
      <c r="L71" s="282"/>
      <c r="M71" s="282" t="s">
        <v>871</v>
      </c>
      <c r="N71" s="116" t="s">
        <v>1111</v>
      </c>
      <c r="O71" s="110" t="s">
        <v>1112</v>
      </c>
      <c r="P71" s="94"/>
    </row>
    <row r="72" spans="1:16" s="121" customFormat="1">
      <c r="A72" s="116">
        <v>35</v>
      </c>
      <c r="B72" s="213" t="s">
        <v>821</v>
      </c>
      <c r="C72" s="110"/>
      <c r="D72" s="282"/>
      <c r="E72" s="214">
        <v>1</v>
      </c>
      <c r="F72" s="283"/>
      <c r="G72" s="214">
        <v>1</v>
      </c>
      <c r="H72" s="120">
        <v>0</v>
      </c>
      <c r="I72" s="214">
        <v>440000</v>
      </c>
      <c r="J72" s="214">
        <v>440000</v>
      </c>
      <c r="K72" s="282" t="s">
        <v>631</v>
      </c>
      <c r="L72" s="282"/>
      <c r="M72" s="282" t="s">
        <v>1116</v>
      </c>
      <c r="N72" s="116" t="s">
        <v>1111</v>
      </c>
      <c r="O72" s="281" t="s">
        <v>1114</v>
      </c>
      <c r="P72" s="101"/>
    </row>
    <row r="73" spans="1:16" s="100" customFormat="1">
      <c r="A73" s="282">
        <v>36</v>
      </c>
      <c r="B73" s="213" t="s">
        <v>1095</v>
      </c>
      <c r="C73" s="110"/>
      <c r="D73" s="282"/>
      <c r="E73" s="214">
        <v>1</v>
      </c>
      <c r="F73" s="282"/>
      <c r="G73" s="214">
        <v>1</v>
      </c>
      <c r="H73" s="120">
        <v>0</v>
      </c>
      <c r="I73" s="214">
        <v>3300000</v>
      </c>
      <c r="J73" s="214">
        <v>3300000</v>
      </c>
      <c r="K73" s="282" t="s">
        <v>631</v>
      </c>
      <c r="L73" s="282"/>
      <c r="M73" s="282" t="s">
        <v>871</v>
      </c>
      <c r="N73" s="116" t="s">
        <v>1111</v>
      </c>
      <c r="O73" s="110" t="s">
        <v>1112</v>
      </c>
      <c r="P73" s="101"/>
    </row>
    <row r="74" spans="1:16" s="121" customFormat="1">
      <c r="A74" s="116">
        <v>37</v>
      </c>
      <c r="B74" s="213" t="s">
        <v>1096</v>
      </c>
      <c r="C74" s="282" t="s">
        <v>1124</v>
      </c>
      <c r="D74" s="282"/>
      <c r="E74" s="214">
        <v>1</v>
      </c>
      <c r="F74" s="283"/>
      <c r="G74" s="214">
        <v>1</v>
      </c>
      <c r="H74" s="120">
        <v>0</v>
      </c>
      <c r="I74" s="214">
        <v>275000</v>
      </c>
      <c r="J74" s="214">
        <v>275000</v>
      </c>
      <c r="K74" s="282" t="s">
        <v>631</v>
      </c>
      <c r="L74" s="282"/>
      <c r="M74" s="282" t="s">
        <v>1116</v>
      </c>
      <c r="N74" s="116" t="s">
        <v>1111</v>
      </c>
      <c r="O74" s="110" t="s">
        <v>1112</v>
      </c>
      <c r="P74" s="94"/>
    </row>
    <row r="75" spans="1:16" s="121" customFormat="1">
      <c r="A75" s="282">
        <v>38</v>
      </c>
      <c r="B75" s="213" t="s">
        <v>1093</v>
      </c>
      <c r="C75" s="110"/>
      <c r="D75" s="282"/>
      <c r="E75" s="214">
        <v>1</v>
      </c>
      <c r="F75" s="283"/>
      <c r="G75" s="214">
        <v>1</v>
      </c>
      <c r="H75" s="120">
        <v>0</v>
      </c>
      <c r="I75" s="214">
        <v>2450000</v>
      </c>
      <c r="J75" s="214">
        <v>2450000</v>
      </c>
      <c r="K75" s="282" t="s">
        <v>631</v>
      </c>
      <c r="L75" s="282"/>
      <c r="M75" s="282" t="s">
        <v>871</v>
      </c>
      <c r="N75" s="116" t="s">
        <v>1111</v>
      </c>
      <c r="O75" s="110" t="s">
        <v>1112</v>
      </c>
      <c r="P75" s="101"/>
    </row>
    <row r="76" spans="1:16" s="100" customFormat="1">
      <c r="A76" s="116">
        <v>39</v>
      </c>
      <c r="B76" s="213" t="s">
        <v>1097</v>
      </c>
      <c r="C76" s="110"/>
      <c r="D76" s="282"/>
      <c r="E76" s="214">
        <v>1</v>
      </c>
      <c r="F76" s="282"/>
      <c r="G76" s="214">
        <v>1</v>
      </c>
      <c r="H76" s="120">
        <v>0</v>
      </c>
      <c r="I76" s="214">
        <v>700000</v>
      </c>
      <c r="J76" s="214">
        <v>700000</v>
      </c>
      <c r="K76" s="282" t="s">
        <v>631</v>
      </c>
      <c r="L76" s="282"/>
      <c r="M76" s="282" t="s">
        <v>871</v>
      </c>
      <c r="N76" s="116" t="s">
        <v>1111</v>
      </c>
      <c r="O76" s="110" t="s">
        <v>1112</v>
      </c>
      <c r="P76" s="94"/>
    </row>
    <row r="77" spans="1:16" s="100" customFormat="1">
      <c r="A77" s="282">
        <v>40</v>
      </c>
      <c r="B77" s="213" t="s">
        <v>1098</v>
      </c>
      <c r="C77" s="282"/>
      <c r="D77" s="282"/>
      <c r="E77" s="214">
        <v>1</v>
      </c>
      <c r="F77" s="282"/>
      <c r="G77" s="214">
        <v>1</v>
      </c>
      <c r="H77" s="120">
        <v>0</v>
      </c>
      <c r="I77" s="214">
        <v>700000</v>
      </c>
      <c r="J77" s="214">
        <v>700000</v>
      </c>
      <c r="K77" s="282" t="s">
        <v>631</v>
      </c>
      <c r="L77" s="303"/>
      <c r="M77" s="282" t="s">
        <v>871</v>
      </c>
      <c r="N77" s="116" t="s">
        <v>1111</v>
      </c>
      <c r="O77" s="110" t="s">
        <v>1112</v>
      </c>
      <c r="P77" s="94"/>
    </row>
    <row r="78" spans="1:16" s="100" customFormat="1">
      <c r="A78" s="116">
        <v>41</v>
      </c>
      <c r="B78" s="213" t="s">
        <v>1099</v>
      </c>
      <c r="C78" s="282"/>
      <c r="D78" s="282"/>
      <c r="E78" s="214">
        <v>1</v>
      </c>
      <c r="F78" s="282"/>
      <c r="G78" s="214">
        <v>1</v>
      </c>
      <c r="H78" s="120">
        <v>0</v>
      </c>
      <c r="I78" s="214">
        <v>3000000</v>
      </c>
      <c r="J78" s="214">
        <v>3000000</v>
      </c>
      <c r="K78" s="282" t="s">
        <v>631</v>
      </c>
      <c r="L78" s="282"/>
      <c r="M78" s="282" t="s">
        <v>871</v>
      </c>
      <c r="N78" s="116" t="s">
        <v>1111</v>
      </c>
      <c r="O78" s="110" t="s">
        <v>1112</v>
      </c>
      <c r="P78" s="94"/>
    </row>
    <row r="79" spans="1:16" s="100" customFormat="1">
      <c r="A79" s="282">
        <v>42</v>
      </c>
      <c r="B79" s="213" t="s">
        <v>636</v>
      </c>
      <c r="C79" s="282"/>
      <c r="D79" s="282"/>
      <c r="E79" s="214">
        <v>1</v>
      </c>
      <c r="F79" s="282"/>
      <c r="G79" s="214">
        <v>1</v>
      </c>
      <c r="H79" s="120">
        <v>0</v>
      </c>
      <c r="I79" s="214">
        <v>800000</v>
      </c>
      <c r="J79" s="214">
        <v>800000</v>
      </c>
      <c r="K79" s="282" t="s">
        <v>631</v>
      </c>
      <c r="L79" s="282"/>
      <c r="M79" s="282" t="s">
        <v>871</v>
      </c>
      <c r="N79" s="116" t="s">
        <v>1111</v>
      </c>
      <c r="O79" s="110" t="s">
        <v>1112</v>
      </c>
      <c r="P79" s="94"/>
    </row>
    <row r="80" spans="1:16" s="100" customFormat="1">
      <c r="A80" s="116">
        <v>43</v>
      </c>
      <c r="B80" s="213" t="s">
        <v>1100</v>
      </c>
      <c r="C80" s="282"/>
      <c r="D80" s="282"/>
      <c r="E80" s="214">
        <v>2</v>
      </c>
      <c r="F80" s="282"/>
      <c r="G80" s="214">
        <v>2</v>
      </c>
      <c r="H80" s="120">
        <v>0</v>
      </c>
      <c r="I80" s="214">
        <v>350000</v>
      </c>
      <c r="J80" s="214">
        <v>700000</v>
      </c>
      <c r="K80" s="282" t="s">
        <v>631</v>
      </c>
      <c r="L80" s="282"/>
      <c r="M80" s="282" t="s">
        <v>871</v>
      </c>
      <c r="N80" s="116" t="s">
        <v>1111</v>
      </c>
      <c r="O80" s="110" t="s">
        <v>1113</v>
      </c>
      <c r="P80" s="94"/>
    </row>
    <row r="81" spans="1:16" s="100" customFormat="1">
      <c r="A81" s="282">
        <v>44</v>
      </c>
      <c r="B81" s="213" t="s">
        <v>1101</v>
      </c>
      <c r="C81" s="282"/>
      <c r="D81" s="282"/>
      <c r="E81" s="214">
        <v>1</v>
      </c>
      <c r="F81" s="282"/>
      <c r="G81" s="214">
        <v>1</v>
      </c>
      <c r="H81" s="120">
        <v>0</v>
      </c>
      <c r="I81" s="214">
        <v>1794000</v>
      </c>
      <c r="J81" s="214">
        <v>1794000</v>
      </c>
      <c r="K81" s="282" t="s">
        <v>631</v>
      </c>
      <c r="L81" s="282"/>
      <c r="M81" s="282" t="s">
        <v>871</v>
      </c>
      <c r="N81" s="116" t="s">
        <v>1111</v>
      </c>
      <c r="O81" s="110" t="s">
        <v>1114</v>
      </c>
      <c r="P81" s="94"/>
    </row>
    <row r="82" spans="1:16" s="100" customFormat="1">
      <c r="A82" s="116">
        <v>45</v>
      </c>
      <c r="B82" s="213" t="s">
        <v>636</v>
      </c>
      <c r="C82" s="282"/>
      <c r="D82" s="282"/>
      <c r="E82" s="214">
        <v>1</v>
      </c>
      <c r="F82" s="282"/>
      <c r="G82" s="214">
        <v>1</v>
      </c>
      <c r="H82" s="120">
        <v>0</v>
      </c>
      <c r="I82" s="214">
        <v>1200000</v>
      </c>
      <c r="J82" s="214">
        <v>1200000</v>
      </c>
      <c r="K82" s="282" t="s">
        <v>631</v>
      </c>
      <c r="L82" s="282"/>
      <c r="M82" s="282" t="s">
        <v>871</v>
      </c>
      <c r="N82" s="116" t="s">
        <v>1111</v>
      </c>
      <c r="O82" s="110" t="s">
        <v>1112</v>
      </c>
      <c r="P82" s="94"/>
    </row>
    <row r="83" spans="1:16" s="100" customFormat="1">
      <c r="A83" s="116">
        <v>46</v>
      </c>
      <c r="B83" s="213" t="s">
        <v>1102</v>
      </c>
      <c r="C83" s="282"/>
      <c r="D83" s="282"/>
      <c r="E83" s="304">
        <v>1</v>
      </c>
      <c r="F83" s="282"/>
      <c r="G83" s="304">
        <v>1</v>
      </c>
      <c r="H83" s="120">
        <v>0</v>
      </c>
      <c r="I83" s="214">
        <v>450000</v>
      </c>
      <c r="J83" s="214">
        <v>450000</v>
      </c>
      <c r="K83" s="282" t="s">
        <v>631</v>
      </c>
      <c r="L83" s="282"/>
      <c r="M83" s="282" t="s">
        <v>649</v>
      </c>
      <c r="N83" s="116" t="s">
        <v>1111</v>
      </c>
      <c r="O83" s="110" t="s">
        <v>1113</v>
      </c>
      <c r="P83" s="94"/>
    </row>
    <row r="84" spans="1:16" s="100" customFormat="1">
      <c r="A84" s="282">
        <v>47</v>
      </c>
      <c r="B84" s="213" t="s">
        <v>1102</v>
      </c>
      <c r="C84" s="282"/>
      <c r="D84" s="282"/>
      <c r="E84" s="304">
        <v>1</v>
      </c>
      <c r="F84" s="282"/>
      <c r="G84" s="304">
        <v>1</v>
      </c>
      <c r="H84" s="120">
        <v>0</v>
      </c>
      <c r="I84" s="214">
        <v>450000</v>
      </c>
      <c r="J84" s="214">
        <v>450000</v>
      </c>
      <c r="K84" s="282" t="s">
        <v>631</v>
      </c>
      <c r="L84" s="282"/>
      <c r="M84" s="282" t="s">
        <v>649</v>
      </c>
      <c r="N84" s="116" t="s">
        <v>1111</v>
      </c>
      <c r="O84" s="110" t="s">
        <v>1113</v>
      </c>
      <c r="P84" s="94"/>
    </row>
    <row r="85" spans="1:16" s="100" customFormat="1">
      <c r="A85" s="116">
        <v>48</v>
      </c>
      <c r="B85" s="213" t="s">
        <v>1102</v>
      </c>
      <c r="C85" s="282"/>
      <c r="D85" s="282"/>
      <c r="E85" s="304">
        <v>1</v>
      </c>
      <c r="F85" s="282"/>
      <c r="G85" s="304">
        <v>1</v>
      </c>
      <c r="H85" s="120">
        <v>0</v>
      </c>
      <c r="I85" s="214">
        <v>450000</v>
      </c>
      <c r="J85" s="214">
        <v>450000</v>
      </c>
      <c r="K85" s="282" t="s">
        <v>631</v>
      </c>
      <c r="L85" s="282"/>
      <c r="M85" s="282" t="s">
        <v>649</v>
      </c>
      <c r="N85" s="116" t="s">
        <v>1111</v>
      </c>
      <c r="O85" s="110" t="s">
        <v>1113</v>
      </c>
      <c r="P85" s="94"/>
    </row>
    <row r="86" spans="1:16" s="100" customFormat="1">
      <c r="A86" s="116">
        <v>49</v>
      </c>
      <c r="B86" s="213" t="s">
        <v>1151</v>
      </c>
      <c r="C86" s="282"/>
      <c r="D86" s="282"/>
      <c r="E86" s="304">
        <v>1</v>
      </c>
      <c r="F86" s="282"/>
      <c r="G86" s="304">
        <v>1</v>
      </c>
      <c r="H86" s="120">
        <v>0</v>
      </c>
      <c r="I86" s="214">
        <v>450000</v>
      </c>
      <c r="J86" s="214">
        <v>450000</v>
      </c>
      <c r="K86" s="282" t="s">
        <v>631</v>
      </c>
      <c r="L86" s="282"/>
      <c r="M86" s="282" t="s">
        <v>649</v>
      </c>
      <c r="N86" s="116" t="s">
        <v>1111</v>
      </c>
      <c r="O86" s="110" t="s">
        <v>1113</v>
      </c>
      <c r="P86" s="94"/>
    </row>
    <row r="87" spans="1:16" s="100" customFormat="1">
      <c r="A87" s="282">
        <v>50</v>
      </c>
      <c r="B87" s="213" t="s">
        <v>1103</v>
      </c>
      <c r="C87" s="282"/>
      <c r="D87" s="282"/>
      <c r="E87" s="304">
        <v>8</v>
      </c>
      <c r="F87" s="282"/>
      <c r="G87" s="304">
        <v>8</v>
      </c>
      <c r="H87" s="120">
        <v>0</v>
      </c>
      <c r="I87" s="214">
        <v>150000</v>
      </c>
      <c r="J87" s="214">
        <v>1200000</v>
      </c>
      <c r="K87" s="282" t="s">
        <v>631</v>
      </c>
      <c r="L87" s="282"/>
      <c r="M87" s="282" t="s">
        <v>871</v>
      </c>
      <c r="N87" s="116" t="s">
        <v>1111</v>
      </c>
      <c r="O87" s="110" t="s">
        <v>1113</v>
      </c>
      <c r="P87" s="94"/>
    </row>
    <row r="88" spans="1:16" s="100" customFormat="1">
      <c r="A88" s="116">
        <v>51</v>
      </c>
      <c r="B88" s="213" t="s">
        <v>1104</v>
      </c>
      <c r="C88" s="282" t="s">
        <v>1125</v>
      </c>
      <c r="D88" s="282"/>
      <c r="E88" s="304">
        <v>1</v>
      </c>
      <c r="F88" s="282"/>
      <c r="G88" s="304">
        <v>1</v>
      </c>
      <c r="H88" s="120">
        <v>0</v>
      </c>
      <c r="I88" s="214">
        <v>1400000</v>
      </c>
      <c r="J88" s="214">
        <v>1400000</v>
      </c>
      <c r="K88" s="282" t="s">
        <v>631</v>
      </c>
      <c r="L88" s="282"/>
      <c r="M88" s="282" t="s">
        <v>649</v>
      </c>
      <c r="N88" s="116" t="s">
        <v>1111</v>
      </c>
      <c r="O88" s="110" t="s">
        <v>1113</v>
      </c>
      <c r="P88" s="94"/>
    </row>
    <row r="89" spans="1:16" s="100" customFormat="1">
      <c r="A89" s="116">
        <v>52</v>
      </c>
      <c r="B89" s="213" t="s">
        <v>1105</v>
      </c>
      <c r="C89" s="282" t="s">
        <v>1126</v>
      </c>
      <c r="D89" s="282"/>
      <c r="E89" s="304">
        <v>1</v>
      </c>
      <c r="F89" s="282"/>
      <c r="G89" s="304">
        <v>1</v>
      </c>
      <c r="H89" s="120">
        <v>0</v>
      </c>
      <c r="I89" s="214">
        <v>1200000</v>
      </c>
      <c r="J89" s="214">
        <v>1200000</v>
      </c>
      <c r="K89" s="282" t="s">
        <v>631</v>
      </c>
      <c r="L89" s="282"/>
      <c r="M89" s="282" t="s">
        <v>649</v>
      </c>
      <c r="N89" s="116" t="s">
        <v>1111</v>
      </c>
      <c r="O89" s="110" t="s">
        <v>1113</v>
      </c>
      <c r="P89" s="94"/>
    </row>
    <row r="90" spans="1:16" s="100" customFormat="1">
      <c r="A90" s="282">
        <v>53</v>
      </c>
      <c r="B90" s="213" t="s">
        <v>802</v>
      </c>
      <c r="C90" s="282" t="s">
        <v>1127</v>
      </c>
      <c r="D90" s="282"/>
      <c r="E90" s="304">
        <v>1</v>
      </c>
      <c r="F90" s="282"/>
      <c r="G90" s="304">
        <v>1</v>
      </c>
      <c r="H90" s="120">
        <v>0</v>
      </c>
      <c r="I90" s="214">
        <v>600000</v>
      </c>
      <c r="J90" s="214">
        <v>600000</v>
      </c>
      <c r="K90" s="282" t="s">
        <v>631</v>
      </c>
      <c r="L90" s="282"/>
      <c r="M90" s="282" t="s">
        <v>649</v>
      </c>
      <c r="N90" s="116" t="s">
        <v>1111</v>
      </c>
      <c r="O90" s="110" t="s">
        <v>1113</v>
      </c>
      <c r="P90" s="94"/>
    </row>
    <row r="91" spans="1:16" s="100" customFormat="1">
      <c r="A91" s="116">
        <v>54</v>
      </c>
      <c r="B91" s="213" t="s">
        <v>802</v>
      </c>
      <c r="C91" s="282" t="s">
        <v>1128</v>
      </c>
      <c r="D91" s="282"/>
      <c r="E91" s="304">
        <v>2</v>
      </c>
      <c r="F91" s="282"/>
      <c r="G91" s="304">
        <v>2</v>
      </c>
      <c r="H91" s="120">
        <v>0</v>
      </c>
      <c r="I91" s="214">
        <v>1000000</v>
      </c>
      <c r="J91" s="214">
        <v>2000000</v>
      </c>
      <c r="K91" s="282" t="s">
        <v>631</v>
      </c>
      <c r="L91" s="282"/>
      <c r="M91" s="282" t="s">
        <v>649</v>
      </c>
      <c r="N91" s="116" t="s">
        <v>1111</v>
      </c>
      <c r="O91" s="110" t="s">
        <v>1113</v>
      </c>
      <c r="P91" s="94"/>
    </row>
    <row r="92" spans="1:16" s="100" customFormat="1">
      <c r="A92" s="116">
        <v>55</v>
      </c>
      <c r="B92" s="213" t="s">
        <v>802</v>
      </c>
      <c r="C92" s="282" t="s">
        <v>1129</v>
      </c>
      <c r="D92" s="282"/>
      <c r="E92" s="304">
        <v>2</v>
      </c>
      <c r="F92" s="282"/>
      <c r="G92" s="304">
        <v>2</v>
      </c>
      <c r="H92" s="120">
        <v>0</v>
      </c>
      <c r="I92" s="214">
        <v>1000000</v>
      </c>
      <c r="J92" s="214">
        <v>2000000</v>
      </c>
      <c r="K92" s="282" t="s">
        <v>631</v>
      </c>
      <c r="L92" s="282"/>
      <c r="M92" s="282" t="s">
        <v>649</v>
      </c>
      <c r="N92" s="116" t="s">
        <v>1111</v>
      </c>
      <c r="O92" s="110" t="s">
        <v>1113</v>
      </c>
      <c r="P92" s="94"/>
    </row>
    <row r="93" spans="1:16" s="100" customFormat="1">
      <c r="A93" s="282">
        <v>56</v>
      </c>
      <c r="B93" s="213" t="s">
        <v>1106</v>
      </c>
      <c r="C93" s="282"/>
      <c r="D93" s="282"/>
      <c r="E93" s="304">
        <v>1</v>
      </c>
      <c r="F93" s="282"/>
      <c r="G93" s="304">
        <v>1</v>
      </c>
      <c r="H93" s="120">
        <v>0</v>
      </c>
      <c r="I93" s="214">
        <v>3400000</v>
      </c>
      <c r="J93" s="214">
        <v>3400000</v>
      </c>
      <c r="K93" s="282" t="s">
        <v>631</v>
      </c>
      <c r="L93" s="282"/>
      <c r="M93" s="282" t="s">
        <v>871</v>
      </c>
      <c r="N93" s="116" t="s">
        <v>1111</v>
      </c>
      <c r="O93" s="110" t="s">
        <v>1113</v>
      </c>
      <c r="P93" s="94"/>
    </row>
    <row r="94" spans="1:16" s="100" customFormat="1">
      <c r="A94" s="116">
        <v>57</v>
      </c>
      <c r="B94" s="213" t="s">
        <v>1107</v>
      </c>
      <c r="C94" s="282"/>
      <c r="D94" s="282"/>
      <c r="E94" s="305">
        <v>1</v>
      </c>
      <c r="F94" s="282"/>
      <c r="G94" s="305">
        <v>1</v>
      </c>
      <c r="H94" s="120">
        <v>0</v>
      </c>
      <c r="I94" s="306">
        <v>470000</v>
      </c>
      <c r="J94" s="214">
        <v>470000</v>
      </c>
      <c r="K94" s="282" t="s">
        <v>631</v>
      </c>
      <c r="L94" s="282"/>
      <c r="M94" s="282" t="s">
        <v>871</v>
      </c>
      <c r="N94" s="116" t="s">
        <v>1111</v>
      </c>
      <c r="O94" s="110" t="s">
        <v>1113</v>
      </c>
      <c r="P94" s="94"/>
    </row>
    <row r="95" spans="1:16" s="100" customFormat="1" ht="31.5">
      <c r="A95" s="116">
        <v>58</v>
      </c>
      <c r="B95" s="213" t="s">
        <v>1108</v>
      </c>
      <c r="C95" s="282"/>
      <c r="D95" s="282"/>
      <c r="E95" s="305">
        <v>1</v>
      </c>
      <c r="F95" s="282"/>
      <c r="G95" s="305">
        <v>1</v>
      </c>
      <c r="H95" s="120">
        <v>0</v>
      </c>
      <c r="I95" s="306">
        <v>5620000</v>
      </c>
      <c r="J95" s="306">
        <v>5620000</v>
      </c>
      <c r="K95" s="282" t="s">
        <v>631</v>
      </c>
      <c r="L95" s="282"/>
      <c r="M95" s="282" t="s">
        <v>871</v>
      </c>
      <c r="N95" s="116" t="s">
        <v>1111</v>
      </c>
      <c r="O95" s="110" t="s">
        <v>1113</v>
      </c>
      <c r="P95" s="94"/>
    </row>
    <row r="96" spans="1:16" s="100" customFormat="1">
      <c r="A96" s="282">
        <v>59</v>
      </c>
      <c r="B96" s="213" t="s">
        <v>834</v>
      </c>
      <c r="C96" s="282"/>
      <c r="D96" s="282"/>
      <c r="E96" s="304">
        <v>1</v>
      </c>
      <c r="F96" s="282"/>
      <c r="G96" s="304">
        <v>1</v>
      </c>
      <c r="H96" s="120">
        <v>0</v>
      </c>
      <c r="I96" s="214">
        <v>450000</v>
      </c>
      <c r="J96" s="214">
        <v>450000</v>
      </c>
      <c r="K96" s="282" t="s">
        <v>631</v>
      </c>
      <c r="L96" s="282"/>
      <c r="M96" s="282" t="s">
        <v>871</v>
      </c>
      <c r="N96" s="116" t="s">
        <v>1111</v>
      </c>
      <c r="O96" s="110" t="s">
        <v>1112</v>
      </c>
      <c r="P96" s="94"/>
    </row>
    <row r="97" spans="1:39" s="100" customFormat="1" ht="31.5">
      <c r="A97" s="116">
        <v>60</v>
      </c>
      <c r="B97" s="213" t="s">
        <v>1109</v>
      </c>
      <c r="C97" s="282" t="s">
        <v>1130</v>
      </c>
      <c r="D97" s="282"/>
      <c r="E97" s="307">
        <v>2</v>
      </c>
      <c r="F97" s="282"/>
      <c r="G97" s="307">
        <v>2</v>
      </c>
      <c r="H97" s="120">
        <v>0</v>
      </c>
      <c r="I97" s="308">
        <v>5000000</v>
      </c>
      <c r="J97" s="308">
        <v>10000000</v>
      </c>
      <c r="K97" s="282" t="s">
        <v>631</v>
      </c>
      <c r="L97" s="282"/>
      <c r="M97" s="282" t="s">
        <v>649</v>
      </c>
      <c r="N97" s="116" t="s">
        <v>1111</v>
      </c>
      <c r="O97" s="110" t="s">
        <v>1113</v>
      </c>
      <c r="P97" s="94"/>
    </row>
    <row r="98" spans="1:39" s="100" customFormat="1">
      <c r="A98" s="116">
        <v>61</v>
      </c>
      <c r="B98" s="213" t="s">
        <v>1110</v>
      </c>
      <c r="C98" s="282"/>
      <c r="D98" s="282"/>
      <c r="E98" s="214">
        <v>2</v>
      </c>
      <c r="F98" s="282"/>
      <c r="G98" s="214">
        <v>2</v>
      </c>
      <c r="H98" s="120">
        <v>0</v>
      </c>
      <c r="I98" s="214">
        <v>850000</v>
      </c>
      <c r="J98" s="214">
        <v>1700000</v>
      </c>
      <c r="K98" s="282" t="s">
        <v>631</v>
      </c>
      <c r="L98" s="282"/>
      <c r="M98" s="282" t="s">
        <v>871</v>
      </c>
      <c r="N98" s="116" t="s">
        <v>1111</v>
      </c>
      <c r="O98" s="110" t="s">
        <v>1112</v>
      </c>
      <c r="P98" s="94"/>
    </row>
    <row r="99" spans="1:39" s="100" customFormat="1">
      <c r="A99" s="282">
        <v>62</v>
      </c>
      <c r="B99" s="213" t="s">
        <v>802</v>
      </c>
      <c r="C99" s="282" t="s">
        <v>1131</v>
      </c>
      <c r="D99" s="282"/>
      <c r="E99" s="309">
        <v>1</v>
      </c>
      <c r="F99" s="282"/>
      <c r="G99" s="309">
        <v>1</v>
      </c>
      <c r="H99" s="120">
        <v>0</v>
      </c>
      <c r="I99" s="309">
        <v>1000000</v>
      </c>
      <c r="J99" s="309">
        <v>1000000</v>
      </c>
      <c r="K99" s="282" t="s">
        <v>631</v>
      </c>
      <c r="L99" s="282"/>
      <c r="M99" s="282" t="s">
        <v>649</v>
      </c>
      <c r="N99" s="116" t="s">
        <v>1111</v>
      </c>
      <c r="O99" s="110" t="s">
        <v>1113</v>
      </c>
      <c r="P99" s="94"/>
    </row>
    <row r="100" spans="1:39" s="100" customFormat="1">
      <c r="A100" s="116">
        <v>63</v>
      </c>
      <c r="B100" s="213" t="s">
        <v>802</v>
      </c>
      <c r="C100" s="282"/>
      <c r="D100" s="282"/>
      <c r="E100" s="214">
        <v>1</v>
      </c>
      <c r="F100" s="282"/>
      <c r="G100" s="214">
        <v>1</v>
      </c>
      <c r="H100" s="120">
        <v>0</v>
      </c>
      <c r="I100" s="214">
        <v>1200000</v>
      </c>
      <c r="J100" s="214">
        <v>1200000</v>
      </c>
      <c r="K100" s="282" t="s">
        <v>631</v>
      </c>
      <c r="L100" s="282"/>
      <c r="M100" s="282" t="s">
        <v>871</v>
      </c>
      <c r="N100" s="116" t="s">
        <v>1111</v>
      </c>
      <c r="O100" s="110" t="s">
        <v>1113</v>
      </c>
      <c r="P100" s="94"/>
    </row>
    <row r="101" spans="1:39" s="100" customFormat="1">
      <c r="A101" s="282">
        <v>72</v>
      </c>
      <c r="B101" s="213" t="s">
        <v>636</v>
      </c>
      <c r="C101" s="297"/>
      <c r="D101" s="297"/>
      <c r="E101" s="214">
        <v>1</v>
      </c>
      <c r="F101" s="282"/>
      <c r="G101" s="214">
        <v>1</v>
      </c>
      <c r="H101" s="120">
        <v>0</v>
      </c>
      <c r="I101" s="302">
        <v>600000</v>
      </c>
      <c r="J101" s="302">
        <v>600000</v>
      </c>
      <c r="K101" s="282" t="s">
        <v>631</v>
      </c>
      <c r="L101" s="282"/>
      <c r="M101" s="282" t="s">
        <v>649</v>
      </c>
      <c r="N101" s="116"/>
      <c r="O101" s="110" t="s">
        <v>1113</v>
      </c>
    </row>
    <row r="102" spans="1:39" s="100" customFormat="1">
      <c r="A102" s="282">
        <v>73</v>
      </c>
      <c r="B102" s="213" t="s">
        <v>1154</v>
      </c>
      <c r="C102" s="297"/>
      <c r="D102" s="297"/>
      <c r="E102" s="304">
        <v>3</v>
      </c>
      <c r="F102" s="282"/>
      <c r="G102" s="304">
        <v>3</v>
      </c>
      <c r="H102" s="120">
        <v>0</v>
      </c>
      <c r="I102" s="214">
        <v>1150000</v>
      </c>
      <c r="J102" s="214">
        <v>3450000</v>
      </c>
      <c r="K102" s="282" t="s">
        <v>631</v>
      </c>
      <c r="L102" s="282"/>
      <c r="M102" s="282" t="s">
        <v>649</v>
      </c>
      <c r="N102" s="116"/>
      <c r="O102" s="110" t="s">
        <v>1113</v>
      </c>
    </row>
    <row r="103" spans="1:39" s="100" customFormat="1">
      <c r="A103" s="282">
        <v>74</v>
      </c>
      <c r="B103" s="213" t="s">
        <v>1154</v>
      </c>
      <c r="C103" s="297"/>
      <c r="D103" s="297"/>
      <c r="E103" s="304">
        <v>1</v>
      </c>
      <c r="F103" s="282"/>
      <c r="G103" s="304">
        <v>1</v>
      </c>
      <c r="H103" s="120">
        <v>0</v>
      </c>
      <c r="I103" s="214">
        <v>1150000</v>
      </c>
      <c r="J103" s="214">
        <v>1150000</v>
      </c>
      <c r="K103" s="282" t="s">
        <v>631</v>
      </c>
      <c r="L103" s="282"/>
      <c r="M103" s="282" t="s">
        <v>649</v>
      </c>
      <c r="N103" s="116"/>
      <c r="O103" s="110" t="s">
        <v>1113</v>
      </c>
    </row>
    <row r="104" spans="1:39" s="100" customFormat="1">
      <c r="A104" s="282">
        <v>75</v>
      </c>
      <c r="B104" s="213" t="s">
        <v>823</v>
      </c>
      <c r="C104" s="297"/>
      <c r="D104" s="297"/>
      <c r="E104" s="304">
        <v>4</v>
      </c>
      <c r="F104" s="282"/>
      <c r="G104" s="304">
        <v>4</v>
      </c>
      <c r="H104" s="120">
        <v>0</v>
      </c>
      <c r="I104" s="214">
        <v>450000</v>
      </c>
      <c r="J104" s="214">
        <v>1800000</v>
      </c>
      <c r="K104" s="282" t="s">
        <v>631</v>
      </c>
      <c r="L104" s="282"/>
      <c r="M104" s="282" t="s">
        <v>649</v>
      </c>
      <c r="N104" s="116"/>
      <c r="O104" s="110" t="s">
        <v>1113</v>
      </c>
    </row>
    <row r="105" spans="1:39" s="100" customFormat="1">
      <c r="A105" s="257"/>
      <c r="B105" s="258" t="s">
        <v>1155</v>
      </c>
      <c r="C105" s="259"/>
      <c r="D105" s="258"/>
      <c r="E105" s="257"/>
      <c r="F105" s="257"/>
      <c r="G105" s="260"/>
      <c r="H105" s="260"/>
      <c r="I105" s="260"/>
      <c r="J105" s="261">
        <f>SUM(J38:J104)</f>
        <v>134514000</v>
      </c>
      <c r="K105" s="261"/>
      <c r="L105" s="262"/>
      <c r="M105" s="261"/>
      <c r="N105" s="261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57"/>
      <c r="Z105" s="261"/>
      <c r="AA105" s="260"/>
      <c r="AB105" s="263"/>
      <c r="AC105" s="261"/>
      <c r="AD105" s="261"/>
      <c r="AE105" s="264"/>
      <c r="AF105" s="265"/>
      <c r="AG105" s="266"/>
      <c r="AH105" s="267">
        <f>SUM(AH44:AH104)</f>
        <v>0</v>
      </c>
      <c r="AI105" s="257"/>
      <c r="AJ105" s="257"/>
      <c r="AK105" s="268"/>
      <c r="AL105" s="269"/>
      <c r="AM105" s="270"/>
    </row>
    <row r="106" spans="1:39" s="131" customFormat="1" ht="14.25" customHeight="1">
      <c r="A106" s="107"/>
      <c r="B106" s="107"/>
      <c r="C106" s="10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8"/>
      <c r="P106" s="107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</row>
    <row r="107" spans="1:39" s="73" customFormat="1" ht="15.75">
      <c r="A107" s="103"/>
      <c r="B107" s="103"/>
      <c r="C107" s="103"/>
      <c r="D107" s="272"/>
      <c r="E107" s="272"/>
      <c r="F107" s="129"/>
      <c r="G107" s="272"/>
      <c r="H107" s="272"/>
      <c r="I107" s="130"/>
      <c r="J107" s="405" t="s">
        <v>1134</v>
      </c>
      <c r="K107" s="405"/>
      <c r="L107" s="405"/>
      <c r="M107" s="405"/>
      <c r="N107" s="405"/>
      <c r="O107" s="256">
        <f>+J105+'tầng 3 tài sản'!J55+'Tầng 2 tài sản'!K165+'Tầng 1 tài sản'!J89</f>
        <v>588656500</v>
      </c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</row>
    <row r="108" spans="1:39" s="73" customFormat="1" ht="15.75">
      <c r="A108" s="103" t="s">
        <v>633</v>
      </c>
      <c r="B108" s="103"/>
      <c r="C108" s="397" t="s">
        <v>967</v>
      </c>
      <c r="D108" s="397"/>
      <c r="E108" s="397"/>
      <c r="F108" s="397"/>
      <c r="G108" s="397"/>
      <c r="H108" s="397" t="s">
        <v>772</v>
      </c>
      <c r="I108" s="397"/>
      <c r="J108" s="397"/>
      <c r="K108" s="397"/>
      <c r="L108" s="397" t="s">
        <v>773</v>
      </c>
      <c r="M108" s="397"/>
      <c r="N108" s="397"/>
    </row>
    <row r="109" spans="1:39" s="73" customFormat="1" ht="20.25" customHeight="1">
      <c r="A109" s="103"/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8"/>
    </row>
    <row r="110" spans="1:39" s="73" customFormat="1" ht="20.25" customHeight="1">
      <c r="A110" s="389" t="s">
        <v>959</v>
      </c>
      <c r="B110" s="389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278"/>
    </row>
    <row r="111" spans="1:39" s="73" customFormat="1" ht="20.25" customHeight="1">
      <c r="A111" s="389" t="s">
        <v>960</v>
      </c>
      <c r="B111" s="389"/>
      <c r="C111" s="272"/>
      <c r="D111" s="272"/>
      <c r="E111" s="272"/>
      <c r="F111" s="272"/>
      <c r="G111" s="272"/>
      <c r="H111" s="272"/>
      <c r="I111" s="272"/>
      <c r="J111" s="272"/>
      <c r="K111" s="272"/>
      <c r="L111" s="272"/>
      <c r="M111" s="278"/>
    </row>
    <row r="112" spans="1:39" s="73" customFormat="1" ht="20.25" customHeight="1">
      <c r="A112" s="389" t="s">
        <v>1012</v>
      </c>
      <c r="B112" s="389"/>
      <c r="C112" s="272"/>
      <c r="D112" s="272"/>
      <c r="E112" s="272"/>
      <c r="F112" s="272"/>
      <c r="G112" s="272"/>
      <c r="H112" s="272"/>
      <c r="I112" s="272"/>
      <c r="J112" s="272"/>
      <c r="K112" s="272"/>
      <c r="L112" s="103"/>
      <c r="M112" s="278"/>
      <c r="N112" s="103"/>
    </row>
    <row r="113" spans="1:39" s="131" customFormat="1" ht="24" customHeight="1">
      <c r="A113" s="389" t="s">
        <v>1133</v>
      </c>
      <c r="B113" s="389"/>
      <c r="C113" s="397" t="s">
        <v>968</v>
      </c>
      <c r="D113" s="397"/>
      <c r="E113" s="397"/>
      <c r="F113" s="397"/>
      <c r="G113" s="397"/>
      <c r="H113" s="397" t="s">
        <v>1046</v>
      </c>
      <c r="I113" s="397"/>
      <c r="J113" s="397"/>
      <c r="K113" s="397"/>
      <c r="L113" s="397" t="s">
        <v>1005</v>
      </c>
      <c r="M113" s="397"/>
      <c r="N113" s="397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</row>
    <row r="114" spans="1:39">
      <c r="A114" s="389"/>
      <c r="B114" s="389"/>
      <c r="C114" s="103"/>
      <c r="D114" s="272"/>
      <c r="E114" s="272"/>
      <c r="F114" s="129"/>
      <c r="G114" s="272"/>
      <c r="H114" s="272"/>
      <c r="I114" s="272"/>
      <c r="J114" s="272"/>
      <c r="K114" s="130"/>
      <c r="L114" s="397"/>
      <c r="M114" s="397"/>
      <c r="N114" s="397"/>
      <c r="O114" s="397"/>
      <c r="P114" s="397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</row>
    <row r="140" spans="1:39">
      <c r="A140" s="398" t="s">
        <v>977</v>
      </c>
      <c r="B140" s="398"/>
      <c r="C140" s="398"/>
      <c r="D140" s="398"/>
      <c r="E140" s="398"/>
      <c r="F140" s="398"/>
      <c r="G140" s="398"/>
      <c r="H140" s="398"/>
      <c r="I140" s="398"/>
      <c r="J140" s="398"/>
      <c r="K140" s="398"/>
      <c r="L140" s="398"/>
      <c r="M140" s="398"/>
      <c r="N140" s="398"/>
      <c r="O140" s="398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</row>
    <row r="141" spans="1:39" s="83" customFormat="1" ht="53.25" customHeight="1">
      <c r="A141" s="95"/>
      <c r="B141" s="95"/>
      <c r="C141" s="95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28"/>
      <c r="P141" s="100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</row>
    <row r="142" spans="1:39" s="83" customFormat="1" ht="39" customHeight="1">
      <c r="A142" s="395" t="s">
        <v>610</v>
      </c>
      <c r="B142" s="396" t="s">
        <v>611</v>
      </c>
      <c r="C142" s="395" t="s">
        <v>612</v>
      </c>
      <c r="D142" s="395" t="s">
        <v>613</v>
      </c>
      <c r="E142" s="395" t="s">
        <v>614</v>
      </c>
      <c r="F142" s="396"/>
      <c r="G142" s="114" t="s">
        <v>615</v>
      </c>
      <c r="H142" s="114" t="s">
        <v>616</v>
      </c>
      <c r="I142" s="114"/>
      <c r="J142" s="114"/>
      <c r="K142" s="395" t="s">
        <v>617</v>
      </c>
      <c r="L142" s="395" t="s">
        <v>618</v>
      </c>
      <c r="M142" s="395" t="s">
        <v>619</v>
      </c>
      <c r="N142" s="395" t="s">
        <v>620</v>
      </c>
      <c r="O142" s="406" t="s">
        <v>621</v>
      </c>
      <c r="P142" s="287"/>
    </row>
    <row r="143" spans="1:39" s="131" customFormat="1" ht="66" customHeight="1">
      <c r="A143" s="396"/>
      <c r="B143" s="396"/>
      <c r="C143" s="395"/>
      <c r="D143" s="396"/>
      <c r="E143" s="276" t="s">
        <v>7</v>
      </c>
      <c r="F143" s="114" t="s">
        <v>622</v>
      </c>
      <c r="G143" s="276" t="s">
        <v>7</v>
      </c>
      <c r="H143" s="276" t="s">
        <v>7</v>
      </c>
      <c r="I143" s="276"/>
      <c r="J143" s="276"/>
      <c r="K143" s="402"/>
      <c r="L143" s="402"/>
      <c r="M143" s="395"/>
      <c r="N143" s="395"/>
      <c r="O143" s="407"/>
      <c r="P143" s="287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</row>
    <row r="144" spans="1:39" s="73" customFormat="1" ht="38.25" customHeight="1">
      <c r="A144" s="123">
        <v>2</v>
      </c>
      <c r="B144" s="124" t="s">
        <v>840</v>
      </c>
      <c r="C144" s="124"/>
      <c r="D144" s="132" t="s">
        <v>839</v>
      </c>
      <c r="E144" s="123">
        <v>5</v>
      </c>
      <c r="F144" s="123"/>
      <c r="G144" s="123">
        <v>5</v>
      </c>
      <c r="H144" s="123">
        <v>0</v>
      </c>
      <c r="I144" s="123"/>
      <c r="J144" s="123"/>
      <c r="K144" s="123" t="s">
        <v>631</v>
      </c>
      <c r="L144" s="123" t="s">
        <v>956</v>
      </c>
      <c r="M144" s="123" t="s">
        <v>809</v>
      </c>
      <c r="N144" s="123" t="s">
        <v>833</v>
      </c>
      <c r="O144" s="133" t="s">
        <v>849</v>
      </c>
      <c r="P144" s="123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</row>
    <row r="145" spans="1:39" s="131" customFormat="1" ht="38.25" customHeight="1">
      <c r="A145" s="123">
        <v>3</v>
      </c>
      <c r="B145" s="124" t="s">
        <v>832</v>
      </c>
      <c r="C145" s="123"/>
      <c r="D145" s="123"/>
      <c r="E145" s="123">
        <v>2</v>
      </c>
      <c r="F145" s="123"/>
      <c r="G145" s="123">
        <v>2</v>
      </c>
      <c r="H145" s="123">
        <v>0</v>
      </c>
      <c r="I145" s="123"/>
      <c r="J145" s="123"/>
      <c r="K145" s="123" t="s">
        <v>631</v>
      </c>
      <c r="L145" s="123" t="s">
        <v>956</v>
      </c>
      <c r="M145" s="123" t="s">
        <v>809</v>
      </c>
      <c r="N145" s="123" t="s">
        <v>833</v>
      </c>
      <c r="O145" s="133" t="s">
        <v>849</v>
      </c>
      <c r="P145" s="12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</row>
    <row r="146" spans="1:39" s="131" customFormat="1" ht="38.25" customHeight="1">
      <c r="A146" s="123">
        <v>4</v>
      </c>
      <c r="B146" s="124" t="s">
        <v>841</v>
      </c>
      <c r="C146" s="123"/>
      <c r="D146" s="123"/>
      <c r="E146" s="123">
        <v>3</v>
      </c>
      <c r="F146" s="123"/>
      <c r="G146" s="123">
        <v>3</v>
      </c>
      <c r="H146" s="123">
        <v>0</v>
      </c>
      <c r="I146" s="123"/>
      <c r="J146" s="123"/>
      <c r="K146" s="123" t="s">
        <v>631</v>
      </c>
      <c r="L146" s="123" t="s">
        <v>956</v>
      </c>
      <c r="M146" s="123" t="s">
        <v>809</v>
      </c>
      <c r="N146" s="123" t="s">
        <v>833</v>
      </c>
      <c r="O146" s="133" t="s">
        <v>849</v>
      </c>
      <c r="P146" s="123"/>
    </row>
    <row r="147" spans="1:39" s="131" customFormat="1" ht="38.25" customHeight="1">
      <c r="A147" s="123">
        <v>5</v>
      </c>
      <c r="B147" s="124" t="s">
        <v>823</v>
      </c>
      <c r="C147" s="123"/>
      <c r="D147" s="126">
        <v>2010</v>
      </c>
      <c r="E147" s="123">
        <v>1</v>
      </c>
      <c r="F147" s="123"/>
      <c r="G147" s="123">
        <v>1</v>
      </c>
      <c r="H147" s="123">
        <v>0</v>
      </c>
      <c r="I147" s="123"/>
      <c r="J147" s="123"/>
      <c r="K147" s="123" t="s">
        <v>631</v>
      </c>
      <c r="L147" s="123" t="s">
        <v>956</v>
      </c>
      <c r="M147" s="123" t="s">
        <v>809</v>
      </c>
      <c r="N147" s="123" t="s">
        <v>833</v>
      </c>
      <c r="O147" s="133" t="s">
        <v>849</v>
      </c>
      <c r="P147" s="123"/>
    </row>
    <row r="148" spans="1:39" s="73" customFormat="1" ht="38.25" customHeight="1">
      <c r="A148" s="123">
        <v>6</v>
      </c>
      <c r="B148" s="124" t="s">
        <v>534</v>
      </c>
      <c r="C148" s="123"/>
      <c r="D148" s="126">
        <v>2011</v>
      </c>
      <c r="E148" s="123">
        <v>1</v>
      </c>
      <c r="F148" s="123"/>
      <c r="G148" s="123">
        <v>1</v>
      </c>
      <c r="H148" s="123">
        <v>0</v>
      </c>
      <c r="I148" s="123"/>
      <c r="J148" s="123"/>
      <c r="K148" s="123" t="s">
        <v>631</v>
      </c>
      <c r="L148" s="123" t="s">
        <v>956</v>
      </c>
      <c r="M148" s="123" t="s">
        <v>809</v>
      </c>
      <c r="N148" s="123" t="s">
        <v>833</v>
      </c>
      <c r="O148" s="133" t="s">
        <v>849</v>
      </c>
      <c r="P148" s="123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</row>
    <row r="149" spans="1:39" s="73" customFormat="1" ht="38.25" customHeight="1">
      <c r="A149" s="123">
        <v>7</v>
      </c>
      <c r="B149" s="124" t="s">
        <v>805</v>
      </c>
      <c r="C149" s="123"/>
      <c r="D149" s="123"/>
      <c r="E149" s="123">
        <v>3</v>
      </c>
      <c r="F149" s="123"/>
      <c r="G149" s="123">
        <v>3</v>
      </c>
      <c r="H149" s="123">
        <v>0</v>
      </c>
      <c r="I149" s="123"/>
      <c r="J149" s="123"/>
      <c r="K149" s="123" t="s">
        <v>631</v>
      </c>
      <c r="L149" s="123" t="s">
        <v>956</v>
      </c>
      <c r="M149" s="123" t="s">
        <v>809</v>
      </c>
      <c r="N149" s="123" t="s">
        <v>833</v>
      </c>
      <c r="O149" s="133" t="s">
        <v>849</v>
      </c>
      <c r="P149" s="123"/>
    </row>
    <row r="150" spans="1:39" s="131" customFormat="1" ht="38.25" customHeight="1">
      <c r="A150" s="123">
        <v>8</v>
      </c>
      <c r="B150" s="124" t="s">
        <v>843</v>
      </c>
      <c r="C150" s="123"/>
      <c r="D150" s="123"/>
      <c r="E150" s="123">
        <v>1</v>
      </c>
      <c r="F150" s="123"/>
      <c r="G150" s="123">
        <v>1</v>
      </c>
      <c r="H150" s="123">
        <v>0</v>
      </c>
      <c r="I150" s="123"/>
      <c r="J150" s="123"/>
      <c r="K150" s="123" t="s">
        <v>631</v>
      </c>
      <c r="L150" s="123" t="s">
        <v>956</v>
      </c>
      <c r="M150" s="123" t="s">
        <v>809</v>
      </c>
      <c r="N150" s="123" t="s">
        <v>833</v>
      </c>
      <c r="O150" s="133" t="s">
        <v>849</v>
      </c>
      <c r="P150" s="12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</row>
    <row r="151" spans="1:39" s="73" customFormat="1" ht="38.25" customHeight="1">
      <c r="A151" s="123">
        <v>9</v>
      </c>
      <c r="B151" s="124" t="s">
        <v>842</v>
      </c>
      <c r="C151" s="123"/>
      <c r="D151" s="123"/>
      <c r="E151" s="123">
        <v>1</v>
      </c>
      <c r="F151" s="123"/>
      <c r="G151" s="123">
        <v>1</v>
      </c>
      <c r="H151" s="123">
        <v>0</v>
      </c>
      <c r="I151" s="123"/>
      <c r="J151" s="123"/>
      <c r="K151" s="123" t="s">
        <v>631</v>
      </c>
      <c r="L151" s="123" t="s">
        <v>956</v>
      </c>
      <c r="M151" s="123" t="s">
        <v>809</v>
      </c>
      <c r="N151" s="123" t="s">
        <v>833</v>
      </c>
      <c r="O151" s="133" t="s">
        <v>849</v>
      </c>
      <c r="P151" s="123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</row>
    <row r="152" spans="1:39" s="131" customFormat="1" ht="38.25" customHeight="1">
      <c r="A152" s="123">
        <v>10</v>
      </c>
      <c r="B152" s="124" t="s">
        <v>848</v>
      </c>
      <c r="C152" s="123"/>
      <c r="D152" s="123"/>
      <c r="E152" s="123">
        <v>1</v>
      </c>
      <c r="F152" s="123"/>
      <c r="G152" s="123">
        <v>1</v>
      </c>
      <c r="H152" s="123">
        <v>0</v>
      </c>
      <c r="I152" s="123"/>
      <c r="J152" s="123"/>
      <c r="K152" s="123" t="s">
        <v>631</v>
      </c>
      <c r="L152" s="123" t="s">
        <v>956</v>
      </c>
      <c r="M152" s="123" t="s">
        <v>809</v>
      </c>
      <c r="N152" s="123" t="s">
        <v>833</v>
      </c>
      <c r="O152" s="133" t="s">
        <v>849</v>
      </c>
      <c r="P152" s="12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</row>
    <row r="153" spans="1:39" s="131" customFormat="1" ht="38.25" customHeight="1">
      <c r="A153" s="123">
        <v>11</v>
      </c>
      <c r="B153" s="124" t="s">
        <v>847</v>
      </c>
      <c r="C153" s="123"/>
      <c r="D153" s="123"/>
      <c r="E153" s="123">
        <v>3</v>
      </c>
      <c r="F153" s="123"/>
      <c r="G153" s="123">
        <v>3</v>
      </c>
      <c r="H153" s="123">
        <v>0</v>
      </c>
      <c r="I153" s="123"/>
      <c r="J153" s="123"/>
      <c r="K153" s="123" t="s">
        <v>631</v>
      </c>
      <c r="L153" s="123" t="s">
        <v>956</v>
      </c>
      <c r="M153" s="123" t="s">
        <v>809</v>
      </c>
      <c r="N153" s="123" t="s">
        <v>833</v>
      </c>
      <c r="O153" s="133" t="s">
        <v>849</v>
      </c>
      <c r="P153" s="123"/>
    </row>
    <row r="154" spans="1:39" s="131" customFormat="1" ht="38.25" customHeight="1">
      <c r="A154" s="123">
        <v>12</v>
      </c>
      <c r="B154" s="124" t="s">
        <v>846</v>
      </c>
      <c r="C154" s="123"/>
      <c r="D154" s="123"/>
      <c r="E154" s="123">
        <v>1</v>
      </c>
      <c r="F154" s="123"/>
      <c r="G154" s="123">
        <v>1</v>
      </c>
      <c r="H154" s="123">
        <v>0</v>
      </c>
      <c r="I154" s="123"/>
      <c r="J154" s="123"/>
      <c r="K154" s="123" t="s">
        <v>631</v>
      </c>
      <c r="L154" s="123" t="s">
        <v>956</v>
      </c>
      <c r="M154" s="123" t="s">
        <v>809</v>
      </c>
      <c r="N154" s="123" t="s">
        <v>833</v>
      </c>
      <c r="O154" s="133" t="s">
        <v>849</v>
      </c>
      <c r="P154" s="123"/>
    </row>
    <row r="155" spans="1:39" s="131" customFormat="1" ht="38.25" customHeight="1">
      <c r="A155" s="123">
        <v>13</v>
      </c>
      <c r="B155" s="124" t="s">
        <v>823</v>
      </c>
      <c r="C155" s="123"/>
      <c r="D155" s="123"/>
      <c r="E155" s="123">
        <v>2</v>
      </c>
      <c r="F155" s="123"/>
      <c r="G155" s="123">
        <v>2</v>
      </c>
      <c r="H155" s="123">
        <v>0</v>
      </c>
      <c r="I155" s="123"/>
      <c r="J155" s="123"/>
      <c r="K155" s="123" t="s">
        <v>631</v>
      </c>
      <c r="L155" s="123" t="s">
        <v>956</v>
      </c>
      <c r="M155" s="123" t="s">
        <v>809</v>
      </c>
      <c r="N155" s="123" t="s">
        <v>833</v>
      </c>
      <c r="O155" s="133" t="s">
        <v>849</v>
      </c>
      <c r="P155" s="123"/>
    </row>
    <row r="156" spans="1:39" s="131" customFormat="1" ht="38.25" customHeight="1">
      <c r="A156" s="123">
        <v>14</v>
      </c>
      <c r="B156" s="124" t="s">
        <v>805</v>
      </c>
      <c r="C156" s="123"/>
      <c r="D156" s="123"/>
      <c r="E156" s="123">
        <v>1</v>
      </c>
      <c r="F156" s="123"/>
      <c r="G156" s="123">
        <v>1</v>
      </c>
      <c r="H156" s="123">
        <v>0</v>
      </c>
      <c r="I156" s="123"/>
      <c r="J156" s="123"/>
      <c r="K156" s="123" t="s">
        <v>631</v>
      </c>
      <c r="L156" s="123" t="s">
        <v>956</v>
      </c>
      <c r="M156" s="123" t="s">
        <v>809</v>
      </c>
      <c r="N156" s="123" t="s">
        <v>833</v>
      </c>
      <c r="O156" s="133" t="s">
        <v>849</v>
      </c>
      <c r="P156" s="123"/>
    </row>
    <row r="157" spans="1:39" s="131" customFormat="1" ht="38.25" customHeight="1">
      <c r="A157" s="123">
        <v>15</v>
      </c>
      <c r="B157" s="124" t="s">
        <v>534</v>
      </c>
      <c r="C157" s="123"/>
      <c r="D157" s="123"/>
      <c r="E157" s="123">
        <v>1</v>
      </c>
      <c r="F157" s="123"/>
      <c r="G157" s="123">
        <v>1</v>
      </c>
      <c r="H157" s="123">
        <v>0</v>
      </c>
      <c r="I157" s="123"/>
      <c r="J157" s="123"/>
      <c r="K157" s="123" t="s">
        <v>631</v>
      </c>
      <c r="L157" s="123" t="s">
        <v>965</v>
      </c>
      <c r="M157" s="123" t="s">
        <v>809</v>
      </c>
      <c r="N157" s="123" t="s">
        <v>833</v>
      </c>
      <c r="O157" s="133" t="s">
        <v>849</v>
      </c>
      <c r="P157" s="123"/>
    </row>
    <row r="158" spans="1:39" s="131" customFormat="1" ht="38.25" customHeight="1">
      <c r="A158" s="123">
        <v>16</v>
      </c>
      <c r="B158" s="124" t="s">
        <v>845</v>
      </c>
      <c r="C158" s="123"/>
      <c r="D158" s="134" t="s">
        <v>844</v>
      </c>
      <c r="E158" s="123">
        <v>1</v>
      </c>
      <c r="F158" s="123"/>
      <c r="G158" s="123">
        <v>1</v>
      </c>
      <c r="H158" s="123">
        <v>0</v>
      </c>
      <c r="I158" s="123"/>
      <c r="J158" s="123"/>
      <c r="K158" s="123" t="s">
        <v>631</v>
      </c>
      <c r="L158" s="123" t="s">
        <v>956</v>
      </c>
      <c r="M158" s="123" t="s">
        <v>809</v>
      </c>
      <c r="N158" s="123" t="s">
        <v>833</v>
      </c>
      <c r="O158" s="133" t="s">
        <v>849</v>
      </c>
      <c r="P158" s="123"/>
    </row>
    <row r="159" spans="1:39" s="137" customFormat="1" ht="38.25" customHeight="1">
      <c r="A159" s="123">
        <v>17</v>
      </c>
      <c r="B159" s="124" t="s">
        <v>845</v>
      </c>
      <c r="C159" s="123"/>
      <c r="D159" s="134" t="s">
        <v>844</v>
      </c>
      <c r="E159" s="123">
        <v>1</v>
      </c>
      <c r="F159" s="123"/>
      <c r="G159" s="123">
        <v>1</v>
      </c>
      <c r="H159" s="123">
        <v>0</v>
      </c>
      <c r="I159" s="123"/>
      <c r="J159" s="123"/>
      <c r="K159" s="123" t="s">
        <v>631</v>
      </c>
      <c r="L159" s="123" t="s">
        <v>956</v>
      </c>
      <c r="M159" s="123" t="s">
        <v>809</v>
      </c>
      <c r="N159" s="123" t="s">
        <v>833</v>
      </c>
      <c r="O159" s="133" t="s">
        <v>849</v>
      </c>
      <c r="P159" s="123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</row>
    <row r="160" spans="1:39" s="131" customFormat="1" ht="38.25" customHeight="1">
      <c r="A160" s="123">
        <v>18</v>
      </c>
      <c r="B160" s="125" t="s">
        <v>793</v>
      </c>
      <c r="C160" s="135"/>
      <c r="D160" s="136">
        <v>2020</v>
      </c>
      <c r="E160" s="123">
        <v>1</v>
      </c>
      <c r="F160" s="123"/>
      <c r="G160" s="123">
        <v>1</v>
      </c>
      <c r="H160" s="123">
        <v>0</v>
      </c>
      <c r="I160" s="123"/>
      <c r="J160" s="123"/>
      <c r="K160" s="123" t="s">
        <v>631</v>
      </c>
      <c r="L160" s="123" t="s">
        <v>956</v>
      </c>
      <c r="M160" s="123" t="s">
        <v>809</v>
      </c>
      <c r="N160" s="123" t="s">
        <v>833</v>
      </c>
      <c r="O160" s="133" t="s">
        <v>849</v>
      </c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</row>
    <row r="161" spans="1:39" s="73" customFormat="1" ht="38.25" customHeight="1">
      <c r="A161" s="123">
        <v>19</v>
      </c>
      <c r="B161" s="124" t="s">
        <v>845</v>
      </c>
      <c r="C161" s="123"/>
      <c r="D161" s="134" t="s">
        <v>850</v>
      </c>
      <c r="E161" s="123">
        <v>2</v>
      </c>
      <c r="F161" s="123"/>
      <c r="G161" s="123">
        <v>2</v>
      </c>
      <c r="H161" s="123">
        <v>0</v>
      </c>
      <c r="I161" s="123"/>
      <c r="J161" s="123"/>
      <c r="K161" s="123" t="s">
        <v>631</v>
      </c>
      <c r="L161" s="123" t="s">
        <v>957</v>
      </c>
      <c r="M161" s="123" t="s">
        <v>809</v>
      </c>
      <c r="N161" s="123" t="s">
        <v>833</v>
      </c>
      <c r="O161" s="133" t="s">
        <v>849</v>
      </c>
      <c r="P161" s="123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</row>
    <row r="162" spans="1:39" s="73" customFormat="1" ht="42.75" customHeight="1">
      <c r="A162" s="276" t="s">
        <v>690</v>
      </c>
      <c r="B162" s="390" t="s">
        <v>882</v>
      </c>
      <c r="C162" s="391"/>
      <c r="D162" s="391"/>
      <c r="E162" s="391"/>
      <c r="F162" s="391"/>
      <c r="G162" s="391"/>
      <c r="H162" s="391"/>
      <c r="I162" s="391"/>
      <c r="J162" s="391"/>
      <c r="K162" s="391"/>
      <c r="L162" s="391"/>
      <c r="M162" s="391"/>
      <c r="N162" s="391"/>
      <c r="O162" s="391"/>
      <c r="P162" s="392"/>
      <c r="Q162" s="73">
        <v>1</v>
      </c>
    </row>
    <row r="163" spans="1:39">
      <c r="A163" s="123">
        <v>1</v>
      </c>
      <c r="B163" s="124" t="s">
        <v>837</v>
      </c>
      <c r="C163" s="123"/>
      <c r="D163" s="126">
        <v>2012</v>
      </c>
      <c r="E163" s="123">
        <v>1</v>
      </c>
      <c r="F163" s="123"/>
      <c r="G163" s="123">
        <v>1</v>
      </c>
      <c r="H163" s="123">
        <v>0</v>
      </c>
      <c r="I163" s="123"/>
      <c r="J163" s="123"/>
      <c r="K163" s="123" t="s">
        <v>631</v>
      </c>
      <c r="L163" s="123" t="s">
        <v>838</v>
      </c>
      <c r="M163" s="123" t="s">
        <v>836</v>
      </c>
      <c r="N163" s="123" t="s">
        <v>833</v>
      </c>
      <c r="O163" s="124"/>
      <c r="P163" s="123"/>
      <c r="Q163" s="73">
        <v>2</v>
      </c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</row>
    <row r="170" spans="1:39" s="73" customFormat="1" ht="38.25" customHeight="1">
      <c r="A170" s="95"/>
      <c r="B170" s="95"/>
      <c r="C170" s="95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28"/>
      <c r="P170" s="100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</row>
    <row r="171" spans="1:39" s="73" customFormat="1" ht="42.75" customHeight="1">
      <c r="A171" s="276"/>
      <c r="B171" s="390" t="s">
        <v>962</v>
      </c>
      <c r="C171" s="391"/>
      <c r="D171" s="391"/>
      <c r="E171" s="391"/>
      <c r="F171" s="391"/>
      <c r="G171" s="391"/>
      <c r="H171" s="391"/>
      <c r="I171" s="391"/>
      <c r="J171" s="391"/>
      <c r="K171" s="391"/>
      <c r="L171" s="391"/>
      <c r="M171" s="391"/>
      <c r="N171" s="391"/>
      <c r="O171" s="391"/>
      <c r="P171" s="392"/>
    </row>
    <row r="172" spans="1:39" s="131" customFormat="1" ht="42.75" customHeight="1">
      <c r="A172" s="123">
        <v>3</v>
      </c>
      <c r="B172" s="124" t="s">
        <v>853</v>
      </c>
      <c r="C172" s="123"/>
      <c r="D172" s="123"/>
      <c r="E172" s="123">
        <v>1</v>
      </c>
      <c r="F172" s="123"/>
      <c r="G172" s="123">
        <v>1</v>
      </c>
      <c r="H172" s="123">
        <v>0</v>
      </c>
      <c r="I172" s="123"/>
      <c r="J172" s="123"/>
      <c r="K172" s="123" t="s">
        <v>631</v>
      </c>
      <c r="L172" s="123" t="s">
        <v>855</v>
      </c>
      <c r="M172" s="123" t="s">
        <v>836</v>
      </c>
      <c r="N172" s="123" t="s">
        <v>833</v>
      </c>
      <c r="O172" s="124"/>
      <c r="P172" s="12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</row>
    <row r="173" spans="1:39" s="73" customFormat="1" ht="42.75" customHeight="1">
      <c r="A173" s="123">
        <v>4</v>
      </c>
      <c r="B173" s="124" t="s">
        <v>852</v>
      </c>
      <c r="C173" s="123"/>
      <c r="D173" s="123"/>
      <c r="E173" s="123">
        <v>1</v>
      </c>
      <c r="F173" s="123"/>
      <c r="G173" s="123">
        <v>1</v>
      </c>
      <c r="H173" s="123">
        <v>0</v>
      </c>
      <c r="I173" s="123"/>
      <c r="J173" s="123"/>
      <c r="K173" s="123" t="s">
        <v>631</v>
      </c>
      <c r="L173" s="123" t="s">
        <v>856</v>
      </c>
      <c r="M173" s="123" t="s">
        <v>836</v>
      </c>
      <c r="N173" s="123" t="s">
        <v>833</v>
      </c>
      <c r="O173" s="124"/>
      <c r="P173" s="123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</row>
    <row r="174" spans="1:39" s="131" customFormat="1" ht="42.75" customHeight="1">
      <c r="A174" s="123">
        <v>5</v>
      </c>
      <c r="B174" s="124" t="s">
        <v>827</v>
      </c>
      <c r="C174" s="123"/>
      <c r="D174" s="123"/>
      <c r="E174" s="123">
        <v>2</v>
      </c>
      <c r="F174" s="123"/>
      <c r="G174" s="123">
        <v>2</v>
      </c>
      <c r="H174" s="123">
        <v>0</v>
      </c>
      <c r="I174" s="123"/>
      <c r="J174" s="123"/>
      <c r="K174" s="123" t="s">
        <v>631</v>
      </c>
      <c r="L174" s="123" t="s">
        <v>857</v>
      </c>
      <c r="M174" s="123" t="s">
        <v>836</v>
      </c>
      <c r="N174" s="123" t="s">
        <v>833</v>
      </c>
      <c r="O174" s="124"/>
      <c r="P174" s="12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</row>
    <row r="175" spans="1:39" s="73" customFormat="1" ht="42.75" customHeight="1">
      <c r="A175" s="123">
        <v>6</v>
      </c>
      <c r="B175" s="124" t="s">
        <v>827</v>
      </c>
      <c r="C175" s="123"/>
      <c r="D175" s="123"/>
      <c r="E175" s="123">
        <v>1</v>
      </c>
      <c r="F175" s="123"/>
      <c r="G175" s="123">
        <v>1</v>
      </c>
      <c r="H175" s="123">
        <v>0</v>
      </c>
      <c r="I175" s="123"/>
      <c r="J175" s="123"/>
      <c r="K175" s="123" t="s">
        <v>631</v>
      </c>
      <c r="L175" s="123" t="s">
        <v>856</v>
      </c>
      <c r="M175" s="123" t="s">
        <v>836</v>
      </c>
      <c r="N175" s="123" t="s">
        <v>833</v>
      </c>
      <c r="O175" s="124"/>
      <c r="P175" s="123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</row>
    <row r="176" spans="1:39" s="73" customFormat="1" ht="42.75" customHeight="1">
      <c r="A176" s="123">
        <v>7</v>
      </c>
      <c r="B176" s="124" t="s">
        <v>827</v>
      </c>
      <c r="C176" s="123"/>
      <c r="D176" s="123"/>
      <c r="E176" s="123">
        <v>4</v>
      </c>
      <c r="F176" s="123"/>
      <c r="G176" s="123">
        <v>4</v>
      </c>
      <c r="H176" s="123">
        <v>0</v>
      </c>
      <c r="I176" s="123"/>
      <c r="J176" s="123"/>
      <c r="K176" s="123" t="s">
        <v>631</v>
      </c>
      <c r="L176" s="132" t="s">
        <v>436</v>
      </c>
      <c r="M176" s="123" t="s">
        <v>836</v>
      </c>
      <c r="N176" s="123" t="s">
        <v>833</v>
      </c>
      <c r="O176" s="124"/>
      <c r="P176" s="123"/>
    </row>
    <row r="177" spans="1:39" s="131" customFormat="1" ht="42.75" customHeight="1">
      <c r="A177" s="123">
        <v>8</v>
      </c>
      <c r="B177" s="124" t="s">
        <v>851</v>
      </c>
      <c r="C177" s="123"/>
      <c r="D177" s="123"/>
      <c r="E177" s="123">
        <v>1</v>
      </c>
      <c r="F177" s="123"/>
      <c r="G177" s="123">
        <v>1</v>
      </c>
      <c r="H177" s="123">
        <v>0</v>
      </c>
      <c r="I177" s="123"/>
      <c r="J177" s="123"/>
      <c r="K177" s="123" t="s">
        <v>631</v>
      </c>
      <c r="L177" s="123" t="s">
        <v>858</v>
      </c>
      <c r="M177" s="123" t="s">
        <v>836</v>
      </c>
      <c r="N177" s="123" t="s">
        <v>833</v>
      </c>
      <c r="O177" s="124" t="s">
        <v>958</v>
      </c>
      <c r="P177" s="12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</row>
    <row r="178" spans="1:39" s="131" customFormat="1" ht="42.75" customHeight="1">
      <c r="A178" s="123">
        <v>9</v>
      </c>
      <c r="B178" s="124" t="s">
        <v>827</v>
      </c>
      <c r="C178" s="123"/>
      <c r="D178" s="123"/>
      <c r="E178" s="123">
        <v>2</v>
      </c>
      <c r="F178" s="123"/>
      <c r="G178" s="123">
        <v>2</v>
      </c>
      <c r="H178" s="123">
        <v>0</v>
      </c>
      <c r="I178" s="123"/>
      <c r="J178" s="123"/>
      <c r="K178" s="123" t="s">
        <v>631</v>
      </c>
      <c r="L178" s="123" t="s">
        <v>838</v>
      </c>
      <c r="M178" s="123" t="s">
        <v>836</v>
      </c>
      <c r="N178" s="123" t="s">
        <v>833</v>
      </c>
      <c r="O178" s="124"/>
      <c r="P178" s="123"/>
    </row>
    <row r="179" spans="1:39">
      <c r="A179" s="123">
        <v>10</v>
      </c>
      <c r="B179" s="124" t="s">
        <v>827</v>
      </c>
      <c r="C179" s="123"/>
      <c r="D179" s="123"/>
      <c r="E179" s="123">
        <v>2</v>
      </c>
      <c r="F179" s="123"/>
      <c r="G179" s="123">
        <v>2</v>
      </c>
      <c r="H179" s="123">
        <v>0</v>
      </c>
      <c r="I179" s="123"/>
      <c r="J179" s="123"/>
      <c r="K179" s="123" t="s">
        <v>631</v>
      </c>
      <c r="L179" s="123" t="s">
        <v>858</v>
      </c>
      <c r="M179" s="123" t="s">
        <v>836</v>
      </c>
      <c r="N179" s="123" t="s">
        <v>833</v>
      </c>
      <c r="O179" s="124"/>
      <c r="P179" s="123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</row>
  </sheetData>
  <mergeCells count="60">
    <mergeCell ref="H7:P7"/>
    <mergeCell ref="H1:P1"/>
    <mergeCell ref="H2:P2"/>
    <mergeCell ref="A3:P3"/>
    <mergeCell ref="H4:P4"/>
    <mergeCell ref="H6:P6"/>
    <mergeCell ref="A21:B21"/>
    <mergeCell ref="H8:P8"/>
    <mergeCell ref="A10:P10"/>
    <mergeCell ref="A11:AL11"/>
    <mergeCell ref="A13:B13"/>
    <mergeCell ref="A14:B14"/>
    <mergeCell ref="A15:B15"/>
    <mergeCell ref="A16:B16"/>
    <mergeCell ref="A17:B17"/>
    <mergeCell ref="A18:P18"/>
    <mergeCell ref="A19:C19"/>
    <mergeCell ref="A20:B20"/>
    <mergeCell ref="A22:B22"/>
    <mergeCell ref="A23:B23"/>
    <mergeCell ref="A24:B24"/>
    <mergeCell ref="A25:A26"/>
    <mergeCell ref="B25:B26"/>
    <mergeCell ref="O25:O26"/>
    <mergeCell ref="A27:E27"/>
    <mergeCell ref="C108:G108"/>
    <mergeCell ref="I25:I26"/>
    <mergeCell ref="J25:J26"/>
    <mergeCell ref="J107:N107"/>
    <mergeCell ref="H108:K108"/>
    <mergeCell ref="L108:N108"/>
    <mergeCell ref="D25:D26"/>
    <mergeCell ref="E25:F25"/>
    <mergeCell ref="K25:K26"/>
    <mergeCell ref="L25:L26"/>
    <mergeCell ref="M25:M26"/>
    <mergeCell ref="N25:N26"/>
    <mergeCell ref="C25:C26"/>
    <mergeCell ref="H113:K113"/>
    <mergeCell ref="L113:N113"/>
    <mergeCell ref="A110:B110"/>
    <mergeCell ref="A111:B111"/>
    <mergeCell ref="A112:B112"/>
    <mergeCell ref="A113:B113"/>
    <mergeCell ref="C113:G113"/>
    <mergeCell ref="B171:P171"/>
    <mergeCell ref="A114:B114"/>
    <mergeCell ref="L114:P114"/>
    <mergeCell ref="A140:O140"/>
    <mergeCell ref="A142:A143"/>
    <mergeCell ref="B142:B143"/>
    <mergeCell ref="C142:C143"/>
    <mergeCell ref="D142:D143"/>
    <mergeCell ref="E142:F142"/>
    <mergeCell ref="K142:K143"/>
    <mergeCell ref="L142:L143"/>
    <mergeCell ref="M142:M143"/>
    <mergeCell ref="N142:N143"/>
    <mergeCell ref="O142:O143"/>
    <mergeCell ref="B162:P162"/>
  </mergeCells>
  <pageMargins left="0.55000000000000004" right="0" top="0.5" bottom="0" header="0.118110236220472" footer="0"/>
  <pageSetup paperSize="9"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17</vt:i4>
      </vt:variant>
    </vt:vector>
  </HeadingPairs>
  <TitlesOfParts>
    <vt:vector size="36" baseType="lpstr">
      <vt:lpstr>tang ham</vt:lpstr>
      <vt:lpstr>tang 1</vt:lpstr>
      <vt:lpstr>tang 3</vt:lpstr>
      <vt:lpstr>tang 4</vt:lpstr>
      <vt:lpstr>tang 5</vt:lpstr>
      <vt:lpstr>tang 6</vt:lpstr>
      <vt:lpstr>tang 7</vt:lpstr>
      <vt:lpstr>tang mai</vt:lpstr>
      <vt:lpstr>KL ONG CAN NHAP</vt:lpstr>
      <vt:lpstr>KLCTN</vt:lpstr>
      <vt:lpstr>foxz</vt:lpstr>
      <vt:lpstr>Tầng 1 tài sản</vt:lpstr>
      <vt:lpstr>Tầng 2 tài sản</vt:lpstr>
      <vt:lpstr>tầng 3 tài sản</vt:lpstr>
      <vt:lpstr>1.TB DIEN T1 2025</vt:lpstr>
      <vt:lpstr>TB DIEN T2 2022</vt:lpstr>
      <vt:lpstr>TB DIEN T3 2022</vt:lpstr>
      <vt:lpstr>CS2</vt:lpstr>
      <vt:lpstr>Sheet1</vt:lpstr>
      <vt:lpstr>KLCTN!Print_Area</vt:lpstr>
      <vt:lpstr>'tang 1'!Print_Area</vt:lpstr>
      <vt:lpstr>'tang 3'!Print_Area</vt:lpstr>
      <vt:lpstr>'tang 4'!Print_Area</vt:lpstr>
      <vt:lpstr>'tang 5'!Print_Area</vt:lpstr>
      <vt:lpstr>'tang 6'!Print_Area</vt:lpstr>
      <vt:lpstr>'tang ham'!Print_Area</vt:lpstr>
      <vt:lpstr>'CS2'!Print_Titles</vt:lpstr>
      <vt:lpstr>'tang 3'!Print_Titles</vt:lpstr>
      <vt:lpstr>'tang 4'!Print_Titles</vt:lpstr>
      <vt:lpstr>'tang 5'!Print_Titles</vt:lpstr>
      <vt:lpstr>'tang 6'!Print_Titles</vt:lpstr>
      <vt:lpstr>'tang ham'!Print_Titles</vt:lpstr>
      <vt:lpstr>'Tầng 1 tài sản'!Print_Titles</vt:lpstr>
      <vt:lpstr>'Tầng 2 tài sản'!Print_Titles</vt:lpstr>
      <vt:lpstr>'tầng 3 tài sản'!Print_Titles</vt:lpstr>
      <vt:lpstr>'TB DIEN T2 2022'!Print_Titles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2026-06-17T01:45:24Z</dcterms:modified>
</cp:coreProperties>
</file>