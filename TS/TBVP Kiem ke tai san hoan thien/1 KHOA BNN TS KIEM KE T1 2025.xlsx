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5FE44888-A74E-45B7-BD8E-470CF60F2864}" xr6:coauthVersionLast="36" xr6:coauthVersionMax="47" xr10:uidLastSave="{00000000-0000-0000-0000-000000000000}"/>
  <bookViews>
    <workbookView xWindow="-120" yWindow="-120" windowWidth="19800" windowHeight="11760" firstSheet="1" activeTab="2" xr2:uid="{00000000-000D-0000-FFFF-FFFF00000000}"/>
  </bookViews>
  <sheets>
    <sheet name="foxz" sheetId="6" state="veryHidden" r:id="rId1"/>
    <sheet name=" TS KHOA BNN 2025" sheetId="4" r:id="rId2"/>
    <sheet name=" TS THIET BI ĐIỆN 2025" sheetId="5" r:id="rId3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 TS KHOA BNN 2025'!$A$15:$AN$69</definedName>
    <definedName name="_xlnm._FilterDatabase" localSheetId="2" hidden="1">' TS THIET BI ĐIỆN 2025'!$A$15:$AN$47</definedName>
    <definedName name="_xlnm.Print_Area" localSheetId="1">' TS KHOA BNN 2025'!$A$1:$AL$87</definedName>
    <definedName name="_xlnm.Print_Area" localSheetId="2">' TS THIET BI ĐIỆN 2025'!$A$1:$AL$58</definedName>
    <definedName name="_xlnm.Print_Titles" localSheetId="1">' TS KHOA BNN 2025'!$15:$19</definedName>
    <definedName name="_xlnm.Print_Titles" localSheetId="2">' TS THIET BI ĐIỆN 2025'!$15:$19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G37" i="5" l="1"/>
  <c r="AG27" i="5"/>
  <c r="AG40" i="5" s="1"/>
  <c r="AG68" i="4" l="1"/>
  <c r="AG53" i="4" l="1"/>
  <c r="AG27" i="4"/>
  <c r="AG26" i="4" l="1"/>
  <c r="AG24" i="4" l="1"/>
  <c r="AC37" i="5" l="1"/>
  <c r="Y37" i="5"/>
  <c r="AB37" i="5" s="1"/>
  <c r="AC36" i="5"/>
  <c r="AC35" i="5"/>
  <c r="Y35" i="5"/>
  <c r="AB35" i="5" s="1"/>
  <c r="AC34" i="5"/>
  <c r="AC33" i="5"/>
  <c r="Y34" i="5" l="1"/>
  <c r="AB34" i="5" s="1"/>
  <c r="Y36" i="5"/>
  <c r="AB36" i="5" s="1"/>
  <c r="Y33" i="5"/>
  <c r="AB33" i="5" s="1"/>
  <c r="AC58" i="4"/>
  <c r="U58" i="4"/>
  <c r="T58" i="4"/>
  <c r="S58" i="4"/>
  <c r="R58" i="4"/>
  <c r="G58" i="4"/>
  <c r="Y58" i="4" s="1"/>
  <c r="AB58" i="4" s="1"/>
  <c r="AC57" i="4"/>
  <c r="U57" i="4"/>
  <c r="T57" i="4"/>
  <c r="S57" i="4"/>
  <c r="R57" i="4"/>
  <c r="G57" i="4"/>
  <c r="Y57" i="4" s="1"/>
  <c r="AB57" i="4" s="1"/>
  <c r="AC56" i="4"/>
  <c r="U56" i="4"/>
  <c r="T56" i="4"/>
  <c r="S56" i="4"/>
  <c r="R56" i="4"/>
  <c r="G56" i="4"/>
  <c r="Y56" i="4" s="1"/>
  <c r="AB56" i="4" s="1"/>
  <c r="AC55" i="4"/>
  <c r="U55" i="4"/>
  <c r="T55" i="4"/>
  <c r="S55" i="4"/>
  <c r="R55" i="4"/>
  <c r="G55" i="4"/>
  <c r="AC54" i="4"/>
  <c r="T54" i="4"/>
  <c r="S54" i="4"/>
  <c r="R54" i="4"/>
  <c r="G54" i="4"/>
  <c r="P54" i="4" s="1"/>
  <c r="V58" i="4" l="1"/>
  <c r="V57" i="4"/>
  <c r="W57" i="4" s="1"/>
  <c r="V56" i="4"/>
  <c r="W56" i="4" s="1"/>
  <c r="Q54" i="4"/>
  <c r="V54" i="4" s="1"/>
  <c r="W54" i="4" s="1"/>
  <c r="V55" i="4"/>
  <c r="W55" i="4" s="1"/>
  <c r="Y55" i="4"/>
  <c r="AB55" i="4" s="1"/>
  <c r="W58" i="4"/>
  <c r="Y54" i="4"/>
  <c r="AB54" i="4" s="1"/>
  <c r="AC99" i="4"/>
  <c r="U99" i="4"/>
  <c r="T99" i="4"/>
  <c r="S99" i="4"/>
  <c r="R99" i="4"/>
  <c r="G99" i="4"/>
  <c r="Y99" i="4" s="1"/>
  <c r="AB99" i="4" s="1"/>
  <c r="AC98" i="4"/>
  <c r="U98" i="4"/>
  <c r="T98" i="4"/>
  <c r="S98" i="4"/>
  <c r="R98" i="4"/>
  <c r="G98" i="4"/>
  <c r="Y98" i="4" s="1"/>
  <c r="AB98" i="4" s="1"/>
  <c r="AC97" i="4"/>
  <c r="U97" i="4"/>
  <c r="T97" i="4"/>
  <c r="S97" i="4"/>
  <c r="R97" i="4"/>
  <c r="G97" i="4"/>
  <c r="Y97" i="4" s="1"/>
  <c r="AB97" i="4" s="1"/>
  <c r="AC96" i="4"/>
  <c r="U96" i="4"/>
  <c r="T96" i="4"/>
  <c r="S96" i="4"/>
  <c r="R96" i="4"/>
  <c r="G96" i="4"/>
  <c r="Y96" i="4" s="1"/>
  <c r="AB96" i="4" s="1"/>
  <c r="AC95" i="4"/>
  <c r="U95" i="4"/>
  <c r="T95" i="4"/>
  <c r="S95" i="4"/>
  <c r="R95" i="4"/>
  <c r="G95" i="4"/>
  <c r="Y95" i="4" s="1"/>
  <c r="AB95" i="4" s="1"/>
  <c r="AC94" i="4"/>
  <c r="U94" i="4"/>
  <c r="T94" i="4"/>
  <c r="S94" i="4"/>
  <c r="R94" i="4"/>
  <c r="G94" i="4"/>
  <c r="Y94" i="4" s="1"/>
  <c r="AB94" i="4" s="1"/>
  <c r="AC110" i="4"/>
  <c r="S110" i="4"/>
  <c r="R110" i="4"/>
  <c r="V110" i="4" s="1"/>
  <c r="G110" i="4"/>
  <c r="AB110" i="4" s="1"/>
  <c r="AC109" i="4"/>
  <c r="V109" i="4"/>
  <c r="G109" i="4"/>
  <c r="Y109" i="4" s="1"/>
  <c r="AB109" i="4" s="1"/>
  <c r="AC31" i="4"/>
  <c r="U31" i="4"/>
  <c r="T31" i="4"/>
  <c r="S31" i="4"/>
  <c r="R31" i="4"/>
  <c r="G31" i="4"/>
  <c r="Y31" i="4" s="1"/>
  <c r="AB31" i="4" s="1"/>
  <c r="AC30" i="4"/>
  <c r="U30" i="4"/>
  <c r="T30" i="4"/>
  <c r="S30" i="4"/>
  <c r="R30" i="4"/>
  <c r="G30" i="4"/>
  <c r="Y30" i="4" s="1"/>
  <c r="AB30" i="4" s="1"/>
  <c r="AC29" i="4"/>
  <c r="G29" i="4"/>
  <c r="Y29" i="4" s="1"/>
  <c r="AB29" i="4" s="1"/>
  <c r="V30" i="4" l="1"/>
  <c r="W30" i="4" s="1"/>
  <c r="V31" i="4"/>
  <c r="V94" i="4"/>
  <c r="W94" i="4" s="1"/>
  <c r="V96" i="4"/>
  <c r="W96" i="4" s="1"/>
  <c r="V98" i="4"/>
  <c r="W98" i="4" s="1"/>
  <c r="V95" i="4"/>
  <c r="W95" i="4" s="1"/>
  <c r="V97" i="4"/>
  <c r="W97" i="4" s="1"/>
  <c r="W109" i="4"/>
  <c r="V99" i="4"/>
  <c r="W99" i="4" s="1"/>
  <c r="J109" i="4"/>
  <c r="U29" i="4"/>
  <c r="R29" i="4"/>
  <c r="S29" i="4"/>
  <c r="W31" i="4"/>
  <c r="T29" i="4"/>
  <c r="K109" i="4"/>
  <c r="L109" i="4" l="1"/>
  <c r="V29" i="4"/>
  <c r="W29" i="4" s="1"/>
</calcChain>
</file>

<file path=xl/sharedStrings.xml><?xml version="1.0" encoding="utf-8"?>
<sst xmlns="http://schemas.openxmlformats.org/spreadsheetml/2006/main" count="742" uniqueCount="209">
  <si>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</si>
  <si>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</si>
  <si>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</si>
  <si>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</si>
  <si>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</si>
  <si>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</si>
  <si>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</si>
  <si>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</si>
  <si>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</si>
  <si>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</si>
  <si>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</si>
  <si>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</si>
  <si>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</si>
  <si>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</si>
  <si>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</si>
  <si>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</si>
  <si>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</si>
  <si>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</si>
  <si>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</si>
  <si>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</si>
  <si>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</si>
  <si>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</si>
  <si>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</si>
  <si>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</si>
  <si>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</si>
  <si>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</si>
  <si>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</si>
  <si>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</si>
  <si>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</si>
  <si>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</si>
  <si>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</si>
  <si>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</si>
  <si>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</si>
  <si>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</si>
  <si>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</si>
  <si>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</si>
  <si>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</si>
  <si>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</si>
  <si>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</si>
  <si>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</si>
  <si>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</si>
  <si>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</si>
  <si>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Nhật</t>
  </si>
  <si>
    <t>đang sd</t>
  </si>
  <si>
    <t>ĐNA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</si>
  <si>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</si>
  <si>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</si>
  <si>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</si>
  <si>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</si>
  <si>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</si>
  <si>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</si>
  <si>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</si>
  <si>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 xml:space="preserve">Máy điều hoà </t>
  </si>
  <si>
    <t>Máy điều hòa LG(1.5 HP)</t>
  </si>
  <si>
    <t>Khoa BNN</t>
  </si>
  <si>
    <t>Tủ Meca 2 mặt kính</t>
  </si>
  <si>
    <t xml:space="preserve">Tủ gỗ gương 4 cánh đưng máy (1,9 x 1,2) </t>
  </si>
  <si>
    <t>Bàn làm việc gỗ Oval</t>
  </si>
  <si>
    <t>Ghế nệm chân quỳ</t>
  </si>
  <si>
    <t>Bàn vi tính</t>
  </si>
  <si>
    <t xml:space="preserve">Tủ hồ sơ 3 buồng </t>
  </si>
  <si>
    <t>Ghế xoay lưng lưới xanh</t>
  </si>
  <si>
    <t>Bàn làm việc có gương (1,2 x 0,6)</t>
  </si>
  <si>
    <t>Bàn làm việc (1,2 x 0,6)</t>
  </si>
  <si>
    <t>Bàn vi tính (1,2 x 0,6)</t>
  </si>
  <si>
    <t>Tủ hồ sơ 3 buồng màu ghi</t>
  </si>
  <si>
    <t>Bàn làm việc vân gỗ vàng 1,2m</t>
  </si>
  <si>
    <t>Ghế nệm xoay</t>
  </si>
  <si>
    <t>Thành viên tổ kiểm kê</t>
  </si>
  <si>
    <t>Trưởng phòng TC - KT</t>
  </si>
  <si>
    <t>Chủ tịch hội đồng</t>
  </si>
  <si>
    <t>-</t>
  </si>
  <si>
    <t>Lưu Thị Mận</t>
  </si>
  <si>
    <t>Trần Quốc Việt</t>
  </si>
  <si>
    <t>Đặng Thị Tuyến</t>
  </si>
  <si>
    <t>Nguyễn Thanh Huỳnh</t>
  </si>
  <si>
    <t>2. Ông. Nguyễn Thanh Huỳnh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</si>
  <si>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</si>
  <si>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</si>
  <si>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</si>
  <si>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</si>
  <si>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</si>
  <si>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</si>
  <si>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Trưởng khoa Bệnh nghề nghiệp</t>
  </si>
  <si>
    <t>4. Ông. Dương Ấm Mậu</t>
  </si>
  <si>
    <t>Dương Ấm Mậu</t>
  </si>
  <si>
    <t>Trần Liên</t>
  </si>
  <si>
    <t>………………</t>
  </si>
  <si>
    <t>TCHC</t>
  </si>
  <si>
    <t>Phòng 2 - TCHC-A.Linh</t>
  </si>
  <si>
    <t>Hàng ủng hộ PC covid-19</t>
  </si>
  <si>
    <t>Quạt đứng</t>
  </si>
  <si>
    <t>Quạt đứng Natifan</t>
  </si>
  <si>
    <t>PHÒNG LÀM VIỆC</t>
  </si>
  <si>
    <t xml:space="preserve">Ghế gỗ hội trường </t>
  </si>
  <si>
    <t>315 PCT</t>
  </si>
  <si>
    <t>PHÒNG QUAN TRẮC MÔI TRƯỜNG</t>
  </si>
  <si>
    <t>Ghế gỗ thấp</t>
  </si>
  <si>
    <t>Hỏng</t>
  </si>
  <si>
    <t>BLV 1809/19</t>
  </si>
  <si>
    <t>I</t>
  </si>
  <si>
    <t>II</t>
  </si>
  <si>
    <t>Bàn làm việc - BLV15-1
-Kích thước: (1.500x750x760)mm.
- Gỗ công nghiệp phủ melamine có hộc liền.</t>
  </si>
  <si>
    <t>P. Làm việc</t>
  </si>
  <si>
    <t>Bàn làm việc - BLV1809-1
-Kích thước: (1.800x900x760)mm.
-Gỗ công nghiệp phun PU</t>
  </si>
  <si>
    <t>Tủ đựng dụng cụ
-Kích thước: (1.000x450x1.830)mm.
- Khung sắt sơn tĩnh điện khoang trên có 03 khoang, có 02 đợt di động. Khung cánh kính mở</t>
  </si>
  <si>
    <t>TDC 75-76</t>
  </si>
  <si>
    <t>Ghế làm việc
-Kích thước: (550x530x865/990)mm.
- Khung nhựa, đệm tựa bọc vải tay nhựa.</t>
  </si>
  <si>
    <t>Khoa BNN 315</t>
  </si>
  <si>
    <t>Ko sd</t>
  </si>
  <si>
    <t>Hàng ủng hộ Covid-19</t>
  </si>
  <si>
    <t>Đèn led panel 45w vuông 0,6x0,6 m</t>
  </si>
  <si>
    <t>Công tắc đôi</t>
  </si>
  <si>
    <t>Ổ cắm đôi 3 chấu</t>
  </si>
  <si>
    <t>Tủ điện âm tường bao gồm thiết bị</t>
  </si>
  <si>
    <t>Đầu báo khói địa chỉ (kể cả đế)</t>
  </si>
  <si>
    <t xml:space="preserve">Đầu phun sprinkler 68 độ C (loại quay xuống) + đế </t>
  </si>
  <si>
    <t>Điều hòa treo tường 24.000 Btu/h + remote</t>
  </si>
  <si>
    <t>Quạt trần + hộp số</t>
  </si>
  <si>
    <t>Miệng gió 200x200 + OBD</t>
  </si>
  <si>
    <t>bộ</t>
  </si>
  <si>
    <t>cái</t>
  </si>
  <si>
    <t>Quan trắc MT</t>
  </si>
  <si>
    <t>Công tắc 4</t>
  </si>
  <si>
    <t>Điều hòa cassette 4 hướng 36.000 Btu/h + remote</t>
  </si>
  <si>
    <t>Miệng gió 250x250 + OBD</t>
  </si>
  <si>
    <t>Đvt</t>
  </si>
  <si>
    <t>P. Quan trắc môi trường (T6.1)</t>
  </si>
  <si>
    <t>P. Làm việc K. Bệnh ngề nghiệp (T6.3)</t>
  </si>
  <si>
    <t>Tiếp nhận năm 2022</t>
  </si>
  <si>
    <t>Trần Liên……………………………………………</t>
  </si>
  <si>
    <t>Trần Quốc Việt……………………………………..</t>
  </si>
  <si>
    <t>Ghi chú</t>
  </si>
  <si>
    <t>TÀI SẢN THANH LÝ THEO QUYẾT ĐỊNH 443/QĐ-TTKSBT NGÀY 13/12/2023</t>
  </si>
  <si>
    <t>TÀI SẢN GẮN LIỀN BÀN GIAO NHÀ ĐÂT 315 PHAN CHÂU TRINH CHO CÔNG AN</t>
  </si>
  <si>
    <t>1. Ông. Nguyễn Đại Vĩnh</t>
  </si>
  <si>
    <t>Giám đốc</t>
  </si>
  <si>
    <t>Nguyễn Đại Vĩnh</t>
  </si>
  <si>
    <t>Trưởng khoa Bệnh Nghề nghiệp</t>
  </si>
  <si>
    <t>BIÊN BẢN KIỂM KÊ TÀI SẢN CỐ ĐỊNH NĂM 2025
THIẾT BỊ ĐIỆN KHOA BỆNH NGHỀ NGHIỆP</t>
  </si>
  <si>
    <t>- Hôm nay, ngày  06    tháng  6   năm 2025, tại Trung tâm Kiểm soát bệnh tât TP Đà Nẵng chúng tôi gồm:</t>
  </si>
  <si>
    <t>Đà Nẵng, ngày 06 tháng 6  năm 2025</t>
  </si>
  <si>
    <t>Lê Thị Bích Trâm</t>
  </si>
  <si>
    <t>Lê Thị Bích Trâm…………………………………….</t>
  </si>
  <si>
    <t>Chuyển P.Quan trắc môi trường</t>
  </si>
  <si>
    <t>BLV 46 Khoa Xét nghiệm chuyển lên (A.Nhi)</t>
  </si>
  <si>
    <t>+1</t>
  </si>
  <si>
    <t>Tủ kính đựng tài liệu: TU08 (CAT08G)</t>
  </si>
  <si>
    <t>182-HIV/17</t>
  </si>
  <si>
    <t>183-HIV/17</t>
  </si>
  <si>
    <t>CS2</t>
  </si>
  <si>
    <t>Ghế xoay 2016:G555H</t>
  </si>
  <si>
    <t>187-HIV/17</t>
  </si>
  <si>
    <t>Bàn gỗ + ghế vi tính (ghế xếp nệm xanh)</t>
  </si>
  <si>
    <t>191-HIV/17</t>
  </si>
  <si>
    <t>+2</t>
  </si>
  <si>
    <t>Ghế tựa gỗ</t>
  </si>
  <si>
    <t>193-HIV/17</t>
  </si>
  <si>
    <t>51-HIV/15</t>
  </si>
  <si>
    <t>Ghế gấp phòng họp GM (Xuân Hòa 083)</t>
  </si>
  <si>
    <t>190,-HIV/17</t>
  </si>
  <si>
    <t>52-HIV/15</t>
  </si>
  <si>
    <t>53-HIV/15</t>
  </si>
  <si>
    <t>Ghế xoay Hòa Phát</t>
  </si>
  <si>
    <t>3/YTDP</t>
  </si>
  <si>
    <t>Quạt Asia</t>
  </si>
  <si>
    <t>9/BSKK</t>
  </si>
  <si>
    <t>CS 2 chuyển ra</t>
  </si>
  <si>
    <t>0</t>
  </si>
  <si>
    <t xml:space="preserve">GLV 226 -230;63 </t>
  </si>
  <si>
    <t>Phòng làm việc chuyển sang</t>
  </si>
  <si>
    <t>GLV 63 Khoa Xét nghiệm chuyển lên (A.Nhi); GLV 225 Chuyển Phòng Quan trắc Môi trường</t>
  </si>
  <si>
    <t>GLV 225 Phòng làm việc chuyển sang</t>
  </si>
  <si>
    <t>170-HIV/17</t>
  </si>
  <si>
    <t>Quạt đứng công nghiệp Đ-18CN</t>
  </si>
  <si>
    <t>02/CDC/2024</t>
  </si>
  <si>
    <t xml:space="preserve">CS 2 chuyển ra </t>
  </si>
  <si>
    <t xml:space="preserve">Quạt đứng công nghiệp </t>
  </si>
  <si>
    <t>27/SKMMT/2022</t>
  </si>
  <si>
    <t>Bàn làm việc 2016:HP1200SHL</t>
  </si>
  <si>
    <t>- Hôm nay, ngày  tháng 01  năm 2026, tại Trung tâm Kiểm soát bệnh tât TP Đà Nẵng chúng tôi gồm:</t>
  </si>
  <si>
    <t>2. Ông. Hồ Phú Quảng</t>
  </si>
  <si>
    <t>BLV 136-142, 46</t>
  </si>
  <si>
    <t>GLV 231-234, 225</t>
  </si>
  <si>
    <t>184-HIV/18</t>
  </si>
  <si>
    <t>185-HIV/18</t>
  </si>
  <si>
    <t>186-HIV/18</t>
  </si>
  <si>
    <t>Bàn làm việc HP1200SHL</t>
  </si>
  <si>
    <t>9/YTDP</t>
  </si>
  <si>
    <t>Thành tiền</t>
  </si>
  <si>
    <t xml:space="preserve">Đơn giá </t>
  </si>
  <si>
    <t>CƠ SỞ 2</t>
  </si>
  <si>
    <t>Quạt đứng AIDS</t>
  </si>
  <si>
    <t>2/YTDP</t>
  </si>
  <si>
    <t>hỏng</t>
  </si>
  <si>
    <t>Máy điều hoà Toshiba 18N3</t>
  </si>
  <si>
    <t>SS 185/14</t>
  </si>
  <si>
    <t>129 Trưng Nữ Vương (có 03 cái, chuyển CS1 02 cái</t>
  </si>
  <si>
    <t>131 Trưng Nữ Vương</t>
  </si>
  <si>
    <t>Đà Nẵng, ngày   tháng 01 năm 2026</t>
  </si>
  <si>
    <t>Hồ Phú Quảng</t>
  </si>
  <si>
    <t>Nguyễn Thị Hà Vy…………………………………….</t>
  </si>
  <si>
    <t>CS 2 chuyển ra (Khoa SKMT-YTTH)</t>
  </si>
  <si>
    <t>171-HIV/17</t>
  </si>
  <si>
    <t>174-HIV/17</t>
  </si>
  <si>
    <t>176-HIV/17</t>
  </si>
  <si>
    <t>THEO DÕI CCDC</t>
  </si>
  <si>
    <t>BIÊN BẢN KIỂM KÊ TÀI SẢN CỐ ĐỊNH NĂM 2025
KHOA BỆNH NGHỀ NGHIỆP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</si>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</sst>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0.0%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0.000"/>
    <numFmt numFmtId="175" formatCode="_(* #,##0_);_(* \(#,##0\);_(* &quot;-&quot;??_);_(@_)"/>
    <numFmt numFmtId="176" formatCode="_-* #,##0&quot; &quot;_ _-;\-* #,##0&quot; &quot;_ _-;_-* &quot;-&quot;??&quot; &quot;_ _-;_-@_-"/>
  </numFmts>
  <fonts count="33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4"/>
      <name val="Times New Roman"/>
      <family val="1"/>
      <charset val="163"/>
    </font>
    <font>
      <sz val="8"/>
      <name val="Times New Roman"/>
      <family val="1"/>
      <charset val="163"/>
    </font>
    <font>
      <b/>
      <sz val="12"/>
      <name val="VNtimes new roman"/>
      <family val="2"/>
      <charset val="163"/>
    </font>
    <font>
      <sz val="10"/>
      <name val="Times New Roman"/>
      <family val="1"/>
      <charset val="163"/>
    </font>
    <font>
      <sz val="9"/>
      <name val="Times New Roman"/>
      <family val="1"/>
      <charset val="163"/>
    </font>
    <font>
      <sz val="13"/>
      <name val="Times New Roman"/>
      <family val="1"/>
      <charset val="163"/>
    </font>
    <font>
      <sz val="8"/>
      <name val="VNtimes new roman"/>
    </font>
    <font>
      <sz val="12"/>
      <name val="Times New Roman"/>
      <family val="1"/>
    </font>
    <font>
      <sz val="8"/>
      <color indexed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b/>
      <sz val="1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1"/>
      <color rgb="FFFF0000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3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4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9" fontId="2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/>
    <xf numFmtId="0" fontId="22" fillId="0" borderId="0"/>
    <xf numFmtId="0" fontId="23" fillId="0" borderId="0" applyNumberFormat="0" applyFill="0" applyBorder="0" applyAlignment="0" applyProtection="0">
      <alignment vertical="top"/>
    </xf>
    <xf numFmtId="0" fontId="24" fillId="0" borderId="0" applyAlignment="0">
      <alignment vertical="top" wrapText="1"/>
      <protection locked="0"/>
    </xf>
    <xf numFmtId="164" fontId="2" fillId="0" borderId="0" applyFont="0" applyFill="0" applyBorder="0" applyAlignment="0" applyProtection="0"/>
    <xf numFmtId="0" fontId="1" fillId="0" borderId="0"/>
  </cellStyleXfs>
  <cellXfs count="189">
    <xf numFmtId="0" fontId="0" fillId="0" borderId="0" xfId="0"/>
    <xf numFmtId="0" fontId="12" fillId="2" borderId="0" xfId="0" quotePrefix="1" applyFont="1" applyFill="1" applyAlignment="1">
      <alignment horizontal="left"/>
    </xf>
    <xf numFmtId="0" fontId="13" fillId="2" borderId="0" xfId="0" quotePrefix="1" applyFont="1" applyFill="1" applyAlignment="1">
      <alignment horizontal="left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right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quotePrefix="1" applyFont="1" applyFill="1"/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165" fontId="12" fillId="2" borderId="0" xfId="1" applyNumberFormat="1" applyFont="1" applyFill="1" applyAlignment="1">
      <alignment horizontal="center"/>
    </xf>
    <xf numFmtId="0" fontId="16" fillId="2" borderId="0" xfId="0" applyFont="1" applyFill="1"/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/>
    </xf>
    <xf numFmtId="165" fontId="13" fillId="2" borderId="0" xfId="1" applyNumberFormat="1" applyFont="1" applyFill="1" applyBorder="1" applyAlignment="1">
      <alignment horizontal="center"/>
    </xf>
    <xf numFmtId="0" fontId="13" fillId="2" borderId="1" xfId="0" applyFont="1" applyFill="1" applyBorder="1"/>
    <xf numFmtId="0" fontId="12" fillId="2" borderId="2" xfId="0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166" fontId="12" fillId="2" borderId="2" xfId="0" applyNumberFormat="1" applyFont="1" applyFill="1" applyBorder="1" applyAlignment="1">
      <alignment horizontal="center"/>
    </xf>
    <xf numFmtId="166" fontId="12" fillId="2" borderId="2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166" fontId="1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right" vertical="center"/>
    </xf>
    <xf numFmtId="3" fontId="13" fillId="2" borderId="2" xfId="0" applyNumberFormat="1" applyFont="1" applyFill="1" applyBorder="1" applyAlignment="1">
      <alignment vertical="center"/>
    </xf>
    <xf numFmtId="3" fontId="13" fillId="2" borderId="2" xfId="1" applyNumberFormat="1" applyFont="1" applyFill="1" applyBorder="1" applyAlignment="1">
      <alignment horizontal="center" vertical="center"/>
    </xf>
    <xf numFmtId="9" fontId="13" fillId="2" borderId="2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/>
    </xf>
    <xf numFmtId="167" fontId="13" fillId="2" borderId="2" xfId="2" applyNumberFormat="1" applyFont="1" applyFill="1" applyBorder="1" applyAlignment="1">
      <alignment horizontal="right" vertical="center"/>
    </xf>
    <xf numFmtId="0" fontId="18" fillId="2" borderId="2" xfId="28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/>
    </xf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3" fontId="13" fillId="2" borderId="0" xfId="0" applyNumberFormat="1" applyFont="1" applyFill="1" applyAlignment="1">
      <alignment wrapText="1"/>
    </xf>
    <xf numFmtId="3" fontId="12" fillId="2" borderId="0" xfId="0" applyNumberFormat="1" applyFont="1" applyFill="1" applyAlignment="1">
      <alignment horizontal="right"/>
    </xf>
    <xf numFmtId="165" fontId="12" fillId="2" borderId="0" xfId="1" applyNumberFormat="1" applyFont="1" applyFill="1" applyBorder="1"/>
    <xf numFmtId="165" fontId="13" fillId="2" borderId="0" xfId="1" applyNumberFormat="1" applyFont="1" applyFill="1" applyBorder="1"/>
    <xf numFmtId="165" fontId="13" fillId="2" borderId="0" xfId="1" applyNumberFormat="1" applyFont="1" applyFill="1" applyAlignment="1">
      <alignment horizontal="center"/>
    </xf>
    <xf numFmtId="0" fontId="12" fillId="2" borderId="2" xfId="27" applyFont="1" applyFill="1" applyBorder="1" applyAlignment="1">
      <alignment vertical="center" wrapText="1"/>
    </xf>
    <xf numFmtId="3" fontId="18" fillId="2" borderId="2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0" fontId="20" fillId="2" borderId="2" xfId="27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vertical="center" wrapText="1"/>
    </xf>
    <xf numFmtId="49" fontId="15" fillId="2" borderId="0" xfId="0" applyNumberFormat="1" applyFont="1" applyFill="1" applyAlignment="1">
      <alignment horizontal="center"/>
    </xf>
    <xf numFmtId="3" fontId="15" fillId="2" borderId="0" xfId="0" applyNumberFormat="1" applyFont="1" applyFill="1" applyAlignment="1">
      <alignment horizontal="right"/>
    </xf>
    <xf numFmtId="49" fontId="12" fillId="2" borderId="0" xfId="1" applyNumberFormat="1" applyFont="1" applyFill="1" applyAlignment="1">
      <alignment horizontal="center"/>
    </xf>
    <xf numFmtId="0" fontId="16" fillId="2" borderId="0" xfId="0" applyFont="1" applyFill="1" applyAlignment="1">
      <alignment wrapText="1"/>
    </xf>
    <xf numFmtId="49" fontId="12" fillId="2" borderId="0" xfId="0" applyNumberFormat="1" applyFont="1" applyFill="1" applyAlignment="1">
      <alignment horizontal="center"/>
    </xf>
    <xf numFmtId="49" fontId="13" fillId="2" borderId="0" xfId="0" applyNumberFormat="1" applyFont="1" applyFill="1"/>
    <xf numFmtId="49" fontId="13" fillId="2" borderId="0" xfId="1" applyNumberFormat="1" applyFont="1" applyFill="1" applyBorder="1" applyAlignment="1">
      <alignment horizontal="center"/>
    </xf>
    <xf numFmtId="49" fontId="12" fillId="2" borderId="2" xfId="0" applyNumberFormat="1" applyFont="1" applyFill="1" applyBorder="1" applyAlignment="1">
      <alignment horizontal="center"/>
    </xf>
    <xf numFmtId="3" fontId="12" fillId="2" borderId="2" xfId="0" applyNumberFormat="1" applyFont="1" applyFill="1" applyBorder="1" applyAlignment="1">
      <alignment horizontal="right"/>
    </xf>
    <xf numFmtId="0" fontId="12" fillId="2" borderId="2" xfId="0" applyFont="1" applyFill="1" applyBorder="1" applyAlignment="1">
      <alignment horizontal="center" wrapText="1"/>
    </xf>
    <xf numFmtId="0" fontId="25" fillId="2" borderId="2" xfId="0" applyFont="1" applyFill="1" applyBorder="1" applyAlignment="1">
      <alignment vertical="center" wrapText="1"/>
    </xf>
    <xf numFmtId="0" fontId="13" fillId="2" borderId="0" xfId="0" applyFont="1" applyFill="1" applyBorder="1"/>
    <xf numFmtId="0" fontId="26" fillId="3" borderId="2" xfId="30" applyFont="1" applyFill="1" applyBorder="1" applyAlignment="1" applyProtection="1">
      <alignment horizontal="center" vertical="center" wrapText="1" shrinkToFit="1"/>
      <protection locked="0"/>
    </xf>
    <xf numFmtId="49" fontId="13" fillId="2" borderId="2" xfId="1" quotePrefix="1" applyNumberFormat="1" applyFont="1" applyFill="1" applyBorder="1" applyAlignment="1">
      <alignment horizontal="center" vertical="center"/>
    </xf>
    <xf numFmtId="166" fontId="13" fillId="2" borderId="2" xfId="0" applyNumberFormat="1" applyFont="1" applyFill="1" applyBorder="1" applyAlignment="1">
      <alignment horizontal="center"/>
    </xf>
    <xf numFmtId="3" fontId="26" fillId="3" borderId="2" xfId="30" applyNumberFormat="1" applyFont="1" applyFill="1" applyBorder="1" applyAlignment="1" applyProtection="1">
      <alignment horizontal="right" vertical="center" wrapText="1" shrinkToFit="1"/>
      <protection locked="0"/>
    </xf>
    <xf numFmtId="0" fontId="13" fillId="2" borderId="2" xfId="0" applyFont="1" applyFill="1" applyBorder="1" applyAlignment="1">
      <alignment horizontal="center" wrapText="1"/>
    </xf>
    <xf numFmtId="0" fontId="25" fillId="2" borderId="2" xfId="29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/>
    </xf>
    <xf numFmtId="49" fontId="12" fillId="2" borderId="2" xfId="0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vertical="center" wrapText="1"/>
    </xf>
    <xf numFmtId="49" fontId="13" fillId="2" borderId="2" xfId="0" quotePrefix="1" applyNumberFormat="1" applyFont="1" applyFill="1" applyBorder="1" applyAlignment="1">
      <alignment horizontal="center" vertical="center"/>
    </xf>
    <xf numFmtId="175" fontId="13" fillId="2" borderId="2" xfId="31" applyNumberFormat="1" applyFont="1" applyFill="1" applyBorder="1" applyAlignment="1" applyProtection="1">
      <alignment horizontal="right" vertical="center" wrapText="1"/>
    </xf>
    <xf numFmtId="49" fontId="1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49" fontId="13" fillId="2" borderId="2" xfId="1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vertical="center" wrapText="1"/>
    </xf>
    <xf numFmtId="3" fontId="26" fillId="2" borderId="2" xfId="0" applyNumberFormat="1" applyFont="1" applyFill="1" applyBorder="1" applyAlignment="1">
      <alignment horizontal="center" vertical="center" wrapText="1"/>
    </xf>
    <xf numFmtId="174" fontId="26" fillId="2" borderId="2" xfId="0" applyNumberFormat="1" applyFont="1" applyFill="1" applyBorder="1" applyAlignment="1">
      <alignment horizontal="left" vertical="center" wrapText="1"/>
    </xf>
    <xf numFmtId="0" fontId="13" fillId="2" borderId="2" xfId="27" applyFont="1" applyFill="1" applyBorder="1" applyAlignment="1">
      <alignment horizontal="center" vertical="center"/>
    </xf>
    <xf numFmtId="0" fontId="13" fillId="2" borderId="2" xfId="28" applyFont="1" applyFill="1" applyBorder="1" applyAlignment="1">
      <alignment horizontal="center" vertical="center"/>
    </xf>
    <xf numFmtId="3" fontId="13" fillId="2" borderId="2" xfId="28" applyNumberFormat="1" applyFont="1" applyFill="1" applyBorder="1" applyAlignment="1">
      <alignment vertical="center" wrapText="1"/>
    </xf>
    <xf numFmtId="3" fontId="13" fillId="2" borderId="2" xfId="28" applyNumberFormat="1" applyFont="1" applyFill="1" applyBorder="1" applyAlignment="1">
      <alignment horizontal="center" vertical="center" wrapText="1"/>
    </xf>
    <xf numFmtId="3" fontId="13" fillId="2" borderId="2" xfId="28" applyNumberFormat="1" applyFont="1" applyFill="1" applyBorder="1" applyAlignment="1">
      <alignment horizontal="left" vertical="center" wrapText="1"/>
    </xf>
    <xf numFmtId="0" fontId="13" fillId="2" borderId="2" xfId="28" applyFont="1" applyFill="1" applyBorder="1" applyAlignment="1">
      <alignment horizontal="center" vertical="center" wrapText="1"/>
    </xf>
    <xf numFmtId="0" fontId="13" fillId="2" borderId="2" xfId="28" applyFont="1" applyFill="1" applyBorder="1" applyAlignment="1">
      <alignment horizontal="left" vertical="center" wrapText="1"/>
    </xf>
    <xf numFmtId="0" fontId="13" fillId="2" borderId="2" xfId="28" applyFont="1" applyFill="1" applyBorder="1" applyAlignment="1">
      <alignment vertical="center"/>
    </xf>
    <xf numFmtId="3" fontId="18" fillId="2" borderId="2" xfId="28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wrapText="1"/>
    </xf>
    <xf numFmtId="3" fontId="13" fillId="2" borderId="2" xfId="0" applyNumberFormat="1" applyFont="1" applyFill="1" applyBorder="1" applyAlignment="1">
      <alignment horizontal="center"/>
    </xf>
    <xf numFmtId="3" fontId="13" fillId="2" borderId="2" xfId="0" applyNumberFormat="1" applyFont="1" applyFill="1" applyBorder="1" applyAlignment="1">
      <alignment horizontal="right"/>
    </xf>
    <xf numFmtId="0" fontId="26" fillId="2" borderId="2" xfId="0" applyFont="1" applyFill="1" applyBorder="1" applyAlignment="1">
      <alignment horizontal="center" vertical="top" wrapText="1"/>
    </xf>
    <xf numFmtId="0" fontId="12" fillId="2" borderId="0" xfId="0" applyFont="1" applyFill="1" applyAlignment="1">
      <alignment wrapText="1"/>
    </xf>
    <xf numFmtId="49" fontId="13" fillId="2" borderId="0" xfId="0" applyNumberFormat="1" applyFont="1" applyFill="1" applyAlignment="1">
      <alignment horizontal="center"/>
    </xf>
    <xf numFmtId="3" fontId="12" fillId="2" borderId="2" xfId="0" applyNumberFormat="1" applyFont="1" applyFill="1" applyBorder="1" applyAlignment="1">
      <alignment horizontal="right" vertical="center" wrapText="1"/>
    </xf>
    <xf numFmtId="167" fontId="13" fillId="2" borderId="2" xfId="2" quotePrefix="1" applyNumberFormat="1" applyFont="1" applyFill="1" applyBorder="1" applyAlignment="1">
      <alignment vertical="center"/>
    </xf>
    <xf numFmtId="49" fontId="13" fillId="2" borderId="0" xfId="1" applyNumberFormat="1" applyFont="1" applyFill="1" applyAlignment="1">
      <alignment horizontal="center"/>
    </xf>
    <xf numFmtId="0" fontId="27" fillId="2" borderId="2" xfId="0" applyFont="1" applyFill="1" applyBorder="1" applyAlignment="1">
      <alignment horizontal="center" vertical="center"/>
    </xf>
    <xf numFmtId="0" fontId="27" fillId="3" borderId="2" xfId="30" applyFont="1" applyFill="1" applyBorder="1" applyAlignment="1" applyProtection="1">
      <alignment horizontal="center" vertical="center" wrapText="1" shrinkToFit="1"/>
      <protection locked="0"/>
    </xf>
    <xf numFmtId="0" fontId="27" fillId="2" borderId="2" xfId="0" applyFont="1" applyFill="1" applyBorder="1" applyAlignment="1">
      <alignment horizontal="left" vertical="center"/>
    </xf>
    <xf numFmtId="3" fontId="27" fillId="2" borderId="2" xfId="0" applyNumberFormat="1" applyFont="1" applyFill="1" applyBorder="1" applyAlignment="1">
      <alignment horizontal="right" vertical="center"/>
    </xf>
    <xf numFmtId="3" fontId="27" fillId="2" borderId="2" xfId="0" applyNumberFormat="1" applyFont="1" applyFill="1" applyBorder="1" applyAlignment="1">
      <alignment vertical="center"/>
    </xf>
    <xf numFmtId="3" fontId="27" fillId="2" borderId="2" xfId="0" applyNumberFormat="1" applyFont="1" applyFill="1" applyBorder="1" applyAlignment="1">
      <alignment horizontal="center" vertical="center"/>
    </xf>
    <xf numFmtId="49" fontId="27" fillId="2" borderId="2" xfId="32" applyNumberFormat="1" applyFont="1" applyFill="1" applyBorder="1" applyAlignment="1">
      <alignment vertical="center"/>
    </xf>
    <xf numFmtId="9" fontId="27" fillId="2" borderId="2" xfId="0" applyNumberFormat="1" applyFont="1" applyFill="1" applyBorder="1" applyAlignment="1">
      <alignment horizontal="right" vertical="center"/>
    </xf>
    <xf numFmtId="0" fontId="27" fillId="2" borderId="2" xfId="0" applyFont="1" applyFill="1" applyBorder="1" applyAlignment="1">
      <alignment vertical="center"/>
    </xf>
    <xf numFmtId="3" fontId="25" fillId="2" borderId="2" xfId="0" applyNumberFormat="1" applyFont="1" applyFill="1" applyBorder="1" applyAlignment="1">
      <alignment horizontal="center" vertical="center"/>
    </xf>
    <xf numFmtId="176" fontId="27" fillId="2" borderId="2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/>
    </xf>
    <xf numFmtId="0" fontId="27" fillId="2" borderId="2" xfId="33" applyFont="1" applyFill="1" applyBorder="1" applyAlignment="1">
      <alignment vertical="center" wrapText="1"/>
    </xf>
    <xf numFmtId="0" fontId="27" fillId="2" borderId="0" xfId="33" applyFont="1" applyFill="1" applyAlignment="1">
      <alignment horizontal="center" vertical="center" wrapText="1"/>
    </xf>
    <xf numFmtId="0" fontId="27" fillId="2" borderId="0" xfId="33" applyFont="1" applyFill="1" applyAlignment="1">
      <alignment vertical="center" wrapText="1"/>
    </xf>
    <xf numFmtId="0" fontId="27" fillId="2" borderId="0" xfId="0" applyFont="1" applyFill="1"/>
    <xf numFmtId="3" fontId="12" fillId="2" borderId="2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/>
    </xf>
    <xf numFmtId="0" fontId="26" fillId="2" borderId="2" xfId="29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vertical="center"/>
    </xf>
    <xf numFmtId="0" fontId="28" fillId="2" borderId="2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center" vertical="center" wrapText="1"/>
    </xf>
    <xf numFmtId="3" fontId="28" fillId="2" borderId="2" xfId="0" applyNumberFormat="1" applyFont="1" applyFill="1" applyBorder="1" applyAlignment="1">
      <alignment horizontal="right" vertical="center"/>
    </xf>
    <xf numFmtId="3" fontId="28" fillId="2" borderId="2" xfId="0" applyNumberFormat="1" applyFont="1" applyFill="1" applyBorder="1" applyAlignment="1">
      <alignment vertical="center"/>
    </xf>
    <xf numFmtId="3" fontId="28" fillId="2" borderId="2" xfId="0" applyNumberFormat="1" applyFont="1" applyFill="1" applyBorder="1" applyAlignment="1">
      <alignment horizontal="center" vertical="center"/>
    </xf>
    <xf numFmtId="49" fontId="28" fillId="2" borderId="2" xfId="1" applyNumberFormat="1" applyFont="1" applyFill="1" applyBorder="1" applyAlignment="1">
      <alignment horizontal="center" vertical="center"/>
    </xf>
    <xf numFmtId="9" fontId="28" fillId="2" borderId="2" xfId="0" applyNumberFormat="1" applyFont="1" applyFill="1" applyBorder="1" applyAlignment="1">
      <alignment horizontal="right" vertical="center"/>
    </xf>
    <xf numFmtId="0" fontId="28" fillId="2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 wrapText="1"/>
    </xf>
    <xf numFmtId="0" fontId="28" fillId="2" borderId="1" xfId="0" applyFont="1" applyFill="1" applyBorder="1"/>
    <xf numFmtId="0" fontId="28" fillId="2" borderId="0" xfId="0" applyFont="1" applyFill="1"/>
    <xf numFmtId="0" fontId="29" fillId="2" borderId="2" xfId="0" applyFont="1" applyFill="1" applyBorder="1" applyAlignment="1">
      <alignment vertical="center" wrapText="1"/>
    </xf>
    <xf numFmtId="3" fontId="29" fillId="2" borderId="2" xfId="0" applyNumberFormat="1" applyFont="1" applyFill="1" applyBorder="1" applyAlignment="1">
      <alignment horizontal="center" vertical="center" wrapText="1"/>
    </xf>
    <xf numFmtId="3" fontId="28" fillId="2" borderId="2" xfId="0" applyNumberFormat="1" applyFont="1" applyFill="1" applyBorder="1" applyAlignment="1">
      <alignment horizontal="center"/>
    </xf>
    <xf numFmtId="166" fontId="28" fillId="2" borderId="2" xfId="0" applyNumberFormat="1" applyFont="1" applyFill="1" applyBorder="1" applyAlignment="1">
      <alignment horizontal="center"/>
    </xf>
    <xf numFmtId="49" fontId="28" fillId="2" borderId="2" xfId="1" quotePrefix="1" applyNumberFormat="1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right"/>
    </xf>
    <xf numFmtId="175" fontId="29" fillId="2" borderId="7" xfId="1" applyNumberFormat="1" applyFont="1" applyFill="1" applyBorder="1" applyAlignment="1">
      <alignment horizontal="center" vertical="center" wrapText="1"/>
    </xf>
    <xf numFmtId="166" fontId="28" fillId="2" borderId="2" xfId="0" applyNumberFormat="1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30" fillId="2" borderId="2" xfId="0" applyFont="1" applyFill="1" applyBorder="1" applyAlignment="1">
      <alignment horizontal="center" wrapText="1"/>
    </xf>
    <xf numFmtId="175" fontId="24" fillId="0" borderId="2" xfId="1" applyNumberFormat="1" applyFont="1" applyFill="1" applyBorder="1" applyAlignment="1">
      <alignment vertical="center"/>
    </xf>
    <xf numFmtId="175" fontId="22" fillId="2" borderId="2" xfId="0" applyNumberFormat="1" applyFont="1" applyFill="1" applyBorder="1" applyAlignment="1">
      <alignment horizontal="center" vertical="center"/>
    </xf>
    <xf numFmtId="175" fontId="31" fillId="0" borderId="2" xfId="1" applyNumberFormat="1" applyFont="1" applyFill="1" applyBorder="1" applyAlignment="1">
      <alignment vertical="center"/>
    </xf>
    <xf numFmtId="175" fontId="32" fillId="2" borderId="2" xfId="1" applyNumberFormat="1" applyFont="1" applyFill="1" applyBorder="1" applyAlignment="1">
      <alignment horizontal="center" wrapText="1"/>
    </xf>
    <xf numFmtId="175" fontId="32" fillId="2" borderId="2" xfId="1" applyNumberFormat="1" applyFont="1" applyFill="1" applyBorder="1" applyAlignment="1">
      <alignment wrapText="1"/>
    </xf>
    <xf numFmtId="175" fontId="32" fillId="2" borderId="0" xfId="1" applyNumberFormat="1" applyFont="1" applyFill="1" applyAlignment="1">
      <alignment wrapText="1"/>
    </xf>
    <xf numFmtId="49" fontId="12" fillId="2" borderId="3" xfId="0" applyNumberFormat="1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/>
    </xf>
    <xf numFmtId="49" fontId="12" fillId="2" borderId="5" xfId="0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4" xfId="0" applyNumberFormat="1" applyFont="1" applyFill="1" applyBorder="1" applyAlignment="1">
      <alignment horizontal="center" vertical="center"/>
    </xf>
    <xf numFmtId="3" fontId="12" fillId="2" borderId="5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wrapText="1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3" fontId="12" fillId="2" borderId="4" xfId="0" applyNumberFormat="1" applyFont="1" applyFill="1" applyBorder="1" applyAlignment="1">
      <alignment horizontal="center" vertical="center" wrapText="1"/>
    </xf>
    <xf numFmtId="3" fontId="12" fillId="2" borderId="5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/>
    <xf numFmtId="0" fontId="17" fillId="2" borderId="2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/>
    </xf>
    <xf numFmtId="0" fontId="13" fillId="2" borderId="6" xfId="0" applyFont="1" applyFill="1" applyBorder="1" applyAlignment="1">
      <alignment horizontal="center"/>
    </xf>
  </cellXfs>
  <cellStyles count="34">
    <cellStyle name="AeE­ [0]_INQUIRY ¿μ¾÷AßAø " xfId="3" xr:uid="{00000000-0005-0000-0000-000000000000}"/>
    <cellStyle name="AeE­_INQUIRY ¿μ¾÷AßAø " xfId="4" xr:uid="{00000000-0005-0000-0000-000001000000}"/>
    <cellStyle name="AÞ¸¶ [0]_INQUIRY ¿?¾÷AßAø " xfId="5" xr:uid="{00000000-0005-0000-0000-000002000000}"/>
    <cellStyle name="AÞ¸¶_INQUIRY ¿?¾÷AßAø " xfId="6" xr:uid="{00000000-0005-0000-0000-000003000000}"/>
    <cellStyle name="C?AØ_¿?¾÷CoE² " xfId="7" xr:uid="{00000000-0005-0000-0000-000004000000}"/>
    <cellStyle name="C￥AØ_¿μ¾÷CoE² " xfId="8" xr:uid="{00000000-0005-0000-0000-000005000000}"/>
    <cellStyle name="Comma" xfId="1" builtinId="3"/>
    <cellStyle name="Comma 2" xfId="9" xr:uid="{00000000-0005-0000-0000-000007000000}"/>
    <cellStyle name="Comma 2 2" xfId="32" xr:uid="{75FBD0EC-EE03-4045-9997-40BFEA101600}"/>
    <cellStyle name="Comma0" xfId="10" xr:uid="{00000000-0005-0000-0000-000008000000}"/>
    <cellStyle name="Currency0" xfId="11" xr:uid="{00000000-0005-0000-0000-000009000000}"/>
    <cellStyle name="Date" xfId="12" xr:uid="{00000000-0005-0000-0000-00000A000000}"/>
    <cellStyle name="Fixed" xfId="13" xr:uid="{00000000-0005-0000-0000-00000B000000}"/>
    <cellStyle name="Normal" xfId="0" builtinId="0"/>
    <cellStyle name="Normal - Style1" xfId="14" xr:uid="{00000000-0005-0000-0000-00000D000000}"/>
    <cellStyle name="Normal 2" xfId="27" xr:uid="{00000000-0005-0000-0000-00000E000000}"/>
    <cellStyle name="Normal 2 3" xfId="29" xr:uid="{467D5467-F546-4229-BFE5-46C8605F465D}"/>
    <cellStyle name="Normal 3 2" xfId="33" xr:uid="{CA8864D6-FEF5-4693-8834-504665F8DEBE}"/>
    <cellStyle name="Normal 5 2" xfId="30" xr:uid="{C25D032F-A516-460B-A5DC-05BD1EE6B7E6}"/>
    <cellStyle name="Normal 8 3" xfId="31" xr:uid="{B601C148-66B7-49AC-91C6-E8CCA4D463E0}"/>
    <cellStyle name="Normal_Tai san Du an LGap" xfId="28" xr:uid="{00000000-0005-0000-0000-00000F000000}"/>
    <cellStyle name="Percent" xfId="2" builtinId="5"/>
    <cellStyle name="Percent 2" xfId="15" xr:uid="{00000000-0005-0000-0000-000011000000}"/>
    <cellStyle name="똿뗦먛귟 [0.00]_PRODUCT DETAIL Q1" xfId="16" xr:uid="{00000000-0005-0000-0000-000012000000}"/>
    <cellStyle name="똿뗦먛귟_PRODUCT DETAIL Q1" xfId="17" xr:uid="{00000000-0005-0000-0000-000013000000}"/>
    <cellStyle name="믅됞 [0.00]_PRODUCT DETAIL Q1" xfId="18" xr:uid="{00000000-0005-0000-0000-000014000000}"/>
    <cellStyle name="믅됞_PRODUCT DETAIL Q1" xfId="19" xr:uid="{00000000-0005-0000-0000-000015000000}"/>
    <cellStyle name="백분율_HOBONG" xfId="20" xr:uid="{00000000-0005-0000-0000-000016000000}"/>
    <cellStyle name="뷭?_BOOKSHIP" xfId="21" xr:uid="{00000000-0005-0000-0000-000017000000}"/>
    <cellStyle name="콤마 [0]_1202" xfId="22" xr:uid="{00000000-0005-0000-0000-000018000000}"/>
    <cellStyle name="콤마_1202" xfId="23" xr:uid="{00000000-0005-0000-0000-000019000000}"/>
    <cellStyle name="통화 [0]_1202" xfId="24" xr:uid="{00000000-0005-0000-0000-00001A000000}"/>
    <cellStyle name="통화_1202" xfId="25" xr:uid="{00000000-0005-0000-0000-00001B000000}"/>
    <cellStyle name="표준_(정보부문)월별인원계획" xfId="26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P113"/>
  <sheetViews>
    <sheetView topLeftCell="A33" zoomScale="80" zoomScaleNormal="80" zoomScaleSheetLayoutView="102" workbookViewId="0">
      <selection activeCell="A59" sqref="A59:XFD59"/>
    </sheetView>
  </sheetViews>
  <sheetFormatPr defaultColWidth="9.140625" defaultRowHeight="15.75"/>
  <cols>
    <col min="1" max="1" width="5.140625" style="123" customWidth="1"/>
    <col min="2" max="2" width="33.42578125" style="3" customWidth="1"/>
    <col min="3" max="3" width="14.42578125" style="3" customWidth="1"/>
    <col min="4" max="4" width="8.7109375" style="3" customWidth="1"/>
    <col min="5" max="5" width="8.5703125" style="123" customWidth="1"/>
    <col min="6" max="6" width="11.5703125" style="5" hidden="1" customWidth="1"/>
    <col min="7" max="7" width="12.140625" style="3" hidden="1" customWidth="1"/>
    <col min="8" max="8" width="11.28515625" style="3" hidden="1" customWidth="1"/>
    <col min="9" max="9" width="12.42578125" style="3" hidden="1" customWidth="1"/>
    <col min="10" max="10" width="10.140625" style="3" hidden="1" customWidth="1"/>
    <col min="11" max="11" width="12.5703125" style="123" hidden="1" customWidth="1"/>
    <col min="12" max="12" width="10.85546875" style="3" hidden="1" customWidth="1"/>
    <col min="13" max="14" width="9.28515625" style="3" hidden="1" customWidth="1"/>
    <col min="15" max="15" width="10" style="3" hidden="1" customWidth="1"/>
    <col min="16" max="16" width="9.5703125" style="3" hidden="1" customWidth="1"/>
    <col min="17" max="17" width="9.42578125" style="3" hidden="1" customWidth="1"/>
    <col min="18" max="18" width="9" style="3" hidden="1" customWidth="1"/>
    <col min="19" max="19" width="11.28515625" style="3" hidden="1" customWidth="1"/>
    <col min="20" max="20" width="11.5703125" style="3" hidden="1" customWidth="1"/>
    <col min="21" max="22" width="10.5703125" style="3" hidden="1" customWidth="1"/>
    <col min="23" max="23" width="0.140625" style="3" hidden="1" customWidth="1"/>
    <col min="24" max="24" width="8" style="123" customWidth="1"/>
    <col min="25" max="25" width="12" style="3" hidden="1" customWidth="1"/>
    <col min="26" max="26" width="5.5703125" style="3" hidden="1" customWidth="1"/>
    <col min="27" max="27" width="8" style="104" customWidth="1"/>
    <col min="28" max="28" width="6.140625" style="3" hidden="1" customWidth="1"/>
    <col min="29" max="29" width="5.5703125" style="3" hidden="1" customWidth="1"/>
    <col min="30" max="30" width="7.140625" style="3" hidden="1" customWidth="1"/>
    <col min="31" max="31" width="5.42578125" style="3" hidden="1" customWidth="1"/>
    <col min="32" max="32" width="11.5703125" style="5" customWidth="1"/>
    <col min="33" max="33" width="13.7109375" style="5" customWidth="1"/>
    <col min="34" max="34" width="12.42578125" style="3" customWidth="1"/>
    <col min="35" max="35" width="13.7109375" style="123" customWidth="1"/>
    <col min="36" max="36" width="10.42578125" style="123" customWidth="1"/>
    <col min="37" max="37" width="10" style="123" customWidth="1"/>
    <col min="38" max="38" width="12" style="45" customWidth="1"/>
    <col min="39" max="39" width="12.85546875" style="17" customWidth="1"/>
    <col min="40" max="40" width="10.85546875" style="3" bestFit="1" customWidth="1"/>
    <col min="41" max="16384" width="9.140625" style="3"/>
  </cols>
  <sheetData>
    <row r="1" spans="1:39" ht="15.75" customHeight="1">
      <c r="A1" s="1" t="s">
        <v>45</v>
      </c>
      <c r="B1" s="2"/>
      <c r="C1" s="2"/>
      <c r="H1" s="6"/>
      <c r="I1" s="6"/>
      <c r="J1" s="127" t="s">
        <v>0</v>
      </c>
      <c r="K1" s="6"/>
      <c r="L1" s="6"/>
      <c r="M1" s="6"/>
      <c r="N1" s="6"/>
      <c r="P1" s="127"/>
      <c r="Q1" s="127"/>
      <c r="R1" s="127"/>
      <c r="S1" s="127"/>
      <c r="T1" s="127"/>
      <c r="U1" s="127"/>
      <c r="V1" s="127"/>
      <c r="W1" s="127"/>
      <c r="Z1" s="168" t="s">
        <v>0</v>
      </c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3"/>
    </row>
    <row r="2" spans="1:39" ht="15" customHeight="1">
      <c r="A2" s="8" t="s">
        <v>46</v>
      </c>
      <c r="K2" s="3"/>
      <c r="O2" s="9"/>
      <c r="P2" s="9"/>
      <c r="Q2" s="9"/>
      <c r="R2" s="9"/>
      <c r="S2" s="9"/>
      <c r="T2" s="9"/>
      <c r="U2" s="9"/>
      <c r="V2" s="9"/>
      <c r="W2" s="9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3"/>
    </row>
    <row r="3" spans="1:39" ht="22.5" hidden="1" customHeight="1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3"/>
    </row>
    <row r="4" spans="1:39" ht="15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3"/>
    </row>
    <row r="5" spans="1:39" ht="43.5" customHeight="1">
      <c r="A5" s="186" t="s">
        <v>207</v>
      </c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3"/>
    </row>
    <row r="6" spans="1:39" ht="20.2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57"/>
      <c r="AB6" s="129"/>
      <c r="AC6" s="129"/>
      <c r="AD6" s="129"/>
      <c r="AE6" s="129"/>
      <c r="AF6" s="58"/>
      <c r="AG6" s="58"/>
      <c r="AH6" s="129"/>
      <c r="AI6" s="129"/>
      <c r="AJ6" s="129"/>
      <c r="AK6" s="129"/>
      <c r="AL6" s="128"/>
      <c r="AM6" s="3"/>
    </row>
    <row r="7" spans="1:39" ht="18" customHeight="1">
      <c r="A7" s="2" t="s">
        <v>180</v>
      </c>
      <c r="B7" s="123"/>
      <c r="C7" s="123"/>
      <c r="D7" s="123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59"/>
      <c r="AB7" s="127"/>
      <c r="AC7" s="127"/>
      <c r="AD7" s="127"/>
      <c r="AE7" s="127"/>
      <c r="AF7" s="47"/>
      <c r="AG7" s="47"/>
      <c r="AH7" s="127"/>
      <c r="AI7" s="3"/>
      <c r="AJ7" s="3"/>
      <c r="AK7" s="3"/>
      <c r="AL7" s="60"/>
      <c r="AM7" s="3"/>
    </row>
    <row r="8" spans="1:39" ht="15" customHeight="1">
      <c r="A8" s="13" t="s">
        <v>135</v>
      </c>
      <c r="B8" s="123"/>
      <c r="D8" s="3" t="s">
        <v>136</v>
      </c>
      <c r="E8" s="127"/>
      <c r="F8" s="3"/>
      <c r="H8" s="13"/>
      <c r="I8" s="127"/>
      <c r="K8" s="13" t="s">
        <v>2</v>
      </c>
      <c r="L8" s="127"/>
      <c r="M8" s="14"/>
      <c r="S8" s="13"/>
      <c r="T8" s="15"/>
      <c r="W8" s="11"/>
      <c r="X8" s="127"/>
      <c r="Z8" s="127"/>
      <c r="AA8" s="61"/>
      <c r="AB8" s="13"/>
      <c r="AI8" s="13" t="s">
        <v>70</v>
      </c>
      <c r="AJ8" s="3"/>
      <c r="AK8" s="3"/>
      <c r="AL8" s="60"/>
      <c r="AM8" s="3"/>
    </row>
    <row r="9" spans="1:39" ht="15" customHeight="1">
      <c r="A9" s="13" t="s">
        <v>181</v>
      </c>
      <c r="B9" s="123"/>
      <c r="D9" s="3" t="s">
        <v>69</v>
      </c>
      <c r="F9" s="3"/>
      <c r="H9" s="13"/>
      <c r="I9" s="127"/>
      <c r="K9" s="13"/>
      <c r="L9" s="127"/>
      <c r="M9" s="14"/>
      <c r="S9" s="13"/>
      <c r="T9" s="15"/>
      <c r="W9" s="11"/>
      <c r="X9" s="127"/>
      <c r="Z9" s="127"/>
      <c r="AA9" s="61"/>
      <c r="AB9" s="13"/>
      <c r="AI9" s="3" t="s">
        <v>77</v>
      </c>
      <c r="AJ9" s="3"/>
      <c r="AK9" s="3"/>
      <c r="AL9" s="60"/>
      <c r="AM9" s="3"/>
    </row>
    <row r="10" spans="1:39" ht="15" customHeight="1">
      <c r="A10" s="13" t="s">
        <v>78</v>
      </c>
      <c r="B10" s="123"/>
      <c r="D10" s="3" t="s">
        <v>79</v>
      </c>
      <c r="E10" s="127"/>
      <c r="F10" s="3"/>
      <c r="H10" s="13"/>
      <c r="I10" s="127"/>
      <c r="K10" s="13" t="s">
        <v>3</v>
      </c>
      <c r="L10" s="127"/>
      <c r="M10" s="14"/>
      <c r="S10" s="13"/>
      <c r="T10" s="15"/>
      <c r="W10" s="11"/>
      <c r="X10" s="127"/>
      <c r="Z10" s="127"/>
      <c r="AA10" s="61"/>
      <c r="AB10" s="13"/>
      <c r="AI10" s="3" t="s">
        <v>80</v>
      </c>
      <c r="AJ10" s="3"/>
      <c r="AK10" s="3"/>
      <c r="AL10" s="60"/>
      <c r="AM10" s="3"/>
    </row>
    <row r="11" spans="1:39" ht="15" customHeight="1">
      <c r="A11" s="13" t="s">
        <v>84</v>
      </c>
      <c r="B11" s="123"/>
      <c r="D11" s="3" t="s">
        <v>83</v>
      </c>
      <c r="E11" s="3"/>
      <c r="F11" s="3"/>
      <c r="K11" s="3"/>
      <c r="X11" s="3"/>
      <c r="AA11" s="62"/>
      <c r="AI11" s="3" t="s">
        <v>81</v>
      </c>
      <c r="AJ11" s="3"/>
      <c r="AK11" s="3"/>
      <c r="AM11" s="3"/>
    </row>
    <row r="12" spans="1:39" ht="15" customHeight="1">
      <c r="A12" s="13" t="s">
        <v>82</v>
      </c>
      <c r="E12" s="3"/>
      <c r="F12" s="3"/>
      <c r="K12" s="3"/>
      <c r="X12" s="3"/>
      <c r="AA12" s="62"/>
      <c r="AI12" s="3"/>
      <c r="AJ12" s="3"/>
      <c r="AK12" s="3"/>
      <c r="AM12" s="3"/>
    </row>
    <row r="13" spans="1:39" ht="15.75" customHeight="1">
      <c r="A13" s="13" t="s">
        <v>4</v>
      </c>
      <c r="AA13" s="63"/>
      <c r="AI13" s="3"/>
      <c r="AJ13" s="3"/>
      <c r="AK13" s="3"/>
      <c r="AL13" s="60"/>
      <c r="AM13" s="3"/>
    </row>
    <row r="14" spans="1:39" ht="12.75" customHeight="1">
      <c r="AA14" s="63"/>
    </row>
    <row r="15" spans="1:39" ht="33" customHeight="1">
      <c r="A15" s="169" t="s">
        <v>5</v>
      </c>
      <c r="B15" s="178" t="s">
        <v>6</v>
      </c>
      <c r="C15" s="171" t="s">
        <v>7</v>
      </c>
      <c r="D15" s="171" t="s">
        <v>8</v>
      </c>
      <c r="E15" s="169" t="s">
        <v>47</v>
      </c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25"/>
      <c r="R15" s="125"/>
      <c r="S15" s="125"/>
      <c r="T15" s="125"/>
      <c r="U15" s="125"/>
      <c r="V15" s="125"/>
      <c r="W15" s="122"/>
      <c r="X15" s="166" t="s">
        <v>48</v>
      </c>
      <c r="Y15" s="167"/>
      <c r="Z15" s="167"/>
      <c r="AA15" s="166" t="s">
        <v>49</v>
      </c>
      <c r="AB15" s="167"/>
      <c r="AC15" s="167"/>
      <c r="AD15" s="169" t="s">
        <v>9</v>
      </c>
      <c r="AE15" s="169" t="s">
        <v>10</v>
      </c>
      <c r="AF15" s="174" t="s">
        <v>190</v>
      </c>
      <c r="AG15" s="174" t="s">
        <v>189</v>
      </c>
      <c r="AH15" s="169" t="s">
        <v>11</v>
      </c>
      <c r="AI15" s="169" t="s">
        <v>12</v>
      </c>
      <c r="AJ15" s="169" t="s">
        <v>13</v>
      </c>
      <c r="AK15" s="171" t="s">
        <v>51</v>
      </c>
      <c r="AL15" s="169" t="s">
        <v>14</v>
      </c>
    </row>
    <row r="16" spans="1:39" ht="14.25" customHeight="1">
      <c r="A16" s="178"/>
      <c r="B16" s="178"/>
      <c r="C16" s="179"/>
      <c r="D16" s="172"/>
      <c r="E16" s="171" t="s">
        <v>50</v>
      </c>
      <c r="F16" s="174" t="s">
        <v>15</v>
      </c>
      <c r="G16" s="167" t="s">
        <v>16</v>
      </c>
      <c r="H16" s="167"/>
      <c r="I16" s="167"/>
      <c r="J16" s="122" t="s">
        <v>17</v>
      </c>
      <c r="K16" s="125" t="s">
        <v>18</v>
      </c>
      <c r="L16" s="122"/>
      <c r="M16" s="122" t="s">
        <v>17</v>
      </c>
      <c r="N16" s="122" t="s">
        <v>17</v>
      </c>
      <c r="O16" s="122" t="s">
        <v>17</v>
      </c>
      <c r="P16" s="122" t="s">
        <v>19</v>
      </c>
      <c r="Q16" s="122" t="s">
        <v>19</v>
      </c>
      <c r="R16" s="122" t="s">
        <v>19</v>
      </c>
      <c r="S16" s="122" t="s">
        <v>19</v>
      </c>
      <c r="T16" s="122" t="s">
        <v>19</v>
      </c>
      <c r="U16" s="122" t="s">
        <v>19</v>
      </c>
      <c r="V16" s="122" t="s">
        <v>20</v>
      </c>
      <c r="W16" s="122"/>
      <c r="X16" s="171" t="s">
        <v>50</v>
      </c>
      <c r="Y16" s="174" t="s">
        <v>21</v>
      </c>
      <c r="Z16" s="174" t="s">
        <v>22</v>
      </c>
      <c r="AA16" s="163" t="s">
        <v>50</v>
      </c>
      <c r="AB16" s="174" t="s">
        <v>21</v>
      </c>
      <c r="AC16" s="174" t="s">
        <v>23</v>
      </c>
      <c r="AD16" s="169"/>
      <c r="AE16" s="169"/>
      <c r="AF16" s="181"/>
      <c r="AG16" s="181"/>
      <c r="AH16" s="183"/>
      <c r="AI16" s="184"/>
      <c r="AJ16" s="178"/>
      <c r="AK16" s="179"/>
      <c r="AL16" s="170"/>
    </row>
    <row r="17" spans="1:39" ht="14.25" customHeight="1">
      <c r="A17" s="178"/>
      <c r="B17" s="178"/>
      <c r="C17" s="179"/>
      <c r="D17" s="172"/>
      <c r="E17" s="172"/>
      <c r="F17" s="175"/>
      <c r="G17" s="174" t="s">
        <v>24</v>
      </c>
      <c r="H17" s="167" t="s">
        <v>25</v>
      </c>
      <c r="I17" s="167"/>
      <c r="J17" s="122" t="s">
        <v>26</v>
      </c>
      <c r="K17" s="125" t="s">
        <v>27</v>
      </c>
      <c r="L17" s="122" t="s">
        <v>28</v>
      </c>
      <c r="M17" s="122" t="s">
        <v>26</v>
      </c>
      <c r="N17" s="122" t="s">
        <v>26</v>
      </c>
      <c r="O17" s="122" t="s">
        <v>26</v>
      </c>
      <c r="P17" s="122" t="s">
        <v>29</v>
      </c>
      <c r="Q17" s="122" t="s">
        <v>29</v>
      </c>
      <c r="R17" s="122" t="s">
        <v>29</v>
      </c>
      <c r="S17" s="122" t="s">
        <v>29</v>
      </c>
      <c r="T17" s="122" t="s">
        <v>29</v>
      </c>
      <c r="U17" s="122" t="s">
        <v>29</v>
      </c>
      <c r="V17" s="122" t="s">
        <v>26</v>
      </c>
      <c r="W17" s="122" t="s">
        <v>30</v>
      </c>
      <c r="X17" s="172"/>
      <c r="Y17" s="175"/>
      <c r="Z17" s="175"/>
      <c r="AA17" s="164"/>
      <c r="AB17" s="175"/>
      <c r="AC17" s="175"/>
      <c r="AD17" s="169"/>
      <c r="AE17" s="169"/>
      <c r="AF17" s="181"/>
      <c r="AG17" s="181"/>
      <c r="AH17" s="183"/>
      <c r="AI17" s="184"/>
      <c r="AJ17" s="178"/>
      <c r="AK17" s="179"/>
      <c r="AL17" s="170"/>
    </row>
    <row r="18" spans="1:39" ht="14.25" customHeight="1">
      <c r="A18" s="178"/>
      <c r="B18" s="178"/>
      <c r="C18" s="180"/>
      <c r="D18" s="173"/>
      <c r="E18" s="173"/>
      <c r="F18" s="176"/>
      <c r="G18" s="182"/>
      <c r="H18" s="20" t="s">
        <v>31</v>
      </c>
      <c r="I18" s="126" t="s">
        <v>32</v>
      </c>
      <c r="J18" s="122" t="s">
        <v>33</v>
      </c>
      <c r="K18" s="125" t="s">
        <v>34</v>
      </c>
      <c r="L18" s="122" t="s">
        <v>35</v>
      </c>
      <c r="M18" s="122" t="s">
        <v>33</v>
      </c>
      <c r="N18" s="122" t="s">
        <v>36</v>
      </c>
      <c r="O18" s="122" t="s">
        <v>36</v>
      </c>
      <c r="P18" s="122" t="s">
        <v>36</v>
      </c>
      <c r="Q18" s="122" t="s">
        <v>36</v>
      </c>
      <c r="R18" s="122" t="s">
        <v>36</v>
      </c>
      <c r="S18" s="122" t="s">
        <v>36</v>
      </c>
      <c r="T18" s="122" t="s">
        <v>36</v>
      </c>
      <c r="U18" s="122" t="s">
        <v>36</v>
      </c>
      <c r="V18" s="122" t="s">
        <v>36</v>
      </c>
      <c r="W18" s="122" t="s">
        <v>37</v>
      </c>
      <c r="X18" s="173"/>
      <c r="Y18" s="176"/>
      <c r="Z18" s="176"/>
      <c r="AA18" s="165"/>
      <c r="AB18" s="176"/>
      <c r="AC18" s="176"/>
      <c r="AD18" s="169"/>
      <c r="AE18" s="169"/>
      <c r="AF18" s="182"/>
      <c r="AG18" s="182"/>
      <c r="AH18" s="183"/>
      <c r="AI18" s="184"/>
      <c r="AJ18" s="178"/>
      <c r="AK18" s="180"/>
      <c r="AL18" s="170"/>
    </row>
    <row r="19" spans="1:39" ht="15.75" customHeight="1">
      <c r="A19" s="22" t="s">
        <v>38</v>
      </c>
      <c r="B19" s="22" t="s">
        <v>39</v>
      </c>
      <c r="C19" s="22" t="s">
        <v>40</v>
      </c>
      <c r="D19" s="22" t="s">
        <v>41</v>
      </c>
      <c r="E19" s="22">
        <v>1</v>
      </c>
      <c r="F19" s="23">
        <v>2</v>
      </c>
      <c r="G19" s="24">
        <v>3</v>
      </c>
      <c r="H19" s="24">
        <v>4</v>
      </c>
      <c r="I19" s="23">
        <v>5</v>
      </c>
      <c r="J19" s="24">
        <v>7</v>
      </c>
      <c r="K19" s="23">
        <v>8</v>
      </c>
      <c r="L19" s="24">
        <v>9</v>
      </c>
      <c r="M19" s="23">
        <v>10</v>
      </c>
      <c r="N19" s="23"/>
      <c r="O19" s="24">
        <v>6</v>
      </c>
      <c r="P19" s="24"/>
      <c r="Q19" s="24"/>
      <c r="R19" s="24"/>
      <c r="S19" s="24"/>
      <c r="T19" s="24"/>
      <c r="U19" s="24"/>
      <c r="V19" s="24"/>
      <c r="W19" s="24">
        <v>5</v>
      </c>
      <c r="X19" s="22">
        <v>2</v>
      </c>
      <c r="Y19" s="23">
        <v>7</v>
      </c>
      <c r="Z19" s="23">
        <v>8</v>
      </c>
      <c r="AA19" s="64">
        <v>3</v>
      </c>
      <c r="AB19" s="22">
        <v>10</v>
      </c>
      <c r="AC19" s="24">
        <v>11</v>
      </c>
      <c r="AD19" s="22"/>
      <c r="AE19" s="22"/>
      <c r="AF19" s="65"/>
      <c r="AG19" s="65"/>
      <c r="AH19" s="22">
        <v>4</v>
      </c>
      <c r="AI19" s="22">
        <v>5</v>
      </c>
      <c r="AJ19" s="22">
        <v>6</v>
      </c>
      <c r="AK19" s="22">
        <v>7</v>
      </c>
      <c r="AL19" s="66">
        <v>8</v>
      </c>
    </row>
    <row r="20" spans="1:39" ht="15.75" customHeight="1">
      <c r="A20" s="22"/>
      <c r="B20" s="67" t="s">
        <v>191</v>
      </c>
      <c r="C20" s="22"/>
      <c r="D20" s="22"/>
      <c r="E20" s="22"/>
      <c r="F20" s="23"/>
      <c r="G20" s="24"/>
      <c r="H20" s="24"/>
      <c r="I20" s="23"/>
      <c r="J20" s="24"/>
      <c r="K20" s="23"/>
      <c r="L20" s="24"/>
      <c r="M20" s="23"/>
      <c r="N20" s="23"/>
      <c r="O20" s="24"/>
      <c r="P20" s="24"/>
      <c r="Q20" s="24"/>
      <c r="R20" s="24"/>
      <c r="S20" s="24"/>
      <c r="T20" s="24"/>
      <c r="U20" s="24"/>
      <c r="V20" s="24"/>
      <c r="W20" s="24"/>
      <c r="X20" s="22"/>
      <c r="Y20" s="23"/>
      <c r="Z20" s="23"/>
      <c r="AA20" s="64"/>
      <c r="AB20" s="22"/>
      <c r="AC20" s="24"/>
      <c r="AD20" s="22"/>
      <c r="AE20" s="22"/>
      <c r="AF20" s="65"/>
      <c r="AG20" s="65"/>
      <c r="AH20" s="22"/>
      <c r="AI20" s="22"/>
      <c r="AJ20" s="22"/>
      <c r="AK20" s="22"/>
      <c r="AL20" s="66"/>
      <c r="AM20" s="68"/>
    </row>
    <row r="21" spans="1:39" ht="36.75" customHeight="1">
      <c r="A21" s="28">
        <v>1</v>
      </c>
      <c r="B21" s="130" t="s">
        <v>195</v>
      </c>
      <c r="C21" s="69" t="s">
        <v>196</v>
      </c>
      <c r="D21" s="69">
        <v>2014</v>
      </c>
      <c r="E21" s="28">
        <v>1</v>
      </c>
      <c r="F21" s="29"/>
      <c r="G21" s="30"/>
      <c r="H21" s="30"/>
      <c r="I21" s="29"/>
      <c r="J21" s="30"/>
      <c r="K21" s="29"/>
      <c r="L21" s="30"/>
      <c r="M21" s="29"/>
      <c r="N21" s="29"/>
      <c r="O21" s="30"/>
      <c r="P21" s="30"/>
      <c r="Q21" s="30"/>
      <c r="R21" s="30"/>
      <c r="S21" s="30"/>
      <c r="T21" s="30"/>
      <c r="U21" s="30"/>
      <c r="V21" s="30"/>
      <c r="W21" s="30"/>
      <c r="X21" s="28">
        <v>1</v>
      </c>
      <c r="Y21" s="29"/>
      <c r="Z21" s="29"/>
      <c r="AA21" s="70" t="s">
        <v>168</v>
      </c>
      <c r="AB21" s="39"/>
      <c r="AC21" s="71"/>
      <c r="AD21" s="39"/>
      <c r="AE21" s="39"/>
      <c r="AF21" s="72">
        <v>19966000</v>
      </c>
      <c r="AG21" s="72">
        <v>19966000</v>
      </c>
      <c r="AH21" s="31"/>
      <c r="AI21" s="28"/>
      <c r="AJ21" s="28"/>
      <c r="AK21" s="28" t="s">
        <v>150</v>
      </c>
      <c r="AL21" s="73" t="s">
        <v>198</v>
      </c>
      <c r="AM21" s="3"/>
    </row>
    <row r="22" spans="1:39" ht="36.75" customHeight="1">
      <c r="A22" s="28"/>
      <c r="B22" s="74" t="s">
        <v>206</v>
      </c>
      <c r="C22" s="69"/>
      <c r="D22" s="69"/>
      <c r="E22" s="28"/>
      <c r="F22" s="29"/>
      <c r="G22" s="30"/>
      <c r="H22" s="30"/>
      <c r="I22" s="29"/>
      <c r="J22" s="30"/>
      <c r="K22" s="29"/>
      <c r="L22" s="30"/>
      <c r="M22" s="29"/>
      <c r="N22" s="29"/>
      <c r="O22" s="30"/>
      <c r="P22" s="30"/>
      <c r="Q22" s="30"/>
      <c r="R22" s="30"/>
      <c r="S22" s="30"/>
      <c r="T22" s="30"/>
      <c r="U22" s="30"/>
      <c r="V22" s="30"/>
      <c r="W22" s="30"/>
      <c r="X22" s="28"/>
      <c r="Y22" s="29"/>
      <c r="Z22" s="29"/>
      <c r="AA22" s="70"/>
      <c r="AB22" s="39"/>
      <c r="AC22" s="71"/>
      <c r="AD22" s="39"/>
      <c r="AE22" s="39"/>
      <c r="AF22" s="72"/>
      <c r="AG22" s="72"/>
      <c r="AH22" s="31"/>
      <c r="AI22" s="28"/>
      <c r="AJ22" s="28"/>
      <c r="AK22" s="28"/>
      <c r="AL22" s="73"/>
      <c r="AM22" s="3"/>
    </row>
    <row r="23" spans="1:39" s="27" customFormat="1" ht="21" customHeight="1">
      <c r="A23" s="125" t="s">
        <v>100</v>
      </c>
      <c r="B23" s="75" t="s">
        <v>93</v>
      </c>
      <c r="C23" s="125"/>
      <c r="D23" s="125"/>
      <c r="E23" s="125"/>
      <c r="F23" s="122"/>
      <c r="G23" s="25"/>
      <c r="H23" s="25"/>
      <c r="I23" s="122"/>
      <c r="J23" s="25"/>
      <c r="K23" s="122"/>
      <c r="L23" s="25"/>
      <c r="M23" s="122"/>
      <c r="N23" s="122"/>
      <c r="O23" s="25"/>
      <c r="P23" s="25"/>
      <c r="Q23" s="25"/>
      <c r="R23" s="25"/>
      <c r="S23" s="25"/>
      <c r="T23" s="25"/>
      <c r="U23" s="25"/>
      <c r="V23" s="25"/>
      <c r="W23" s="25"/>
      <c r="X23" s="125"/>
      <c r="Y23" s="122"/>
      <c r="Z23" s="122"/>
      <c r="AA23" s="76"/>
      <c r="AB23" s="125"/>
      <c r="AC23" s="25"/>
      <c r="AD23" s="125"/>
      <c r="AE23" s="125"/>
      <c r="AF23" s="77"/>
      <c r="AG23" s="77"/>
      <c r="AH23" s="125"/>
      <c r="AI23" s="125"/>
      <c r="AJ23" s="125"/>
      <c r="AK23" s="125"/>
      <c r="AL23" s="124"/>
      <c r="AM23" s="26"/>
    </row>
    <row r="24" spans="1:39" ht="76.5" customHeight="1">
      <c r="A24" s="28">
        <v>1</v>
      </c>
      <c r="B24" s="78" t="s">
        <v>102</v>
      </c>
      <c r="C24" s="34" t="s">
        <v>182</v>
      </c>
      <c r="D24" s="28">
        <v>2022</v>
      </c>
      <c r="E24" s="28">
        <v>7</v>
      </c>
      <c r="F24" s="29"/>
      <c r="G24" s="30"/>
      <c r="H24" s="30"/>
      <c r="I24" s="29"/>
      <c r="J24" s="30"/>
      <c r="K24" s="29"/>
      <c r="L24" s="30"/>
      <c r="M24" s="29"/>
      <c r="N24" s="29"/>
      <c r="O24" s="30"/>
      <c r="P24" s="30"/>
      <c r="Q24" s="30"/>
      <c r="R24" s="30"/>
      <c r="S24" s="30"/>
      <c r="T24" s="30"/>
      <c r="U24" s="30"/>
      <c r="V24" s="30"/>
      <c r="W24" s="30"/>
      <c r="X24" s="28">
        <v>8</v>
      </c>
      <c r="Y24" s="122"/>
      <c r="Z24" s="122"/>
      <c r="AA24" s="79" t="s">
        <v>146</v>
      </c>
      <c r="AB24" s="22"/>
      <c r="AC24" s="24"/>
      <c r="AD24" s="22"/>
      <c r="AE24" s="22"/>
      <c r="AF24" s="80">
        <v>2500000</v>
      </c>
      <c r="AG24" s="35">
        <f>+X24*AF24</f>
        <v>20000000</v>
      </c>
      <c r="AH24" s="31" t="s">
        <v>54</v>
      </c>
      <c r="AI24" s="28" t="s">
        <v>103</v>
      </c>
      <c r="AJ24" s="28" t="s">
        <v>43</v>
      </c>
      <c r="AK24" s="22"/>
      <c r="AL24" s="32" t="s">
        <v>145</v>
      </c>
    </row>
    <row r="25" spans="1:39" ht="76.5" customHeight="1">
      <c r="A25" s="28">
        <v>2</v>
      </c>
      <c r="B25" s="78" t="s">
        <v>104</v>
      </c>
      <c r="C25" s="28" t="s">
        <v>99</v>
      </c>
      <c r="D25" s="28">
        <v>2022</v>
      </c>
      <c r="E25" s="28">
        <v>1</v>
      </c>
      <c r="F25" s="29"/>
      <c r="G25" s="30"/>
      <c r="H25" s="30"/>
      <c r="I25" s="29"/>
      <c r="J25" s="30"/>
      <c r="K25" s="29"/>
      <c r="L25" s="30"/>
      <c r="M25" s="29"/>
      <c r="N25" s="29"/>
      <c r="O25" s="30"/>
      <c r="P25" s="30"/>
      <c r="Q25" s="30"/>
      <c r="R25" s="30"/>
      <c r="S25" s="30"/>
      <c r="T25" s="30"/>
      <c r="U25" s="30"/>
      <c r="V25" s="30"/>
      <c r="W25" s="30"/>
      <c r="X25" s="28">
        <v>0</v>
      </c>
      <c r="Y25" s="122"/>
      <c r="Z25" s="122"/>
      <c r="AA25" s="81">
        <v>-1</v>
      </c>
      <c r="AB25" s="22"/>
      <c r="AC25" s="24"/>
      <c r="AD25" s="22"/>
      <c r="AE25" s="22"/>
      <c r="AF25" s="65"/>
      <c r="AG25" s="65"/>
      <c r="AH25" s="31" t="s">
        <v>54</v>
      </c>
      <c r="AI25" s="28" t="s">
        <v>103</v>
      </c>
      <c r="AJ25" s="28" t="s">
        <v>43</v>
      </c>
      <c r="AK25" s="22"/>
      <c r="AL25" s="34" t="s">
        <v>144</v>
      </c>
    </row>
    <row r="26" spans="1:39" ht="79.5" customHeight="1">
      <c r="A26" s="28">
        <v>3</v>
      </c>
      <c r="B26" s="78" t="s">
        <v>105</v>
      </c>
      <c r="C26" s="28" t="s">
        <v>106</v>
      </c>
      <c r="D26" s="28">
        <v>2022</v>
      </c>
      <c r="E26" s="28">
        <v>2</v>
      </c>
      <c r="F26" s="29"/>
      <c r="G26" s="30"/>
      <c r="H26" s="30"/>
      <c r="I26" s="29"/>
      <c r="J26" s="30"/>
      <c r="K26" s="29"/>
      <c r="L26" s="30"/>
      <c r="M26" s="29"/>
      <c r="N26" s="29"/>
      <c r="O26" s="30"/>
      <c r="P26" s="30"/>
      <c r="Q26" s="30"/>
      <c r="R26" s="30"/>
      <c r="S26" s="30"/>
      <c r="T26" s="30"/>
      <c r="U26" s="30"/>
      <c r="V26" s="30"/>
      <c r="W26" s="30"/>
      <c r="X26" s="28">
        <v>2</v>
      </c>
      <c r="Y26" s="122"/>
      <c r="Z26" s="122"/>
      <c r="AA26" s="81">
        <v>0</v>
      </c>
      <c r="AB26" s="22"/>
      <c r="AC26" s="24"/>
      <c r="AD26" s="22"/>
      <c r="AE26" s="22"/>
      <c r="AF26" s="80">
        <v>3280000</v>
      </c>
      <c r="AG26" s="35">
        <f>+X26*AF26</f>
        <v>6560000</v>
      </c>
      <c r="AH26" s="31" t="s">
        <v>54</v>
      </c>
      <c r="AI26" s="28" t="s">
        <v>103</v>
      </c>
      <c r="AJ26" s="28" t="s">
        <v>43</v>
      </c>
      <c r="AK26" s="22"/>
      <c r="AL26" s="124"/>
    </row>
    <row r="27" spans="1:39" ht="171" customHeight="1">
      <c r="A27" s="28">
        <v>4</v>
      </c>
      <c r="B27" s="78" t="s">
        <v>107</v>
      </c>
      <c r="C27" s="34" t="s">
        <v>169</v>
      </c>
      <c r="D27" s="28">
        <v>2022</v>
      </c>
      <c r="E27" s="28">
        <v>6</v>
      </c>
      <c r="F27" s="29"/>
      <c r="G27" s="30"/>
      <c r="H27" s="30"/>
      <c r="I27" s="29"/>
      <c r="J27" s="30"/>
      <c r="K27" s="29"/>
      <c r="L27" s="30"/>
      <c r="M27" s="29"/>
      <c r="N27" s="29"/>
      <c r="O27" s="30"/>
      <c r="P27" s="30"/>
      <c r="Q27" s="30"/>
      <c r="R27" s="30"/>
      <c r="S27" s="30"/>
      <c r="T27" s="30"/>
      <c r="U27" s="30"/>
      <c r="V27" s="30"/>
      <c r="W27" s="30"/>
      <c r="X27" s="28">
        <v>6</v>
      </c>
      <c r="Y27" s="122"/>
      <c r="Z27" s="122"/>
      <c r="AA27" s="79" t="s">
        <v>168</v>
      </c>
      <c r="AB27" s="22"/>
      <c r="AC27" s="24"/>
      <c r="AD27" s="22"/>
      <c r="AE27" s="22"/>
      <c r="AF27" s="80">
        <v>660000</v>
      </c>
      <c r="AG27" s="35">
        <f>+X27*AF27</f>
        <v>3960000</v>
      </c>
      <c r="AH27" s="31" t="s">
        <v>54</v>
      </c>
      <c r="AI27" s="28" t="s">
        <v>54</v>
      </c>
      <c r="AJ27" s="28" t="s">
        <v>43</v>
      </c>
      <c r="AK27" s="22"/>
      <c r="AL27" s="32" t="s">
        <v>171</v>
      </c>
    </row>
    <row r="28" spans="1:39" s="27" customFormat="1" ht="20.25" customHeight="1">
      <c r="A28" s="28">
        <v>5</v>
      </c>
      <c r="B28" s="82" t="s">
        <v>94</v>
      </c>
      <c r="C28" s="28"/>
      <c r="D28" s="28"/>
      <c r="E28" s="28">
        <v>11</v>
      </c>
      <c r="F28" s="29"/>
      <c r="G28" s="30"/>
      <c r="H28" s="30"/>
      <c r="I28" s="29"/>
      <c r="J28" s="30"/>
      <c r="K28" s="29"/>
      <c r="L28" s="30"/>
      <c r="M28" s="29"/>
      <c r="N28" s="29"/>
      <c r="O28" s="30"/>
      <c r="P28" s="30"/>
      <c r="Q28" s="30"/>
      <c r="R28" s="30"/>
      <c r="S28" s="30"/>
      <c r="T28" s="30"/>
      <c r="U28" s="30"/>
      <c r="V28" s="30"/>
      <c r="W28" s="30"/>
      <c r="X28" s="28">
        <v>11</v>
      </c>
      <c r="Y28" s="29"/>
      <c r="Z28" s="29"/>
      <c r="AA28" s="79">
        <v>0</v>
      </c>
      <c r="AB28" s="28"/>
      <c r="AC28" s="30"/>
      <c r="AD28" s="28"/>
      <c r="AE28" s="28"/>
      <c r="AF28" s="35"/>
      <c r="AG28" s="35"/>
      <c r="AH28" s="31" t="s">
        <v>54</v>
      </c>
      <c r="AI28" s="28" t="s">
        <v>54</v>
      </c>
      <c r="AJ28" s="28" t="s">
        <v>43</v>
      </c>
      <c r="AK28" s="28" t="s">
        <v>95</v>
      </c>
      <c r="AL28" s="32"/>
      <c r="AM28" s="26"/>
    </row>
    <row r="29" spans="1:39" ht="20.25" customHeight="1">
      <c r="A29" s="28">
        <v>6</v>
      </c>
      <c r="B29" s="78" t="s">
        <v>57</v>
      </c>
      <c r="C29" s="82"/>
      <c r="D29" s="34">
        <v>2006</v>
      </c>
      <c r="E29" s="34">
        <v>1</v>
      </c>
      <c r="F29" s="35">
        <v>0</v>
      </c>
      <c r="G29" s="35">
        <f>H29+I29</f>
        <v>8000000</v>
      </c>
      <c r="H29" s="35">
        <v>8000000</v>
      </c>
      <c r="I29" s="36"/>
      <c r="J29" s="36"/>
      <c r="K29" s="29"/>
      <c r="L29" s="36"/>
      <c r="M29" s="36"/>
      <c r="N29" s="36"/>
      <c r="O29" s="36"/>
      <c r="P29" s="36"/>
      <c r="Q29" s="36"/>
      <c r="R29" s="36">
        <f>ROUND($G$29*$AD$29,0)</f>
        <v>1600000</v>
      </c>
      <c r="S29" s="36">
        <f>ROUND($G$29*$AD$29,0)</f>
        <v>1600000</v>
      </c>
      <c r="T29" s="36">
        <f>ROUND($G$29*$AD$29,0)</f>
        <v>1600000</v>
      </c>
      <c r="U29" s="36">
        <f>ROUND($G$29*$AD$29,0)</f>
        <v>1600000</v>
      </c>
      <c r="V29" s="36">
        <f>M29+N29+O29+P29+SUM(Q29:T29)+U29</f>
        <v>6400000</v>
      </c>
      <c r="W29" s="36">
        <f>G29-V29</f>
        <v>1600000</v>
      </c>
      <c r="X29" s="34">
        <v>1</v>
      </c>
      <c r="Y29" s="36">
        <f>G29</f>
        <v>8000000</v>
      </c>
      <c r="Z29" s="35">
        <v>0</v>
      </c>
      <c r="AA29" s="83">
        <v>0</v>
      </c>
      <c r="AB29" s="36">
        <f>Y29-G29</f>
        <v>0</v>
      </c>
      <c r="AC29" s="36">
        <f>F29-Z29</f>
        <v>0</v>
      </c>
      <c r="AD29" s="38">
        <v>0.2</v>
      </c>
      <c r="AE29" s="31" t="s">
        <v>44</v>
      </c>
      <c r="AF29" s="35"/>
      <c r="AG29" s="35"/>
      <c r="AH29" s="31" t="s">
        <v>54</v>
      </c>
      <c r="AI29" s="28" t="s">
        <v>54</v>
      </c>
      <c r="AJ29" s="28" t="s">
        <v>43</v>
      </c>
      <c r="AK29" s="39" t="s">
        <v>95</v>
      </c>
      <c r="AL29" s="66"/>
    </row>
    <row r="30" spans="1:39" ht="20.25" customHeight="1">
      <c r="A30" s="28">
        <v>7</v>
      </c>
      <c r="B30" s="78" t="s">
        <v>62</v>
      </c>
      <c r="C30" s="82"/>
      <c r="D30" s="34">
        <v>2006</v>
      </c>
      <c r="E30" s="34">
        <v>1</v>
      </c>
      <c r="F30" s="35">
        <v>0</v>
      </c>
      <c r="G30" s="35">
        <f t="shared" ref="G30:G31" si="0">H30+I30</f>
        <v>8000000</v>
      </c>
      <c r="H30" s="35">
        <v>8000000</v>
      </c>
      <c r="I30" s="36"/>
      <c r="J30" s="36"/>
      <c r="K30" s="29"/>
      <c r="L30" s="36"/>
      <c r="M30" s="36"/>
      <c r="N30" s="36"/>
      <c r="O30" s="36"/>
      <c r="P30" s="36"/>
      <c r="Q30" s="36"/>
      <c r="R30" s="36" t="e">
        <f>ROUND(#REF!*#REF!,0)</f>
        <v>#REF!</v>
      </c>
      <c r="S30" s="36" t="e">
        <f>ROUND(#REF!*#REF!,0)</f>
        <v>#REF!</v>
      </c>
      <c r="T30" s="36" t="e">
        <f>ROUND(#REF!*#REF!,0)</f>
        <v>#REF!</v>
      </c>
      <c r="U30" s="36" t="e">
        <f>ROUND(#REF!*#REF!,0)</f>
        <v>#REF!</v>
      </c>
      <c r="V30" s="36" t="e">
        <f t="shared" ref="V30:V31" si="1">M30+N30+O30+P30+SUM(Q30:T30)+U30</f>
        <v>#REF!</v>
      </c>
      <c r="W30" s="36" t="e">
        <f t="shared" ref="W30" si="2">G30-V30</f>
        <v>#REF!</v>
      </c>
      <c r="X30" s="34">
        <v>1</v>
      </c>
      <c r="Y30" s="36">
        <f t="shared" ref="Y30:Y31" si="3">G30</f>
        <v>8000000</v>
      </c>
      <c r="Z30" s="35">
        <v>0</v>
      </c>
      <c r="AA30" s="83">
        <v>0</v>
      </c>
      <c r="AB30" s="36">
        <f t="shared" ref="AB30:AB31" si="4">Y30-G30</f>
        <v>0</v>
      </c>
      <c r="AC30" s="36">
        <f t="shared" ref="AC30:AC31" si="5">F30-Z30</f>
        <v>0</v>
      </c>
      <c r="AD30" s="38">
        <v>0.2</v>
      </c>
      <c r="AE30" s="31" t="s">
        <v>44</v>
      </c>
      <c r="AF30" s="35"/>
      <c r="AG30" s="35"/>
      <c r="AH30" s="31" t="s">
        <v>54</v>
      </c>
      <c r="AI30" s="28" t="s">
        <v>54</v>
      </c>
      <c r="AJ30" s="28" t="s">
        <v>43</v>
      </c>
      <c r="AK30" s="39" t="s">
        <v>95</v>
      </c>
      <c r="AL30" s="66"/>
    </row>
    <row r="31" spans="1:39" ht="20.25" customHeight="1">
      <c r="A31" s="28">
        <v>8</v>
      </c>
      <c r="B31" s="31" t="s">
        <v>65</v>
      </c>
      <c r="C31" s="82"/>
      <c r="D31" s="28">
        <v>2012</v>
      </c>
      <c r="E31" s="34">
        <v>1</v>
      </c>
      <c r="F31" s="35">
        <v>0</v>
      </c>
      <c r="G31" s="35">
        <f t="shared" si="0"/>
        <v>13720000</v>
      </c>
      <c r="H31" s="35"/>
      <c r="I31" s="36">
        <v>13720000</v>
      </c>
      <c r="J31" s="36"/>
      <c r="K31" s="29"/>
      <c r="L31" s="36"/>
      <c r="M31" s="36"/>
      <c r="N31" s="36"/>
      <c r="O31" s="36"/>
      <c r="P31" s="36"/>
      <c r="Q31" s="36"/>
      <c r="R31" s="36" t="e">
        <f>ROUND(#REF!*#REF!,0)</f>
        <v>#REF!</v>
      </c>
      <c r="S31" s="36" t="e">
        <f>ROUND(#REF!*#REF!,0)</f>
        <v>#REF!</v>
      </c>
      <c r="T31" s="36" t="e">
        <f>ROUND(#REF!*#REF!,0)</f>
        <v>#REF!</v>
      </c>
      <c r="U31" s="36" t="e">
        <f>ROUND(#REF!*#REF!,0)</f>
        <v>#REF!</v>
      </c>
      <c r="V31" s="36" t="e">
        <f t="shared" si="1"/>
        <v>#REF!</v>
      </c>
      <c r="W31" s="36" t="e">
        <f>G31-V31</f>
        <v>#REF!</v>
      </c>
      <c r="X31" s="34">
        <v>1</v>
      </c>
      <c r="Y31" s="36">
        <f t="shared" si="3"/>
        <v>13720000</v>
      </c>
      <c r="Z31" s="35">
        <v>0</v>
      </c>
      <c r="AA31" s="83">
        <v>0</v>
      </c>
      <c r="AB31" s="36">
        <f t="shared" si="4"/>
        <v>0</v>
      </c>
      <c r="AC31" s="36">
        <f t="shared" si="5"/>
        <v>0</v>
      </c>
      <c r="AD31" s="38">
        <v>0.2</v>
      </c>
      <c r="AE31" s="31"/>
      <c r="AF31" s="35"/>
      <c r="AG31" s="35"/>
      <c r="AH31" s="31" t="s">
        <v>54</v>
      </c>
      <c r="AI31" s="28" t="s">
        <v>54</v>
      </c>
      <c r="AJ31" s="28" t="s">
        <v>43</v>
      </c>
      <c r="AK31" s="39" t="s">
        <v>95</v>
      </c>
      <c r="AL31" s="66"/>
    </row>
    <row r="32" spans="1:39" s="143" customFormat="1" ht="35.25" customHeight="1">
      <c r="A32" s="131">
        <v>9</v>
      </c>
      <c r="B32" s="132" t="s">
        <v>147</v>
      </c>
      <c r="C32" s="133" t="s">
        <v>148</v>
      </c>
      <c r="D32" s="131">
        <v>2017</v>
      </c>
      <c r="E32" s="134">
        <v>0</v>
      </c>
      <c r="F32" s="135"/>
      <c r="G32" s="135"/>
      <c r="H32" s="135"/>
      <c r="I32" s="136"/>
      <c r="J32" s="136"/>
      <c r="K32" s="137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4">
        <v>1</v>
      </c>
      <c r="Y32" s="136"/>
      <c r="Z32" s="135"/>
      <c r="AA32" s="138" t="s">
        <v>146</v>
      </c>
      <c r="AB32" s="136"/>
      <c r="AC32" s="136"/>
      <c r="AD32" s="139"/>
      <c r="AE32" s="132"/>
      <c r="AF32" s="135">
        <v>3300000</v>
      </c>
      <c r="AG32" s="135">
        <v>3300000</v>
      </c>
      <c r="AH32" s="132"/>
      <c r="AI32" s="131"/>
      <c r="AJ32" s="131"/>
      <c r="AK32" s="140" t="s">
        <v>150</v>
      </c>
      <c r="AL32" s="141" t="s">
        <v>167</v>
      </c>
      <c r="AM32" s="142"/>
    </row>
    <row r="33" spans="1:39" s="143" customFormat="1" ht="31.5">
      <c r="A33" s="131">
        <v>10</v>
      </c>
      <c r="B33" s="132" t="s">
        <v>147</v>
      </c>
      <c r="C33" s="133" t="s">
        <v>149</v>
      </c>
      <c r="D33" s="131">
        <v>2017</v>
      </c>
      <c r="E33" s="134">
        <v>0</v>
      </c>
      <c r="F33" s="135"/>
      <c r="G33" s="135"/>
      <c r="H33" s="135"/>
      <c r="I33" s="136"/>
      <c r="J33" s="136"/>
      <c r="K33" s="137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4">
        <v>1</v>
      </c>
      <c r="Y33" s="136"/>
      <c r="Z33" s="135"/>
      <c r="AA33" s="138" t="s">
        <v>146</v>
      </c>
      <c r="AB33" s="136"/>
      <c r="AC33" s="136"/>
      <c r="AD33" s="139"/>
      <c r="AE33" s="132"/>
      <c r="AF33" s="135">
        <v>3300000</v>
      </c>
      <c r="AG33" s="135">
        <v>3300000</v>
      </c>
      <c r="AH33" s="132"/>
      <c r="AI33" s="131"/>
      <c r="AJ33" s="131"/>
      <c r="AK33" s="140" t="s">
        <v>150</v>
      </c>
      <c r="AL33" s="141" t="s">
        <v>167</v>
      </c>
      <c r="AM33" s="142"/>
    </row>
    <row r="34" spans="1:39" s="143" customFormat="1" ht="20.25" customHeight="1">
      <c r="A34" s="131">
        <v>11</v>
      </c>
      <c r="B34" s="132" t="s">
        <v>151</v>
      </c>
      <c r="C34" s="133" t="s">
        <v>152</v>
      </c>
      <c r="D34" s="131">
        <v>2017</v>
      </c>
      <c r="E34" s="134">
        <v>0</v>
      </c>
      <c r="F34" s="135"/>
      <c r="G34" s="135"/>
      <c r="H34" s="135"/>
      <c r="I34" s="136"/>
      <c r="J34" s="136"/>
      <c r="K34" s="137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4">
        <v>1</v>
      </c>
      <c r="Y34" s="136"/>
      <c r="Z34" s="135"/>
      <c r="AA34" s="138" t="s">
        <v>146</v>
      </c>
      <c r="AB34" s="136"/>
      <c r="AC34" s="136"/>
      <c r="AD34" s="139"/>
      <c r="AE34" s="132"/>
      <c r="AF34" s="135">
        <v>790000</v>
      </c>
      <c r="AG34" s="135">
        <v>790000</v>
      </c>
      <c r="AH34" s="132"/>
      <c r="AI34" s="131"/>
      <c r="AJ34" s="131"/>
      <c r="AK34" s="140" t="s">
        <v>150</v>
      </c>
      <c r="AL34" s="141" t="s">
        <v>167</v>
      </c>
      <c r="AM34" s="142"/>
    </row>
    <row r="35" spans="1:39" s="143" customFormat="1" ht="20.25" customHeight="1">
      <c r="A35" s="131">
        <v>12</v>
      </c>
      <c r="B35" s="132" t="s">
        <v>153</v>
      </c>
      <c r="C35" s="133" t="s">
        <v>160</v>
      </c>
      <c r="D35" s="131">
        <v>2017</v>
      </c>
      <c r="E35" s="134">
        <v>0</v>
      </c>
      <c r="F35" s="135"/>
      <c r="G35" s="135"/>
      <c r="H35" s="135"/>
      <c r="I35" s="136"/>
      <c r="J35" s="136"/>
      <c r="K35" s="137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4">
        <v>1</v>
      </c>
      <c r="Y35" s="136"/>
      <c r="Z35" s="135"/>
      <c r="AA35" s="138" t="s">
        <v>146</v>
      </c>
      <c r="AB35" s="136"/>
      <c r="AC35" s="136"/>
      <c r="AD35" s="139"/>
      <c r="AE35" s="132"/>
      <c r="AF35" s="135">
        <v>2150000</v>
      </c>
      <c r="AG35" s="135">
        <v>2150000</v>
      </c>
      <c r="AH35" s="132"/>
      <c r="AI35" s="131"/>
      <c r="AJ35" s="131"/>
      <c r="AK35" s="140" t="s">
        <v>150</v>
      </c>
      <c r="AL35" s="141" t="s">
        <v>167</v>
      </c>
      <c r="AM35" s="142"/>
    </row>
    <row r="36" spans="1:39" s="143" customFormat="1" ht="20.25" customHeight="1">
      <c r="A36" s="131">
        <v>13</v>
      </c>
      <c r="B36" s="132" t="s">
        <v>153</v>
      </c>
      <c r="C36" s="133" t="s">
        <v>154</v>
      </c>
      <c r="D36" s="131">
        <v>2017</v>
      </c>
      <c r="E36" s="134">
        <v>0</v>
      </c>
      <c r="F36" s="135"/>
      <c r="G36" s="135"/>
      <c r="H36" s="135"/>
      <c r="I36" s="136"/>
      <c r="J36" s="136"/>
      <c r="K36" s="137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4">
        <v>1</v>
      </c>
      <c r="Y36" s="136"/>
      <c r="Z36" s="135"/>
      <c r="AA36" s="138" t="s">
        <v>146</v>
      </c>
      <c r="AB36" s="136"/>
      <c r="AC36" s="136"/>
      <c r="AD36" s="139"/>
      <c r="AE36" s="132"/>
      <c r="AF36" s="135">
        <v>2150000</v>
      </c>
      <c r="AG36" s="135">
        <v>2150000</v>
      </c>
      <c r="AH36" s="132"/>
      <c r="AI36" s="131"/>
      <c r="AJ36" s="131"/>
      <c r="AK36" s="140" t="s">
        <v>150</v>
      </c>
      <c r="AL36" s="141" t="s">
        <v>167</v>
      </c>
      <c r="AM36" s="142"/>
    </row>
    <row r="37" spans="1:39" s="143" customFormat="1" ht="20.25" customHeight="1">
      <c r="A37" s="131">
        <v>14</v>
      </c>
      <c r="B37" s="132" t="s">
        <v>156</v>
      </c>
      <c r="C37" s="133" t="s">
        <v>157</v>
      </c>
      <c r="D37" s="131">
        <v>2017</v>
      </c>
      <c r="E37" s="134">
        <v>0</v>
      </c>
      <c r="F37" s="135"/>
      <c r="G37" s="135"/>
      <c r="H37" s="135"/>
      <c r="I37" s="136"/>
      <c r="J37" s="136"/>
      <c r="K37" s="137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4">
        <v>2</v>
      </c>
      <c r="Y37" s="136"/>
      <c r="Z37" s="135"/>
      <c r="AA37" s="138" t="s">
        <v>155</v>
      </c>
      <c r="AB37" s="136"/>
      <c r="AC37" s="136"/>
      <c r="AD37" s="139"/>
      <c r="AE37" s="132"/>
      <c r="AF37" s="135">
        <v>850000</v>
      </c>
      <c r="AG37" s="135">
        <v>1700000</v>
      </c>
      <c r="AH37" s="132"/>
      <c r="AI37" s="131"/>
      <c r="AJ37" s="131"/>
      <c r="AK37" s="140" t="s">
        <v>150</v>
      </c>
      <c r="AL37" s="141" t="s">
        <v>167</v>
      </c>
      <c r="AM37" s="142"/>
    </row>
    <row r="38" spans="1:39" s="143" customFormat="1" ht="20.25" customHeight="1">
      <c r="A38" s="131">
        <v>15</v>
      </c>
      <c r="B38" s="132" t="s">
        <v>159</v>
      </c>
      <c r="C38" s="133" t="s">
        <v>158</v>
      </c>
      <c r="D38" s="131">
        <v>2015</v>
      </c>
      <c r="E38" s="134">
        <v>0</v>
      </c>
      <c r="F38" s="135"/>
      <c r="G38" s="135"/>
      <c r="H38" s="135"/>
      <c r="I38" s="136"/>
      <c r="J38" s="136"/>
      <c r="K38" s="137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4">
        <v>1</v>
      </c>
      <c r="Y38" s="136"/>
      <c r="Z38" s="135"/>
      <c r="AA38" s="138" t="s">
        <v>146</v>
      </c>
      <c r="AB38" s="136"/>
      <c r="AC38" s="136"/>
      <c r="AD38" s="139"/>
      <c r="AE38" s="132"/>
      <c r="AF38" s="135">
        <v>352000</v>
      </c>
      <c r="AG38" s="135">
        <v>352000</v>
      </c>
      <c r="AH38" s="132"/>
      <c r="AI38" s="131"/>
      <c r="AJ38" s="131"/>
      <c r="AK38" s="140" t="s">
        <v>150</v>
      </c>
      <c r="AL38" s="141" t="s">
        <v>167</v>
      </c>
      <c r="AM38" s="142"/>
    </row>
    <row r="39" spans="1:39" s="143" customFormat="1" ht="20.25" customHeight="1">
      <c r="A39" s="131">
        <v>16</v>
      </c>
      <c r="B39" s="132" t="s">
        <v>159</v>
      </c>
      <c r="C39" s="133" t="s">
        <v>161</v>
      </c>
      <c r="D39" s="131">
        <v>2015</v>
      </c>
      <c r="E39" s="134">
        <v>0</v>
      </c>
      <c r="F39" s="135"/>
      <c r="G39" s="135"/>
      <c r="H39" s="135"/>
      <c r="I39" s="136"/>
      <c r="J39" s="136"/>
      <c r="K39" s="137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4">
        <v>1</v>
      </c>
      <c r="Y39" s="136"/>
      <c r="Z39" s="135"/>
      <c r="AA39" s="138" t="s">
        <v>146</v>
      </c>
      <c r="AB39" s="136"/>
      <c r="AC39" s="136"/>
      <c r="AD39" s="139"/>
      <c r="AE39" s="132"/>
      <c r="AF39" s="135">
        <v>352000</v>
      </c>
      <c r="AG39" s="135">
        <v>352000</v>
      </c>
      <c r="AH39" s="132"/>
      <c r="AI39" s="131"/>
      <c r="AJ39" s="131"/>
      <c r="AK39" s="140" t="s">
        <v>150</v>
      </c>
      <c r="AL39" s="141" t="s">
        <v>167</v>
      </c>
      <c r="AM39" s="142"/>
    </row>
    <row r="40" spans="1:39" s="143" customFormat="1" ht="20.25" customHeight="1">
      <c r="A40" s="131">
        <v>17</v>
      </c>
      <c r="B40" s="132" t="s">
        <v>159</v>
      </c>
      <c r="C40" s="133" t="s">
        <v>162</v>
      </c>
      <c r="D40" s="131">
        <v>2015</v>
      </c>
      <c r="E40" s="134">
        <v>0</v>
      </c>
      <c r="F40" s="135"/>
      <c r="G40" s="135"/>
      <c r="H40" s="135"/>
      <c r="I40" s="136"/>
      <c r="J40" s="136"/>
      <c r="K40" s="137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4">
        <v>1</v>
      </c>
      <c r="Y40" s="136"/>
      <c r="Z40" s="135"/>
      <c r="AA40" s="138" t="s">
        <v>146</v>
      </c>
      <c r="AB40" s="136"/>
      <c r="AC40" s="136"/>
      <c r="AD40" s="139"/>
      <c r="AE40" s="132"/>
      <c r="AF40" s="135">
        <v>352000</v>
      </c>
      <c r="AG40" s="135">
        <v>352000</v>
      </c>
      <c r="AH40" s="132"/>
      <c r="AI40" s="131"/>
      <c r="AJ40" s="131"/>
      <c r="AK40" s="140" t="s">
        <v>150</v>
      </c>
      <c r="AL40" s="141" t="s">
        <v>167</v>
      </c>
      <c r="AM40" s="142"/>
    </row>
    <row r="41" spans="1:39" s="143" customFormat="1" ht="20.25" customHeight="1">
      <c r="A41" s="131">
        <v>18</v>
      </c>
      <c r="B41" s="132" t="s">
        <v>163</v>
      </c>
      <c r="C41" s="133" t="s">
        <v>164</v>
      </c>
      <c r="D41" s="131"/>
      <c r="E41" s="134">
        <v>0</v>
      </c>
      <c r="F41" s="135"/>
      <c r="G41" s="135"/>
      <c r="H41" s="135"/>
      <c r="I41" s="136"/>
      <c r="J41" s="136"/>
      <c r="K41" s="137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4">
        <v>1</v>
      </c>
      <c r="Y41" s="136"/>
      <c r="Z41" s="135"/>
      <c r="AA41" s="138" t="s">
        <v>146</v>
      </c>
      <c r="AB41" s="136"/>
      <c r="AC41" s="136"/>
      <c r="AD41" s="139"/>
      <c r="AE41" s="132"/>
      <c r="AF41" s="135">
        <v>350000</v>
      </c>
      <c r="AG41" s="135">
        <v>350000</v>
      </c>
      <c r="AH41" s="132"/>
      <c r="AI41" s="131"/>
      <c r="AJ41" s="131"/>
      <c r="AK41" s="140" t="s">
        <v>150</v>
      </c>
      <c r="AL41" s="141" t="s">
        <v>167</v>
      </c>
      <c r="AM41" s="142"/>
    </row>
    <row r="42" spans="1:39" s="143" customFormat="1" ht="20.25" customHeight="1">
      <c r="A42" s="131">
        <v>19</v>
      </c>
      <c r="B42" s="132" t="s">
        <v>165</v>
      </c>
      <c r="C42" s="133" t="s">
        <v>166</v>
      </c>
      <c r="D42" s="131"/>
      <c r="E42" s="134">
        <v>0</v>
      </c>
      <c r="F42" s="135"/>
      <c r="G42" s="135"/>
      <c r="H42" s="135"/>
      <c r="I42" s="136"/>
      <c r="J42" s="136"/>
      <c r="K42" s="137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4">
        <v>2</v>
      </c>
      <c r="Y42" s="136"/>
      <c r="Z42" s="135"/>
      <c r="AA42" s="138" t="s">
        <v>155</v>
      </c>
      <c r="AB42" s="136"/>
      <c r="AC42" s="136"/>
      <c r="AD42" s="139"/>
      <c r="AE42" s="132"/>
      <c r="AF42" s="135"/>
      <c r="AG42" s="135"/>
      <c r="AH42" s="132"/>
      <c r="AI42" s="131"/>
      <c r="AJ42" s="131"/>
      <c r="AK42" s="140" t="s">
        <v>150</v>
      </c>
      <c r="AL42" s="141" t="s">
        <v>167</v>
      </c>
      <c r="AM42" s="142"/>
    </row>
    <row r="43" spans="1:39" s="143" customFormat="1" ht="20.25" customHeight="1">
      <c r="A43" s="131">
        <v>20</v>
      </c>
      <c r="B43" s="132" t="s">
        <v>192</v>
      </c>
      <c r="C43" s="150" t="s">
        <v>193</v>
      </c>
      <c r="D43" s="131"/>
      <c r="E43" s="134">
        <v>0</v>
      </c>
      <c r="F43" s="135"/>
      <c r="G43" s="135"/>
      <c r="H43" s="135"/>
      <c r="I43" s="136"/>
      <c r="J43" s="136"/>
      <c r="K43" s="137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4">
        <v>1</v>
      </c>
      <c r="Y43" s="136"/>
      <c r="Z43" s="135"/>
      <c r="AA43" s="138" t="s">
        <v>146</v>
      </c>
      <c r="AB43" s="136"/>
      <c r="AC43" s="136"/>
      <c r="AD43" s="139"/>
      <c r="AE43" s="132"/>
      <c r="AF43" s="135">
        <v>260000</v>
      </c>
      <c r="AG43" s="135">
        <v>260000</v>
      </c>
      <c r="AH43" s="132"/>
      <c r="AI43" s="131"/>
      <c r="AJ43" s="131"/>
      <c r="AK43" s="140" t="s">
        <v>150</v>
      </c>
      <c r="AL43" s="141" t="s">
        <v>167</v>
      </c>
      <c r="AM43" s="142"/>
    </row>
    <row r="44" spans="1:39" s="143" customFormat="1" ht="20.25" customHeight="1">
      <c r="A44" s="131">
        <v>21</v>
      </c>
      <c r="B44" s="144" t="s">
        <v>179</v>
      </c>
      <c r="C44" s="145" t="s">
        <v>186</v>
      </c>
      <c r="D44" s="131">
        <v>2017</v>
      </c>
      <c r="E44" s="134">
        <v>0</v>
      </c>
      <c r="F44" s="135"/>
      <c r="G44" s="135"/>
      <c r="H44" s="135"/>
      <c r="I44" s="136"/>
      <c r="J44" s="136"/>
      <c r="K44" s="137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4">
        <v>1</v>
      </c>
      <c r="Y44" s="136"/>
      <c r="Z44" s="135"/>
      <c r="AA44" s="138" t="s">
        <v>146</v>
      </c>
      <c r="AB44" s="136"/>
      <c r="AC44" s="136"/>
      <c r="AD44" s="139"/>
      <c r="AE44" s="132"/>
      <c r="AF44" s="135">
        <v>1230000</v>
      </c>
      <c r="AG44" s="135">
        <v>1230000</v>
      </c>
      <c r="AH44" s="132"/>
      <c r="AI44" s="131"/>
      <c r="AJ44" s="131"/>
      <c r="AK44" s="140" t="s">
        <v>150</v>
      </c>
      <c r="AL44" s="141" t="s">
        <v>167</v>
      </c>
      <c r="AM44" s="142"/>
    </row>
    <row r="45" spans="1:39" s="143" customFormat="1" ht="80.25" customHeight="1">
      <c r="A45" s="131">
        <v>22</v>
      </c>
      <c r="B45" s="144" t="s">
        <v>179</v>
      </c>
      <c r="C45" s="145" t="s">
        <v>203</v>
      </c>
      <c r="D45" s="131">
        <v>2017</v>
      </c>
      <c r="E45" s="134">
        <v>0</v>
      </c>
      <c r="F45" s="135"/>
      <c r="G45" s="135"/>
      <c r="H45" s="135"/>
      <c r="I45" s="136"/>
      <c r="J45" s="136"/>
      <c r="K45" s="137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4">
        <v>1</v>
      </c>
      <c r="Y45" s="136"/>
      <c r="Z45" s="135"/>
      <c r="AA45" s="138" t="s">
        <v>146</v>
      </c>
      <c r="AB45" s="136"/>
      <c r="AC45" s="136"/>
      <c r="AD45" s="139"/>
      <c r="AE45" s="132"/>
      <c r="AF45" s="135">
        <v>1230000</v>
      </c>
      <c r="AG45" s="135">
        <v>1230000</v>
      </c>
      <c r="AH45" s="132"/>
      <c r="AI45" s="131"/>
      <c r="AJ45" s="131"/>
      <c r="AK45" s="140" t="s">
        <v>150</v>
      </c>
      <c r="AL45" s="141" t="s">
        <v>202</v>
      </c>
      <c r="AM45" s="142"/>
    </row>
    <row r="46" spans="1:39" s="143" customFormat="1" ht="46.5" customHeight="1">
      <c r="A46" s="131">
        <v>23</v>
      </c>
      <c r="B46" s="144" t="s">
        <v>179</v>
      </c>
      <c r="C46" s="145" t="s">
        <v>204</v>
      </c>
      <c r="D46" s="131">
        <v>2017</v>
      </c>
      <c r="E46" s="134">
        <v>0</v>
      </c>
      <c r="F46" s="135"/>
      <c r="G46" s="135"/>
      <c r="H46" s="135"/>
      <c r="I46" s="136"/>
      <c r="J46" s="136"/>
      <c r="K46" s="137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4">
        <v>1</v>
      </c>
      <c r="Y46" s="136"/>
      <c r="Z46" s="135"/>
      <c r="AA46" s="138" t="s">
        <v>146</v>
      </c>
      <c r="AB46" s="136"/>
      <c r="AC46" s="136"/>
      <c r="AD46" s="139"/>
      <c r="AE46" s="132"/>
      <c r="AF46" s="135">
        <v>1230000</v>
      </c>
      <c r="AG46" s="135">
        <v>1230000</v>
      </c>
      <c r="AH46" s="132"/>
      <c r="AI46" s="131"/>
      <c r="AJ46" s="131"/>
      <c r="AK46" s="140" t="s">
        <v>150</v>
      </c>
      <c r="AL46" s="141" t="s">
        <v>202</v>
      </c>
      <c r="AM46" s="142"/>
    </row>
    <row r="47" spans="1:39" s="143" customFormat="1" ht="76.5" customHeight="1">
      <c r="A47" s="131">
        <v>24</v>
      </c>
      <c r="B47" s="144" t="s">
        <v>179</v>
      </c>
      <c r="C47" s="145" t="s">
        <v>205</v>
      </c>
      <c r="D47" s="131">
        <v>2017</v>
      </c>
      <c r="E47" s="134">
        <v>0</v>
      </c>
      <c r="F47" s="135"/>
      <c r="G47" s="135"/>
      <c r="H47" s="135"/>
      <c r="I47" s="136"/>
      <c r="J47" s="136"/>
      <c r="K47" s="137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4">
        <v>1</v>
      </c>
      <c r="Y47" s="136"/>
      <c r="Z47" s="135"/>
      <c r="AA47" s="138" t="s">
        <v>146</v>
      </c>
      <c r="AB47" s="136"/>
      <c r="AC47" s="136"/>
      <c r="AD47" s="139"/>
      <c r="AE47" s="132"/>
      <c r="AF47" s="135">
        <v>1230000</v>
      </c>
      <c r="AG47" s="135">
        <v>1230000</v>
      </c>
      <c r="AH47" s="132"/>
      <c r="AI47" s="131"/>
      <c r="AJ47" s="131"/>
      <c r="AK47" s="140" t="s">
        <v>150</v>
      </c>
      <c r="AL47" s="141" t="s">
        <v>202</v>
      </c>
      <c r="AM47" s="142"/>
    </row>
    <row r="48" spans="1:39" s="143" customFormat="1" ht="48" customHeight="1">
      <c r="A48" s="131">
        <v>25</v>
      </c>
      <c r="B48" s="144" t="s">
        <v>187</v>
      </c>
      <c r="C48" s="145" t="s">
        <v>188</v>
      </c>
      <c r="D48" s="131"/>
      <c r="E48" s="134">
        <v>0</v>
      </c>
      <c r="F48" s="135"/>
      <c r="G48" s="135"/>
      <c r="H48" s="135"/>
      <c r="I48" s="136"/>
      <c r="J48" s="136"/>
      <c r="K48" s="137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4">
        <v>1</v>
      </c>
      <c r="Y48" s="136"/>
      <c r="Z48" s="135"/>
      <c r="AA48" s="138" t="s">
        <v>146</v>
      </c>
      <c r="AB48" s="136"/>
      <c r="AC48" s="136"/>
      <c r="AD48" s="139"/>
      <c r="AE48" s="132"/>
      <c r="AF48" s="135">
        <v>1100000</v>
      </c>
      <c r="AG48" s="135">
        <v>1100000</v>
      </c>
      <c r="AH48" s="132"/>
      <c r="AI48" s="131"/>
      <c r="AJ48" s="131"/>
      <c r="AK48" s="140" t="s">
        <v>150</v>
      </c>
      <c r="AL48" s="141" t="s">
        <v>202</v>
      </c>
      <c r="AM48" s="142"/>
    </row>
    <row r="49" spans="1:39" ht="49.5" customHeight="1">
      <c r="A49" s="28">
        <v>26</v>
      </c>
      <c r="B49" s="82" t="s">
        <v>177</v>
      </c>
      <c r="C49" s="34" t="s">
        <v>178</v>
      </c>
      <c r="D49" s="28">
        <v>2024</v>
      </c>
      <c r="E49" s="34">
        <v>0</v>
      </c>
      <c r="F49" s="35"/>
      <c r="G49" s="35"/>
      <c r="H49" s="35"/>
      <c r="I49" s="36"/>
      <c r="J49" s="36"/>
      <c r="K49" s="29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4">
        <v>1</v>
      </c>
      <c r="Y49" s="36"/>
      <c r="Z49" s="35"/>
      <c r="AA49" s="83" t="s">
        <v>146</v>
      </c>
      <c r="AB49" s="36"/>
      <c r="AC49" s="36"/>
      <c r="AD49" s="38"/>
      <c r="AE49" s="31"/>
      <c r="AF49" s="35">
        <v>678640</v>
      </c>
      <c r="AG49" s="35">
        <v>678640</v>
      </c>
      <c r="AH49" s="31"/>
      <c r="AI49" s="28"/>
      <c r="AJ49" s="28"/>
      <c r="AK49" s="39" t="s">
        <v>150</v>
      </c>
      <c r="AL49" s="73" t="s">
        <v>202</v>
      </c>
    </row>
    <row r="50" spans="1:39" s="143" customFormat="1" ht="53.25" customHeight="1">
      <c r="A50" s="131">
        <v>27</v>
      </c>
      <c r="B50" s="132" t="s">
        <v>147</v>
      </c>
      <c r="C50" s="133" t="s">
        <v>173</v>
      </c>
      <c r="D50" s="131">
        <v>2017</v>
      </c>
      <c r="E50" s="134">
        <v>0</v>
      </c>
      <c r="F50" s="135"/>
      <c r="G50" s="135"/>
      <c r="H50" s="135"/>
      <c r="I50" s="136"/>
      <c r="J50" s="136"/>
      <c r="K50" s="137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4">
        <v>1</v>
      </c>
      <c r="Y50" s="136"/>
      <c r="Z50" s="135"/>
      <c r="AA50" s="138" t="s">
        <v>146</v>
      </c>
      <c r="AB50" s="136"/>
      <c r="AC50" s="136"/>
      <c r="AD50" s="139"/>
      <c r="AE50" s="132"/>
      <c r="AF50" s="135">
        <v>3300000</v>
      </c>
      <c r="AG50" s="135">
        <v>3300000</v>
      </c>
      <c r="AH50" s="132"/>
      <c r="AI50" s="131"/>
      <c r="AJ50" s="131"/>
      <c r="AK50" s="140" t="s">
        <v>150</v>
      </c>
      <c r="AL50" s="141" t="s">
        <v>202</v>
      </c>
      <c r="AM50" s="142"/>
    </row>
    <row r="51" spans="1:39" s="27" customFormat="1" ht="25.5" customHeight="1">
      <c r="A51" s="125" t="s">
        <v>101</v>
      </c>
      <c r="B51" s="75" t="s">
        <v>96</v>
      </c>
      <c r="C51" s="125"/>
      <c r="D51" s="28"/>
      <c r="E51" s="125"/>
      <c r="F51" s="122"/>
      <c r="G51" s="25"/>
      <c r="H51" s="25"/>
      <c r="I51" s="122"/>
      <c r="J51" s="25"/>
      <c r="K51" s="122"/>
      <c r="L51" s="25"/>
      <c r="M51" s="122"/>
      <c r="N51" s="122"/>
      <c r="O51" s="25"/>
      <c r="P51" s="25"/>
      <c r="Q51" s="25"/>
      <c r="R51" s="25"/>
      <c r="S51" s="25"/>
      <c r="T51" s="25"/>
      <c r="U51" s="25"/>
      <c r="V51" s="25"/>
      <c r="W51" s="25"/>
      <c r="X51" s="125"/>
      <c r="Y51" s="122"/>
      <c r="Z51" s="122"/>
      <c r="AA51" s="76"/>
      <c r="AB51" s="125"/>
      <c r="AC51" s="25"/>
      <c r="AD51" s="125"/>
      <c r="AE51" s="125"/>
      <c r="AF51" s="77"/>
      <c r="AG51" s="77"/>
      <c r="AH51" s="125"/>
      <c r="AI51" s="125"/>
      <c r="AJ51" s="125"/>
      <c r="AK51" s="125"/>
      <c r="AL51" s="124"/>
      <c r="AM51" s="26"/>
    </row>
    <row r="52" spans="1:39" s="27" customFormat="1" ht="69.75" customHeight="1">
      <c r="A52" s="28">
        <v>1</v>
      </c>
      <c r="B52" s="78" t="s">
        <v>104</v>
      </c>
      <c r="C52" s="28" t="s">
        <v>99</v>
      </c>
      <c r="D52" s="28">
        <v>2022</v>
      </c>
      <c r="E52" s="125">
        <v>0</v>
      </c>
      <c r="F52" s="122"/>
      <c r="G52" s="25"/>
      <c r="H52" s="25"/>
      <c r="I52" s="122"/>
      <c r="J52" s="25"/>
      <c r="K52" s="122"/>
      <c r="L52" s="25"/>
      <c r="M52" s="122"/>
      <c r="N52" s="122"/>
      <c r="O52" s="25"/>
      <c r="P52" s="25"/>
      <c r="Q52" s="25"/>
      <c r="R52" s="25"/>
      <c r="S52" s="25"/>
      <c r="T52" s="25"/>
      <c r="U52" s="25"/>
      <c r="V52" s="25"/>
      <c r="W52" s="25"/>
      <c r="X52" s="125">
        <v>1</v>
      </c>
      <c r="Y52" s="122"/>
      <c r="Z52" s="122"/>
      <c r="AA52" s="76" t="s">
        <v>146</v>
      </c>
      <c r="AB52" s="125"/>
      <c r="AC52" s="25"/>
      <c r="AD52" s="125"/>
      <c r="AE52" s="125"/>
      <c r="AF52" s="80">
        <v>7900000</v>
      </c>
      <c r="AG52" s="80">
        <v>7900000</v>
      </c>
      <c r="AH52" s="125"/>
      <c r="AI52" s="125"/>
      <c r="AJ52" s="125"/>
      <c r="AK52" s="125"/>
      <c r="AL52" s="34" t="s">
        <v>170</v>
      </c>
      <c r="AM52" s="26"/>
    </row>
    <row r="53" spans="1:39" ht="87" customHeight="1">
      <c r="A53" s="28">
        <v>2</v>
      </c>
      <c r="B53" s="78" t="s">
        <v>107</v>
      </c>
      <c r="C53" s="34" t="s">
        <v>183</v>
      </c>
      <c r="D53" s="28">
        <v>2022</v>
      </c>
      <c r="E53" s="28">
        <v>4</v>
      </c>
      <c r="F53" s="29"/>
      <c r="G53" s="30"/>
      <c r="H53" s="30"/>
      <c r="I53" s="29"/>
      <c r="J53" s="30"/>
      <c r="K53" s="29"/>
      <c r="L53" s="30"/>
      <c r="M53" s="29"/>
      <c r="N53" s="29"/>
      <c r="O53" s="30"/>
      <c r="P53" s="30"/>
      <c r="Q53" s="30"/>
      <c r="R53" s="30"/>
      <c r="S53" s="30"/>
      <c r="T53" s="30"/>
      <c r="U53" s="30"/>
      <c r="V53" s="30"/>
      <c r="W53" s="30"/>
      <c r="X53" s="28">
        <v>5</v>
      </c>
      <c r="Y53" s="122"/>
      <c r="Z53" s="122"/>
      <c r="AA53" s="81" t="s">
        <v>146</v>
      </c>
      <c r="AB53" s="22"/>
      <c r="AC53" s="24"/>
      <c r="AD53" s="22"/>
      <c r="AE53" s="22"/>
      <c r="AF53" s="80">
        <v>660000</v>
      </c>
      <c r="AG53" s="35">
        <f>+X53*AF53</f>
        <v>3300000</v>
      </c>
      <c r="AH53" s="31" t="s">
        <v>54</v>
      </c>
      <c r="AI53" s="28" t="s">
        <v>54</v>
      </c>
      <c r="AJ53" s="28" t="s">
        <v>43</v>
      </c>
      <c r="AK53" s="22"/>
      <c r="AL53" s="34" t="s">
        <v>172</v>
      </c>
    </row>
    <row r="54" spans="1:39" ht="15.75" customHeight="1">
      <c r="A54" s="28">
        <v>3</v>
      </c>
      <c r="B54" s="78" t="s">
        <v>55</v>
      </c>
      <c r="C54" s="82"/>
      <c r="D54" s="34">
        <v>2004</v>
      </c>
      <c r="E54" s="34">
        <v>1</v>
      </c>
      <c r="F54" s="35">
        <v>0</v>
      </c>
      <c r="G54" s="35">
        <f t="shared" ref="G54:G56" si="6">H54+I54</f>
        <v>7847619</v>
      </c>
      <c r="H54" s="36"/>
      <c r="I54" s="35">
        <v>7847619</v>
      </c>
      <c r="J54" s="36"/>
      <c r="K54" s="29"/>
      <c r="L54" s="36"/>
      <c r="M54" s="36"/>
      <c r="N54" s="36"/>
      <c r="O54" s="36"/>
      <c r="P54" s="36">
        <f>ROUND(G54*20%,0)</f>
        <v>1569524</v>
      </c>
      <c r="Q54" s="36">
        <f t="shared" ref="Q54" si="7">ROUND(G54*AD54,0)</f>
        <v>1569524</v>
      </c>
      <c r="R54" s="36" t="e">
        <f>ROUND(#REF!*#REF!,0)</f>
        <v>#REF!</v>
      </c>
      <c r="S54" s="36" t="e">
        <f>ROUND(#REF!*#REF!,0)</f>
        <v>#REF!</v>
      </c>
      <c r="T54" s="36" t="e">
        <f>ROUND(#REF!*#REF!,0)</f>
        <v>#REF!</v>
      </c>
      <c r="U54" s="36">
        <v>-1</v>
      </c>
      <c r="V54" s="36" t="e">
        <f t="shared" ref="V54:V58" si="8">M54+N54+O54+P54+SUM(Q54:T54)+U54</f>
        <v>#REF!</v>
      </c>
      <c r="W54" s="36" t="e">
        <f t="shared" ref="W54:W55" si="9">G54-V54</f>
        <v>#REF!</v>
      </c>
      <c r="X54" s="34">
        <v>1</v>
      </c>
      <c r="Y54" s="36">
        <f t="shared" ref="Y54:Y58" si="10">G54</f>
        <v>7847619</v>
      </c>
      <c r="Z54" s="35">
        <v>0</v>
      </c>
      <c r="AA54" s="83">
        <v>0</v>
      </c>
      <c r="AB54" s="36">
        <f t="shared" ref="AB54:AB58" si="11">Y54-G54</f>
        <v>0</v>
      </c>
      <c r="AC54" s="36">
        <f t="shared" ref="AC54:AC58" si="12">F54-Z54</f>
        <v>0</v>
      </c>
      <c r="AD54" s="38">
        <v>0.2</v>
      </c>
      <c r="AE54" s="31" t="s">
        <v>44</v>
      </c>
      <c r="AF54" s="35"/>
      <c r="AG54" s="35"/>
      <c r="AH54" s="31" t="s">
        <v>54</v>
      </c>
      <c r="AI54" s="28" t="s">
        <v>54</v>
      </c>
      <c r="AJ54" s="28" t="s">
        <v>43</v>
      </c>
      <c r="AK54" s="39"/>
      <c r="AL54" s="66"/>
    </row>
    <row r="55" spans="1:39" ht="15.75" customHeight="1">
      <c r="A55" s="28">
        <v>4</v>
      </c>
      <c r="B55" s="78" t="s">
        <v>56</v>
      </c>
      <c r="C55" s="82"/>
      <c r="D55" s="34">
        <v>1997</v>
      </c>
      <c r="E55" s="34">
        <v>2</v>
      </c>
      <c r="F55" s="35">
        <v>0</v>
      </c>
      <c r="G55" s="35">
        <f t="shared" si="6"/>
        <v>8000000</v>
      </c>
      <c r="H55" s="35">
        <v>8000000</v>
      </c>
      <c r="I55" s="36"/>
      <c r="J55" s="36"/>
      <c r="K55" s="29"/>
      <c r="L55" s="36"/>
      <c r="M55" s="36"/>
      <c r="N55" s="36"/>
      <c r="O55" s="36"/>
      <c r="P55" s="36"/>
      <c r="Q55" s="36"/>
      <c r="R55" s="36" t="e">
        <f>ROUND(#REF!*#REF!,0)</f>
        <v>#REF!</v>
      </c>
      <c r="S55" s="36" t="e">
        <f>ROUND(#REF!*#REF!,0)</f>
        <v>#REF!</v>
      </c>
      <c r="T55" s="36" t="e">
        <f>ROUND(#REF!*#REF!,0)</f>
        <v>#REF!</v>
      </c>
      <c r="U55" s="36" t="e">
        <f>ROUND(#REF!*#REF!,0)</f>
        <v>#REF!</v>
      </c>
      <c r="V55" s="36" t="e">
        <f t="shared" si="8"/>
        <v>#REF!</v>
      </c>
      <c r="W55" s="36" t="e">
        <f t="shared" si="9"/>
        <v>#REF!</v>
      </c>
      <c r="X55" s="34">
        <v>2</v>
      </c>
      <c r="Y55" s="36">
        <f t="shared" si="10"/>
        <v>8000000</v>
      </c>
      <c r="Z55" s="35">
        <v>0</v>
      </c>
      <c r="AA55" s="83">
        <v>0</v>
      </c>
      <c r="AB55" s="36">
        <f t="shared" si="11"/>
        <v>0</v>
      </c>
      <c r="AC55" s="36">
        <f t="shared" si="12"/>
        <v>0</v>
      </c>
      <c r="AD55" s="38">
        <v>0.2</v>
      </c>
      <c r="AE55" s="31" t="s">
        <v>44</v>
      </c>
      <c r="AF55" s="35"/>
      <c r="AG55" s="35"/>
      <c r="AH55" s="31" t="s">
        <v>54</v>
      </c>
      <c r="AI55" s="28" t="s">
        <v>54</v>
      </c>
      <c r="AJ55" s="28" t="s">
        <v>43</v>
      </c>
      <c r="AK55" s="39"/>
      <c r="AL55" s="66"/>
    </row>
    <row r="56" spans="1:39" ht="15.75" customHeight="1">
      <c r="A56" s="28">
        <v>5</v>
      </c>
      <c r="B56" s="31" t="s">
        <v>65</v>
      </c>
      <c r="C56" s="82"/>
      <c r="D56" s="28">
        <v>2012</v>
      </c>
      <c r="E56" s="34">
        <v>1</v>
      </c>
      <c r="F56" s="35">
        <v>0</v>
      </c>
      <c r="G56" s="35">
        <f t="shared" si="6"/>
        <v>13720000</v>
      </c>
      <c r="H56" s="35"/>
      <c r="I56" s="36">
        <v>13720000</v>
      </c>
      <c r="J56" s="36"/>
      <c r="K56" s="29"/>
      <c r="L56" s="36"/>
      <c r="M56" s="36"/>
      <c r="N56" s="36"/>
      <c r="O56" s="36"/>
      <c r="P56" s="36"/>
      <c r="Q56" s="36"/>
      <c r="R56" s="36" t="e">
        <f>ROUND(#REF!*#REF!,0)</f>
        <v>#REF!</v>
      </c>
      <c r="S56" s="36" t="e">
        <f>ROUND(#REF!*#REF!,0)</f>
        <v>#REF!</v>
      </c>
      <c r="T56" s="36" t="e">
        <f>ROUND(#REF!*#REF!,0)</f>
        <v>#REF!</v>
      </c>
      <c r="U56" s="36" t="e">
        <f>ROUND(#REF!*#REF!,0)</f>
        <v>#REF!</v>
      </c>
      <c r="V56" s="36" t="e">
        <f t="shared" si="8"/>
        <v>#REF!</v>
      </c>
      <c r="W56" s="36" t="e">
        <f>G56-V56</f>
        <v>#REF!</v>
      </c>
      <c r="X56" s="34">
        <v>1</v>
      </c>
      <c r="Y56" s="36">
        <f t="shared" si="10"/>
        <v>13720000</v>
      </c>
      <c r="Z56" s="35">
        <v>0</v>
      </c>
      <c r="AA56" s="83">
        <v>0</v>
      </c>
      <c r="AB56" s="36">
        <f t="shared" si="11"/>
        <v>0</v>
      </c>
      <c r="AC56" s="36">
        <f t="shared" si="12"/>
        <v>0</v>
      </c>
      <c r="AD56" s="38">
        <v>0.2</v>
      </c>
      <c r="AE56" s="31"/>
      <c r="AF56" s="35"/>
      <c r="AG56" s="35"/>
      <c r="AH56" s="31" t="s">
        <v>54</v>
      </c>
      <c r="AI56" s="28" t="s">
        <v>54</v>
      </c>
      <c r="AJ56" s="28" t="s">
        <v>43</v>
      </c>
      <c r="AK56" s="39"/>
      <c r="AL56" s="66"/>
    </row>
    <row r="57" spans="1:39" ht="15.75" customHeight="1">
      <c r="A57" s="28">
        <v>6</v>
      </c>
      <c r="B57" s="31" t="s">
        <v>60</v>
      </c>
      <c r="C57" s="82"/>
      <c r="D57" s="28">
        <v>2013</v>
      </c>
      <c r="E57" s="28">
        <v>1</v>
      </c>
      <c r="F57" s="35">
        <v>2250000</v>
      </c>
      <c r="G57" s="35">
        <f>H57+I57</f>
        <v>6000000</v>
      </c>
      <c r="H57" s="35">
        <v>6000000</v>
      </c>
      <c r="I57" s="36"/>
      <c r="J57" s="36"/>
      <c r="K57" s="29"/>
      <c r="L57" s="36"/>
      <c r="M57" s="36"/>
      <c r="N57" s="36"/>
      <c r="O57" s="36"/>
      <c r="P57" s="36"/>
      <c r="Q57" s="36"/>
      <c r="R57" s="36" t="e">
        <f>ROUND(#REF!*#REF!,0)</f>
        <v>#REF!</v>
      </c>
      <c r="S57" s="36" t="e">
        <f>ROUND(#REF!*#REF!,0)</f>
        <v>#REF!</v>
      </c>
      <c r="T57" s="36" t="e">
        <f>ROUND(#REF!*#REF!,0)</f>
        <v>#REF!</v>
      </c>
      <c r="U57" s="36" t="e">
        <f>ROUND(#REF!*#REF!,0)</f>
        <v>#REF!</v>
      </c>
      <c r="V57" s="36" t="e">
        <f t="shared" si="8"/>
        <v>#REF!</v>
      </c>
      <c r="W57" s="36" t="e">
        <f t="shared" ref="W57:W58" si="13">G57-V57</f>
        <v>#REF!</v>
      </c>
      <c r="X57" s="28">
        <v>1</v>
      </c>
      <c r="Y57" s="36">
        <f t="shared" si="10"/>
        <v>6000000</v>
      </c>
      <c r="Z57" s="35">
        <v>2250000</v>
      </c>
      <c r="AA57" s="83">
        <v>0</v>
      </c>
      <c r="AB57" s="36">
        <f t="shared" si="11"/>
        <v>0</v>
      </c>
      <c r="AC57" s="36">
        <f t="shared" si="12"/>
        <v>0</v>
      </c>
      <c r="AD57" s="40">
        <v>0.125</v>
      </c>
      <c r="AE57" s="31"/>
      <c r="AF57" s="35"/>
      <c r="AG57" s="35"/>
      <c r="AH57" s="31" t="s">
        <v>54</v>
      </c>
      <c r="AI57" s="28" t="s">
        <v>54</v>
      </c>
      <c r="AJ57" s="28" t="s">
        <v>43</v>
      </c>
      <c r="AK57" s="39"/>
      <c r="AL57" s="66"/>
    </row>
    <row r="58" spans="1:39" ht="15.75" customHeight="1">
      <c r="A58" s="28">
        <v>7</v>
      </c>
      <c r="B58" s="31" t="s">
        <v>60</v>
      </c>
      <c r="C58" s="82"/>
      <c r="D58" s="28">
        <v>2012</v>
      </c>
      <c r="E58" s="28">
        <v>1</v>
      </c>
      <c r="F58" s="35">
        <v>2250000</v>
      </c>
      <c r="G58" s="35">
        <f>H58+I58</f>
        <v>6000000</v>
      </c>
      <c r="H58" s="35">
        <v>6000000</v>
      </c>
      <c r="I58" s="36"/>
      <c r="J58" s="36"/>
      <c r="K58" s="29"/>
      <c r="L58" s="36"/>
      <c r="M58" s="36"/>
      <c r="N58" s="36"/>
      <c r="O58" s="36"/>
      <c r="P58" s="36"/>
      <c r="Q58" s="36"/>
      <c r="R58" s="36" t="e">
        <f>ROUND(#REF!*#REF!,0)</f>
        <v>#REF!</v>
      </c>
      <c r="S58" s="36" t="e">
        <f>ROUND(#REF!*#REF!,0)</f>
        <v>#REF!</v>
      </c>
      <c r="T58" s="36" t="e">
        <f>ROUND(#REF!*#REF!,0)</f>
        <v>#REF!</v>
      </c>
      <c r="U58" s="36" t="e">
        <f>ROUND(#REF!*#REF!,0)</f>
        <v>#REF!</v>
      </c>
      <c r="V58" s="36" t="e">
        <f t="shared" si="8"/>
        <v>#REF!</v>
      </c>
      <c r="W58" s="36" t="e">
        <f t="shared" si="13"/>
        <v>#REF!</v>
      </c>
      <c r="X58" s="28">
        <v>1</v>
      </c>
      <c r="Y58" s="36">
        <f t="shared" si="10"/>
        <v>6000000</v>
      </c>
      <c r="Z58" s="35">
        <v>2250000</v>
      </c>
      <c r="AA58" s="83">
        <v>0</v>
      </c>
      <c r="AB58" s="36">
        <f t="shared" si="11"/>
        <v>0</v>
      </c>
      <c r="AC58" s="36">
        <f t="shared" si="12"/>
        <v>0</v>
      </c>
      <c r="AD58" s="40">
        <v>0.125</v>
      </c>
      <c r="AE58" s="31"/>
      <c r="AF58" s="35"/>
      <c r="AG58" s="35"/>
      <c r="AH58" s="31" t="s">
        <v>54</v>
      </c>
      <c r="AI58" s="28" t="s">
        <v>54</v>
      </c>
      <c r="AJ58" s="28" t="s">
        <v>43</v>
      </c>
      <c r="AK58" s="39"/>
      <c r="AL58" s="66"/>
    </row>
    <row r="59" spans="1:39" s="143" customFormat="1" ht="15.75" customHeight="1">
      <c r="A59" s="131">
        <v>8</v>
      </c>
      <c r="B59" s="132" t="s">
        <v>66</v>
      </c>
      <c r="C59" s="133"/>
      <c r="D59" s="131">
        <v>2008</v>
      </c>
      <c r="E59" s="134">
        <v>2</v>
      </c>
      <c r="F59" s="135"/>
      <c r="G59" s="135"/>
      <c r="H59" s="135"/>
      <c r="I59" s="136"/>
      <c r="J59" s="136"/>
      <c r="K59" s="137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4">
        <v>2</v>
      </c>
      <c r="Y59" s="136"/>
      <c r="Z59" s="135"/>
      <c r="AA59" s="138">
        <v>0</v>
      </c>
      <c r="AB59" s="136"/>
      <c r="AC59" s="136"/>
      <c r="AD59" s="139"/>
      <c r="AE59" s="132"/>
      <c r="AF59" s="135">
        <v>1500000</v>
      </c>
      <c r="AG59" s="135">
        <v>3000000</v>
      </c>
      <c r="AH59" s="132" t="s">
        <v>54</v>
      </c>
      <c r="AI59" s="131" t="s">
        <v>54</v>
      </c>
      <c r="AJ59" s="131" t="s">
        <v>43</v>
      </c>
      <c r="AK59" s="140"/>
      <c r="AL59" s="156"/>
      <c r="AM59" s="142"/>
    </row>
    <row r="60" spans="1:39" ht="32.25" customHeight="1">
      <c r="A60" s="28">
        <v>9</v>
      </c>
      <c r="B60" s="84" t="s">
        <v>92</v>
      </c>
      <c r="C60" s="86"/>
      <c r="D60" s="87">
        <v>2020</v>
      </c>
      <c r="E60" s="28">
        <v>3</v>
      </c>
      <c r="F60" s="88">
        <v>1</v>
      </c>
      <c r="G60" s="89"/>
      <c r="H60" s="90" t="s">
        <v>88</v>
      </c>
      <c r="I60" s="91" t="s">
        <v>89</v>
      </c>
      <c r="J60" s="28" t="s">
        <v>43</v>
      </c>
      <c r="K60" s="92" t="s">
        <v>90</v>
      </c>
      <c r="L60" s="93" t="s">
        <v>91</v>
      </c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88">
        <v>3</v>
      </c>
      <c r="Y60" s="41"/>
      <c r="Z60" s="41"/>
      <c r="AA60" s="83">
        <v>0</v>
      </c>
      <c r="AB60" s="41"/>
      <c r="AC60" s="41"/>
      <c r="AD60" s="41"/>
      <c r="AE60" s="41"/>
      <c r="AF60" s="95"/>
      <c r="AG60" s="95"/>
      <c r="AH60" s="31" t="s">
        <v>54</v>
      </c>
      <c r="AI60" s="28" t="s">
        <v>54</v>
      </c>
      <c r="AJ60" s="28" t="s">
        <v>43</v>
      </c>
      <c r="AK60" s="42"/>
      <c r="AL60" s="96" t="s">
        <v>110</v>
      </c>
    </row>
    <row r="61" spans="1:39" ht="15.75" customHeight="1">
      <c r="A61" s="28">
        <v>10</v>
      </c>
      <c r="B61" s="43" t="s">
        <v>94</v>
      </c>
      <c r="C61" s="22"/>
      <c r="D61" s="39"/>
      <c r="E61" s="39">
        <v>2</v>
      </c>
      <c r="F61" s="97"/>
      <c r="G61" s="71"/>
      <c r="H61" s="71"/>
      <c r="I61" s="97"/>
      <c r="J61" s="71"/>
      <c r="K61" s="97"/>
      <c r="L61" s="71"/>
      <c r="M61" s="97"/>
      <c r="N61" s="97"/>
      <c r="O61" s="71"/>
      <c r="P61" s="71"/>
      <c r="Q61" s="71"/>
      <c r="R61" s="71"/>
      <c r="S61" s="71"/>
      <c r="T61" s="71"/>
      <c r="U61" s="71"/>
      <c r="V61" s="71"/>
      <c r="W61" s="71"/>
      <c r="X61" s="39">
        <v>2</v>
      </c>
      <c r="Y61" s="23"/>
      <c r="Z61" s="23"/>
      <c r="AA61" s="70">
        <v>0</v>
      </c>
      <c r="AB61" s="22"/>
      <c r="AC61" s="24"/>
      <c r="AD61" s="22"/>
      <c r="AE61" s="22"/>
      <c r="AF61" s="65"/>
      <c r="AG61" s="65"/>
      <c r="AH61" s="31" t="s">
        <v>54</v>
      </c>
      <c r="AI61" s="28" t="s">
        <v>54</v>
      </c>
      <c r="AJ61" s="28" t="s">
        <v>43</v>
      </c>
      <c r="AK61" s="39"/>
      <c r="AL61" s="32"/>
      <c r="AM61" s="3"/>
    </row>
    <row r="62" spans="1:39" ht="15.75" customHeight="1">
      <c r="A62" s="28">
        <v>11</v>
      </c>
      <c r="B62" s="43" t="s">
        <v>97</v>
      </c>
      <c r="C62" s="22"/>
      <c r="D62" s="39"/>
      <c r="E62" s="39">
        <v>5</v>
      </c>
      <c r="F62" s="97"/>
      <c r="G62" s="71"/>
      <c r="H62" s="71"/>
      <c r="I62" s="97"/>
      <c r="J62" s="71"/>
      <c r="K62" s="97"/>
      <c r="L62" s="71"/>
      <c r="M62" s="97"/>
      <c r="N62" s="97"/>
      <c r="O62" s="71"/>
      <c r="P62" s="71"/>
      <c r="Q62" s="71"/>
      <c r="R62" s="71"/>
      <c r="S62" s="71"/>
      <c r="T62" s="71"/>
      <c r="U62" s="71"/>
      <c r="V62" s="71"/>
      <c r="W62" s="71"/>
      <c r="X62" s="39">
        <v>5</v>
      </c>
      <c r="Y62" s="23"/>
      <c r="Z62" s="23"/>
      <c r="AA62" s="70">
        <v>0</v>
      </c>
      <c r="AB62" s="22"/>
      <c r="AC62" s="24"/>
      <c r="AD62" s="22"/>
      <c r="AE62" s="22"/>
      <c r="AF62" s="65"/>
      <c r="AG62" s="65"/>
      <c r="AH62" s="31" t="s">
        <v>54</v>
      </c>
      <c r="AI62" s="28" t="s">
        <v>54</v>
      </c>
      <c r="AJ62" s="28" t="s">
        <v>43</v>
      </c>
      <c r="AK62" s="39"/>
      <c r="AL62" s="32"/>
      <c r="AM62" s="3"/>
    </row>
    <row r="63" spans="1:39" s="152" customFormat="1" ht="36" customHeight="1">
      <c r="A63" s="131">
        <v>12</v>
      </c>
      <c r="B63" s="133" t="s">
        <v>174</v>
      </c>
      <c r="C63" s="131" t="s">
        <v>175</v>
      </c>
      <c r="D63" s="131">
        <v>2024</v>
      </c>
      <c r="E63" s="131">
        <v>0</v>
      </c>
      <c r="F63" s="137"/>
      <c r="G63" s="151"/>
      <c r="H63" s="151"/>
      <c r="I63" s="137"/>
      <c r="J63" s="151"/>
      <c r="K63" s="137"/>
      <c r="L63" s="151"/>
      <c r="M63" s="137"/>
      <c r="N63" s="137"/>
      <c r="O63" s="151"/>
      <c r="P63" s="151"/>
      <c r="Q63" s="151"/>
      <c r="R63" s="151"/>
      <c r="S63" s="151"/>
      <c r="T63" s="151"/>
      <c r="U63" s="151"/>
      <c r="V63" s="151"/>
      <c r="W63" s="151"/>
      <c r="X63" s="131">
        <v>2</v>
      </c>
      <c r="Y63" s="137"/>
      <c r="Z63" s="137"/>
      <c r="AA63" s="148" t="s">
        <v>155</v>
      </c>
      <c r="AB63" s="131"/>
      <c r="AC63" s="151"/>
      <c r="AD63" s="131"/>
      <c r="AE63" s="131"/>
      <c r="AF63" s="135">
        <v>653400</v>
      </c>
      <c r="AG63" s="135">
        <v>1306800</v>
      </c>
      <c r="AH63" s="131"/>
      <c r="AI63" s="131"/>
      <c r="AJ63" s="131"/>
      <c r="AK63" s="131" t="s">
        <v>150</v>
      </c>
      <c r="AL63" s="134" t="s">
        <v>176</v>
      </c>
    </row>
    <row r="64" spans="1:39" s="143" customFormat="1" ht="15.75" customHeight="1">
      <c r="A64" s="131">
        <v>13</v>
      </c>
      <c r="B64" s="144" t="s">
        <v>179</v>
      </c>
      <c r="C64" s="145" t="s">
        <v>184</v>
      </c>
      <c r="D64" s="131">
        <v>2017</v>
      </c>
      <c r="E64" s="140">
        <v>0</v>
      </c>
      <c r="F64" s="146"/>
      <c r="G64" s="147"/>
      <c r="H64" s="147"/>
      <c r="I64" s="146"/>
      <c r="J64" s="147"/>
      <c r="K64" s="146"/>
      <c r="L64" s="147"/>
      <c r="M64" s="146"/>
      <c r="N64" s="146"/>
      <c r="O64" s="147"/>
      <c r="P64" s="147"/>
      <c r="Q64" s="147"/>
      <c r="R64" s="147"/>
      <c r="S64" s="147"/>
      <c r="T64" s="147"/>
      <c r="U64" s="147"/>
      <c r="V64" s="147"/>
      <c r="W64" s="147"/>
      <c r="X64" s="140">
        <v>1</v>
      </c>
      <c r="Y64" s="146"/>
      <c r="Z64" s="146"/>
      <c r="AA64" s="148" t="s">
        <v>146</v>
      </c>
      <c r="AB64" s="140"/>
      <c r="AC64" s="147"/>
      <c r="AD64" s="140"/>
      <c r="AE64" s="140"/>
      <c r="AF64" s="149">
        <v>1230000</v>
      </c>
      <c r="AG64" s="149">
        <v>1230000</v>
      </c>
      <c r="AH64" s="132"/>
      <c r="AI64" s="131"/>
      <c r="AJ64" s="131"/>
      <c r="AK64" s="140" t="s">
        <v>150</v>
      </c>
      <c r="AL64" s="141" t="s">
        <v>176</v>
      </c>
    </row>
    <row r="65" spans="1:42" s="143" customFormat="1" ht="15.75" customHeight="1">
      <c r="A65" s="131">
        <v>14</v>
      </c>
      <c r="B65" s="144" t="s">
        <v>179</v>
      </c>
      <c r="C65" s="145" t="s">
        <v>185</v>
      </c>
      <c r="D65" s="131">
        <v>2017</v>
      </c>
      <c r="E65" s="140">
        <v>0</v>
      </c>
      <c r="F65" s="146"/>
      <c r="G65" s="147"/>
      <c r="H65" s="147"/>
      <c r="I65" s="146"/>
      <c r="J65" s="147"/>
      <c r="K65" s="146"/>
      <c r="L65" s="147"/>
      <c r="M65" s="146"/>
      <c r="N65" s="146"/>
      <c r="O65" s="147"/>
      <c r="P65" s="147"/>
      <c r="Q65" s="147"/>
      <c r="R65" s="147"/>
      <c r="S65" s="147"/>
      <c r="T65" s="147"/>
      <c r="U65" s="147"/>
      <c r="V65" s="147"/>
      <c r="W65" s="147"/>
      <c r="X65" s="140">
        <v>1</v>
      </c>
      <c r="Y65" s="146"/>
      <c r="Z65" s="146"/>
      <c r="AA65" s="148" t="s">
        <v>146</v>
      </c>
      <c r="AB65" s="140"/>
      <c r="AC65" s="147"/>
      <c r="AD65" s="140"/>
      <c r="AE65" s="140"/>
      <c r="AF65" s="149">
        <v>1230000</v>
      </c>
      <c r="AG65" s="149">
        <v>1230000</v>
      </c>
      <c r="AH65" s="132"/>
      <c r="AI65" s="131"/>
      <c r="AJ65" s="131"/>
      <c r="AK65" s="140" t="s">
        <v>150</v>
      </c>
      <c r="AL65" s="141" t="s">
        <v>176</v>
      </c>
    </row>
    <row r="66" spans="1:42" ht="15.75" customHeight="1">
      <c r="A66" s="125" t="s">
        <v>39</v>
      </c>
      <c r="B66" s="67" t="s">
        <v>191</v>
      </c>
      <c r="C66" s="85"/>
      <c r="D66" s="28"/>
      <c r="E66" s="39"/>
      <c r="F66" s="97"/>
      <c r="G66" s="71"/>
      <c r="H66" s="71"/>
      <c r="I66" s="97"/>
      <c r="J66" s="71"/>
      <c r="K66" s="97"/>
      <c r="L66" s="71"/>
      <c r="M66" s="97"/>
      <c r="N66" s="97"/>
      <c r="O66" s="71"/>
      <c r="P66" s="71"/>
      <c r="Q66" s="71"/>
      <c r="R66" s="71"/>
      <c r="S66" s="71"/>
      <c r="T66" s="71"/>
      <c r="U66" s="71"/>
      <c r="V66" s="71"/>
      <c r="W66" s="71"/>
      <c r="X66" s="39"/>
      <c r="Y66" s="97"/>
      <c r="Z66" s="97"/>
      <c r="AA66" s="70"/>
      <c r="AB66" s="39"/>
      <c r="AC66" s="71"/>
      <c r="AD66" s="39"/>
      <c r="AE66" s="39"/>
      <c r="AF66" s="98"/>
      <c r="AG66" s="98"/>
      <c r="AH66" s="31"/>
      <c r="AI66" s="28"/>
      <c r="AJ66" s="28"/>
      <c r="AK66" s="39"/>
      <c r="AL66" s="73"/>
      <c r="AM66" s="3"/>
    </row>
    <row r="67" spans="1:42" ht="86.25" customHeight="1">
      <c r="A67" s="28">
        <v>1</v>
      </c>
      <c r="B67" s="31" t="s">
        <v>165</v>
      </c>
      <c r="C67" s="28" t="s">
        <v>166</v>
      </c>
      <c r="D67" s="28"/>
      <c r="E67" s="28">
        <v>1</v>
      </c>
      <c r="F67" s="29"/>
      <c r="G67" s="30"/>
      <c r="H67" s="30"/>
      <c r="I67" s="29"/>
      <c r="J67" s="30"/>
      <c r="K67" s="29"/>
      <c r="L67" s="30"/>
      <c r="M67" s="29"/>
      <c r="N67" s="29"/>
      <c r="O67" s="30"/>
      <c r="P67" s="30"/>
      <c r="Q67" s="30"/>
      <c r="R67" s="30"/>
      <c r="S67" s="30"/>
      <c r="T67" s="30"/>
      <c r="U67" s="30"/>
      <c r="V67" s="30"/>
      <c r="W67" s="30"/>
      <c r="X67" s="28">
        <v>1</v>
      </c>
      <c r="Y67" s="29"/>
      <c r="Z67" s="29"/>
      <c r="AA67" s="70" t="s">
        <v>168</v>
      </c>
      <c r="AB67" s="39"/>
      <c r="AC67" s="71"/>
      <c r="AD67" s="39"/>
      <c r="AE67" s="39"/>
      <c r="AF67" s="98"/>
      <c r="AG67" s="98"/>
      <c r="AH67" s="31"/>
      <c r="AI67" s="28"/>
      <c r="AJ67" s="28" t="s">
        <v>194</v>
      </c>
      <c r="AK67" s="28" t="s">
        <v>150</v>
      </c>
      <c r="AL67" s="99" t="s">
        <v>197</v>
      </c>
      <c r="AM67" s="3"/>
    </row>
    <row r="68" spans="1:42" s="121" customFormat="1" ht="14.25">
      <c r="A68" s="105"/>
      <c r="B68" s="106" t="s">
        <v>208</v>
      </c>
      <c r="C68" s="107"/>
      <c r="D68" s="106"/>
      <c r="E68" s="105"/>
      <c r="F68" s="105"/>
      <c r="G68" s="108"/>
      <c r="H68" s="108"/>
      <c r="I68" s="108"/>
      <c r="J68" s="109"/>
      <c r="K68" s="109"/>
      <c r="L68" s="110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5"/>
      <c r="Z68" s="109"/>
      <c r="AA68" s="108"/>
      <c r="AB68" s="111"/>
      <c r="AC68" s="109"/>
      <c r="AD68" s="109"/>
      <c r="AE68" s="112"/>
      <c r="AF68" s="113"/>
      <c r="AG68" s="114">
        <f>SUM(AG24:AG67)</f>
        <v>73541440</v>
      </c>
      <c r="AH68" s="115"/>
      <c r="AI68" s="105"/>
      <c r="AJ68" s="105"/>
      <c r="AK68" s="116"/>
      <c r="AL68" s="117"/>
      <c r="AM68" s="118"/>
      <c r="AN68" s="119"/>
      <c r="AO68" s="120"/>
      <c r="AP68" s="119"/>
    </row>
    <row r="69" spans="1:42" s="45" customFormat="1" ht="15" customHeight="1">
      <c r="A69" s="44"/>
      <c r="G69" s="46"/>
      <c r="H69" s="46"/>
      <c r="I69" s="46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</row>
    <row r="70" spans="1:42" s="6" customFormat="1">
      <c r="A70" s="127"/>
      <c r="E70" s="127"/>
      <c r="F70" s="47"/>
      <c r="K70" s="127"/>
      <c r="X70" s="127"/>
      <c r="AA70" s="61"/>
      <c r="AB70" s="48"/>
      <c r="AF70" s="47"/>
      <c r="AG70" s="47"/>
      <c r="AI70" s="168" t="s">
        <v>199</v>
      </c>
      <c r="AJ70" s="168"/>
      <c r="AK70" s="168"/>
      <c r="AL70" s="168"/>
    </row>
    <row r="71" spans="1:42" s="6" customFormat="1" ht="15.75" customHeight="1">
      <c r="A71" s="127"/>
      <c r="B71" s="6" t="s">
        <v>68</v>
      </c>
      <c r="D71" s="168" t="s">
        <v>83</v>
      </c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 t="s">
        <v>69</v>
      </c>
      <c r="AJ71" s="168"/>
      <c r="AK71" s="168" t="s">
        <v>70</v>
      </c>
      <c r="AL71" s="168"/>
    </row>
    <row r="72" spans="1:42" s="6" customFormat="1" ht="20.25" customHeight="1">
      <c r="A72" s="127" t="s">
        <v>71</v>
      </c>
      <c r="B72" s="6" t="s">
        <v>130</v>
      </c>
      <c r="C72" s="3"/>
      <c r="E72" s="127"/>
      <c r="F72" s="47"/>
      <c r="K72" s="127"/>
      <c r="X72" s="127"/>
      <c r="AA72" s="61"/>
      <c r="AB72" s="48"/>
      <c r="AF72" s="47"/>
      <c r="AG72" s="47"/>
      <c r="AL72" s="100"/>
    </row>
    <row r="73" spans="1:42" s="6" customFormat="1" ht="20.25" customHeight="1">
      <c r="A73" s="127" t="s">
        <v>71</v>
      </c>
      <c r="B73" s="6" t="s">
        <v>131</v>
      </c>
      <c r="C73" s="3"/>
      <c r="E73" s="127"/>
      <c r="F73" s="47"/>
      <c r="K73" s="127"/>
      <c r="X73" s="127"/>
      <c r="AA73" s="61"/>
      <c r="AB73" s="48"/>
      <c r="AF73" s="47"/>
      <c r="AG73" s="47"/>
      <c r="AL73" s="100"/>
    </row>
    <row r="74" spans="1:42" s="6" customFormat="1" ht="20.25" customHeight="1">
      <c r="A74" s="127" t="s">
        <v>71</v>
      </c>
      <c r="B74" s="6" t="s">
        <v>143</v>
      </c>
      <c r="C74" s="3"/>
      <c r="E74" s="127"/>
      <c r="F74" s="47"/>
      <c r="K74" s="127"/>
      <c r="X74" s="127"/>
      <c r="AA74" s="61"/>
      <c r="AB74" s="48"/>
      <c r="AF74" s="47"/>
      <c r="AG74" s="47"/>
      <c r="AL74" s="100"/>
    </row>
    <row r="75" spans="1:42" s="6" customFormat="1" ht="20.25" customHeight="1">
      <c r="A75" s="127" t="s">
        <v>71</v>
      </c>
      <c r="B75" s="6" t="s">
        <v>201</v>
      </c>
      <c r="C75" s="3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8"/>
    </row>
    <row r="76" spans="1:42" s="6" customFormat="1" ht="21" customHeight="1">
      <c r="A76" s="127"/>
      <c r="C76" s="3"/>
      <c r="D76" s="168" t="s">
        <v>85</v>
      </c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 t="s">
        <v>200</v>
      </c>
      <c r="AJ76" s="168"/>
      <c r="AK76" s="168" t="s">
        <v>137</v>
      </c>
      <c r="AL76" s="168"/>
    </row>
    <row r="77" spans="1:42" s="6" customFormat="1">
      <c r="A77" s="127"/>
      <c r="E77" s="127"/>
      <c r="F77" s="47"/>
      <c r="K77" s="127"/>
      <c r="X77" s="127"/>
      <c r="AA77" s="61"/>
      <c r="AB77" s="48"/>
      <c r="AF77" s="47"/>
      <c r="AG77" s="47"/>
      <c r="AI77" s="127"/>
      <c r="AJ77" s="127"/>
      <c r="AK77" s="127"/>
      <c r="AL77" s="100"/>
    </row>
    <row r="78" spans="1:42" s="6" customFormat="1">
      <c r="A78" s="127"/>
      <c r="E78" s="127"/>
      <c r="F78" s="47"/>
      <c r="K78" s="127"/>
      <c r="X78" s="127"/>
      <c r="AA78" s="61"/>
      <c r="AB78" s="48"/>
      <c r="AF78" s="47"/>
      <c r="AG78" s="47"/>
      <c r="AI78" s="127"/>
      <c r="AJ78" s="127"/>
      <c r="AK78" s="127"/>
      <c r="AL78" s="100"/>
    </row>
    <row r="79" spans="1:42" s="6" customFormat="1">
      <c r="A79" s="127"/>
      <c r="E79" s="127"/>
      <c r="F79" s="47"/>
      <c r="K79" s="127"/>
      <c r="X79" s="127"/>
      <c r="AA79" s="61"/>
      <c r="AB79" s="48"/>
      <c r="AF79" s="47"/>
      <c r="AG79" s="47"/>
      <c r="AI79" s="127"/>
      <c r="AJ79" s="127"/>
      <c r="AK79" s="127"/>
      <c r="AL79" s="100"/>
    </row>
    <row r="80" spans="1:42" s="6" customFormat="1">
      <c r="A80" s="127"/>
      <c r="C80" s="3"/>
      <c r="D80" s="3"/>
      <c r="E80" s="123"/>
      <c r="F80" s="5"/>
      <c r="G80" s="3"/>
      <c r="H80" s="3"/>
      <c r="I80" s="3"/>
      <c r="J80" s="3"/>
      <c r="K80" s="12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123"/>
      <c r="Y80" s="3"/>
      <c r="Z80" s="3"/>
      <c r="AA80" s="61"/>
      <c r="AB80" s="48"/>
      <c r="AF80" s="47"/>
      <c r="AG80" s="47"/>
      <c r="AI80" s="127"/>
      <c r="AJ80" s="127"/>
      <c r="AK80" s="127"/>
      <c r="AL80" s="100"/>
    </row>
    <row r="81" spans="1:39" s="6" customFormat="1">
      <c r="A81" s="127"/>
      <c r="E81" s="127"/>
      <c r="F81" s="47"/>
      <c r="K81" s="127"/>
      <c r="X81" s="127"/>
      <c r="AA81" s="61"/>
      <c r="AB81" s="48"/>
      <c r="AF81" s="47"/>
      <c r="AG81" s="47"/>
      <c r="AI81" s="127"/>
      <c r="AJ81" s="127"/>
      <c r="AK81" s="127"/>
      <c r="AL81" s="100"/>
    </row>
    <row r="82" spans="1:39" s="6" customFormat="1">
      <c r="A82" s="127"/>
      <c r="E82" s="127"/>
      <c r="F82" s="47"/>
      <c r="K82" s="127"/>
      <c r="X82" s="127"/>
      <c r="AA82" s="61"/>
      <c r="AB82" s="48"/>
      <c r="AF82" s="47"/>
      <c r="AG82" s="47"/>
      <c r="AI82" s="127"/>
      <c r="AJ82" s="127"/>
      <c r="AK82" s="127"/>
      <c r="AL82" s="100"/>
    </row>
    <row r="83" spans="1:39" s="6" customFormat="1">
      <c r="A83" s="127"/>
      <c r="E83" s="127"/>
      <c r="F83" s="47"/>
      <c r="K83" s="127"/>
      <c r="X83" s="127"/>
      <c r="AA83" s="61"/>
      <c r="AB83" s="48"/>
      <c r="AF83" s="47"/>
      <c r="AG83" s="47"/>
      <c r="AI83" s="127"/>
      <c r="AJ83" s="127"/>
      <c r="AK83" s="127"/>
      <c r="AL83" s="100"/>
    </row>
    <row r="84" spans="1:39" s="6" customFormat="1">
      <c r="A84" s="127"/>
      <c r="E84" s="127"/>
      <c r="F84" s="47"/>
      <c r="K84" s="127"/>
      <c r="X84" s="127"/>
      <c r="AA84" s="61"/>
      <c r="AB84" s="48"/>
      <c r="AF84" s="47"/>
      <c r="AG84" s="47"/>
      <c r="AI84" s="127"/>
      <c r="AJ84" s="127"/>
      <c r="AK84" s="127"/>
      <c r="AL84" s="100"/>
    </row>
    <row r="85" spans="1:39">
      <c r="AA85" s="101"/>
      <c r="AB85" s="49"/>
      <c r="AM85" s="3"/>
    </row>
    <row r="86" spans="1:39" s="6" customFormat="1">
      <c r="A86" s="127"/>
      <c r="E86" s="127"/>
      <c r="F86" s="47"/>
      <c r="K86" s="127"/>
      <c r="X86" s="127"/>
      <c r="AA86" s="61"/>
      <c r="AB86" s="48"/>
      <c r="AF86" s="47"/>
      <c r="AG86" s="47"/>
      <c r="AI86" s="127"/>
      <c r="AJ86" s="127"/>
      <c r="AK86" s="127"/>
      <c r="AL86" s="100"/>
    </row>
    <row r="87" spans="1:39">
      <c r="AA87" s="63"/>
      <c r="AM87" s="3"/>
    </row>
    <row r="88" spans="1:39">
      <c r="A88" s="185" t="s">
        <v>133</v>
      </c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3"/>
    </row>
    <row r="89" spans="1:39">
      <c r="AA89" s="63"/>
      <c r="AM89" s="3"/>
    </row>
    <row r="90" spans="1:39" ht="33" customHeight="1">
      <c r="A90" s="169" t="s">
        <v>5</v>
      </c>
      <c r="B90" s="178" t="s">
        <v>6</v>
      </c>
      <c r="C90" s="171" t="s">
        <v>7</v>
      </c>
      <c r="D90" s="171" t="s">
        <v>8</v>
      </c>
      <c r="E90" s="169" t="s">
        <v>47</v>
      </c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25"/>
      <c r="R90" s="125"/>
      <c r="S90" s="125"/>
      <c r="T90" s="125"/>
      <c r="U90" s="125"/>
      <c r="V90" s="125"/>
      <c r="W90" s="122"/>
      <c r="X90" s="166" t="s">
        <v>48</v>
      </c>
      <c r="Y90" s="167"/>
      <c r="Z90" s="167"/>
      <c r="AA90" s="166" t="s">
        <v>49</v>
      </c>
      <c r="AB90" s="167"/>
      <c r="AC90" s="167"/>
      <c r="AD90" s="169" t="s">
        <v>9</v>
      </c>
      <c r="AE90" s="169" t="s">
        <v>10</v>
      </c>
      <c r="AF90" s="102"/>
      <c r="AG90" s="102"/>
      <c r="AH90" s="169" t="s">
        <v>11</v>
      </c>
      <c r="AI90" s="169" t="s">
        <v>12</v>
      </c>
      <c r="AJ90" s="169" t="s">
        <v>13</v>
      </c>
      <c r="AK90" s="171" t="s">
        <v>51</v>
      </c>
      <c r="AL90" s="169" t="s">
        <v>14</v>
      </c>
    </row>
    <row r="91" spans="1:39" ht="14.25" customHeight="1">
      <c r="A91" s="178"/>
      <c r="B91" s="178"/>
      <c r="C91" s="179"/>
      <c r="D91" s="172"/>
      <c r="E91" s="171" t="s">
        <v>50</v>
      </c>
      <c r="F91" s="174" t="s">
        <v>15</v>
      </c>
      <c r="G91" s="167" t="s">
        <v>16</v>
      </c>
      <c r="H91" s="167"/>
      <c r="I91" s="167"/>
      <c r="J91" s="122" t="s">
        <v>17</v>
      </c>
      <c r="K91" s="125" t="s">
        <v>18</v>
      </c>
      <c r="L91" s="122"/>
      <c r="M91" s="122" t="s">
        <v>17</v>
      </c>
      <c r="N91" s="122" t="s">
        <v>17</v>
      </c>
      <c r="O91" s="122" t="s">
        <v>17</v>
      </c>
      <c r="P91" s="122" t="s">
        <v>19</v>
      </c>
      <c r="Q91" s="122" t="s">
        <v>19</v>
      </c>
      <c r="R91" s="122" t="s">
        <v>19</v>
      </c>
      <c r="S91" s="122" t="s">
        <v>19</v>
      </c>
      <c r="T91" s="122" t="s">
        <v>19</v>
      </c>
      <c r="U91" s="122" t="s">
        <v>19</v>
      </c>
      <c r="V91" s="122" t="s">
        <v>20</v>
      </c>
      <c r="W91" s="122"/>
      <c r="X91" s="171" t="s">
        <v>50</v>
      </c>
      <c r="Y91" s="174" t="s">
        <v>21</v>
      </c>
      <c r="Z91" s="174" t="s">
        <v>22</v>
      </c>
      <c r="AA91" s="163" t="s">
        <v>50</v>
      </c>
      <c r="AB91" s="174" t="s">
        <v>21</v>
      </c>
      <c r="AC91" s="174" t="s">
        <v>23</v>
      </c>
      <c r="AD91" s="169"/>
      <c r="AE91" s="169"/>
      <c r="AF91" s="102"/>
      <c r="AG91" s="102"/>
      <c r="AH91" s="183"/>
      <c r="AI91" s="184"/>
      <c r="AJ91" s="178"/>
      <c r="AK91" s="179"/>
      <c r="AL91" s="170"/>
    </row>
    <row r="92" spans="1:39" ht="14.25" customHeight="1">
      <c r="A92" s="178"/>
      <c r="B92" s="178"/>
      <c r="C92" s="179"/>
      <c r="D92" s="172"/>
      <c r="E92" s="172"/>
      <c r="F92" s="175"/>
      <c r="G92" s="174" t="s">
        <v>24</v>
      </c>
      <c r="H92" s="167" t="s">
        <v>25</v>
      </c>
      <c r="I92" s="167"/>
      <c r="J92" s="122" t="s">
        <v>26</v>
      </c>
      <c r="K92" s="125" t="s">
        <v>27</v>
      </c>
      <c r="L92" s="122" t="s">
        <v>28</v>
      </c>
      <c r="M92" s="122" t="s">
        <v>26</v>
      </c>
      <c r="N92" s="122" t="s">
        <v>26</v>
      </c>
      <c r="O92" s="122" t="s">
        <v>26</v>
      </c>
      <c r="P92" s="122" t="s">
        <v>29</v>
      </c>
      <c r="Q92" s="122" t="s">
        <v>29</v>
      </c>
      <c r="R92" s="122" t="s">
        <v>29</v>
      </c>
      <c r="S92" s="122" t="s">
        <v>29</v>
      </c>
      <c r="T92" s="122" t="s">
        <v>29</v>
      </c>
      <c r="U92" s="122" t="s">
        <v>29</v>
      </c>
      <c r="V92" s="122" t="s">
        <v>26</v>
      </c>
      <c r="W92" s="122" t="s">
        <v>30</v>
      </c>
      <c r="X92" s="172"/>
      <c r="Y92" s="175"/>
      <c r="Z92" s="175"/>
      <c r="AA92" s="164"/>
      <c r="AB92" s="175"/>
      <c r="AC92" s="175"/>
      <c r="AD92" s="169"/>
      <c r="AE92" s="169"/>
      <c r="AF92" s="102"/>
      <c r="AG92" s="102"/>
      <c r="AH92" s="183"/>
      <c r="AI92" s="184"/>
      <c r="AJ92" s="178"/>
      <c r="AK92" s="179"/>
      <c r="AL92" s="170"/>
    </row>
    <row r="93" spans="1:39" ht="14.25" customHeight="1">
      <c r="A93" s="178"/>
      <c r="B93" s="178"/>
      <c r="C93" s="180"/>
      <c r="D93" s="173"/>
      <c r="E93" s="173"/>
      <c r="F93" s="176"/>
      <c r="G93" s="182"/>
      <c r="H93" s="20" t="s">
        <v>31</v>
      </c>
      <c r="I93" s="126" t="s">
        <v>32</v>
      </c>
      <c r="J93" s="122" t="s">
        <v>33</v>
      </c>
      <c r="K93" s="125" t="s">
        <v>34</v>
      </c>
      <c r="L93" s="122" t="s">
        <v>35</v>
      </c>
      <c r="M93" s="122" t="s">
        <v>33</v>
      </c>
      <c r="N93" s="122" t="s">
        <v>36</v>
      </c>
      <c r="O93" s="122" t="s">
        <v>36</v>
      </c>
      <c r="P93" s="122" t="s">
        <v>36</v>
      </c>
      <c r="Q93" s="122" t="s">
        <v>36</v>
      </c>
      <c r="R93" s="122" t="s">
        <v>36</v>
      </c>
      <c r="S93" s="122" t="s">
        <v>36</v>
      </c>
      <c r="T93" s="122" t="s">
        <v>36</v>
      </c>
      <c r="U93" s="122" t="s">
        <v>36</v>
      </c>
      <c r="V93" s="122" t="s">
        <v>36</v>
      </c>
      <c r="W93" s="122" t="s">
        <v>37</v>
      </c>
      <c r="X93" s="173"/>
      <c r="Y93" s="176"/>
      <c r="Z93" s="176"/>
      <c r="AA93" s="165"/>
      <c r="AB93" s="176"/>
      <c r="AC93" s="176"/>
      <c r="AD93" s="169"/>
      <c r="AE93" s="169"/>
      <c r="AF93" s="102"/>
      <c r="AG93" s="102"/>
      <c r="AH93" s="183"/>
      <c r="AI93" s="184"/>
      <c r="AJ93" s="178"/>
      <c r="AK93" s="180"/>
      <c r="AL93" s="170"/>
    </row>
    <row r="94" spans="1:39" ht="15.75" customHeight="1">
      <c r="A94" s="39">
        <v>3</v>
      </c>
      <c r="B94" s="78" t="s">
        <v>62</v>
      </c>
      <c r="C94" s="82"/>
      <c r="D94" s="34">
        <v>2006</v>
      </c>
      <c r="E94" s="34">
        <v>2</v>
      </c>
      <c r="F94" s="35">
        <v>0</v>
      </c>
      <c r="G94" s="35">
        <f t="shared" ref="G94:G99" si="14">H94+I94</f>
        <v>8000000</v>
      </c>
      <c r="H94" s="35">
        <v>8000000</v>
      </c>
      <c r="I94" s="36"/>
      <c r="J94" s="36"/>
      <c r="K94" s="29"/>
      <c r="L94" s="36"/>
      <c r="M94" s="36"/>
      <c r="N94" s="36"/>
      <c r="O94" s="36"/>
      <c r="P94" s="36"/>
      <c r="Q94" s="36"/>
      <c r="R94" s="36" t="e">
        <f>ROUND(#REF!*#REF!,0)</f>
        <v>#REF!</v>
      </c>
      <c r="S94" s="36" t="e">
        <f>ROUND(#REF!*#REF!,0)</f>
        <v>#REF!</v>
      </c>
      <c r="T94" s="36" t="e">
        <f>ROUND(#REF!*#REF!,0)</f>
        <v>#REF!</v>
      </c>
      <c r="U94" s="36" t="e">
        <f>ROUND(#REF!*#REF!,0)</f>
        <v>#REF!</v>
      </c>
      <c r="V94" s="36" t="e">
        <f>M94+N94+O94+P94+SUM(Q94:T94)+U94</f>
        <v>#REF!</v>
      </c>
      <c r="W94" s="36" t="e">
        <f t="shared" ref="W94:W99" si="15">G94-V94</f>
        <v>#REF!</v>
      </c>
      <c r="X94" s="34">
        <v>2</v>
      </c>
      <c r="Y94" s="36">
        <f t="shared" ref="Y94:Y99" si="16">G94</f>
        <v>8000000</v>
      </c>
      <c r="Z94" s="35">
        <v>0</v>
      </c>
      <c r="AA94" s="81">
        <v>0</v>
      </c>
      <c r="AB94" s="36">
        <f t="shared" ref="AB94:AB99" si="17">Y94-G94</f>
        <v>0</v>
      </c>
      <c r="AC94" s="36">
        <f t="shared" ref="AC94:AC99" si="18">F94-Z94</f>
        <v>0</v>
      </c>
      <c r="AD94" s="38">
        <v>0.2</v>
      </c>
      <c r="AE94" s="31" t="s">
        <v>44</v>
      </c>
      <c r="AF94" s="35"/>
      <c r="AG94" s="35"/>
      <c r="AH94" s="31" t="s">
        <v>54</v>
      </c>
      <c r="AI94" s="28" t="s">
        <v>108</v>
      </c>
      <c r="AJ94" s="39" t="s">
        <v>98</v>
      </c>
      <c r="AK94" s="39"/>
      <c r="AL94" s="73"/>
    </row>
    <row r="95" spans="1:39" s="17" customFormat="1" ht="15.75" customHeight="1">
      <c r="A95" s="39">
        <v>4</v>
      </c>
      <c r="B95" s="78" t="s">
        <v>63</v>
      </c>
      <c r="C95" s="82"/>
      <c r="D95" s="34">
        <v>1997</v>
      </c>
      <c r="E95" s="34">
        <v>1</v>
      </c>
      <c r="F95" s="35">
        <v>0</v>
      </c>
      <c r="G95" s="35">
        <f t="shared" si="14"/>
        <v>8000000</v>
      </c>
      <c r="H95" s="35">
        <v>8000000</v>
      </c>
      <c r="I95" s="36"/>
      <c r="J95" s="36"/>
      <c r="K95" s="29"/>
      <c r="L95" s="36"/>
      <c r="M95" s="36"/>
      <c r="N95" s="36"/>
      <c r="O95" s="36"/>
      <c r="P95" s="36"/>
      <c r="Q95" s="36"/>
      <c r="R95" s="36" t="e">
        <f>ROUND(#REF!*#REF!,0)</f>
        <v>#REF!</v>
      </c>
      <c r="S95" s="36" t="e">
        <f>ROUND(#REF!*#REF!,0)</f>
        <v>#REF!</v>
      </c>
      <c r="T95" s="36" t="e">
        <f>ROUND(#REF!*#REF!,0)</f>
        <v>#REF!</v>
      </c>
      <c r="U95" s="36" t="e">
        <f>ROUND(#REF!*#REF!,0)</f>
        <v>#REF!</v>
      </c>
      <c r="V95" s="36" t="e">
        <f>M95+N95+O95+P95+SUM(Q95:T95)+U95</f>
        <v>#REF!</v>
      </c>
      <c r="W95" s="36" t="e">
        <f t="shared" si="15"/>
        <v>#REF!</v>
      </c>
      <c r="X95" s="34">
        <v>1</v>
      </c>
      <c r="Y95" s="36">
        <f t="shared" si="16"/>
        <v>8000000</v>
      </c>
      <c r="Z95" s="35">
        <v>0</v>
      </c>
      <c r="AA95" s="81">
        <v>0</v>
      </c>
      <c r="AB95" s="36">
        <f t="shared" si="17"/>
        <v>0</v>
      </c>
      <c r="AC95" s="36">
        <f t="shared" si="18"/>
        <v>0</v>
      </c>
      <c r="AD95" s="38">
        <v>0.2</v>
      </c>
      <c r="AE95" s="31" t="s">
        <v>44</v>
      </c>
      <c r="AF95" s="35"/>
      <c r="AG95" s="35"/>
      <c r="AH95" s="31" t="s">
        <v>54</v>
      </c>
      <c r="AI95" s="28" t="s">
        <v>108</v>
      </c>
      <c r="AJ95" s="39" t="s">
        <v>98</v>
      </c>
      <c r="AK95" s="39"/>
      <c r="AL95" s="73"/>
    </row>
    <row r="96" spans="1:39" s="17" customFormat="1" ht="15.75" customHeight="1">
      <c r="A96" s="39">
        <v>5</v>
      </c>
      <c r="B96" s="78" t="s">
        <v>64</v>
      </c>
      <c r="C96" s="82"/>
      <c r="D96" s="34">
        <v>2005</v>
      </c>
      <c r="E96" s="34">
        <v>1</v>
      </c>
      <c r="F96" s="35">
        <v>0</v>
      </c>
      <c r="G96" s="35">
        <f t="shared" si="14"/>
        <v>11450000</v>
      </c>
      <c r="H96" s="35">
        <v>11450000</v>
      </c>
      <c r="I96" s="36"/>
      <c r="J96" s="36"/>
      <c r="K96" s="29"/>
      <c r="L96" s="36"/>
      <c r="M96" s="36"/>
      <c r="N96" s="36"/>
      <c r="O96" s="36"/>
      <c r="P96" s="36"/>
      <c r="Q96" s="36"/>
      <c r="R96" s="36" t="e">
        <f>ROUND(#REF!*#REF!,0)</f>
        <v>#REF!</v>
      </c>
      <c r="S96" s="36" t="e">
        <f>ROUND(#REF!*#REF!,0)</f>
        <v>#REF!</v>
      </c>
      <c r="T96" s="36" t="e">
        <f>ROUND(#REF!*#REF!,0)</f>
        <v>#REF!</v>
      </c>
      <c r="U96" s="36" t="e">
        <f>ROUND(#REF!*#REF!,0)</f>
        <v>#REF!</v>
      </c>
      <c r="V96" s="36" t="e">
        <f>M96+N96+O96+P96+SUM(Q96:T96)+U96</f>
        <v>#REF!</v>
      </c>
      <c r="W96" s="36" t="e">
        <f t="shared" si="15"/>
        <v>#REF!</v>
      </c>
      <c r="X96" s="34">
        <v>1</v>
      </c>
      <c r="Y96" s="36">
        <f t="shared" si="16"/>
        <v>11450000</v>
      </c>
      <c r="Z96" s="35">
        <v>0</v>
      </c>
      <c r="AA96" s="81">
        <v>0</v>
      </c>
      <c r="AB96" s="36">
        <f t="shared" si="17"/>
        <v>0</v>
      </c>
      <c r="AC96" s="36">
        <f t="shared" si="18"/>
        <v>0</v>
      </c>
      <c r="AD96" s="38">
        <v>0.2</v>
      </c>
      <c r="AE96" s="31"/>
      <c r="AF96" s="35"/>
      <c r="AG96" s="35"/>
      <c r="AH96" s="31" t="s">
        <v>54</v>
      </c>
      <c r="AI96" s="28" t="s">
        <v>108</v>
      </c>
      <c r="AJ96" s="39" t="s">
        <v>98</v>
      </c>
      <c r="AK96" s="39"/>
      <c r="AL96" s="73"/>
    </row>
    <row r="97" spans="1:39" s="17" customFormat="1" ht="15.75" customHeight="1">
      <c r="A97" s="39">
        <v>6</v>
      </c>
      <c r="B97" s="78" t="s">
        <v>64</v>
      </c>
      <c r="C97" s="82"/>
      <c r="D97" s="34">
        <v>1997</v>
      </c>
      <c r="E97" s="34">
        <v>1</v>
      </c>
      <c r="F97" s="35">
        <v>0</v>
      </c>
      <c r="G97" s="35">
        <f t="shared" si="14"/>
        <v>6500000</v>
      </c>
      <c r="H97" s="35">
        <v>6500000</v>
      </c>
      <c r="I97" s="36"/>
      <c r="J97" s="36"/>
      <c r="K97" s="29"/>
      <c r="L97" s="36"/>
      <c r="M97" s="36"/>
      <c r="N97" s="36"/>
      <c r="O97" s="36"/>
      <c r="P97" s="36"/>
      <c r="Q97" s="36"/>
      <c r="R97" s="36" t="e">
        <f>ROUND(#REF!*#REF!,0)</f>
        <v>#REF!</v>
      </c>
      <c r="S97" s="36" t="e">
        <f>ROUND(#REF!*#REF!,0)</f>
        <v>#REF!</v>
      </c>
      <c r="T97" s="36" t="e">
        <f>ROUND(#REF!*#REF!,0)</f>
        <v>#REF!</v>
      </c>
      <c r="U97" s="36" t="e">
        <f>ROUND(#REF!*#REF!,0)</f>
        <v>#REF!</v>
      </c>
      <c r="V97" s="36" t="e">
        <f>M97+N97+O97+P97+SUM(Q97:T97)+U97</f>
        <v>#REF!</v>
      </c>
      <c r="W97" s="36" t="e">
        <f t="shared" si="15"/>
        <v>#REF!</v>
      </c>
      <c r="X97" s="34">
        <v>1</v>
      </c>
      <c r="Y97" s="36">
        <f t="shared" si="16"/>
        <v>6500000</v>
      </c>
      <c r="Z97" s="35">
        <v>0</v>
      </c>
      <c r="AA97" s="81">
        <v>0</v>
      </c>
      <c r="AB97" s="36">
        <f t="shared" si="17"/>
        <v>0</v>
      </c>
      <c r="AC97" s="36">
        <f t="shared" si="18"/>
        <v>0</v>
      </c>
      <c r="AD97" s="38">
        <v>0.2</v>
      </c>
      <c r="AE97" s="31"/>
      <c r="AF97" s="35"/>
      <c r="AG97" s="35"/>
      <c r="AH97" s="31" t="s">
        <v>54</v>
      </c>
      <c r="AI97" s="28" t="s">
        <v>108</v>
      </c>
      <c r="AJ97" s="39" t="s">
        <v>98</v>
      </c>
      <c r="AK97" s="39"/>
      <c r="AL97" s="73"/>
    </row>
    <row r="98" spans="1:39" s="17" customFormat="1" ht="15.75" customHeight="1">
      <c r="A98" s="39">
        <v>7</v>
      </c>
      <c r="B98" s="78" t="s">
        <v>58</v>
      </c>
      <c r="C98" s="82"/>
      <c r="D98" s="34">
        <v>2000</v>
      </c>
      <c r="E98" s="34">
        <v>1</v>
      </c>
      <c r="F98" s="35">
        <v>0</v>
      </c>
      <c r="G98" s="35">
        <f t="shared" si="14"/>
        <v>30000000</v>
      </c>
      <c r="H98" s="35">
        <v>30000000</v>
      </c>
      <c r="I98" s="36"/>
      <c r="J98" s="36"/>
      <c r="K98" s="29"/>
      <c r="L98" s="36"/>
      <c r="M98" s="36"/>
      <c r="N98" s="36"/>
      <c r="O98" s="36"/>
      <c r="P98" s="36"/>
      <c r="Q98" s="36"/>
      <c r="R98" s="36" t="e">
        <f>ROUND(#REF!*#REF!,0)</f>
        <v>#REF!</v>
      </c>
      <c r="S98" s="36" t="e">
        <f>ROUND(#REF!*#REF!,0)</f>
        <v>#REF!</v>
      </c>
      <c r="T98" s="36" t="e">
        <f>ROUND(#REF!*#REF!,0)</f>
        <v>#REF!</v>
      </c>
      <c r="U98" s="36" t="e">
        <f>ROUND(#REF!*#REF!,0)</f>
        <v>#REF!</v>
      </c>
      <c r="V98" s="36" t="e">
        <f>M98+N98+O98+P98+SUM(Q98:T98)+U98</f>
        <v>#REF!</v>
      </c>
      <c r="W98" s="36" t="e">
        <f t="shared" si="15"/>
        <v>#REF!</v>
      </c>
      <c r="X98" s="34">
        <v>1</v>
      </c>
      <c r="Y98" s="36">
        <f t="shared" si="16"/>
        <v>30000000</v>
      </c>
      <c r="Z98" s="35">
        <v>0</v>
      </c>
      <c r="AA98" s="81">
        <v>0</v>
      </c>
      <c r="AB98" s="36">
        <f t="shared" si="17"/>
        <v>0</v>
      </c>
      <c r="AC98" s="36">
        <f t="shared" si="18"/>
        <v>0</v>
      </c>
      <c r="AD98" s="38">
        <v>0.2</v>
      </c>
      <c r="AE98" s="31"/>
      <c r="AF98" s="35"/>
      <c r="AG98" s="35"/>
      <c r="AH98" s="31" t="s">
        <v>54</v>
      </c>
      <c r="AI98" s="28" t="s">
        <v>108</v>
      </c>
      <c r="AJ98" s="39" t="s">
        <v>98</v>
      </c>
      <c r="AK98" s="39"/>
      <c r="AL98" s="73"/>
    </row>
    <row r="99" spans="1:39" s="17" customFormat="1" ht="15.75" customHeight="1">
      <c r="A99" s="39">
        <v>8</v>
      </c>
      <c r="B99" s="31" t="s">
        <v>59</v>
      </c>
      <c r="C99" s="82"/>
      <c r="D99" s="28">
        <v>2011</v>
      </c>
      <c r="E99" s="28">
        <v>1</v>
      </c>
      <c r="F99" s="35">
        <v>5250000</v>
      </c>
      <c r="G99" s="35">
        <f t="shared" si="14"/>
        <v>14000000</v>
      </c>
      <c r="H99" s="35">
        <v>14000000</v>
      </c>
      <c r="I99" s="36"/>
      <c r="J99" s="36"/>
      <c r="K99" s="29"/>
      <c r="L99" s="36"/>
      <c r="M99" s="36"/>
      <c r="N99" s="36"/>
      <c r="O99" s="36"/>
      <c r="P99" s="36"/>
      <c r="Q99" s="36"/>
      <c r="R99" s="36" t="e">
        <f>ROUND(#REF!*#REF!,0)</f>
        <v>#REF!</v>
      </c>
      <c r="S99" s="36" t="e">
        <f>ROUND(#REF!*#REF!,0)</f>
        <v>#REF!</v>
      </c>
      <c r="T99" s="36" t="e">
        <f>ROUND(#REF!*#REF!,0)</f>
        <v>#REF!</v>
      </c>
      <c r="U99" s="36" t="e">
        <f>ROUND(#REF!*#REF!,0)</f>
        <v>#REF!</v>
      </c>
      <c r="V99" s="36" t="e">
        <f t="shared" ref="V99" si="19">M99+N99+O99+P99+SUM(Q99:T99)+U99</f>
        <v>#REF!</v>
      </c>
      <c r="W99" s="36" t="e">
        <f t="shared" si="15"/>
        <v>#REF!</v>
      </c>
      <c r="X99" s="28">
        <v>1</v>
      </c>
      <c r="Y99" s="36">
        <f t="shared" si="16"/>
        <v>14000000</v>
      </c>
      <c r="Z99" s="35">
        <v>5250000</v>
      </c>
      <c r="AA99" s="81">
        <v>0</v>
      </c>
      <c r="AB99" s="36">
        <f t="shared" si="17"/>
        <v>0</v>
      </c>
      <c r="AC99" s="36">
        <f t="shared" si="18"/>
        <v>0</v>
      </c>
      <c r="AD99" s="40">
        <v>0.125</v>
      </c>
      <c r="AE99" s="31"/>
      <c r="AF99" s="35"/>
      <c r="AG99" s="35"/>
      <c r="AH99" s="31" t="s">
        <v>54</v>
      </c>
      <c r="AI99" s="28" t="s">
        <v>108</v>
      </c>
      <c r="AJ99" s="39" t="s">
        <v>98</v>
      </c>
      <c r="AK99" s="39"/>
      <c r="AL99" s="73"/>
    </row>
    <row r="100" spans="1:39" s="17" customFormat="1" ht="15.75" customHeight="1">
      <c r="A100" s="39">
        <v>9</v>
      </c>
      <c r="B100" s="78" t="s">
        <v>61</v>
      </c>
      <c r="C100" s="82"/>
      <c r="D100" s="28">
        <v>2012</v>
      </c>
      <c r="E100" s="34">
        <v>1</v>
      </c>
      <c r="F100" s="35"/>
      <c r="G100" s="35"/>
      <c r="H100" s="35"/>
      <c r="I100" s="36"/>
      <c r="J100" s="36"/>
      <c r="K100" s="29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4">
        <v>1</v>
      </c>
      <c r="Y100" s="36"/>
      <c r="Z100" s="35"/>
      <c r="AA100" s="81">
        <v>0</v>
      </c>
      <c r="AB100" s="36"/>
      <c r="AC100" s="36"/>
      <c r="AD100" s="40"/>
      <c r="AE100" s="31"/>
      <c r="AF100" s="35"/>
      <c r="AG100" s="35"/>
      <c r="AH100" s="31" t="s">
        <v>54</v>
      </c>
      <c r="AI100" s="28" t="s">
        <v>108</v>
      </c>
      <c r="AJ100" s="39" t="s">
        <v>98</v>
      </c>
      <c r="AK100" s="39"/>
      <c r="AL100" s="73"/>
    </row>
    <row r="101" spans="1:39" s="17" customFormat="1" ht="15.75" customHeight="1">
      <c r="A101" s="39">
        <v>10</v>
      </c>
      <c r="B101" s="31" t="s">
        <v>67</v>
      </c>
      <c r="C101" s="82"/>
      <c r="D101" s="28">
        <v>2007</v>
      </c>
      <c r="E101" s="34">
        <v>2</v>
      </c>
      <c r="F101" s="35"/>
      <c r="G101" s="35"/>
      <c r="H101" s="35"/>
      <c r="I101" s="36"/>
      <c r="J101" s="36"/>
      <c r="K101" s="29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4">
        <v>2</v>
      </c>
      <c r="Y101" s="36"/>
      <c r="Z101" s="35"/>
      <c r="AA101" s="81">
        <v>0</v>
      </c>
      <c r="AB101" s="36"/>
      <c r="AC101" s="36"/>
      <c r="AD101" s="38"/>
      <c r="AE101" s="31"/>
      <c r="AF101" s="35"/>
      <c r="AG101" s="35"/>
      <c r="AH101" s="31" t="s">
        <v>54</v>
      </c>
      <c r="AI101" s="28" t="s">
        <v>108</v>
      </c>
      <c r="AJ101" s="39" t="s">
        <v>98</v>
      </c>
      <c r="AK101" s="39"/>
      <c r="AL101" s="73"/>
    </row>
    <row r="102" spans="1:39">
      <c r="A102" s="3"/>
      <c r="AA102" s="63"/>
      <c r="AM102" s="3"/>
    </row>
    <row r="103" spans="1:39" ht="16.5" customHeight="1">
      <c r="A103" s="185" t="s">
        <v>134</v>
      </c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  <c r="AF103" s="185"/>
      <c r="AG103" s="185"/>
      <c r="AH103" s="185"/>
      <c r="AI103" s="185"/>
      <c r="AJ103" s="185"/>
      <c r="AK103" s="185"/>
      <c r="AL103" s="188"/>
    </row>
    <row r="105" spans="1:39" ht="33" customHeight="1">
      <c r="A105" s="169" t="s">
        <v>5</v>
      </c>
      <c r="B105" s="178" t="s">
        <v>6</v>
      </c>
      <c r="C105" s="171" t="s">
        <v>7</v>
      </c>
      <c r="D105" s="171" t="s">
        <v>8</v>
      </c>
      <c r="E105" s="169" t="s">
        <v>47</v>
      </c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25"/>
      <c r="R105" s="125"/>
      <c r="S105" s="125"/>
      <c r="T105" s="125"/>
      <c r="U105" s="125"/>
      <c r="V105" s="125"/>
      <c r="W105" s="122"/>
      <c r="X105" s="166" t="s">
        <v>48</v>
      </c>
      <c r="Y105" s="167"/>
      <c r="Z105" s="167"/>
      <c r="AA105" s="166" t="s">
        <v>49</v>
      </c>
      <c r="AB105" s="167"/>
      <c r="AC105" s="167"/>
      <c r="AD105" s="169" t="s">
        <v>9</v>
      </c>
      <c r="AE105" s="169" t="s">
        <v>10</v>
      </c>
      <c r="AF105" s="102"/>
      <c r="AG105" s="102"/>
      <c r="AH105" s="169" t="s">
        <v>11</v>
      </c>
      <c r="AI105" s="169" t="s">
        <v>12</v>
      </c>
      <c r="AJ105" s="169" t="s">
        <v>13</v>
      </c>
      <c r="AK105" s="171" t="s">
        <v>51</v>
      </c>
      <c r="AL105" s="169" t="s">
        <v>14</v>
      </c>
    </row>
    <row r="106" spans="1:39" ht="14.25" customHeight="1">
      <c r="A106" s="178"/>
      <c r="B106" s="178"/>
      <c r="C106" s="179"/>
      <c r="D106" s="172"/>
      <c r="E106" s="171" t="s">
        <v>50</v>
      </c>
      <c r="F106" s="174" t="s">
        <v>15</v>
      </c>
      <c r="G106" s="167" t="s">
        <v>16</v>
      </c>
      <c r="H106" s="167"/>
      <c r="I106" s="167"/>
      <c r="J106" s="122" t="s">
        <v>17</v>
      </c>
      <c r="K106" s="125" t="s">
        <v>18</v>
      </c>
      <c r="L106" s="122"/>
      <c r="M106" s="122" t="s">
        <v>17</v>
      </c>
      <c r="N106" s="122" t="s">
        <v>17</v>
      </c>
      <c r="O106" s="122" t="s">
        <v>17</v>
      </c>
      <c r="P106" s="122" t="s">
        <v>19</v>
      </c>
      <c r="Q106" s="122" t="s">
        <v>19</v>
      </c>
      <c r="R106" s="122" t="s">
        <v>19</v>
      </c>
      <c r="S106" s="122" t="s">
        <v>19</v>
      </c>
      <c r="T106" s="122" t="s">
        <v>19</v>
      </c>
      <c r="U106" s="122" t="s">
        <v>19</v>
      </c>
      <c r="V106" s="122" t="s">
        <v>20</v>
      </c>
      <c r="W106" s="122"/>
      <c r="X106" s="171" t="s">
        <v>50</v>
      </c>
      <c r="Y106" s="174" t="s">
        <v>21</v>
      </c>
      <c r="Z106" s="174" t="s">
        <v>22</v>
      </c>
      <c r="AA106" s="163" t="s">
        <v>50</v>
      </c>
      <c r="AB106" s="174" t="s">
        <v>21</v>
      </c>
      <c r="AC106" s="174" t="s">
        <v>23</v>
      </c>
      <c r="AD106" s="169"/>
      <c r="AE106" s="169"/>
      <c r="AF106" s="102"/>
      <c r="AG106" s="102"/>
      <c r="AH106" s="183"/>
      <c r="AI106" s="184"/>
      <c r="AJ106" s="178"/>
      <c r="AK106" s="179"/>
      <c r="AL106" s="170"/>
    </row>
    <row r="107" spans="1:39" ht="14.25" customHeight="1">
      <c r="A107" s="178"/>
      <c r="B107" s="178"/>
      <c r="C107" s="179"/>
      <c r="D107" s="172"/>
      <c r="E107" s="172"/>
      <c r="F107" s="175"/>
      <c r="G107" s="174" t="s">
        <v>24</v>
      </c>
      <c r="H107" s="167" t="s">
        <v>25</v>
      </c>
      <c r="I107" s="167"/>
      <c r="J107" s="122" t="s">
        <v>26</v>
      </c>
      <c r="K107" s="125" t="s">
        <v>27</v>
      </c>
      <c r="L107" s="122" t="s">
        <v>28</v>
      </c>
      <c r="M107" s="122" t="s">
        <v>26</v>
      </c>
      <c r="N107" s="122" t="s">
        <v>26</v>
      </c>
      <c r="O107" s="122" t="s">
        <v>26</v>
      </c>
      <c r="P107" s="122" t="s">
        <v>29</v>
      </c>
      <c r="Q107" s="122" t="s">
        <v>29</v>
      </c>
      <c r="R107" s="122" t="s">
        <v>29</v>
      </c>
      <c r="S107" s="122" t="s">
        <v>29</v>
      </c>
      <c r="T107" s="122" t="s">
        <v>29</v>
      </c>
      <c r="U107" s="122" t="s">
        <v>29</v>
      </c>
      <c r="V107" s="122" t="s">
        <v>26</v>
      </c>
      <c r="W107" s="122" t="s">
        <v>30</v>
      </c>
      <c r="X107" s="172"/>
      <c r="Y107" s="175"/>
      <c r="Z107" s="175"/>
      <c r="AA107" s="164"/>
      <c r="AB107" s="175"/>
      <c r="AC107" s="175"/>
      <c r="AD107" s="169"/>
      <c r="AE107" s="169"/>
      <c r="AF107" s="102"/>
      <c r="AG107" s="102"/>
      <c r="AH107" s="183"/>
      <c r="AI107" s="184"/>
      <c r="AJ107" s="178"/>
      <c r="AK107" s="179"/>
      <c r="AL107" s="170"/>
    </row>
    <row r="108" spans="1:39" ht="14.25" customHeight="1">
      <c r="A108" s="178"/>
      <c r="B108" s="178"/>
      <c r="C108" s="180"/>
      <c r="D108" s="173"/>
      <c r="E108" s="173"/>
      <c r="F108" s="176"/>
      <c r="G108" s="182"/>
      <c r="H108" s="20" t="s">
        <v>31</v>
      </c>
      <c r="I108" s="126" t="s">
        <v>32</v>
      </c>
      <c r="J108" s="122" t="s">
        <v>33</v>
      </c>
      <c r="K108" s="125" t="s">
        <v>34</v>
      </c>
      <c r="L108" s="122" t="s">
        <v>35</v>
      </c>
      <c r="M108" s="122" t="s">
        <v>33</v>
      </c>
      <c r="N108" s="122" t="s">
        <v>36</v>
      </c>
      <c r="O108" s="122" t="s">
        <v>36</v>
      </c>
      <c r="P108" s="122" t="s">
        <v>36</v>
      </c>
      <c r="Q108" s="122" t="s">
        <v>36</v>
      </c>
      <c r="R108" s="122" t="s">
        <v>36</v>
      </c>
      <c r="S108" s="122" t="s">
        <v>36</v>
      </c>
      <c r="T108" s="122" t="s">
        <v>36</v>
      </c>
      <c r="U108" s="122" t="s">
        <v>36</v>
      </c>
      <c r="V108" s="122" t="s">
        <v>36</v>
      </c>
      <c r="W108" s="122" t="s">
        <v>37</v>
      </c>
      <c r="X108" s="173"/>
      <c r="Y108" s="176"/>
      <c r="Z108" s="176"/>
      <c r="AA108" s="165"/>
      <c r="AB108" s="176"/>
      <c r="AC108" s="176"/>
      <c r="AD108" s="169"/>
      <c r="AE108" s="169"/>
      <c r="AF108" s="102"/>
      <c r="AG108" s="102"/>
      <c r="AH108" s="183"/>
      <c r="AI108" s="184"/>
      <c r="AJ108" s="178"/>
      <c r="AK108" s="180"/>
      <c r="AL108" s="170"/>
    </row>
    <row r="109" spans="1:39" ht="15.75" customHeight="1">
      <c r="A109" s="39">
        <v>1</v>
      </c>
      <c r="B109" s="78" t="s">
        <v>52</v>
      </c>
      <c r="C109" s="82"/>
      <c r="D109" s="34">
        <v>2011</v>
      </c>
      <c r="E109" s="29">
        <v>1</v>
      </c>
      <c r="F109" s="35">
        <v>0</v>
      </c>
      <c r="G109" s="35">
        <f>H109+I109</f>
        <v>50000000</v>
      </c>
      <c r="H109" s="35">
        <v>50000000</v>
      </c>
      <c r="I109" s="36"/>
      <c r="J109" s="35">
        <f>G109-F109</f>
        <v>50000000</v>
      </c>
      <c r="K109" s="35">
        <f>ROUND(G109*10%,0)</f>
        <v>5000000</v>
      </c>
      <c r="L109" s="35">
        <f>G109-J109-K109</f>
        <v>-5000000</v>
      </c>
      <c r="M109" s="36">
        <v>50000000</v>
      </c>
      <c r="N109" s="36">
        <v>0</v>
      </c>
      <c r="O109" s="36">
        <v>0</v>
      </c>
      <c r="P109" s="36">
        <v>0</v>
      </c>
      <c r="Q109" s="36">
        <v>0</v>
      </c>
      <c r="R109" s="36">
        <v>0</v>
      </c>
      <c r="S109" s="36">
        <v>0</v>
      </c>
      <c r="T109" s="36">
        <v>0</v>
      </c>
      <c r="U109" s="36">
        <v>0</v>
      </c>
      <c r="V109" s="36">
        <f>M109+N109+O109+P109+SUM(Q109:T109)+U109</f>
        <v>50000000</v>
      </c>
      <c r="W109" s="36">
        <f t="shared" ref="W109" si="20">G109-V109</f>
        <v>0</v>
      </c>
      <c r="X109" s="29">
        <v>1</v>
      </c>
      <c r="Y109" s="36">
        <f t="shared" ref="Y109" si="21">G109</f>
        <v>50000000</v>
      </c>
      <c r="Z109" s="35">
        <v>0</v>
      </c>
      <c r="AA109" s="81">
        <v>0</v>
      </c>
      <c r="AB109" s="36">
        <f t="shared" ref="AB109:AB110" si="22">Y109-G109</f>
        <v>0</v>
      </c>
      <c r="AC109" s="35">
        <f>F109-Z109</f>
        <v>0</v>
      </c>
      <c r="AD109" s="103">
        <v>0.125</v>
      </c>
      <c r="AE109" s="31" t="s">
        <v>42</v>
      </c>
      <c r="AF109" s="35"/>
      <c r="AG109" s="35"/>
      <c r="AH109" s="31" t="s">
        <v>54</v>
      </c>
      <c r="AI109" s="28" t="s">
        <v>108</v>
      </c>
      <c r="AJ109" s="28" t="s">
        <v>109</v>
      </c>
      <c r="AK109" s="39"/>
      <c r="AL109" s="73"/>
    </row>
    <row r="110" spans="1:39" ht="15.75" customHeight="1">
      <c r="A110" s="39">
        <v>2</v>
      </c>
      <c r="B110" s="78" t="s">
        <v>53</v>
      </c>
      <c r="C110" s="82"/>
      <c r="D110" s="34">
        <v>2010</v>
      </c>
      <c r="E110" s="29">
        <v>3</v>
      </c>
      <c r="F110" s="35">
        <v>0</v>
      </c>
      <c r="G110" s="35">
        <f t="shared" ref="G110" si="23">H110+I110</f>
        <v>0</v>
      </c>
      <c r="H110" s="35"/>
      <c r="I110" s="36"/>
      <c r="J110" s="35"/>
      <c r="K110" s="35"/>
      <c r="L110" s="35"/>
      <c r="M110" s="36"/>
      <c r="N110" s="36"/>
      <c r="O110" s="36"/>
      <c r="P110" s="36"/>
      <c r="Q110" s="36"/>
      <c r="R110" s="36" t="e">
        <f>ROUND(#REF!*#REF!,0)</f>
        <v>#REF!</v>
      </c>
      <c r="S110" s="36" t="e">
        <f>ROUND(#REF!*#REF!,0)</f>
        <v>#REF!</v>
      </c>
      <c r="T110" s="36"/>
      <c r="U110" s="36"/>
      <c r="V110" s="36" t="e">
        <f t="shared" ref="V110" si="24">M110+N110+O110+P110+SUM(Q110:T110)+U110</f>
        <v>#REF!</v>
      </c>
      <c r="W110" s="36"/>
      <c r="X110" s="29">
        <v>3</v>
      </c>
      <c r="Y110" s="36"/>
      <c r="Z110" s="35">
        <v>0</v>
      </c>
      <c r="AA110" s="81">
        <v>0</v>
      </c>
      <c r="AB110" s="36">
        <f t="shared" si="22"/>
        <v>0</v>
      </c>
      <c r="AC110" s="35">
        <f t="shared" ref="AC110" si="25">F110-Z110</f>
        <v>0</v>
      </c>
      <c r="AD110" s="103"/>
      <c r="AE110" s="31" t="s">
        <v>42</v>
      </c>
      <c r="AF110" s="35"/>
      <c r="AG110" s="35"/>
      <c r="AH110" s="31" t="s">
        <v>54</v>
      </c>
      <c r="AI110" s="28" t="s">
        <v>108</v>
      </c>
      <c r="AJ110" s="28" t="s">
        <v>109</v>
      </c>
      <c r="AK110" s="39"/>
      <c r="AL110" s="73"/>
    </row>
    <row r="113" spans="1:2">
      <c r="A113" s="3"/>
      <c r="B113" s="13"/>
    </row>
  </sheetData>
  <mergeCells count="95">
    <mergeCell ref="AA106:AA108"/>
    <mergeCell ref="AB106:AB108"/>
    <mergeCell ref="AC106:AC108"/>
    <mergeCell ref="G107:G108"/>
    <mergeCell ref="H107:I107"/>
    <mergeCell ref="F106:F108"/>
    <mergeCell ref="G106:I106"/>
    <mergeCell ref="X106:X108"/>
    <mergeCell ref="Y106:Y108"/>
    <mergeCell ref="Z106:Z108"/>
    <mergeCell ref="A103:AL103"/>
    <mergeCell ref="A105:A108"/>
    <mergeCell ref="B105:B108"/>
    <mergeCell ref="C105:C108"/>
    <mergeCell ref="D105:D108"/>
    <mergeCell ref="E105:P105"/>
    <mergeCell ref="X105:Z105"/>
    <mergeCell ref="AA105:AC105"/>
    <mergeCell ref="AD105:AD108"/>
    <mergeCell ref="AE105:AE108"/>
    <mergeCell ref="AH105:AH108"/>
    <mergeCell ref="AI105:AI108"/>
    <mergeCell ref="AJ105:AJ108"/>
    <mergeCell ref="AK105:AK108"/>
    <mergeCell ref="AL105:AL108"/>
    <mergeCell ref="E106:E108"/>
    <mergeCell ref="AA91:AA93"/>
    <mergeCell ref="AB91:AB93"/>
    <mergeCell ref="AC91:AC93"/>
    <mergeCell ref="G92:G93"/>
    <mergeCell ref="H92:I92"/>
    <mergeCell ref="F91:F93"/>
    <mergeCell ref="G91:I91"/>
    <mergeCell ref="X91:X93"/>
    <mergeCell ref="Y91:Y93"/>
    <mergeCell ref="Z91:Z93"/>
    <mergeCell ref="A88:AL88"/>
    <mergeCell ref="A90:A93"/>
    <mergeCell ref="B90:B93"/>
    <mergeCell ref="C90:C93"/>
    <mergeCell ref="D90:D93"/>
    <mergeCell ref="E90:P90"/>
    <mergeCell ref="X90:Z90"/>
    <mergeCell ref="AA90:AC90"/>
    <mergeCell ref="AD90:AD93"/>
    <mergeCell ref="AE90:AE93"/>
    <mergeCell ref="AH90:AH93"/>
    <mergeCell ref="AI90:AI93"/>
    <mergeCell ref="AJ90:AJ93"/>
    <mergeCell ref="AK90:AK93"/>
    <mergeCell ref="AL90:AL93"/>
    <mergeCell ref="E91:E93"/>
    <mergeCell ref="A15:A18"/>
    <mergeCell ref="B15:B18"/>
    <mergeCell ref="C15:C18"/>
    <mergeCell ref="D15:D18"/>
    <mergeCell ref="E15:P15"/>
    <mergeCell ref="G17:G18"/>
    <mergeCell ref="H17:I17"/>
    <mergeCell ref="E16:E18"/>
    <mergeCell ref="F16:F18"/>
    <mergeCell ref="G16:I16"/>
    <mergeCell ref="Z1:AL1"/>
    <mergeCell ref="Z2:AL2"/>
    <mergeCell ref="A3:AL3"/>
    <mergeCell ref="Z4:AL4"/>
    <mergeCell ref="A5:AL5"/>
    <mergeCell ref="AI76:AJ76"/>
    <mergeCell ref="AK76:AL76"/>
    <mergeCell ref="AB16:AB18"/>
    <mergeCell ref="AC16:AC18"/>
    <mergeCell ref="E75:AH75"/>
    <mergeCell ref="AI75:AJ75"/>
    <mergeCell ref="AK75:AL75"/>
    <mergeCell ref="AI70:AL70"/>
    <mergeCell ref="AD15:AD18"/>
    <mergeCell ref="AE15:AE18"/>
    <mergeCell ref="AH15:AH18"/>
    <mergeCell ref="AI15:AI18"/>
    <mergeCell ref="AI71:AJ71"/>
    <mergeCell ref="AK71:AL71"/>
    <mergeCell ref="Z16:Z18"/>
    <mergeCell ref="D76:AH76"/>
    <mergeCell ref="AA16:AA18"/>
    <mergeCell ref="X15:Z15"/>
    <mergeCell ref="AA15:AC15"/>
    <mergeCell ref="D71:AH71"/>
    <mergeCell ref="AL15:AL18"/>
    <mergeCell ref="X16:X18"/>
    <mergeCell ref="Y16:Y18"/>
    <mergeCell ref="AA69:AL69"/>
    <mergeCell ref="AJ15:AJ18"/>
    <mergeCell ref="AK15:AK18"/>
    <mergeCell ref="AF15:AF18"/>
    <mergeCell ref="AG15:AG18"/>
  </mergeCells>
  <phoneticPr fontId="21" type="noConversion"/>
  <printOptions horizontalCentered="1"/>
  <pageMargins left="0.25" right="0.19685039370078741" top="0.31496062992125984" bottom="0.27559055118110237" header="0.19685039370078741" footer="0.19685039370078741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AM66"/>
  <sheetViews>
    <sheetView tabSelected="1" topLeftCell="A40" zoomScaleSheetLayoutView="102" workbookViewId="0">
      <selection activeCell="AG40" sqref="AG40"/>
    </sheetView>
  </sheetViews>
  <sheetFormatPr defaultColWidth="9.140625" defaultRowHeight="15.75"/>
  <cols>
    <col min="1" max="1" width="3.85546875" style="4" customWidth="1"/>
    <col min="2" max="2" width="42.28515625" style="3" customWidth="1"/>
    <col min="3" max="4" width="8.7109375" style="3" customWidth="1"/>
    <col min="5" max="5" width="8.140625" style="4" customWidth="1"/>
    <col min="6" max="6" width="11.5703125" style="5" hidden="1" customWidth="1"/>
    <col min="7" max="7" width="12.140625" style="3" hidden="1" customWidth="1"/>
    <col min="8" max="8" width="11.28515625" style="3" hidden="1" customWidth="1"/>
    <col min="9" max="9" width="12.42578125" style="3" hidden="1" customWidth="1"/>
    <col min="10" max="10" width="10.140625" style="3" hidden="1" customWidth="1"/>
    <col min="11" max="11" width="12.5703125" style="4" hidden="1" customWidth="1"/>
    <col min="12" max="12" width="10.85546875" style="3" hidden="1" customWidth="1"/>
    <col min="13" max="14" width="9.28515625" style="3" hidden="1" customWidth="1"/>
    <col min="15" max="15" width="10" style="3" hidden="1" customWidth="1"/>
    <col min="16" max="16" width="9.5703125" style="3" hidden="1" customWidth="1"/>
    <col min="17" max="17" width="9.42578125" style="3" hidden="1" customWidth="1"/>
    <col min="18" max="18" width="9" style="3" hidden="1" customWidth="1"/>
    <col min="19" max="19" width="11.28515625" style="3" hidden="1" customWidth="1"/>
    <col min="20" max="20" width="11.5703125" style="3" hidden="1" customWidth="1"/>
    <col min="21" max="22" width="10.5703125" style="3" hidden="1" customWidth="1"/>
    <col min="23" max="23" width="0.140625" style="3" hidden="1" customWidth="1"/>
    <col min="24" max="24" width="8.140625" style="4" customWidth="1"/>
    <col min="25" max="25" width="12" style="3" hidden="1" customWidth="1"/>
    <col min="26" max="26" width="5.5703125" style="3" hidden="1" customWidth="1"/>
    <col min="27" max="27" width="8.85546875" style="50" customWidth="1"/>
    <col min="28" max="28" width="6.140625" style="3" hidden="1" customWidth="1"/>
    <col min="29" max="29" width="5.5703125" style="3" hidden="1" customWidth="1"/>
    <col min="30" max="30" width="7.140625" style="3" hidden="1" customWidth="1"/>
    <col min="31" max="31" width="5.42578125" style="3" hidden="1" customWidth="1"/>
    <col min="32" max="32" width="12.28515625" style="3" customWidth="1"/>
    <col min="33" max="33" width="13.42578125" style="3" customWidth="1"/>
    <col min="34" max="34" width="12.42578125" style="3" customWidth="1"/>
    <col min="35" max="35" width="16.42578125" style="4" customWidth="1"/>
    <col min="36" max="36" width="11.140625" style="4" customWidth="1"/>
    <col min="37" max="37" width="18.42578125" style="4" customWidth="1"/>
    <col min="38" max="38" width="14.85546875" style="3" customWidth="1"/>
    <col min="39" max="39" width="12.85546875" style="17" customWidth="1"/>
    <col min="40" max="40" width="10.85546875" style="3" bestFit="1" customWidth="1"/>
    <col min="41" max="16384" width="9.140625" style="3"/>
  </cols>
  <sheetData>
    <row r="1" spans="1:39" ht="15.75" customHeight="1">
      <c r="A1" s="1" t="s">
        <v>45</v>
      </c>
      <c r="B1" s="2"/>
      <c r="C1" s="2"/>
      <c r="H1" s="6"/>
      <c r="I1" s="6"/>
      <c r="J1" s="7" t="s">
        <v>0</v>
      </c>
      <c r="K1" s="6"/>
      <c r="L1" s="6"/>
      <c r="M1" s="6"/>
      <c r="N1" s="6"/>
      <c r="P1" s="7"/>
      <c r="Q1" s="7"/>
      <c r="R1" s="7"/>
      <c r="S1" s="7"/>
      <c r="T1" s="7"/>
      <c r="U1" s="7"/>
      <c r="V1" s="7"/>
      <c r="W1" s="7"/>
      <c r="Z1" s="168" t="s">
        <v>0</v>
      </c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3"/>
    </row>
    <row r="2" spans="1:39" ht="15" customHeight="1">
      <c r="A2" s="8" t="s">
        <v>46</v>
      </c>
      <c r="K2" s="3"/>
      <c r="O2" s="9"/>
      <c r="P2" s="9"/>
      <c r="Q2" s="9"/>
      <c r="R2" s="9"/>
      <c r="S2" s="9"/>
      <c r="T2" s="9"/>
      <c r="U2" s="9"/>
      <c r="V2" s="9"/>
      <c r="W2" s="9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3"/>
    </row>
    <row r="3" spans="1:39" ht="22.5" hidden="1" customHeight="1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3"/>
    </row>
    <row r="4" spans="1:39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3"/>
    </row>
    <row r="5" spans="1:39" ht="43.5" customHeight="1">
      <c r="A5" s="186" t="s">
        <v>139</v>
      </c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3"/>
    </row>
    <row r="6" spans="1:39" ht="20.2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55"/>
      <c r="AG6" s="155"/>
      <c r="AH6" s="10"/>
      <c r="AI6" s="10"/>
      <c r="AJ6" s="10"/>
      <c r="AK6" s="10"/>
      <c r="AL6" s="10"/>
      <c r="AM6" s="3"/>
    </row>
    <row r="7" spans="1:39" ht="18" customHeight="1">
      <c r="A7" s="2" t="s">
        <v>140</v>
      </c>
      <c r="B7" s="4"/>
      <c r="C7" s="4"/>
      <c r="D7" s="4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1"/>
      <c r="AB7" s="7"/>
      <c r="AC7" s="7"/>
      <c r="AD7" s="7"/>
      <c r="AE7" s="7"/>
      <c r="AF7" s="153"/>
      <c r="AG7" s="153"/>
      <c r="AH7" s="7"/>
      <c r="AI7" s="3"/>
      <c r="AJ7" s="3"/>
      <c r="AK7" s="3"/>
      <c r="AL7" s="12"/>
      <c r="AM7" s="3"/>
    </row>
    <row r="8" spans="1:39" ht="15" customHeight="1">
      <c r="A8" s="13" t="s">
        <v>135</v>
      </c>
      <c r="B8" s="4"/>
      <c r="D8" s="3" t="s">
        <v>136</v>
      </c>
      <c r="E8" s="7"/>
      <c r="F8" s="3"/>
      <c r="H8" s="13"/>
      <c r="I8" s="7"/>
      <c r="K8" s="13" t="s">
        <v>2</v>
      </c>
      <c r="L8" s="7"/>
      <c r="M8" s="14"/>
      <c r="S8" s="13"/>
      <c r="T8" s="15"/>
      <c r="W8" s="11"/>
      <c r="X8" s="7"/>
      <c r="Z8" s="7"/>
      <c r="AA8" s="7"/>
      <c r="AB8" s="13"/>
      <c r="AI8" s="13" t="s">
        <v>70</v>
      </c>
      <c r="AJ8" s="3"/>
      <c r="AK8" s="3"/>
      <c r="AL8" s="12"/>
      <c r="AM8" s="3"/>
    </row>
    <row r="9" spans="1:39" ht="15" customHeight="1">
      <c r="A9" s="13" t="s">
        <v>76</v>
      </c>
      <c r="B9" s="4"/>
      <c r="D9" s="3" t="s">
        <v>69</v>
      </c>
      <c r="F9" s="3"/>
      <c r="H9" s="13"/>
      <c r="I9" s="7"/>
      <c r="K9" s="13"/>
      <c r="L9" s="7"/>
      <c r="M9" s="14"/>
      <c r="S9" s="13"/>
      <c r="T9" s="15"/>
      <c r="W9" s="11"/>
      <c r="X9" s="7"/>
      <c r="Z9" s="7"/>
      <c r="AA9" s="7"/>
      <c r="AB9" s="13"/>
      <c r="AI9" s="3" t="s">
        <v>77</v>
      </c>
      <c r="AJ9" s="3"/>
      <c r="AK9" s="3"/>
      <c r="AL9" s="12"/>
      <c r="AM9" s="3"/>
    </row>
    <row r="10" spans="1:39" ht="15" customHeight="1">
      <c r="A10" s="13" t="s">
        <v>78</v>
      </c>
      <c r="B10" s="4"/>
      <c r="D10" s="3" t="s">
        <v>79</v>
      </c>
      <c r="E10" s="7"/>
      <c r="F10" s="3"/>
      <c r="H10" s="13"/>
      <c r="I10" s="7"/>
      <c r="K10" s="13" t="s">
        <v>3</v>
      </c>
      <c r="L10" s="7"/>
      <c r="M10" s="14"/>
      <c r="S10" s="13"/>
      <c r="T10" s="15"/>
      <c r="W10" s="11"/>
      <c r="X10" s="7"/>
      <c r="Z10" s="7"/>
      <c r="AA10" s="7"/>
      <c r="AB10" s="13"/>
      <c r="AI10" s="3" t="s">
        <v>80</v>
      </c>
      <c r="AJ10" s="3"/>
      <c r="AK10" s="3"/>
      <c r="AL10" s="12"/>
      <c r="AM10" s="3"/>
    </row>
    <row r="11" spans="1:39" ht="15" customHeight="1">
      <c r="A11" s="13" t="s">
        <v>84</v>
      </c>
      <c r="B11" s="4"/>
      <c r="D11" s="3" t="s">
        <v>83</v>
      </c>
      <c r="E11" s="3"/>
      <c r="F11" s="3"/>
      <c r="K11" s="3"/>
      <c r="X11" s="3"/>
      <c r="AA11" s="3"/>
      <c r="AI11" s="3" t="s">
        <v>81</v>
      </c>
      <c r="AJ11" s="3"/>
      <c r="AK11" s="3"/>
      <c r="AM11" s="3"/>
    </row>
    <row r="12" spans="1:39" ht="15" customHeight="1">
      <c r="A12" s="13" t="s">
        <v>82</v>
      </c>
      <c r="E12" s="3"/>
      <c r="F12" s="3"/>
      <c r="K12" s="3"/>
      <c r="X12" s="3"/>
      <c r="AA12" s="3"/>
      <c r="AI12" s="3"/>
      <c r="AJ12" s="3"/>
      <c r="AK12" s="3"/>
      <c r="AM12" s="3"/>
    </row>
    <row r="13" spans="1:39" ht="15.75" customHeight="1">
      <c r="A13" s="13" t="s">
        <v>4</v>
      </c>
      <c r="AA13" s="16"/>
      <c r="AI13" s="3"/>
      <c r="AJ13" s="3"/>
      <c r="AK13" s="3"/>
      <c r="AL13" s="12"/>
      <c r="AM13" s="3"/>
    </row>
    <row r="14" spans="1:39" ht="12.75" customHeight="1">
      <c r="AA14" s="16"/>
    </row>
    <row r="15" spans="1:39" ht="33" customHeight="1">
      <c r="A15" s="169" t="s">
        <v>5</v>
      </c>
      <c r="B15" s="178" t="s">
        <v>6</v>
      </c>
      <c r="C15" s="171" t="s">
        <v>126</v>
      </c>
      <c r="D15" s="171" t="s">
        <v>8</v>
      </c>
      <c r="E15" s="169" t="s">
        <v>47</v>
      </c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8"/>
      <c r="R15" s="18"/>
      <c r="S15" s="18"/>
      <c r="T15" s="18"/>
      <c r="U15" s="18"/>
      <c r="V15" s="18"/>
      <c r="W15" s="19"/>
      <c r="X15" s="166" t="s">
        <v>48</v>
      </c>
      <c r="Y15" s="167"/>
      <c r="Z15" s="167"/>
      <c r="AA15" s="166" t="s">
        <v>49</v>
      </c>
      <c r="AB15" s="167"/>
      <c r="AC15" s="167"/>
      <c r="AD15" s="169" t="s">
        <v>9</v>
      </c>
      <c r="AE15" s="169" t="s">
        <v>10</v>
      </c>
      <c r="AF15" s="171" t="s">
        <v>190</v>
      </c>
      <c r="AG15" s="171" t="s">
        <v>189</v>
      </c>
      <c r="AH15" s="169" t="s">
        <v>11</v>
      </c>
      <c r="AI15" s="169" t="s">
        <v>12</v>
      </c>
      <c r="AJ15" s="169" t="s">
        <v>13</v>
      </c>
      <c r="AK15" s="171" t="s">
        <v>51</v>
      </c>
      <c r="AL15" s="169" t="s">
        <v>132</v>
      </c>
    </row>
    <row r="16" spans="1:39" ht="14.25" customHeight="1">
      <c r="A16" s="178"/>
      <c r="B16" s="178"/>
      <c r="C16" s="179"/>
      <c r="D16" s="172"/>
      <c r="E16" s="171" t="s">
        <v>50</v>
      </c>
      <c r="F16" s="174" t="s">
        <v>15</v>
      </c>
      <c r="G16" s="167" t="s">
        <v>16</v>
      </c>
      <c r="H16" s="167"/>
      <c r="I16" s="167"/>
      <c r="J16" s="19" t="s">
        <v>17</v>
      </c>
      <c r="K16" s="18" t="s">
        <v>18</v>
      </c>
      <c r="L16" s="19"/>
      <c r="M16" s="19" t="s">
        <v>17</v>
      </c>
      <c r="N16" s="19" t="s">
        <v>17</v>
      </c>
      <c r="O16" s="19" t="s">
        <v>17</v>
      </c>
      <c r="P16" s="19" t="s">
        <v>19</v>
      </c>
      <c r="Q16" s="19" t="s">
        <v>19</v>
      </c>
      <c r="R16" s="19" t="s">
        <v>19</v>
      </c>
      <c r="S16" s="19" t="s">
        <v>19</v>
      </c>
      <c r="T16" s="19" t="s">
        <v>19</v>
      </c>
      <c r="U16" s="19" t="s">
        <v>19</v>
      </c>
      <c r="V16" s="19" t="s">
        <v>20</v>
      </c>
      <c r="W16" s="19"/>
      <c r="X16" s="171" t="s">
        <v>50</v>
      </c>
      <c r="Y16" s="174" t="s">
        <v>21</v>
      </c>
      <c r="Z16" s="174" t="s">
        <v>22</v>
      </c>
      <c r="AA16" s="171" t="s">
        <v>50</v>
      </c>
      <c r="AB16" s="174" t="s">
        <v>21</v>
      </c>
      <c r="AC16" s="174" t="s">
        <v>23</v>
      </c>
      <c r="AD16" s="169"/>
      <c r="AE16" s="169"/>
      <c r="AF16" s="179"/>
      <c r="AG16" s="179"/>
      <c r="AH16" s="183"/>
      <c r="AI16" s="184"/>
      <c r="AJ16" s="178"/>
      <c r="AK16" s="179"/>
      <c r="AL16" s="183"/>
    </row>
    <row r="17" spans="1:39" ht="14.25" customHeight="1">
      <c r="A17" s="178"/>
      <c r="B17" s="178"/>
      <c r="C17" s="179"/>
      <c r="D17" s="172"/>
      <c r="E17" s="172"/>
      <c r="F17" s="175"/>
      <c r="G17" s="174" t="s">
        <v>24</v>
      </c>
      <c r="H17" s="167" t="s">
        <v>25</v>
      </c>
      <c r="I17" s="167"/>
      <c r="J17" s="19" t="s">
        <v>26</v>
      </c>
      <c r="K17" s="18" t="s">
        <v>27</v>
      </c>
      <c r="L17" s="19" t="s">
        <v>28</v>
      </c>
      <c r="M17" s="19" t="s">
        <v>26</v>
      </c>
      <c r="N17" s="19" t="s">
        <v>26</v>
      </c>
      <c r="O17" s="19" t="s">
        <v>26</v>
      </c>
      <c r="P17" s="19" t="s">
        <v>29</v>
      </c>
      <c r="Q17" s="19" t="s">
        <v>29</v>
      </c>
      <c r="R17" s="19" t="s">
        <v>29</v>
      </c>
      <c r="S17" s="19" t="s">
        <v>29</v>
      </c>
      <c r="T17" s="19" t="s">
        <v>29</v>
      </c>
      <c r="U17" s="19" t="s">
        <v>29</v>
      </c>
      <c r="V17" s="19" t="s">
        <v>26</v>
      </c>
      <c r="W17" s="19" t="s">
        <v>30</v>
      </c>
      <c r="X17" s="172"/>
      <c r="Y17" s="175"/>
      <c r="Z17" s="175"/>
      <c r="AA17" s="172"/>
      <c r="AB17" s="175"/>
      <c r="AC17" s="175"/>
      <c r="AD17" s="169"/>
      <c r="AE17" s="169"/>
      <c r="AF17" s="179"/>
      <c r="AG17" s="179"/>
      <c r="AH17" s="183"/>
      <c r="AI17" s="184"/>
      <c r="AJ17" s="178"/>
      <c r="AK17" s="179"/>
      <c r="AL17" s="183"/>
    </row>
    <row r="18" spans="1:39" ht="14.25" customHeight="1">
      <c r="A18" s="178"/>
      <c r="B18" s="178"/>
      <c r="C18" s="180"/>
      <c r="D18" s="173"/>
      <c r="E18" s="173"/>
      <c r="F18" s="176"/>
      <c r="G18" s="182"/>
      <c r="H18" s="20" t="s">
        <v>31</v>
      </c>
      <c r="I18" s="21" t="s">
        <v>32</v>
      </c>
      <c r="J18" s="19" t="s">
        <v>33</v>
      </c>
      <c r="K18" s="18" t="s">
        <v>34</v>
      </c>
      <c r="L18" s="19" t="s">
        <v>35</v>
      </c>
      <c r="M18" s="19" t="s">
        <v>33</v>
      </c>
      <c r="N18" s="19" t="s">
        <v>36</v>
      </c>
      <c r="O18" s="19" t="s">
        <v>36</v>
      </c>
      <c r="P18" s="19" t="s">
        <v>36</v>
      </c>
      <c r="Q18" s="19" t="s">
        <v>36</v>
      </c>
      <c r="R18" s="19" t="s">
        <v>36</v>
      </c>
      <c r="S18" s="19" t="s">
        <v>36</v>
      </c>
      <c r="T18" s="19" t="s">
        <v>36</v>
      </c>
      <c r="U18" s="19" t="s">
        <v>36</v>
      </c>
      <c r="V18" s="19" t="s">
        <v>36</v>
      </c>
      <c r="W18" s="19" t="s">
        <v>37</v>
      </c>
      <c r="X18" s="173"/>
      <c r="Y18" s="176"/>
      <c r="Z18" s="176"/>
      <c r="AA18" s="173"/>
      <c r="AB18" s="176"/>
      <c r="AC18" s="176"/>
      <c r="AD18" s="169"/>
      <c r="AE18" s="169"/>
      <c r="AF18" s="180"/>
      <c r="AG18" s="180"/>
      <c r="AH18" s="183"/>
      <c r="AI18" s="184"/>
      <c r="AJ18" s="178"/>
      <c r="AK18" s="180"/>
      <c r="AL18" s="183"/>
    </row>
    <row r="19" spans="1:39" ht="15.75" customHeight="1">
      <c r="A19" s="22" t="s">
        <v>38</v>
      </c>
      <c r="B19" s="22" t="s">
        <v>39</v>
      </c>
      <c r="C19" s="22" t="s">
        <v>40</v>
      </c>
      <c r="D19" s="22" t="s">
        <v>41</v>
      </c>
      <c r="E19" s="22">
        <v>1</v>
      </c>
      <c r="F19" s="23">
        <v>2</v>
      </c>
      <c r="G19" s="24">
        <v>3</v>
      </c>
      <c r="H19" s="24">
        <v>4</v>
      </c>
      <c r="I19" s="23">
        <v>5</v>
      </c>
      <c r="J19" s="24">
        <v>7</v>
      </c>
      <c r="K19" s="23">
        <v>8</v>
      </c>
      <c r="L19" s="24">
        <v>9</v>
      </c>
      <c r="M19" s="23">
        <v>10</v>
      </c>
      <c r="N19" s="23"/>
      <c r="O19" s="24">
        <v>6</v>
      </c>
      <c r="P19" s="24"/>
      <c r="Q19" s="24"/>
      <c r="R19" s="24"/>
      <c r="S19" s="24"/>
      <c r="T19" s="24"/>
      <c r="U19" s="24"/>
      <c r="V19" s="24"/>
      <c r="W19" s="24">
        <v>5</v>
      </c>
      <c r="X19" s="22">
        <v>2</v>
      </c>
      <c r="Y19" s="23">
        <v>7</v>
      </c>
      <c r="Z19" s="23">
        <v>8</v>
      </c>
      <c r="AA19" s="23">
        <v>3</v>
      </c>
      <c r="AB19" s="22">
        <v>10</v>
      </c>
      <c r="AC19" s="24">
        <v>11</v>
      </c>
      <c r="AD19" s="22"/>
      <c r="AE19" s="22"/>
      <c r="AF19" s="22"/>
      <c r="AG19" s="22"/>
      <c r="AH19" s="22">
        <v>4</v>
      </c>
      <c r="AI19" s="22">
        <v>5</v>
      </c>
      <c r="AJ19" s="22">
        <v>6</v>
      </c>
      <c r="AK19" s="22">
        <v>7</v>
      </c>
      <c r="AL19" s="22">
        <v>8</v>
      </c>
    </row>
    <row r="20" spans="1:39" s="27" customFormat="1" ht="21" customHeight="1">
      <c r="A20" s="18" t="s">
        <v>100</v>
      </c>
      <c r="B20" s="51" t="s">
        <v>128</v>
      </c>
      <c r="C20" s="18"/>
      <c r="D20" s="18"/>
      <c r="E20" s="18"/>
      <c r="F20" s="19"/>
      <c r="G20" s="25"/>
      <c r="H20" s="25"/>
      <c r="I20" s="19"/>
      <c r="J20" s="25"/>
      <c r="K20" s="19"/>
      <c r="L20" s="25"/>
      <c r="M20" s="19"/>
      <c r="N20" s="19"/>
      <c r="O20" s="25"/>
      <c r="P20" s="25"/>
      <c r="Q20" s="25"/>
      <c r="R20" s="25"/>
      <c r="S20" s="25"/>
      <c r="T20" s="25"/>
      <c r="U20" s="25"/>
      <c r="V20" s="25"/>
      <c r="W20" s="25"/>
      <c r="X20" s="18"/>
      <c r="Y20" s="19"/>
      <c r="Z20" s="19"/>
      <c r="AA20" s="19"/>
      <c r="AB20" s="18"/>
      <c r="AC20" s="25"/>
      <c r="AD20" s="18"/>
      <c r="AE20" s="18"/>
      <c r="AF20" s="154"/>
      <c r="AG20" s="154"/>
      <c r="AH20" s="18"/>
      <c r="AI20" s="18"/>
      <c r="AJ20" s="18"/>
      <c r="AK20" s="52" t="s">
        <v>129</v>
      </c>
      <c r="AL20" s="18"/>
      <c r="AM20" s="26"/>
    </row>
    <row r="21" spans="1:39" s="27" customFormat="1" ht="26.25" customHeight="1">
      <c r="A21" s="53">
        <v>1</v>
      </c>
      <c r="B21" s="54" t="s">
        <v>111</v>
      </c>
      <c r="C21" s="53" t="s">
        <v>120</v>
      </c>
      <c r="D21" s="28">
        <v>2022</v>
      </c>
      <c r="E21" s="53">
        <v>15</v>
      </c>
      <c r="F21" s="19"/>
      <c r="G21" s="25"/>
      <c r="H21" s="25"/>
      <c r="I21" s="19"/>
      <c r="J21" s="25"/>
      <c r="K21" s="19"/>
      <c r="L21" s="25"/>
      <c r="M21" s="19"/>
      <c r="N21" s="19"/>
      <c r="O21" s="25"/>
      <c r="P21" s="25"/>
      <c r="Q21" s="25"/>
      <c r="R21" s="25"/>
      <c r="S21" s="25"/>
      <c r="T21" s="25"/>
      <c r="U21" s="25"/>
      <c r="V21" s="25"/>
      <c r="W21" s="25"/>
      <c r="X21" s="53">
        <v>15</v>
      </c>
      <c r="Y21" s="19"/>
      <c r="Z21" s="19"/>
      <c r="AA21" s="29">
        <v>0</v>
      </c>
      <c r="AB21" s="18"/>
      <c r="AC21" s="25"/>
      <c r="AD21" s="18"/>
      <c r="AE21" s="18"/>
      <c r="AF21" s="154"/>
      <c r="AG21" s="154"/>
      <c r="AH21" s="31" t="s">
        <v>54</v>
      </c>
      <c r="AI21" s="28" t="s">
        <v>103</v>
      </c>
      <c r="AJ21" s="28" t="s">
        <v>43</v>
      </c>
      <c r="AK21" s="52"/>
      <c r="AL21" s="18"/>
      <c r="AM21" s="26"/>
    </row>
    <row r="22" spans="1:39" s="27" customFormat="1" ht="26.25" customHeight="1">
      <c r="A22" s="53">
        <v>2</v>
      </c>
      <c r="B22" s="54" t="s">
        <v>123</v>
      </c>
      <c r="C22" s="53" t="s">
        <v>120</v>
      </c>
      <c r="D22" s="28">
        <v>2022</v>
      </c>
      <c r="E22" s="53">
        <v>1</v>
      </c>
      <c r="F22" s="19"/>
      <c r="G22" s="25"/>
      <c r="H22" s="25"/>
      <c r="I22" s="19"/>
      <c r="J22" s="25"/>
      <c r="K22" s="19"/>
      <c r="L22" s="25"/>
      <c r="M22" s="19"/>
      <c r="N22" s="19"/>
      <c r="O22" s="25"/>
      <c r="P22" s="25"/>
      <c r="Q22" s="25"/>
      <c r="R22" s="25"/>
      <c r="S22" s="25"/>
      <c r="T22" s="25"/>
      <c r="U22" s="25"/>
      <c r="V22" s="25"/>
      <c r="W22" s="25"/>
      <c r="X22" s="53">
        <v>1</v>
      </c>
      <c r="Y22" s="19"/>
      <c r="Z22" s="19"/>
      <c r="AA22" s="29">
        <v>0</v>
      </c>
      <c r="AB22" s="18"/>
      <c r="AC22" s="25"/>
      <c r="AD22" s="18"/>
      <c r="AE22" s="18"/>
      <c r="AF22" s="154"/>
      <c r="AG22" s="154"/>
      <c r="AH22" s="31" t="s">
        <v>54</v>
      </c>
      <c r="AI22" s="28" t="s">
        <v>103</v>
      </c>
      <c r="AJ22" s="28" t="s">
        <v>43</v>
      </c>
      <c r="AK22" s="18"/>
      <c r="AL22" s="18"/>
      <c r="AM22" s="26"/>
    </row>
    <row r="23" spans="1:39" s="27" customFormat="1" ht="26.25" customHeight="1">
      <c r="A23" s="53">
        <v>3</v>
      </c>
      <c r="B23" s="54" t="s">
        <v>113</v>
      </c>
      <c r="C23" s="53" t="s">
        <v>120</v>
      </c>
      <c r="D23" s="28">
        <v>2022</v>
      </c>
      <c r="E23" s="53">
        <v>5</v>
      </c>
      <c r="F23" s="19"/>
      <c r="G23" s="25"/>
      <c r="H23" s="25"/>
      <c r="I23" s="19"/>
      <c r="J23" s="25"/>
      <c r="K23" s="19"/>
      <c r="L23" s="25"/>
      <c r="M23" s="19"/>
      <c r="N23" s="19"/>
      <c r="O23" s="25"/>
      <c r="P23" s="25"/>
      <c r="Q23" s="25"/>
      <c r="R23" s="25"/>
      <c r="S23" s="25"/>
      <c r="T23" s="25"/>
      <c r="U23" s="25"/>
      <c r="V23" s="25"/>
      <c r="W23" s="25"/>
      <c r="X23" s="53">
        <v>5</v>
      </c>
      <c r="Y23" s="19"/>
      <c r="Z23" s="19"/>
      <c r="AA23" s="29">
        <v>0</v>
      </c>
      <c r="AB23" s="18"/>
      <c r="AC23" s="25"/>
      <c r="AD23" s="18"/>
      <c r="AE23" s="18"/>
      <c r="AF23" s="154"/>
      <c r="AG23" s="154"/>
      <c r="AH23" s="31" t="s">
        <v>54</v>
      </c>
      <c r="AI23" s="28" t="s">
        <v>103</v>
      </c>
      <c r="AJ23" s="28" t="s">
        <v>43</v>
      </c>
      <c r="AK23" s="18"/>
      <c r="AL23" s="18"/>
      <c r="AM23" s="26"/>
    </row>
    <row r="24" spans="1:39" s="27" customFormat="1" ht="26.25" customHeight="1">
      <c r="A24" s="53">
        <v>4</v>
      </c>
      <c r="B24" s="54" t="s">
        <v>114</v>
      </c>
      <c r="C24" s="53" t="s">
        <v>120</v>
      </c>
      <c r="D24" s="28">
        <v>2022</v>
      </c>
      <c r="E24" s="53">
        <v>1</v>
      </c>
      <c r="F24" s="19"/>
      <c r="G24" s="25"/>
      <c r="H24" s="25"/>
      <c r="I24" s="19"/>
      <c r="J24" s="25"/>
      <c r="K24" s="19"/>
      <c r="L24" s="25"/>
      <c r="M24" s="19"/>
      <c r="N24" s="19"/>
      <c r="O24" s="25"/>
      <c r="P24" s="25"/>
      <c r="Q24" s="25"/>
      <c r="R24" s="25"/>
      <c r="S24" s="25"/>
      <c r="T24" s="25"/>
      <c r="U24" s="25"/>
      <c r="V24" s="25"/>
      <c r="W24" s="25"/>
      <c r="X24" s="53">
        <v>1</v>
      </c>
      <c r="Y24" s="19"/>
      <c r="Z24" s="19"/>
      <c r="AA24" s="29">
        <v>0</v>
      </c>
      <c r="AB24" s="18"/>
      <c r="AC24" s="25"/>
      <c r="AD24" s="18"/>
      <c r="AE24" s="18"/>
      <c r="AF24" s="154"/>
      <c r="AG24" s="154"/>
      <c r="AH24" s="31" t="s">
        <v>54</v>
      </c>
      <c r="AI24" s="28" t="s">
        <v>103</v>
      </c>
      <c r="AJ24" s="28" t="s">
        <v>43</v>
      </c>
      <c r="AK24" s="18"/>
      <c r="AL24" s="18"/>
      <c r="AM24" s="26"/>
    </row>
    <row r="25" spans="1:39" s="27" customFormat="1" ht="26.25" customHeight="1">
      <c r="A25" s="53">
        <v>5</v>
      </c>
      <c r="B25" s="54" t="s">
        <v>115</v>
      </c>
      <c r="C25" s="53" t="s">
        <v>121</v>
      </c>
      <c r="D25" s="28">
        <v>2022</v>
      </c>
      <c r="E25" s="53">
        <v>2</v>
      </c>
      <c r="F25" s="19"/>
      <c r="G25" s="25"/>
      <c r="H25" s="25"/>
      <c r="I25" s="19"/>
      <c r="J25" s="25"/>
      <c r="K25" s="19"/>
      <c r="L25" s="25"/>
      <c r="M25" s="19"/>
      <c r="N25" s="19"/>
      <c r="O25" s="25"/>
      <c r="P25" s="25"/>
      <c r="Q25" s="25"/>
      <c r="R25" s="25"/>
      <c r="S25" s="25"/>
      <c r="T25" s="25"/>
      <c r="U25" s="25"/>
      <c r="V25" s="25"/>
      <c r="W25" s="25"/>
      <c r="X25" s="53">
        <v>2</v>
      </c>
      <c r="Y25" s="19"/>
      <c r="Z25" s="19"/>
      <c r="AA25" s="29">
        <v>0</v>
      </c>
      <c r="AB25" s="18"/>
      <c r="AC25" s="25"/>
      <c r="AD25" s="18"/>
      <c r="AE25" s="18"/>
      <c r="AF25" s="154"/>
      <c r="AG25" s="154"/>
      <c r="AH25" s="31" t="s">
        <v>54</v>
      </c>
      <c r="AI25" s="28" t="s">
        <v>103</v>
      </c>
      <c r="AJ25" s="28" t="s">
        <v>43</v>
      </c>
      <c r="AK25" s="18"/>
      <c r="AL25" s="18"/>
      <c r="AM25" s="26"/>
    </row>
    <row r="26" spans="1:39" s="27" customFormat="1" ht="30.75" customHeight="1">
      <c r="A26" s="53">
        <v>6</v>
      </c>
      <c r="B26" s="55" t="s">
        <v>116</v>
      </c>
      <c r="C26" s="53" t="s">
        <v>121</v>
      </c>
      <c r="D26" s="28">
        <v>2022</v>
      </c>
      <c r="E26" s="53">
        <v>6</v>
      </c>
      <c r="F26" s="19"/>
      <c r="G26" s="25"/>
      <c r="H26" s="25"/>
      <c r="I26" s="19"/>
      <c r="J26" s="25"/>
      <c r="K26" s="19"/>
      <c r="L26" s="25"/>
      <c r="M26" s="19"/>
      <c r="N26" s="19"/>
      <c r="O26" s="25"/>
      <c r="P26" s="25"/>
      <c r="Q26" s="25"/>
      <c r="R26" s="25"/>
      <c r="S26" s="25"/>
      <c r="T26" s="25"/>
      <c r="U26" s="25"/>
      <c r="V26" s="25"/>
      <c r="W26" s="25"/>
      <c r="X26" s="53">
        <v>6</v>
      </c>
      <c r="Y26" s="19"/>
      <c r="Z26" s="19"/>
      <c r="AA26" s="29">
        <v>0</v>
      </c>
      <c r="AB26" s="18"/>
      <c r="AC26" s="25"/>
      <c r="AD26" s="18"/>
      <c r="AE26" s="18"/>
      <c r="AF26" s="154"/>
      <c r="AG26" s="154"/>
      <c r="AH26" s="31" t="s">
        <v>54</v>
      </c>
      <c r="AI26" s="28" t="s">
        <v>103</v>
      </c>
      <c r="AJ26" s="28" t="s">
        <v>43</v>
      </c>
      <c r="AK26" s="18"/>
      <c r="AL26" s="18"/>
      <c r="AM26" s="26"/>
    </row>
    <row r="27" spans="1:39" s="27" customFormat="1" ht="32.25" customHeight="1">
      <c r="A27" s="53">
        <v>7</v>
      </c>
      <c r="B27" s="56" t="s">
        <v>124</v>
      </c>
      <c r="C27" s="53" t="s">
        <v>120</v>
      </c>
      <c r="D27" s="28">
        <v>2022</v>
      </c>
      <c r="E27" s="53">
        <v>2</v>
      </c>
      <c r="F27" s="19"/>
      <c r="G27" s="25"/>
      <c r="H27" s="25"/>
      <c r="I27" s="19"/>
      <c r="J27" s="25"/>
      <c r="K27" s="19"/>
      <c r="L27" s="25"/>
      <c r="M27" s="19"/>
      <c r="N27" s="19"/>
      <c r="O27" s="25"/>
      <c r="P27" s="25"/>
      <c r="Q27" s="25"/>
      <c r="R27" s="25"/>
      <c r="S27" s="25"/>
      <c r="T27" s="25"/>
      <c r="U27" s="25"/>
      <c r="V27" s="25"/>
      <c r="W27" s="25"/>
      <c r="X27" s="53">
        <v>2</v>
      </c>
      <c r="Y27" s="19"/>
      <c r="Z27" s="19"/>
      <c r="AA27" s="29">
        <v>0</v>
      </c>
      <c r="AB27" s="18"/>
      <c r="AC27" s="25"/>
      <c r="AD27" s="18"/>
      <c r="AE27" s="18"/>
      <c r="AF27" s="157">
        <v>44440000</v>
      </c>
      <c r="AG27" s="158">
        <f>+X27*AF27</f>
        <v>88880000</v>
      </c>
      <c r="AH27" s="31" t="s">
        <v>54</v>
      </c>
      <c r="AI27" s="28" t="s">
        <v>103</v>
      </c>
      <c r="AJ27" s="28" t="s">
        <v>43</v>
      </c>
      <c r="AK27" s="18"/>
      <c r="AL27" s="18"/>
      <c r="AM27" s="26"/>
    </row>
    <row r="28" spans="1:39" s="27" customFormat="1" ht="26.25" customHeight="1">
      <c r="A28" s="53">
        <v>8</v>
      </c>
      <c r="B28" s="54" t="s">
        <v>118</v>
      </c>
      <c r="C28" s="53" t="s">
        <v>120</v>
      </c>
      <c r="D28" s="28">
        <v>2022</v>
      </c>
      <c r="E28" s="53">
        <v>4</v>
      </c>
      <c r="F28" s="19"/>
      <c r="G28" s="25"/>
      <c r="H28" s="25"/>
      <c r="I28" s="19"/>
      <c r="J28" s="25"/>
      <c r="K28" s="19"/>
      <c r="L28" s="25"/>
      <c r="M28" s="19"/>
      <c r="N28" s="19"/>
      <c r="O28" s="25"/>
      <c r="P28" s="25"/>
      <c r="Q28" s="25"/>
      <c r="R28" s="25"/>
      <c r="S28" s="25"/>
      <c r="T28" s="25"/>
      <c r="U28" s="25"/>
      <c r="V28" s="25"/>
      <c r="W28" s="25"/>
      <c r="X28" s="53">
        <v>4</v>
      </c>
      <c r="Y28" s="19"/>
      <c r="Z28" s="19"/>
      <c r="AA28" s="29">
        <v>0</v>
      </c>
      <c r="AB28" s="18"/>
      <c r="AC28" s="25"/>
      <c r="AD28" s="18"/>
      <c r="AE28" s="18"/>
      <c r="AF28" s="154"/>
      <c r="AG28" s="154"/>
      <c r="AH28" s="31" t="s">
        <v>54</v>
      </c>
      <c r="AI28" s="28" t="s">
        <v>103</v>
      </c>
      <c r="AJ28" s="28" t="s">
        <v>43</v>
      </c>
      <c r="AK28" s="18"/>
      <c r="AL28" s="18"/>
      <c r="AM28" s="26"/>
    </row>
    <row r="29" spans="1:39" s="27" customFormat="1" ht="26.25" customHeight="1">
      <c r="A29" s="53">
        <v>9</v>
      </c>
      <c r="B29" s="54" t="s">
        <v>125</v>
      </c>
      <c r="C29" s="53" t="s">
        <v>120</v>
      </c>
      <c r="D29" s="28">
        <v>2022</v>
      </c>
      <c r="E29" s="53">
        <v>1</v>
      </c>
      <c r="F29" s="29"/>
      <c r="G29" s="30"/>
      <c r="H29" s="30"/>
      <c r="I29" s="29"/>
      <c r="J29" s="30"/>
      <c r="K29" s="29"/>
      <c r="L29" s="30"/>
      <c r="M29" s="29"/>
      <c r="N29" s="29"/>
      <c r="O29" s="30"/>
      <c r="P29" s="30"/>
      <c r="Q29" s="30"/>
      <c r="R29" s="30"/>
      <c r="S29" s="30"/>
      <c r="T29" s="30"/>
      <c r="U29" s="30"/>
      <c r="V29" s="30"/>
      <c r="W29" s="30"/>
      <c r="X29" s="53">
        <v>1</v>
      </c>
      <c r="Y29" s="19"/>
      <c r="Z29" s="19"/>
      <c r="AA29" s="29">
        <v>0</v>
      </c>
      <c r="AB29" s="18"/>
      <c r="AC29" s="25"/>
      <c r="AD29" s="18"/>
      <c r="AE29" s="18"/>
      <c r="AF29" s="154"/>
      <c r="AG29" s="154"/>
      <c r="AH29" s="31" t="s">
        <v>54</v>
      </c>
      <c r="AI29" s="28" t="s">
        <v>103</v>
      </c>
      <c r="AJ29" s="28" t="s">
        <v>43</v>
      </c>
      <c r="AK29" s="18"/>
      <c r="AL29" s="32"/>
      <c r="AM29" s="26"/>
    </row>
    <row r="30" spans="1:39" s="27" customFormat="1" ht="25.5" customHeight="1">
      <c r="A30" s="18" t="s">
        <v>101</v>
      </c>
      <c r="B30" s="51" t="s">
        <v>127</v>
      </c>
      <c r="C30" s="18"/>
      <c r="D30" s="28"/>
      <c r="E30" s="18"/>
      <c r="F30" s="19"/>
      <c r="G30" s="25"/>
      <c r="H30" s="25"/>
      <c r="I30" s="19"/>
      <c r="J30" s="25"/>
      <c r="K30" s="19"/>
      <c r="L30" s="25"/>
      <c r="M30" s="19"/>
      <c r="N30" s="19"/>
      <c r="O30" s="25"/>
      <c r="P30" s="25"/>
      <c r="Q30" s="25"/>
      <c r="R30" s="25"/>
      <c r="S30" s="25"/>
      <c r="T30" s="25"/>
      <c r="U30" s="25"/>
      <c r="V30" s="25"/>
      <c r="W30" s="25"/>
      <c r="X30" s="18"/>
      <c r="Y30" s="19"/>
      <c r="Z30" s="19"/>
      <c r="AA30" s="19"/>
      <c r="AB30" s="18"/>
      <c r="AC30" s="25"/>
      <c r="AD30" s="18"/>
      <c r="AE30" s="18"/>
      <c r="AF30" s="154"/>
      <c r="AG30" s="154"/>
      <c r="AH30" s="18"/>
      <c r="AI30" s="18"/>
      <c r="AJ30" s="18"/>
      <c r="AK30" s="52" t="s">
        <v>129</v>
      </c>
      <c r="AL30" s="33"/>
      <c r="AM30" s="26"/>
    </row>
    <row r="31" spans="1:39" ht="27.75" customHeight="1">
      <c r="A31" s="28">
        <v>1</v>
      </c>
      <c r="B31" s="54" t="s">
        <v>111</v>
      </c>
      <c r="C31" s="53" t="s">
        <v>120</v>
      </c>
      <c r="D31" s="28">
        <v>2022</v>
      </c>
      <c r="E31" s="53">
        <v>8</v>
      </c>
      <c r="F31" s="53">
        <v>8</v>
      </c>
      <c r="G31" s="53">
        <v>8</v>
      </c>
      <c r="H31" s="53">
        <v>8</v>
      </c>
      <c r="I31" s="53">
        <v>8</v>
      </c>
      <c r="J31" s="53">
        <v>8</v>
      </c>
      <c r="K31" s="53">
        <v>8</v>
      </c>
      <c r="L31" s="53">
        <v>8</v>
      </c>
      <c r="M31" s="53">
        <v>8</v>
      </c>
      <c r="N31" s="53">
        <v>8</v>
      </c>
      <c r="O31" s="53">
        <v>8</v>
      </c>
      <c r="P31" s="53">
        <v>8</v>
      </c>
      <c r="Q31" s="53">
        <v>8</v>
      </c>
      <c r="R31" s="53">
        <v>8</v>
      </c>
      <c r="S31" s="53">
        <v>8</v>
      </c>
      <c r="T31" s="53">
        <v>8</v>
      </c>
      <c r="U31" s="53">
        <v>8</v>
      </c>
      <c r="V31" s="53">
        <v>8</v>
      </c>
      <c r="W31" s="53">
        <v>8</v>
      </c>
      <c r="X31" s="53">
        <v>8</v>
      </c>
      <c r="Y31" s="19"/>
      <c r="Z31" s="19"/>
      <c r="AA31" s="29">
        <v>0</v>
      </c>
      <c r="AB31" s="22"/>
      <c r="AC31" s="24"/>
      <c r="AD31" s="22"/>
      <c r="AE31" s="22"/>
      <c r="AF31" s="22"/>
      <c r="AG31" s="22"/>
      <c r="AH31" s="28" t="s">
        <v>54</v>
      </c>
      <c r="AI31" s="28" t="s">
        <v>122</v>
      </c>
      <c r="AJ31" s="28" t="s">
        <v>43</v>
      </c>
      <c r="AK31" s="22"/>
      <c r="AL31" s="34"/>
    </row>
    <row r="32" spans="1:39" ht="27.75" customHeight="1">
      <c r="A32" s="28">
        <v>2</v>
      </c>
      <c r="B32" s="54" t="s">
        <v>112</v>
      </c>
      <c r="C32" s="53" t="s">
        <v>120</v>
      </c>
      <c r="D32" s="28">
        <v>2022</v>
      </c>
      <c r="E32" s="53">
        <v>1</v>
      </c>
      <c r="F32" s="53">
        <v>1</v>
      </c>
      <c r="G32" s="53">
        <v>1</v>
      </c>
      <c r="H32" s="53">
        <v>1</v>
      </c>
      <c r="I32" s="53">
        <v>1</v>
      </c>
      <c r="J32" s="53">
        <v>1</v>
      </c>
      <c r="K32" s="53">
        <v>1</v>
      </c>
      <c r="L32" s="53">
        <v>1</v>
      </c>
      <c r="M32" s="53">
        <v>1</v>
      </c>
      <c r="N32" s="53">
        <v>1</v>
      </c>
      <c r="O32" s="53">
        <v>1</v>
      </c>
      <c r="P32" s="53">
        <v>1</v>
      </c>
      <c r="Q32" s="53">
        <v>1</v>
      </c>
      <c r="R32" s="53">
        <v>1</v>
      </c>
      <c r="S32" s="53">
        <v>1</v>
      </c>
      <c r="T32" s="53">
        <v>1</v>
      </c>
      <c r="U32" s="53">
        <v>1</v>
      </c>
      <c r="V32" s="53">
        <v>1</v>
      </c>
      <c r="W32" s="53">
        <v>1</v>
      </c>
      <c r="X32" s="53">
        <v>1</v>
      </c>
      <c r="Y32" s="19"/>
      <c r="Z32" s="19"/>
      <c r="AA32" s="29">
        <v>0</v>
      </c>
      <c r="AB32" s="22"/>
      <c r="AC32" s="24"/>
      <c r="AD32" s="22"/>
      <c r="AE32" s="22"/>
      <c r="AF32" s="22"/>
      <c r="AG32" s="22"/>
      <c r="AH32" s="28" t="s">
        <v>54</v>
      </c>
      <c r="AI32" s="28" t="s">
        <v>122</v>
      </c>
      <c r="AJ32" s="28" t="s">
        <v>43</v>
      </c>
      <c r="AK32" s="22"/>
      <c r="AL32" s="33"/>
    </row>
    <row r="33" spans="1:38" ht="27.75" customHeight="1">
      <c r="A33" s="28">
        <v>3</v>
      </c>
      <c r="B33" s="54" t="s">
        <v>113</v>
      </c>
      <c r="C33" s="53" t="s">
        <v>120</v>
      </c>
      <c r="D33" s="28">
        <v>2022</v>
      </c>
      <c r="E33" s="53">
        <v>6</v>
      </c>
      <c r="F33" s="53">
        <v>6</v>
      </c>
      <c r="G33" s="53">
        <v>6</v>
      </c>
      <c r="H33" s="53">
        <v>6</v>
      </c>
      <c r="I33" s="53">
        <v>6</v>
      </c>
      <c r="J33" s="53">
        <v>6</v>
      </c>
      <c r="K33" s="53">
        <v>6</v>
      </c>
      <c r="L33" s="53">
        <v>6</v>
      </c>
      <c r="M33" s="53">
        <v>6</v>
      </c>
      <c r="N33" s="53">
        <v>6</v>
      </c>
      <c r="O33" s="53">
        <v>6</v>
      </c>
      <c r="P33" s="53">
        <v>6</v>
      </c>
      <c r="Q33" s="53">
        <v>6</v>
      </c>
      <c r="R33" s="53">
        <v>6</v>
      </c>
      <c r="S33" s="53">
        <v>6</v>
      </c>
      <c r="T33" s="53">
        <v>6</v>
      </c>
      <c r="U33" s="53">
        <v>6</v>
      </c>
      <c r="V33" s="53">
        <v>6</v>
      </c>
      <c r="W33" s="53">
        <v>6</v>
      </c>
      <c r="X33" s="53">
        <v>6</v>
      </c>
      <c r="Y33" s="36">
        <f t="shared" ref="Y33:Y37" si="0">G33</f>
        <v>6</v>
      </c>
      <c r="Z33" s="35">
        <v>0</v>
      </c>
      <c r="AA33" s="37">
        <v>0</v>
      </c>
      <c r="AB33" s="36">
        <f t="shared" ref="AB33:AB37" si="1">Y33-G33</f>
        <v>0</v>
      </c>
      <c r="AC33" s="36">
        <f t="shared" ref="AC33:AC37" si="2">F33-Z33</f>
        <v>6</v>
      </c>
      <c r="AD33" s="38">
        <v>0.2</v>
      </c>
      <c r="AE33" s="31" t="s">
        <v>44</v>
      </c>
      <c r="AF33" s="31"/>
      <c r="AG33" s="31"/>
      <c r="AH33" s="28" t="s">
        <v>54</v>
      </c>
      <c r="AI33" s="28" t="s">
        <v>122</v>
      </c>
      <c r="AJ33" s="28" t="s">
        <v>43</v>
      </c>
      <c r="AK33" s="39"/>
      <c r="AL33" s="22"/>
    </row>
    <row r="34" spans="1:38" ht="27.75" customHeight="1">
      <c r="A34" s="28">
        <v>4</v>
      </c>
      <c r="B34" s="54" t="s">
        <v>114</v>
      </c>
      <c r="C34" s="53" t="s">
        <v>120</v>
      </c>
      <c r="D34" s="28">
        <v>2022</v>
      </c>
      <c r="E34" s="53">
        <v>1</v>
      </c>
      <c r="F34" s="53">
        <v>1</v>
      </c>
      <c r="G34" s="53">
        <v>1</v>
      </c>
      <c r="H34" s="53">
        <v>1</v>
      </c>
      <c r="I34" s="53">
        <v>1</v>
      </c>
      <c r="J34" s="53">
        <v>1</v>
      </c>
      <c r="K34" s="53">
        <v>1</v>
      </c>
      <c r="L34" s="53">
        <v>1</v>
      </c>
      <c r="M34" s="53">
        <v>1</v>
      </c>
      <c r="N34" s="53">
        <v>1</v>
      </c>
      <c r="O34" s="53">
        <v>1</v>
      </c>
      <c r="P34" s="53">
        <v>1</v>
      </c>
      <c r="Q34" s="53">
        <v>1</v>
      </c>
      <c r="R34" s="53">
        <v>1</v>
      </c>
      <c r="S34" s="53">
        <v>1</v>
      </c>
      <c r="T34" s="53">
        <v>1</v>
      </c>
      <c r="U34" s="53">
        <v>1</v>
      </c>
      <c r="V34" s="53">
        <v>1</v>
      </c>
      <c r="W34" s="53">
        <v>1</v>
      </c>
      <c r="X34" s="53">
        <v>1</v>
      </c>
      <c r="Y34" s="36">
        <f t="shared" si="0"/>
        <v>1</v>
      </c>
      <c r="Z34" s="35">
        <v>0</v>
      </c>
      <c r="AA34" s="37">
        <v>0</v>
      </c>
      <c r="AB34" s="36">
        <f t="shared" si="1"/>
        <v>0</v>
      </c>
      <c r="AC34" s="36">
        <f t="shared" si="2"/>
        <v>1</v>
      </c>
      <c r="AD34" s="38">
        <v>0.2</v>
      </c>
      <c r="AE34" s="31" t="s">
        <v>44</v>
      </c>
      <c r="AF34" s="31"/>
      <c r="AG34" s="31"/>
      <c r="AH34" s="28" t="s">
        <v>54</v>
      </c>
      <c r="AI34" s="28" t="s">
        <v>122</v>
      </c>
      <c r="AJ34" s="28" t="s">
        <v>43</v>
      </c>
      <c r="AK34" s="39"/>
      <c r="AL34" s="22"/>
    </row>
    <row r="35" spans="1:38" ht="27.75" customHeight="1">
      <c r="A35" s="28">
        <v>5</v>
      </c>
      <c r="B35" s="54" t="s">
        <v>115</v>
      </c>
      <c r="C35" s="53" t="s">
        <v>121</v>
      </c>
      <c r="D35" s="28">
        <v>2022</v>
      </c>
      <c r="E35" s="53">
        <v>1</v>
      </c>
      <c r="F35" s="53">
        <v>1</v>
      </c>
      <c r="G35" s="53">
        <v>1</v>
      </c>
      <c r="H35" s="53">
        <v>1</v>
      </c>
      <c r="I35" s="53">
        <v>1</v>
      </c>
      <c r="J35" s="53">
        <v>1</v>
      </c>
      <c r="K35" s="53">
        <v>1</v>
      </c>
      <c r="L35" s="53">
        <v>1</v>
      </c>
      <c r="M35" s="53">
        <v>1</v>
      </c>
      <c r="N35" s="53">
        <v>1</v>
      </c>
      <c r="O35" s="53">
        <v>1</v>
      </c>
      <c r="P35" s="53">
        <v>1</v>
      </c>
      <c r="Q35" s="53">
        <v>1</v>
      </c>
      <c r="R35" s="53">
        <v>1</v>
      </c>
      <c r="S35" s="53">
        <v>1</v>
      </c>
      <c r="T35" s="53">
        <v>1</v>
      </c>
      <c r="U35" s="53">
        <v>1</v>
      </c>
      <c r="V35" s="53">
        <v>1</v>
      </c>
      <c r="W35" s="53">
        <v>1</v>
      </c>
      <c r="X35" s="53">
        <v>1</v>
      </c>
      <c r="Y35" s="36">
        <f t="shared" si="0"/>
        <v>1</v>
      </c>
      <c r="Z35" s="35">
        <v>0</v>
      </c>
      <c r="AA35" s="37">
        <v>0</v>
      </c>
      <c r="AB35" s="36">
        <f t="shared" si="1"/>
        <v>0</v>
      </c>
      <c r="AC35" s="36">
        <f t="shared" si="2"/>
        <v>1</v>
      </c>
      <c r="AD35" s="38">
        <v>0.2</v>
      </c>
      <c r="AE35" s="31"/>
      <c r="AF35" s="31"/>
      <c r="AG35" s="31"/>
      <c r="AH35" s="28" t="s">
        <v>54</v>
      </c>
      <c r="AI35" s="28" t="s">
        <v>122</v>
      </c>
      <c r="AJ35" s="28" t="s">
        <v>43</v>
      </c>
      <c r="AK35" s="39"/>
      <c r="AL35" s="22"/>
    </row>
    <row r="36" spans="1:38" ht="27.75" customHeight="1">
      <c r="A36" s="28">
        <v>6</v>
      </c>
      <c r="B36" s="55" t="s">
        <v>116</v>
      </c>
      <c r="C36" s="53" t="s">
        <v>121</v>
      </c>
      <c r="D36" s="28">
        <v>2022</v>
      </c>
      <c r="E36" s="53">
        <v>3</v>
      </c>
      <c r="F36" s="53">
        <v>3</v>
      </c>
      <c r="G36" s="53">
        <v>3</v>
      </c>
      <c r="H36" s="53">
        <v>3</v>
      </c>
      <c r="I36" s="53">
        <v>3</v>
      </c>
      <c r="J36" s="53">
        <v>3</v>
      </c>
      <c r="K36" s="53">
        <v>3</v>
      </c>
      <c r="L36" s="53">
        <v>3</v>
      </c>
      <c r="M36" s="53">
        <v>3</v>
      </c>
      <c r="N36" s="53">
        <v>3</v>
      </c>
      <c r="O36" s="53">
        <v>3</v>
      </c>
      <c r="P36" s="53">
        <v>3</v>
      </c>
      <c r="Q36" s="53">
        <v>3</v>
      </c>
      <c r="R36" s="53">
        <v>3</v>
      </c>
      <c r="S36" s="53">
        <v>3</v>
      </c>
      <c r="T36" s="53">
        <v>3</v>
      </c>
      <c r="U36" s="53">
        <v>3</v>
      </c>
      <c r="V36" s="53">
        <v>3</v>
      </c>
      <c r="W36" s="53">
        <v>3</v>
      </c>
      <c r="X36" s="53">
        <v>3</v>
      </c>
      <c r="Y36" s="36">
        <f t="shared" si="0"/>
        <v>3</v>
      </c>
      <c r="Z36" s="35">
        <v>2250000</v>
      </c>
      <c r="AA36" s="37">
        <v>0</v>
      </c>
      <c r="AB36" s="36">
        <f t="shared" si="1"/>
        <v>0</v>
      </c>
      <c r="AC36" s="36">
        <f t="shared" si="2"/>
        <v>-2249997</v>
      </c>
      <c r="AD36" s="40">
        <v>0.125</v>
      </c>
      <c r="AE36" s="31"/>
      <c r="AF36" s="31"/>
      <c r="AG36" s="31"/>
      <c r="AH36" s="28" t="s">
        <v>54</v>
      </c>
      <c r="AI36" s="28" t="s">
        <v>122</v>
      </c>
      <c r="AJ36" s="28" t="s">
        <v>43</v>
      </c>
      <c r="AK36" s="39"/>
      <c r="AL36" s="22"/>
    </row>
    <row r="37" spans="1:38" ht="27.75" customHeight="1">
      <c r="A37" s="28">
        <v>7</v>
      </c>
      <c r="B37" s="54" t="s">
        <v>117</v>
      </c>
      <c r="C37" s="53" t="s">
        <v>120</v>
      </c>
      <c r="D37" s="28">
        <v>2022</v>
      </c>
      <c r="E37" s="53">
        <v>2</v>
      </c>
      <c r="F37" s="53">
        <v>2</v>
      </c>
      <c r="G37" s="53">
        <v>2</v>
      </c>
      <c r="H37" s="53">
        <v>2</v>
      </c>
      <c r="I37" s="53">
        <v>2</v>
      </c>
      <c r="J37" s="53">
        <v>2</v>
      </c>
      <c r="K37" s="53">
        <v>2</v>
      </c>
      <c r="L37" s="53">
        <v>2</v>
      </c>
      <c r="M37" s="53">
        <v>2</v>
      </c>
      <c r="N37" s="53">
        <v>2</v>
      </c>
      <c r="O37" s="53">
        <v>2</v>
      </c>
      <c r="P37" s="53">
        <v>2</v>
      </c>
      <c r="Q37" s="53">
        <v>2</v>
      </c>
      <c r="R37" s="53">
        <v>2</v>
      </c>
      <c r="S37" s="53">
        <v>2</v>
      </c>
      <c r="T37" s="53">
        <v>2</v>
      </c>
      <c r="U37" s="53">
        <v>2</v>
      </c>
      <c r="V37" s="53">
        <v>2</v>
      </c>
      <c r="W37" s="53">
        <v>2</v>
      </c>
      <c r="X37" s="53">
        <v>2</v>
      </c>
      <c r="Y37" s="36">
        <f t="shared" si="0"/>
        <v>2</v>
      </c>
      <c r="Z37" s="35">
        <v>2250000</v>
      </c>
      <c r="AA37" s="37">
        <v>0</v>
      </c>
      <c r="AB37" s="36">
        <f t="shared" si="1"/>
        <v>0</v>
      </c>
      <c r="AC37" s="36">
        <f t="shared" si="2"/>
        <v>-2249998</v>
      </c>
      <c r="AD37" s="40">
        <v>0.125</v>
      </c>
      <c r="AE37" s="31"/>
      <c r="AF37" s="159">
        <v>15675000</v>
      </c>
      <c r="AG37" s="158">
        <f>+X37*AF37</f>
        <v>31350000</v>
      </c>
      <c r="AH37" s="28" t="s">
        <v>54</v>
      </c>
      <c r="AI37" s="28" t="s">
        <v>122</v>
      </c>
      <c r="AJ37" s="28" t="s">
        <v>43</v>
      </c>
      <c r="AK37" s="39"/>
      <c r="AL37" s="22"/>
    </row>
    <row r="38" spans="1:38" ht="27.75" customHeight="1">
      <c r="A38" s="28">
        <v>8</v>
      </c>
      <c r="B38" s="54" t="s">
        <v>118</v>
      </c>
      <c r="C38" s="53" t="s">
        <v>120</v>
      </c>
      <c r="D38" s="28">
        <v>2022</v>
      </c>
      <c r="E38" s="53">
        <v>2</v>
      </c>
      <c r="F38" s="53">
        <v>2</v>
      </c>
      <c r="G38" s="53">
        <v>2</v>
      </c>
      <c r="H38" s="53">
        <v>2</v>
      </c>
      <c r="I38" s="53">
        <v>2</v>
      </c>
      <c r="J38" s="53">
        <v>2</v>
      </c>
      <c r="K38" s="53">
        <v>2</v>
      </c>
      <c r="L38" s="53">
        <v>2</v>
      </c>
      <c r="M38" s="53">
        <v>2</v>
      </c>
      <c r="N38" s="53">
        <v>2</v>
      </c>
      <c r="O38" s="53">
        <v>2</v>
      </c>
      <c r="P38" s="53">
        <v>2</v>
      </c>
      <c r="Q38" s="53">
        <v>2</v>
      </c>
      <c r="R38" s="53">
        <v>2</v>
      </c>
      <c r="S38" s="53">
        <v>2</v>
      </c>
      <c r="T38" s="53">
        <v>2</v>
      </c>
      <c r="U38" s="53">
        <v>2</v>
      </c>
      <c r="V38" s="53">
        <v>2</v>
      </c>
      <c r="W38" s="53">
        <v>2</v>
      </c>
      <c r="X38" s="53">
        <v>2</v>
      </c>
      <c r="Y38" s="36"/>
      <c r="Z38" s="35"/>
      <c r="AA38" s="37">
        <v>0</v>
      </c>
      <c r="AB38" s="36"/>
      <c r="AC38" s="36"/>
      <c r="AD38" s="38"/>
      <c r="AE38" s="31"/>
      <c r="AF38" s="31"/>
      <c r="AG38" s="31"/>
      <c r="AH38" s="28" t="s">
        <v>54</v>
      </c>
      <c r="AI38" s="28" t="s">
        <v>122</v>
      </c>
      <c r="AJ38" s="28" t="s">
        <v>43</v>
      </c>
      <c r="AK38" s="39"/>
      <c r="AL38" s="22"/>
    </row>
    <row r="39" spans="1:38" ht="27.75" customHeight="1">
      <c r="A39" s="28">
        <v>9</v>
      </c>
      <c r="B39" s="54" t="s">
        <v>119</v>
      </c>
      <c r="C39" s="53" t="s">
        <v>120</v>
      </c>
      <c r="D39" s="28">
        <v>2022</v>
      </c>
      <c r="E39" s="53">
        <v>1</v>
      </c>
      <c r="F39" s="53">
        <v>1</v>
      </c>
      <c r="G39" s="53">
        <v>1</v>
      </c>
      <c r="H39" s="53">
        <v>1</v>
      </c>
      <c r="I39" s="53">
        <v>1</v>
      </c>
      <c r="J39" s="53">
        <v>1</v>
      </c>
      <c r="K39" s="53">
        <v>1</v>
      </c>
      <c r="L39" s="53">
        <v>1</v>
      </c>
      <c r="M39" s="53">
        <v>1</v>
      </c>
      <c r="N39" s="53">
        <v>1</v>
      </c>
      <c r="O39" s="53">
        <v>1</v>
      </c>
      <c r="P39" s="53">
        <v>1</v>
      </c>
      <c r="Q39" s="53">
        <v>1</v>
      </c>
      <c r="R39" s="53">
        <v>1</v>
      </c>
      <c r="S39" s="53">
        <v>1</v>
      </c>
      <c r="T39" s="53">
        <v>1</v>
      </c>
      <c r="U39" s="53">
        <v>1</v>
      </c>
      <c r="V39" s="53">
        <v>1</v>
      </c>
      <c r="W39" s="53">
        <v>1</v>
      </c>
      <c r="X39" s="53">
        <v>1</v>
      </c>
      <c r="Y39" s="41"/>
      <c r="Z39" s="41"/>
      <c r="AA39" s="37">
        <v>0</v>
      </c>
      <c r="AB39" s="41"/>
      <c r="AC39" s="41"/>
      <c r="AD39" s="41"/>
      <c r="AE39" s="41"/>
      <c r="AF39" s="41"/>
      <c r="AG39" s="41"/>
      <c r="AH39" s="28" t="s">
        <v>54</v>
      </c>
      <c r="AI39" s="28" t="s">
        <v>122</v>
      </c>
      <c r="AJ39" s="28" t="s">
        <v>43</v>
      </c>
      <c r="AK39" s="42"/>
      <c r="AL39" s="43"/>
    </row>
    <row r="40" spans="1:38" s="162" customFormat="1" ht="15" customHeight="1">
      <c r="A40" s="160"/>
      <c r="B40" s="160" t="s">
        <v>208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>
        <f>SUM(AG20:AG39)</f>
        <v>120230000</v>
      </c>
      <c r="AH40" s="161"/>
      <c r="AI40" s="161"/>
      <c r="AJ40" s="161"/>
      <c r="AK40" s="161"/>
      <c r="AL40" s="161"/>
    </row>
    <row r="41" spans="1:38" s="6" customFormat="1">
      <c r="A41" s="7"/>
      <c r="E41" s="7"/>
      <c r="F41" s="47"/>
      <c r="K41" s="7"/>
      <c r="X41" s="7"/>
      <c r="AA41" s="7"/>
      <c r="AB41" s="48"/>
      <c r="AI41" s="168" t="s">
        <v>141</v>
      </c>
      <c r="AJ41" s="168"/>
      <c r="AK41" s="168"/>
      <c r="AL41" s="168"/>
    </row>
    <row r="42" spans="1:38" s="6" customFormat="1">
      <c r="A42" s="7"/>
      <c r="B42" s="6" t="s">
        <v>68</v>
      </c>
      <c r="E42" s="168" t="s">
        <v>138</v>
      </c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 t="s">
        <v>69</v>
      </c>
      <c r="AJ42" s="168"/>
      <c r="AK42" s="168" t="s">
        <v>70</v>
      </c>
      <c r="AL42" s="168"/>
    </row>
    <row r="43" spans="1:38" s="6" customFormat="1">
      <c r="A43" s="7" t="s">
        <v>71</v>
      </c>
      <c r="B43" s="6" t="s">
        <v>86</v>
      </c>
      <c r="C43" s="3" t="s">
        <v>87</v>
      </c>
      <c r="E43" s="7"/>
      <c r="F43" s="47"/>
      <c r="K43" s="7"/>
      <c r="X43" s="7"/>
      <c r="AA43" s="7"/>
      <c r="AB43" s="48"/>
    </row>
    <row r="44" spans="1:38" s="6" customFormat="1">
      <c r="A44" s="7" t="s">
        <v>71</v>
      </c>
      <c r="B44" s="6" t="s">
        <v>72</v>
      </c>
      <c r="C44" s="3" t="s">
        <v>87</v>
      </c>
      <c r="E44" s="7"/>
      <c r="F44" s="47"/>
      <c r="K44" s="7"/>
      <c r="X44" s="7"/>
      <c r="AA44" s="7"/>
      <c r="AB44" s="48"/>
    </row>
    <row r="45" spans="1:38" s="6" customFormat="1">
      <c r="A45" s="7" t="s">
        <v>71</v>
      </c>
      <c r="B45" s="6" t="s">
        <v>73</v>
      </c>
      <c r="C45" s="3" t="s">
        <v>87</v>
      </c>
      <c r="E45" s="7"/>
      <c r="F45" s="47"/>
      <c r="K45" s="7"/>
      <c r="X45" s="7"/>
      <c r="AA45" s="7"/>
      <c r="AB45" s="48"/>
    </row>
    <row r="46" spans="1:38" s="6" customFormat="1" ht="18" customHeight="1">
      <c r="A46" s="7" t="s">
        <v>71</v>
      </c>
      <c r="B46" s="6" t="s">
        <v>74</v>
      </c>
      <c r="C46" s="3" t="s">
        <v>87</v>
      </c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</row>
    <row r="47" spans="1:38" s="6" customFormat="1" ht="18" customHeight="1">
      <c r="A47" s="7" t="s">
        <v>71</v>
      </c>
      <c r="B47" s="6" t="s">
        <v>142</v>
      </c>
      <c r="C47" s="3" t="s">
        <v>87</v>
      </c>
      <c r="E47" s="168" t="s">
        <v>85</v>
      </c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 t="s">
        <v>75</v>
      </c>
      <c r="AJ47" s="168"/>
      <c r="AK47" s="168" t="s">
        <v>137</v>
      </c>
      <c r="AL47" s="168"/>
    </row>
    <row r="48" spans="1:38" s="6" customFormat="1">
      <c r="A48" s="7"/>
      <c r="E48" s="7"/>
      <c r="F48" s="47"/>
      <c r="K48" s="7"/>
      <c r="X48" s="7"/>
      <c r="AA48" s="7"/>
      <c r="AB48" s="48"/>
      <c r="AI48" s="7"/>
      <c r="AJ48" s="7"/>
      <c r="AK48" s="7"/>
    </row>
    <row r="49" spans="1:39" s="6" customFormat="1">
      <c r="A49" s="7"/>
      <c r="E49" s="7"/>
      <c r="F49" s="47"/>
      <c r="K49" s="7"/>
      <c r="X49" s="7"/>
      <c r="AA49" s="7"/>
      <c r="AB49" s="48"/>
      <c r="AI49" s="7"/>
      <c r="AJ49" s="7"/>
      <c r="AK49" s="7"/>
    </row>
    <row r="50" spans="1:39" s="6" customFormat="1">
      <c r="A50" s="7"/>
      <c r="E50" s="7"/>
      <c r="F50" s="47"/>
      <c r="K50" s="7"/>
      <c r="X50" s="7"/>
      <c r="AA50" s="7"/>
      <c r="AB50" s="48"/>
      <c r="AI50" s="7"/>
      <c r="AJ50" s="7"/>
      <c r="AK50" s="7"/>
    </row>
    <row r="51" spans="1:39" s="6" customFormat="1">
      <c r="A51" s="7"/>
      <c r="C51" s="3"/>
      <c r="D51" s="3"/>
      <c r="E51" s="4"/>
      <c r="F51" s="5"/>
      <c r="G51" s="3"/>
      <c r="H51" s="3"/>
      <c r="I51" s="3"/>
      <c r="J51" s="3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4"/>
      <c r="Y51" s="3"/>
      <c r="Z51" s="3"/>
      <c r="AA51" s="7"/>
      <c r="AB51" s="48"/>
      <c r="AI51" s="7"/>
      <c r="AJ51" s="7"/>
      <c r="AK51" s="7"/>
    </row>
    <row r="52" spans="1:39" s="6" customFormat="1">
      <c r="A52" s="7"/>
      <c r="E52" s="7"/>
      <c r="F52" s="47"/>
      <c r="K52" s="7"/>
      <c r="X52" s="7"/>
      <c r="AA52" s="7"/>
      <c r="AB52" s="48"/>
      <c r="AI52" s="7"/>
      <c r="AJ52" s="7"/>
      <c r="AK52" s="7"/>
    </row>
    <row r="53" spans="1:39" s="6" customFormat="1">
      <c r="A53" s="7"/>
      <c r="E53" s="7"/>
      <c r="F53" s="47"/>
      <c r="K53" s="7"/>
      <c r="X53" s="7"/>
      <c r="AA53" s="7"/>
      <c r="AB53" s="48"/>
      <c r="AI53" s="7"/>
      <c r="AJ53" s="7"/>
      <c r="AK53" s="7"/>
    </row>
    <row r="54" spans="1:39" s="6" customFormat="1">
      <c r="A54" s="7"/>
      <c r="E54" s="7"/>
      <c r="F54" s="47"/>
      <c r="K54" s="7"/>
      <c r="X54" s="7"/>
      <c r="AA54" s="7"/>
      <c r="AB54" s="48"/>
      <c r="AI54" s="7"/>
      <c r="AJ54" s="7"/>
      <c r="AK54" s="7"/>
    </row>
    <row r="55" spans="1:39" s="6" customFormat="1">
      <c r="A55" s="7"/>
      <c r="E55" s="7"/>
      <c r="F55" s="47"/>
      <c r="K55" s="7"/>
      <c r="X55" s="7"/>
      <c r="AA55" s="7"/>
      <c r="AB55" s="48"/>
      <c r="AI55" s="7"/>
      <c r="AJ55" s="7"/>
      <c r="AK55" s="7"/>
    </row>
    <row r="56" spans="1:39">
      <c r="AA56" s="4"/>
      <c r="AB56" s="49"/>
      <c r="AM56" s="3"/>
    </row>
    <row r="57" spans="1:39" s="6" customFormat="1">
      <c r="A57" s="7"/>
      <c r="E57" s="7"/>
      <c r="F57" s="47"/>
      <c r="K57" s="7"/>
      <c r="X57" s="7"/>
      <c r="AA57" s="7"/>
      <c r="AB57" s="48"/>
      <c r="AI57" s="7"/>
      <c r="AJ57" s="7"/>
      <c r="AK57" s="7"/>
    </row>
    <row r="58" spans="1:39">
      <c r="AA58" s="16"/>
      <c r="AM58" s="3"/>
    </row>
    <row r="59" spans="1:39">
      <c r="AA59" s="16"/>
      <c r="AM59" s="3"/>
    </row>
    <row r="60" spans="1:39">
      <c r="AA60" s="16"/>
      <c r="AM60" s="3"/>
    </row>
    <row r="61" spans="1:39">
      <c r="A61" s="3"/>
      <c r="AA61" s="16"/>
      <c r="AM61" s="3"/>
    </row>
    <row r="66" spans="1:2">
      <c r="A66" s="3"/>
      <c r="B66" s="13"/>
    </row>
  </sheetData>
  <autoFilter ref="A15:AN47" xr:uid="{EE4FF7E8-721D-4A62-B718-C7E6EE7440B5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3" showButton="0"/>
    <filterColumn colId="24" showButton="0"/>
    <filterColumn colId="26" showButton="0"/>
    <filterColumn colId="27" showButton="0"/>
  </autoFilter>
  <mergeCells count="42">
    <mergeCell ref="E46:AH46"/>
    <mergeCell ref="AI46:AJ46"/>
    <mergeCell ref="AK46:AL46"/>
    <mergeCell ref="E47:AH47"/>
    <mergeCell ref="AI47:AJ47"/>
    <mergeCell ref="AK47:AL47"/>
    <mergeCell ref="AI41:AL41"/>
    <mergeCell ref="E42:AH42"/>
    <mergeCell ref="AI42:AJ42"/>
    <mergeCell ref="AK42:AL42"/>
    <mergeCell ref="AL15:AL18"/>
    <mergeCell ref="E16:E18"/>
    <mergeCell ref="F16:F18"/>
    <mergeCell ref="G16:I16"/>
    <mergeCell ref="X16:X18"/>
    <mergeCell ref="Y16:Y18"/>
    <mergeCell ref="Z16:Z18"/>
    <mergeCell ref="AA15:AC15"/>
    <mergeCell ref="AD15:AD18"/>
    <mergeCell ref="AE15:AE18"/>
    <mergeCell ref="G17:G18"/>
    <mergeCell ref="H17:I17"/>
    <mergeCell ref="AJ15:AJ18"/>
    <mergeCell ref="AK15:AK18"/>
    <mergeCell ref="A15:A18"/>
    <mergeCell ref="B15:B18"/>
    <mergeCell ref="C15:C18"/>
    <mergeCell ref="D15:D18"/>
    <mergeCell ref="Z1:AL1"/>
    <mergeCell ref="Z2:AL2"/>
    <mergeCell ref="A3:AL3"/>
    <mergeCell ref="Z4:AL4"/>
    <mergeCell ref="A5:AL5"/>
    <mergeCell ref="E15:P15"/>
    <mergeCell ref="AF15:AF18"/>
    <mergeCell ref="AG15:AG18"/>
    <mergeCell ref="AH15:AH18"/>
    <mergeCell ref="AI15:AI18"/>
    <mergeCell ref="AB16:AB18"/>
    <mergeCell ref="AC16:AC18"/>
    <mergeCell ref="AA16:AA18"/>
    <mergeCell ref="X15:Z15"/>
  </mergeCells>
  <printOptions horizontalCentered="1"/>
  <pageMargins left="0.2" right="0.2" top="0.31" bottom="0.28999999999999998" header="0.2" footer="0.21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 TS KHOA BNN 2025</vt:lpstr>
      <vt:lpstr> TS THIET BI ĐIỆN 2025</vt:lpstr>
      <vt:lpstr>' TS KHOA BNN 2025'!Print_Area</vt:lpstr>
      <vt:lpstr>' TS THIET BI ĐIỆN 2025'!Print_Area</vt:lpstr>
      <vt:lpstr>' TS KHOA BNN 2025'!Print_Titles</vt:lpstr>
      <vt:lpstr>' TS THIET BI ĐIỆN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2026-06-15T03:49:24Z</cp:lastPrinted>
  <dcterms:created xsi:type="dcterms:W3CDTF">2019-01-08T07:18:38Z</dcterms:created>
  <dcterms:modified xsi:type="dcterms:W3CDTF">2026-06-17T02:01:27Z</dcterms:modified>
</cp:coreProperties>
</file>