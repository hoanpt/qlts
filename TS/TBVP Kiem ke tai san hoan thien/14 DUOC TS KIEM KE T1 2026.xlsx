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8FB706E7-C8F5-4C64-8576-9FE561886D44}" xr6:coauthVersionLast="36" xr6:coauthVersionMax="47" xr10:uidLastSave="{00000000-0000-0000-0000-000000000000}"/>
  <bookViews>
    <workbookView xWindow="-120" yWindow="-120" windowWidth="19800" windowHeight="11760" firstSheet="2" activeTab="2" xr2:uid="{00000000-000D-0000-FFFF-FFFF00000000}"/>
  </bookViews>
  <sheets>
    <sheet name="foxz" sheetId="33" state="veryHidden" r:id="rId1"/>
    <sheet name="2022 DUOC TBVP" sheetId="29" r:id="rId2"/>
    <sheet name="2022 DUOC TB DIEN t1 " sheetId="30" r:id="rId3"/>
    <sheet name="2022 DUOC TB DIEN t5" sheetId="31" r:id="rId4"/>
    <sheet name="2022 DUOC TB DIEN t6" sheetId="32" r:id="rId5"/>
  </sheets>
  <definedNames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1" hidden="1">#REF!</definedName>
    <definedName name="_Fill" hidden="1">#REF!</definedName>
    <definedName name="_xlnm._FilterDatabase" localSheetId="2" hidden="1">'2022 DUOC TB DIEN t1 '!$A$16:$AN$107</definedName>
    <definedName name="_xlnm._FilterDatabase" localSheetId="3" hidden="1">'2022 DUOC TB DIEN t5'!$A$16:$AN$48</definedName>
    <definedName name="_xlnm._FilterDatabase" localSheetId="4" hidden="1">'2022 DUOC TB DIEN t6'!$A$16:$AN$45</definedName>
    <definedName name="_xlnm._FilterDatabase" localSheetId="1" hidden="1">'2022 DUOC TBVP'!$A$16:$AK$203</definedName>
    <definedName name="_xlnm.Print_Area" localSheetId="1">'2022 DUOC TBVP'!$B$1:$AN$240</definedName>
    <definedName name="_xlnm.Print_Titles" localSheetId="2">'2022 DUOC TB DIEN t1 '!$16:$20</definedName>
    <definedName name="_xlnm.Print_Titles" localSheetId="3">'2022 DUOC TB DIEN t5'!$16:$20</definedName>
    <definedName name="_xlnm.Print_Titles" localSheetId="4">'2022 DUOC TB DIEN t6'!$16:$18</definedName>
    <definedName name="_xlnm.Print_Titles" localSheetId="1">'2022 DUOC TBVP'!$16:$20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53" i="30" l="1"/>
  <c r="AG34" i="30"/>
  <c r="AG38" i="31"/>
  <c r="AG28" i="31"/>
  <c r="AG41" i="31" s="1"/>
  <c r="AG36" i="32"/>
  <c r="AG26" i="32"/>
  <c r="AG38" i="32" l="1"/>
  <c r="AG82" i="30"/>
  <c r="AG72" i="30"/>
  <c r="AG62" i="30"/>
  <c r="AG44" i="30"/>
  <c r="AG96" i="30" l="1"/>
  <c r="AM38" i="32" s="1"/>
  <c r="A31" i="32"/>
  <c r="A32" i="32" s="1"/>
  <c r="A33" i="32" s="1"/>
  <c r="A34" i="32" s="1"/>
  <c r="A35" i="32" s="1"/>
  <c r="A36" i="32" s="1"/>
  <c r="A37" i="32" s="1"/>
  <c r="A21" i="32"/>
  <c r="A22" i="32" s="1"/>
  <c r="A23" i="32" s="1"/>
  <c r="A24" i="32" s="1"/>
  <c r="A25" i="32" s="1"/>
  <c r="A26" i="32" s="1"/>
  <c r="A27" i="32" s="1"/>
  <c r="A28" i="32" s="1"/>
  <c r="A33" i="31"/>
  <c r="A34" i="31" s="1"/>
  <c r="A35" i="31" s="1"/>
  <c r="A36" i="31" s="1"/>
  <c r="A37" i="31" s="1"/>
  <c r="A38" i="31" s="1"/>
  <c r="A39" i="31" s="1"/>
  <c r="A40" i="31" s="1"/>
  <c r="A23" i="31"/>
  <c r="A24" i="31" s="1"/>
  <c r="A25" i="31" s="1"/>
  <c r="A26" i="31" s="1"/>
  <c r="A27" i="31" s="1"/>
  <c r="A28" i="31" s="1"/>
  <c r="A29" i="31" s="1"/>
  <c r="A30" i="31" s="1"/>
  <c r="A78" i="30"/>
  <c r="A79" i="30" s="1"/>
  <c r="A80" i="30" s="1"/>
  <c r="A81" i="30" s="1"/>
  <c r="A82" i="30" s="1"/>
  <c r="A83" i="30" s="1"/>
  <c r="A84" i="30" s="1"/>
  <c r="A85" i="30" s="1"/>
  <c r="AG130" i="29" l="1"/>
  <c r="AH130" i="29"/>
  <c r="AG28" i="29" l="1"/>
  <c r="AG70" i="29" l="1"/>
  <c r="AG66" i="29" l="1"/>
  <c r="AG40" i="29" l="1"/>
  <c r="AG67" i="29"/>
  <c r="AG62" i="29"/>
  <c r="AG51" i="29"/>
  <c r="AG68" i="29" l="1"/>
  <c r="AG59" i="29"/>
  <c r="AG65" i="29" l="1"/>
  <c r="AG85" i="29" l="1"/>
  <c r="AG89" i="29" l="1"/>
  <c r="X81" i="29" l="1"/>
  <c r="X191" i="29" l="1"/>
  <c r="X190" i="29"/>
  <c r="X189" i="29"/>
  <c r="X188" i="29"/>
  <c r="X187" i="29"/>
  <c r="X186" i="29"/>
  <c r="X185" i="29"/>
  <c r="X183" i="29"/>
  <c r="X182" i="29"/>
  <c r="X181" i="29"/>
  <c r="X180" i="29"/>
  <c r="X179" i="29"/>
  <c r="X178" i="29"/>
  <c r="X177" i="29"/>
  <c r="X176" i="29"/>
  <c r="X175" i="29"/>
  <c r="X174" i="29"/>
  <c r="X173" i="29"/>
  <c r="X172" i="29"/>
  <c r="X171" i="29"/>
  <c r="X170" i="29"/>
  <c r="X169" i="29"/>
  <c r="X168" i="29"/>
  <c r="X167" i="29"/>
  <c r="X203" i="29"/>
  <c r="X202" i="29"/>
  <c r="X201" i="29"/>
  <c r="X166" i="29"/>
</calcChain>
</file>

<file path=xl/sharedStrings.xml><?xml version="1.0" encoding="utf-8"?>
<sst xmlns="http://schemas.openxmlformats.org/spreadsheetml/2006/main" count="1918" uniqueCount="424">
  <si>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</si>
  <si>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</si>
  <si>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</si>
  <si>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</si>
  <si>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</si>
  <si>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</si>
  <si>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</si>
  <si>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</si>
  <si>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</si>
  <si>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</si>
  <si>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</si>
  <si>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</si>
  <si>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</si>
  <si>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</si>
  <si>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</si>
  <si>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</si>
  <si>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</si>
  <si>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</si>
  <si>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</si>
  <si>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</si>
  <si>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</si>
  <si>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</si>
  <si>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</si>
  <si>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</si>
  <si>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</si>
  <si>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</si>
  <si>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</si>
  <si>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</si>
  <si>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</si>
  <si>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</si>
  <si>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</si>
  <si>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</si>
  <si>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</si>
  <si>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</si>
  <si>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</si>
  <si>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</si>
  <si>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</si>
  <si>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</si>
  <si>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</si>
  <si>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</si>
  <si>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</si>
  <si>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</si>
  <si>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</si>
  <si>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</si>
  <si>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</si>
  <si>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</si>
  <si>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tài sản mới chuyển đến</t>
  </si>
  <si>
    <t xml:space="preserve">Ghi chú
</t>
  </si>
  <si>
    <t>Ghế nệm xoay</t>
  </si>
  <si>
    <t>Bàn vi tính nhỏ</t>
  </si>
  <si>
    <t>Hỏng</t>
  </si>
  <si>
    <t>Quạt đứng Jiplai</t>
  </si>
  <si>
    <t>Quạt treo tường ASIA</t>
  </si>
  <si>
    <t>Quạt trần SMC</t>
  </si>
  <si>
    <t>Quạt gió</t>
  </si>
  <si>
    <t>Máy điều hòa LG</t>
  </si>
  <si>
    <t>Quỳnh Châu</t>
  </si>
  <si>
    <t xml:space="preserve">+Bàn làm việc </t>
  </si>
  <si>
    <t>+Bàn làm việc 1</t>
  </si>
  <si>
    <t>Khánh Phương</t>
  </si>
  <si>
    <t>DC-B114</t>
  </si>
  <si>
    <t>Bích Vân</t>
  </si>
  <si>
    <t>Quỳnh Hoa</t>
  </si>
  <si>
    <t>Hoàng Yến</t>
  </si>
  <si>
    <t>Thanh Hằng</t>
  </si>
  <si>
    <t>+ Ghế nệm xoay 1</t>
  </si>
  <si>
    <t xml:space="preserve">+ Ghế xoay </t>
  </si>
  <si>
    <t>DC-B101/3</t>
  </si>
  <si>
    <t>+ Ghế nệm xoay 4</t>
  </si>
  <si>
    <t>+ Ghế  gỗ 5</t>
  </si>
  <si>
    <t>+ Ghế  gỗ 6</t>
  </si>
  <si>
    <t>+ Ghế  gỗ 8</t>
  </si>
  <si>
    <t>+Ghế  gỗ 9</t>
  </si>
  <si>
    <t>+Ghế  gỗ 10</t>
  </si>
  <si>
    <t>+ Ghế  gỗ 11</t>
  </si>
  <si>
    <t>+ Ghế  gỗ 12</t>
  </si>
  <si>
    <t>+ Bàn gỗ 2</t>
  </si>
  <si>
    <t>Kệ gỗ</t>
  </si>
  <si>
    <t>+ Kệ sắt 2</t>
  </si>
  <si>
    <t>Tủ sắt 4 cánh</t>
  </si>
  <si>
    <t>Tủ meca</t>
  </si>
  <si>
    <t>Tủ nhôm</t>
  </si>
  <si>
    <t>Máy điều hòa Panasonic</t>
  </si>
  <si>
    <t>+ Ghế nệm xoay 2</t>
  </si>
  <si>
    <t>+Bàn làm việc 1 x 0,5</t>
  </si>
  <si>
    <t>Ghế xếp Inox nệm xanh</t>
  </si>
  <si>
    <t>Chủ tịch hội đồng</t>
  </si>
  <si>
    <t>Ủy viên</t>
  </si>
  <si>
    <t>3. Ông. Trần Liên</t>
  </si>
  <si>
    <t>Trưởng phòng TC - HC</t>
  </si>
  <si>
    <t>Tổ trưởng</t>
  </si>
  <si>
    <t>5. Thành viên tổ kiểm kê</t>
  </si>
  <si>
    <t>Trưởng phòng TC - KT</t>
  </si>
  <si>
    <t>Trưởng khoa Dược - VTYT</t>
  </si>
  <si>
    <t>Đại diện khoa</t>
  </si>
  <si>
    <t>Thành viên tổ kiểm kê</t>
  </si>
  <si>
    <t>-</t>
  </si>
  <si>
    <t>Tình trạng
 sử dụng</t>
  </si>
  <si>
    <t>HẰNG</t>
  </si>
  <si>
    <t>ĐH01</t>
  </si>
  <si>
    <t>KH</t>
  </si>
  <si>
    <t>đang sd</t>
  </si>
  <si>
    <t>Tủ hồ sơ sắt</t>
  </si>
  <si>
    <t>TCHC</t>
  </si>
  <si>
    <t>Phòng 2 - TCHC-A.Linh</t>
  </si>
  <si>
    <t>Hàng ủng hộ PC covid-19</t>
  </si>
  <si>
    <t>Quạt đứng</t>
  </si>
  <si>
    <t>DC-98/02</t>
  </si>
  <si>
    <t>Đề nghị thanh lý</t>
  </si>
  <si>
    <t>Quạt điện đứng Natifan</t>
  </si>
  <si>
    <t>Tủ gỗ 10 cánh 3 hộc (1,8 x 2,0m)</t>
  </si>
  <si>
    <t>P. Kho hóa chất (T1.1)</t>
  </si>
  <si>
    <t>P. Kho vắc xin (T1.2)</t>
  </si>
  <si>
    <t>P. Quầy thuốc + kho thuốc (T1.8)</t>
  </si>
  <si>
    <t>P. Kho vật tư y tế (T1.9)</t>
  </si>
  <si>
    <t>Ghế quầy thuốc + Thu phí + Viện phí
-Kích  thước: (460x430x750-950)mm.</t>
  </si>
  <si>
    <t>P. Làm việc khoa dược vật tư y tế (T5.13)</t>
  </si>
  <si>
    <t>Ghế họp giao ban - GQ712
-Kích thước: (580x620x950)mm.</t>
  </si>
  <si>
    <t>Đèn led panel 45w  0,3x1,2 m</t>
  </si>
  <si>
    <t>Công tắc 2</t>
  </si>
  <si>
    <t>Ổ cắm đôi 3 chấu</t>
  </si>
  <si>
    <t>Tủ điện âm tường bao gồm thiết bị</t>
  </si>
  <si>
    <t>Điều hòa 24000Btu/h + remote</t>
  </si>
  <si>
    <t>Đầu báo khói địa chỉ (kể cả đế)</t>
  </si>
  <si>
    <t xml:space="preserve">Đầu phun sprinkler 68 độ C (loại quay xuống) + đế </t>
  </si>
  <si>
    <t>Điều hòa treo tường 24.000 Btu/h + remote</t>
  </si>
  <si>
    <t>Công tắc 1</t>
  </si>
  <si>
    <t>Miệng gió tươi 200x200 + OBD</t>
  </si>
  <si>
    <t xml:space="preserve">Điều hòa treo tường 18.000 Btu/h </t>
  </si>
  <si>
    <t xml:space="preserve">Điều hòa treo tường 12.000 Btu/h </t>
  </si>
  <si>
    <t>Quạt trần + hộp số</t>
  </si>
  <si>
    <t xml:space="preserve">Điều hòa treo tường 24.000 Btu/h + remote </t>
  </si>
  <si>
    <t>Đèn led downlight 16w</t>
  </si>
  <si>
    <t>Miệng gió tươi 250x250 + OBD</t>
  </si>
  <si>
    <t xml:space="preserve">Điều hòa treo tường 18.000 Btu/h + remote </t>
  </si>
  <si>
    <t>Điều hòa treo tường 18.000 Btu/h + remote</t>
  </si>
  <si>
    <t>Trung tâm khí y tế(trung tâm O2+CO2)</t>
  </si>
  <si>
    <t>Đèn chống nổ 1x18w - 1,2m</t>
  </si>
  <si>
    <t>Module INPUT/OUTPUT loại địa chỉ (DIMM)</t>
  </si>
  <si>
    <t>Công tắc dòng chảy</t>
  </si>
  <si>
    <t>Đồng hồ đo áp lực + van chặn đồng hồ áp lực</t>
  </si>
  <si>
    <t>Van chặn ty nổi bắt bích DN100mm</t>
  </si>
  <si>
    <t>Van chặn DN25</t>
  </si>
  <si>
    <t>Đèn led panel 45 w vuông 0,6x0,6 m</t>
  </si>
  <si>
    <t>Công tắc 3</t>
  </si>
  <si>
    <t>Đầu phun sprinkler 68 độ C (loại quay xuống) + đế</t>
  </si>
  <si>
    <t>Miệng gió 250x250 + OBD</t>
  </si>
  <si>
    <t>Miệng gió 800x150 + OBD</t>
  </si>
  <si>
    <t>Đèn led panel 45w  0,3x1,2m</t>
  </si>
  <si>
    <t>Công tắc 4</t>
  </si>
  <si>
    <t>Kho Vaccin</t>
  </si>
  <si>
    <t>Quầy thuốc</t>
  </si>
  <si>
    <t>I</t>
  </si>
  <si>
    <t>P. Làm việc khoa Dược vật tư y tế Tầng 5</t>
  </si>
  <si>
    <t>Bàn làm việc - BLV15-1
-Kích thước: (1.500x750x760)mm.
- Gỗ công nghiệp phủ melamine có hộc liền.</t>
  </si>
  <si>
    <t>Dược- VTYT</t>
  </si>
  <si>
    <t>P. Làm việc</t>
  </si>
  <si>
    <t>Đang sd</t>
  </si>
  <si>
    <t>Bàn làm việc - BLV1809-1
-Kích thước: (1.800x900x760)mm.
-Gỗ công nghiệp phun PU</t>
  </si>
  <si>
    <t>Ghế làm việc
-Kích thước: (550x530x865/990)mm.
- Khung nhựa, đệm tựa bọc vải tay nhựa.</t>
  </si>
  <si>
    <t>Tủ đựng dụng cụ
-Kích thước: (1.000x450x1.830)mm.
- Khung sắt sơn tĩnh điện khoang trên có 03 khoang, có 02 đợt di động. Khung cánh kính mở</t>
  </si>
  <si>
    <t>TDC 60-62</t>
  </si>
  <si>
    <t>Bàn làm việc- BH2010
-Kích thước: (2,000x1.000x750)mm
-Gỗ công nghiệp phủ melamine</t>
  </si>
  <si>
    <t>BH2010</t>
  </si>
  <si>
    <t>GQ712/87-96</t>
  </si>
  <si>
    <t>BLV 106</t>
  </si>
  <si>
    <t>Dược - VTYT</t>
  </si>
  <si>
    <t>TDC 63</t>
  </si>
  <si>
    <t>II</t>
  </si>
  <si>
    <t>Quầy thuốc - BQ608
-Kích thước: (6.000x800x750)mm.
- Gỗ tự nhiên ghép thanh, có thoạ, có hộc đựng hồ sơ, kệ CPU</t>
  </si>
  <si>
    <t>B608/1</t>
  </si>
  <si>
    <t>P. Quầy thuốc + kho thuốc Tầng 1</t>
  </si>
  <si>
    <t xml:space="preserve">P. Quầy thuốc </t>
  </si>
  <si>
    <t>GQT/01-12</t>
  </si>
  <si>
    <t>Ghế quầy
-Kích thước: (590x540x920)mm.
- Ghế lưới tay nhựa chân mạ.</t>
  </si>
  <si>
    <t>III</t>
  </si>
  <si>
    <t>06 PCT</t>
  </si>
  <si>
    <t>Kho thuốc T1</t>
  </si>
  <si>
    <t>315 PCT</t>
  </si>
  <si>
    <t>Dược 315 PCT chuyển về</t>
  </si>
  <si>
    <t>Kệ sắt</t>
  </si>
  <si>
    <t>Bàn làm việc</t>
  </si>
  <si>
    <t>Bàn làm việc vân gỗ</t>
  </si>
  <si>
    <t>Quạt công nghiệp DEFAN</t>
  </si>
  <si>
    <t>Quạt công nghiệp GALE</t>
  </si>
  <si>
    <t>P. Kho thuốc - vật tư y tế  Tầng 1</t>
  </si>
  <si>
    <t>Kho VTYT T1</t>
  </si>
  <si>
    <t>IV</t>
  </si>
  <si>
    <t xml:space="preserve">Ghế gỗ </t>
  </si>
  <si>
    <t>V</t>
  </si>
  <si>
    <t>Kho 1 (Tầng 5 )</t>
  </si>
  <si>
    <t>Kho 1 T5</t>
  </si>
  <si>
    <t>Tủ đựng tài liệu 6 cánh</t>
  </si>
  <si>
    <t>P. Giám đốc</t>
  </si>
  <si>
    <t>ko sd</t>
  </si>
  <si>
    <t>P. giám đốc 315</t>
  </si>
  <si>
    <t>Ghế gỗ</t>
  </si>
  <si>
    <t>Ghế ngồi ăn (04 ghế/01 bàn)
- Kích thước: (440x515x850)mm.
-Khung inox 304, đệm tựa bọc PVC.</t>
  </si>
  <si>
    <t>GN 40</t>
  </si>
  <si>
    <t>VI</t>
  </si>
  <si>
    <t>P. Câu lạc bộ sức khỏe (Tầng 6)</t>
  </si>
  <si>
    <t>P. CLBSK</t>
  </si>
  <si>
    <t>Bàn tiếp tân
-Kích thước: (2.700x600x1.100)mm
- Gỗ tự nhiên ghép thanh, có thoại, có hộc đựng hồ sơ, kệ CPU</t>
  </si>
  <si>
    <t>VII</t>
  </si>
  <si>
    <t>VIII</t>
  </si>
  <si>
    <t>Không sd</t>
  </si>
  <si>
    <t>VP Khoa</t>
  </si>
  <si>
    <t>Bàn làm việc Meca trắng</t>
  </si>
  <si>
    <t>Bàn làm việc 1,4x0,7</t>
  </si>
  <si>
    <t>IX</t>
  </si>
  <si>
    <t>Tài sản còn lại tại Cơ sở cũ 06 Phan Châu Trinh</t>
  </si>
  <si>
    <t>Tài sản còn lại tại cơ sở cũ 315 Phan Châu Trinh</t>
  </si>
  <si>
    <t>Kho 06 PCT</t>
  </si>
  <si>
    <t>Kệ sắt 3</t>
  </si>
  <si>
    <t>Kệ sắt 4, 5</t>
  </si>
  <si>
    <t>bộ</t>
  </si>
  <si>
    <t>cái</t>
  </si>
  <si>
    <t>Đơn vị tính</t>
  </si>
  <si>
    <t>Kho hoá chất</t>
  </si>
  <si>
    <t>Kho Vắc xin</t>
  </si>
  <si>
    <t>Kho VTYT</t>
  </si>
  <si>
    <t>Kho Dược (T1.11)</t>
  </si>
  <si>
    <t>Kho Dược</t>
  </si>
  <si>
    <t>TT Khí y tế</t>
  </si>
  <si>
    <t>THIẾT BỊ ĐIỆN KHOA DƯỢC - VẬT TƯ Y TẾ TẦNG 1</t>
  </si>
  <si>
    <t>THIẾT BỊ ĐIỆN KHOA DƯỢC - VẬT TƯ Y TẾ TẦNG 5</t>
  </si>
  <si>
    <t>Đèn led panel 45w 0,3x1,2 m</t>
  </si>
  <si>
    <t>P. Giao ban</t>
  </si>
  <si>
    <t>THIẾT BỊ ĐIỆN KHOA DƯỢC - VẬT TƯ Y TẾ TẦNG 6</t>
  </si>
  <si>
    <t>Kho Dược Tầng 6 ( P. Làm việc K. Dinh dưỡng chuyển sang) (T6.11)</t>
  </si>
  <si>
    <t>Kho Dược Tầng 6 (P. Giao ban K. Dinh dưỡng chuyển sang)(T6.12)</t>
  </si>
  <si>
    <t>Kho Dược T6</t>
  </si>
  <si>
    <t xml:space="preserve">TBVP KHOA DƯỢC - VẬT TƯ Y TẾ </t>
  </si>
  <si>
    <t>Trần Liên…………………………..</t>
  </si>
  <si>
    <t>Trần Quốc Việt…………………….</t>
  </si>
  <si>
    <t>DC-B100/7</t>
  </si>
  <si>
    <t>DC-B042/5</t>
  </si>
  <si>
    <t>DC-B044</t>
  </si>
  <si>
    <t>Kho vắc xin</t>
  </si>
  <si>
    <t>1</t>
  </si>
  <si>
    <t>BLV/97-101, 103,104</t>
  </si>
  <si>
    <t>TÀI SẢN THANH LÝ THEO QUYẾT ĐỊNH 443/QĐ-TTKSBT NGÀY 13/12/2023</t>
  </si>
  <si>
    <t>TÀI SẢN GẮN LIỀN BÀN GIAO NHÀ ĐÂT 315 PHAN CHÂU TRINH CHO CÔNG AN</t>
  </si>
  <si>
    <t>1. Ông. Nguyễn Đại Vĩnh</t>
  </si>
  <si>
    <t>Giám đốc</t>
  </si>
  <si>
    <t>Nguyễn Đại Vĩnh</t>
  </si>
  <si>
    <t>Hỏng, Không sử
 dụng</t>
  </si>
  <si>
    <t>- Hôm nay, ngày  05  tháng  6   năm 2025, tại Trung tâm Kiểm soát bệnh tât TP Đà Nẵng chúng tôi gồm:</t>
  </si>
  <si>
    <t>Lê Thị Bích Trâm…………………</t>
  </si>
  <si>
    <t>-1</t>
  </si>
  <si>
    <t>-2</t>
  </si>
  <si>
    <t>4. Bà. Mai Thị Tính</t>
  </si>
  <si>
    <t>2. Ông. Hồ Phú Quảng</t>
  </si>
  <si>
    <t>Chuyển Khoa dinh dưỡng</t>
  </si>
  <si>
    <t>Chuyển 01 ghế qua Kho thuốc Methadon</t>
  </si>
  <si>
    <t>Chuyển P.Kho thuốc - vật tư y tế tầng 1</t>
  </si>
  <si>
    <t>Chuyển kho thuốc Methadon</t>
  </si>
  <si>
    <t>Bàn làm việc BVP - 014 -00B</t>
  </si>
  <si>
    <t>+1</t>
  </si>
  <si>
    <t>Cơ sở 2 chuyển ra</t>
  </si>
  <si>
    <t>GLV 155 chuyển sang P.Kho thuốc - vật tư y tế tầng 1</t>
  </si>
  <si>
    <t>Tủ thuốc nhôm</t>
  </si>
  <si>
    <t>Tủ quầy nhôm</t>
  </si>
  <si>
    <t>Chuyển sang phòng cấp phát thuốc</t>
  </si>
  <si>
    <t>Chuyển sang P.kho thuốc - vật tư y tế Tầng 1</t>
  </si>
  <si>
    <t>Chuyển sang Kho thuốc Methadon</t>
  </si>
  <si>
    <t>+3</t>
  </si>
  <si>
    <t>GLV 145, 151 Phòng làm việc khoa Dược Tầng 5 chuyển xuống
GLV 155 P.Quầy thuốc .kho thuốc Tầng 1 chuyển sang</t>
  </si>
  <si>
    <t>GLV/145, 151, 155</t>
  </si>
  <si>
    <t>ghế xếp</t>
  </si>
  <si>
    <t>GLV 158</t>
  </si>
  <si>
    <t>GLV/156-157, 109</t>
  </si>
  <si>
    <t>BLV 1809/21 từ Khoa Dinh Dưỡng chuyển về</t>
  </si>
  <si>
    <t>BLV 1809/12, 21</t>
  </si>
  <si>
    <t>Bàn giao P.TCHC</t>
  </si>
  <si>
    <t>+2</t>
  </si>
  <si>
    <t>P.Quầy thuốc - Kho thuốc T1 chuyển sang</t>
  </si>
  <si>
    <t>Đơn giá</t>
  </si>
  <si>
    <t>Thành tiền</t>
  </si>
  <si>
    <t>Quạ đứng ASIA</t>
  </si>
  <si>
    <t>CS2</t>
  </si>
  <si>
    <t>P. Kho vắc xin Tầng 1 chuyển sang</t>
  </si>
  <si>
    <t>P. Kho thuốc - Vật tư Y tế Tầng 1 chuyển sang</t>
  </si>
  <si>
    <t>P. Quầy thuốc + kho thuốc Tầng 1 chuyển sang</t>
  </si>
  <si>
    <t>Quạt đứng điều khiển</t>
  </si>
  <si>
    <t>Bàn làm việc, có hộc tủ và bàn phím KT: 1200x600x750mm</t>
  </si>
  <si>
    <t>DS</t>
  </si>
  <si>
    <t>Dân số chuyển qua</t>
  </si>
  <si>
    <t>TTKNCS</t>
  </si>
  <si>
    <t>TTKNTPCS chuyển sang</t>
  </si>
  <si>
    <t>Bàn làm việc gỗ melammine, kích thước: 1200x600x750mm</t>
  </si>
  <si>
    <t>Ghế lưới, kích thước: 545x530x910 - 1135mm</t>
  </si>
  <si>
    <t>Đà Nẵng, ngày     tháng   01    năm 2026</t>
  </si>
  <si>
    <t>Mai Thị Tính</t>
  </si>
  <si>
    <t>Phụ trách khoa Dược - VTYT</t>
  </si>
  <si>
    <t>Hồ Phú Quảng</t>
  </si>
  <si>
    <t>BIÊN BẢN KIỂM KÊ TÀI SẢN CỐ ĐỊNH NĂM 2026</t>
  </si>
  <si>
    <t>Phòng Cấp phát thuốc (P.lấy mẫu xét nghệm HIV T1 cũ của Khoa xét nghiệm)</t>
  </si>
  <si>
    <t>Phòng Kho thuốc Methadone (Kho dược T1.10 cũ)</t>
  </si>
  <si>
    <t>Chuyển Tầng hầm</t>
  </si>
  <si>
    <t>Tầng hầm</t>
  </si>
  <si>
    <t>Kho thuốc Vật tư Y tế Tầng 1 chuyển xuống</t>
  </si>
  <si>
    <t>GLV 145,151 chuyển P.Kho thuốc, vật tư y tế Tầng 1
GLV 107  phòng TCHC chuyển sang
GLV 154 chuyển P.Cấp phát thuốc</t>
  </si>
  <si>
    <t>GLV/144, 146-150, 152-153, 107</t>
  </si>
  <si>
    <t>P.Làm việc Khoa dược Tầng 5 chuyển xuống</t>
  </si>
  <si>
    <t>GLV 154</t>
  </si>
  <si>
    <t>GQ 13</t>
  </si>
  <si>
    <t>CƠ SỞ 1</t>
  </si>
  <si>
    <t>CƠ SỞ 2</t>
  </si>
  <si>
    <t>Tủ gỗ 2 cánh đẩy</t>
  </si>
  <si>
    <t>Bàn làm việc 2016: HP1200SHL</t>
  </si>
  <si>
    <t>Bàn làm việc BVP- 014 - 00B</t>
  </si>
  <si>
    <t>8 ghế tựa gỗ (trong bộ Bàn, ghế họp: Bàn hột xoài 4,0m x 2,0m x 0,75m của Khoa KST-CT)</t>
  </si>
  <si>
    <t>Tủ hồ sơ sắt TU09K3G</t>
  </si>
  <si>
    <t xml:space="preserve">Bàn làm việc 0.6x1.2 </t>
  </si>
  <si>
    <t>Kệ gỗ kê hàng</t>
  </si>
  <si>
    <t>Xe đẫy 4 bánh</t>
  </si>
  <si>
    <t>Xe đẫy 2 bánh</t>
  </si>
  <si>
    <t>Tủ lạnh Sam sung 220 lít</t>
  </si>
  <si>
    <t>Bàn vi tính gỗ Bero</t>
  </si>
  <si>
    <t>Tủ kính nhôm ( bột Nutifoot)</t>
  </si>
  <si>
    <t>Ghế tròn xoay Inox</t>
  </si>
  <si>
    <t>Kệ sắt</t>
  </si>
  <si>
    <t>Kệ để tài liệu</t>
  </si>
  <si>
    <t>Bàn làm việc ván Mã Lai</t>
  </si>
  <si>
    <t xml:space="preserve">Bàn làm việc nhỏ ván Mã Lai </t>
  </si>
  <si>
    <t>Bàn làm việc  0,6 x 1,2</t>
  </si>
  <si>
    <t>Bàn hồi trường 0.4x1.6</t>
  </si>
  <si>
    <t>Máy điều hòa Sam sung</t>
  </si>
  <si>
    <t>Máy điều hòa Gree 18.000 BTU</t>
  </si>
  <si>
    <t>Bàn vi tính</t>
  </si>
  <si>
    <t xml:space="preserve">Quạt thông gió </t>
  </si>
  <si>
    <t>Máy hút ẩm Jacon HM -14 EC</t>
  </si>
  <si>
    <t>Tủ hồ sơ sắt 09k5 (T12/14)</t>
  </si>
  <si>
    <t>Tủ sắt đựng thuốc 4 cánh CA T09K4T</t>
  </si>
  <si>
    <t>Máy hút ẩm NA- DEX12M</t>
  </si>
  <si>
    <t>Tủ đựng hồ sơ CA- 2C-S4 - Xuân Hòa</t>
  </si>
  <si>
    <t>Tủ hồ sơ  1,2 x 1,8</t>
  </si>
  <si>
    <t>Ghế xoay G550</t>
  </si>
  <si>
    <t>5/YTDP</t>
  </si>
  <si>
    <t>217-HIV/17</t>
  </si>
  <si>
    <t>60-HIV/15</t>
  </si>
  <si>
    <t>66-HIV/17</t>
  </si>
  <si>
    <t>1-YTDP</t>
  </si>
  <si>
    <t>2-YTDP</t>
  </si>
  <si>
    <t>3-YTDP</t>
  </si>
  <si>
    <t>6-YTDP</t>
  </si>
  <si>
    <t>7-YTDP</t>
  </si>
  <si>
    <t>8-YTDP</t>
  </si>
  <si>
    <t>9-YTDP</t>
  </si>
  <si>
    <t>1-SKSS</t>
  </si>
  <si>
    <t>2-SKSS</t>
  </si>
  <si>
    <t>3-SKSS</t>
  </si>
  <si>
    <t>8-SKSS</t>
  </si>
  <si>
    <t>12-SKSS</t>
  </si>
  <si>
    <t>13-SKSS</t>
  </si>
  <si>
    <t>14-SKSS</t>
  </si>
  <si>
    <t>15-SKSS</t>
  </si>
  <si>
    <t>21-SKSS</t>
  </si>
  <si>
    <t>08/SR-BC</t>
  </si>
  <si>
    <t>09/SR-BC</t>
  </si>
  <si>
    <t>102-SKSS</t>
  </si>
  <si>
    <t>SR-01/09</t>
  </si>
  <si>
    <t>5-YTDP</t>
  </si>
  <si>
    <t>04/ Dược/2021</t>
  </si>
  <si>
    <t>32-HIV/14</t>
  </si>
  <si>
    <t>33-HIV/14</t>
  </si>
  <si>
    <t>218-HIV/17</t>
  </si>
  <si>
    <t>220-HIV/17</t>
  </si>
  <si>
    <t>59-HIV/15</t>
  </si>
  <si>
    <t>61-HIV/15</t>
  </si>
  <si>
    <t>64-HIV/15</t>
  </si>
  <si>
    <t>07/SR-BC</t>
  </si>
  <si>
    <t>10/SR-BC</t>
  </si>
  <si>
    <t>07/Dược/2022</t>
  </si>
  <si>
    <t>219-HIV/17</t>
  </si>
  <si>
    <t>62-HIV/15</t>
  </si>
  <si>
    <t>63-HIV/15</t>
  </si>
  <si>
    <t>05/ Dược/2021</t>
  </si>
  <si>
    <t>94-SKSS</t>
  </si>
  <si>
    <t>2009</t>
  </si>
  <si>
    <t>0</t>
  </si>
  <si>
    <t>129 TNV</t>
  </si>
  <si>
    <t>hỏng</t>
  </si>
  <si>
    <t>Kho 129 TNV</t>
  </si>
  <si>
    <t>131 TNV</t>
  </si>
  <si>
    <t>không sd</t>
  </si>
  <si>
    <t>135 TNV</t>
  </si>
  <si>
    <t>Két sắt 2 khóa, dung tích tối thiểu 30L; Mã số KS168K2C1</t>
  </si>
  <si>
    <t>108-HIV/17</t>
  </si>
  <si>
    <t xml:space="preserve">Phòng TCKT chuyển sang -129 TNV </t>
  </si>
  <si>
    <t>Máy điều hòa Panasonic BTU</t>
  </si>
  <si>
    <t>SS 275/14</t>
  </si>
  <si>
    <t>2014</t>
  </si>
  <si>
    <t>SS 03/15</t>
  </si>
  <si>
    <t>Máy điều hòa Mitshubishi Inverter</t>
  </si>
  <si>
    <t>Kệ đưng phiếu vàng theo dõi Methadone</t>
  </si>
  <si>
    <t>18/HIV/2023</t>
  </si>
  <si>
    <t>Việt Nam</t>
  </si>
  <si>
    <t>Me1</t>
  </si>
  <si>
    <t>PK</t>
  </si>
  <si>
    <t>Khoa HIV</t>
  </si>
  <si>
    <t>Khoa HIV chuyển sang</t>
  </si>
  <si>
    <t xml:space="preserve"> 135 TNV</t>
  </si>
  <si>
    <t>Nguyễn Thị Hà Vy……………………</t>
  </si>
  <si>
    <t>Dân số</t>
  </si>
  <si>
    <t>TỔNG CỘNG</t>
  </si>
  <si>
    <t>THEO DÕI CCDC</t>
  </si>
  <si>
    <t>- Hôm nay, ngày 09    tháng  01   năm 2026, tại Trung tâm Kiểm soát bệnh tât TP Đà Nẵng chúng tôi gồm:</t>
  </si>
  <si>
    <t>Phó Trưởng khoa Dược - VTYT</t>
  </si>
  <si>
    <t>Kho Dược (T1.10) chuyển thành Kho thuốc Methadone</t>
  </si>
  <si>
    <t>Phòng Cấp phát thuốc (T1.13) (P.lấy mẫu xét nghệm HIV T1 cũ của Khoa xét nghiệm)</t>
  </si>
  <si>
    <t>P. Cấp phát thuốc</t>
  </si>
  <si>
    <t>Lavabo treo tường và chân + vòi</t>
  </si>
  <si>
    <t xml:space="preserve">                         Đà Nẵng, ngày  09  tháng  01  năm 2026</t>
  </si>
  <si>
    <t>Phó trưởng khoa Dược - VTYT</t>
  </si>
  <si>
    <t>Nguyễn ThịVũ Cẩm……………………</t>
  </si>
  <si>
    <t>- Hôm nay, ngày    tháng 01    năm 2026, tại Trung tâm Kiểm soát bệnh tât TP Đà Nẵng chúng tôi gồm:</t>
  </si>
  <si>
    <t>P. Kho ( T5.19)</t>
  </si>
  <si>
    <t xml:space="preserve">     Đà Nẵng, ngày   09    tháng 01   năm 2026</t>
  </si>
  <si>
    <t>Nguyễn Thị Vũ Cẩm……………………</t>
  </si>
  <si>
    <t>- Hôm nay, ngày 09   tháng 01  năm 2026, tại Trung tâm Kiểm soát bệnh tât TP Đà Nẵng chúng tôi gồm:</t>
  </si>
  <si>
    <t xml:space="preserve"> Phó Trưởng khoa Dược - VTYT</t>
  </si>
  <si>
    <t xml:space="preserve">                     Đà Nẵng, ngày   09   tháng  01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</si>
</sst>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0.0%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0.000"/>
    <numFmt numFmtId="175" formatCode="_(* #,##0_);_(* \(#,##0\);_(* &quot;-&quot;??_);_(@_)"/>
    <numFmt numFmtId="176" formatCode="_-* #,##0&quot; &quot;_ _-;\-* #,##0&quot; &quot;_ _-;_-* &quot;-&quot;??&quot; &quot;_ _-;_-@_-"/>
  </numFmts>
  <fonts count="41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2"/>
      <name val="Times New Roman"/>
      <family val="1"/>
      <charset val="163"/>
    </font>
    <font>
      <sz val="12"/>
      <color indexed="8"/>
      <name val="VNI-Times"/>
      <family val="2"/>
    </font>
    <font>
      <sz val="8"/>
      <name val="VNtimes new roman"/>
    </font>
    <font>
      <b/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sz val="11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VNtimes new roman"/>
      <family val="2"/>
      <charset val="163"/>
    </font>
    <font>
      <sz val="12"/>
      <name val="Times New Roman"/>
      <family val="1"/>
    </font>
    <font>
      <sz val="11"/>
      <name val="Times New Roman"/>
      <family val="1"/>
    </font>
    <font>
      <sz val="8"/>
      <color indexed="8"/>
      <name val="Arial"/>
      <family val="2"/>
    </font>
    <font>
      <sz val="12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name val="VNtimes new roman"/>
      <family val="2"/>
      <charset val="163"/>
    </font>
    <font>
      <b/>
      <sz val="12"/>
      <name val="Times New Roman"/>
      <family val="1"/>
    </font>
    <font>
      <sz val="13"/>
      <name val="Times New Roman"/>
      <family val="1"/>
      <charset val="163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11"/>
      <color theme="1"/>
      <name val="VNtimes new roman"/>
      <family val="2"/>
      <charset val="163"/>
    </font>
    <font>
      <sz val="11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4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164" fontId="7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69" fontId="5" fillId="0" borderId="0"/>
    <xf numFmtId="9" fontId="7" fillId="0" borderId="0" applyFont="0" applyFill="0" applyBorder="0" applyAlignment="0" applyProtection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10" fillId="0" borderId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12" fillId="0" borderId="0"/>
    <xf numFmtId="0" fontId="13" fillId="0" borderId="0"/>
    <xf numFmtId="164" fontId="7" fillId="0" borderId="0" applyFont="0" applyFill="0" applyBorder="0" applyAlignment="0" applyProtection="0"/>
    <xf numFmtId="0" fontId="14" fillId="0" borderId="0"/>
    <xf numFmtId="0" fontId="14" fillId="0" borderId="0"/>
    <xf numFmtId="0" fontId="8" fillId="0" borderId="0"/>
    <xf numFmtId="0" fontId="4" fillId="0" borderId="0"/>
    <xf numFmtId="0" fontId="16" fillId="0" borderId="0"/>
    <xf numFmtId="0" fontId="3" fillId="0" borderId="0"/>
    <xf numFmtId="164" fontId="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</xf>
    <xf numFmtId="164" fontId="2" fillId="0" borderId="0" applyFont="0" applyFill="0" applyBorder="0" applyAlignment="0" applyProtection="0"/>
    <xf numFmtId="0" fontId="24" fillId="0" borderId="0"/>
    <xf numFmtId="0" fontId="25" fillId="0" borderId="0" applyAlignment="0">
      <alignment vertical="top" wrapText="1"/>
      <protection locked="0"/>
    </xf>
    <xf numFmtId="0" fontId="26" fillId="0" borderId="0" applyNumberFormat="0" applyFill="0" applyBorder="0" applyAlignment="0" applyProtection="0">
      <alignment vertical="top"/>
    </xf>
    <xf numFmtId="164" fontId="5" fillId="0" borderId="0" applyFont="0" applyFill="0" applyBorder="0" applyAlignment="0" applyProtection="0"/>
    <xf numFmtId="0" fontId="1" fillId="0" borderId="0"/>
  </cellStyleXfs>
  <cellXfs count="360">
    <xf numFmtId="0" fontId="0" fillId="0" borderId="0" xfId="0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8" fillId="2" borderId="0" xfId="0" quotePrefix="1" applyFont="1" applyFill="1" applyAlignment="1">
      <alignment horizontal="left"/>
    </xf>
    <xf numFmtId="0" fontId="15" fillId="2" borderId="0" xfId="0" quotePrefix="1" applyFont="1" applyFill="1" applyAlignment="1">
      <alignment horizontal="left"/>
    </xf>
    <xf numFmtId="3" fontId="15" fillId="2" borderId="0" xfId="0" applyNumberFormat="1" applyFont="1" applyFill="1" applyAlignment="1">
      <alignment horizontal="right"/>
    </xf>
    <xf numFmtId="0" fontId="18" fillId="2" borderId="0" xfId="0" applyFont="1" applyFill="1"/>
    <xf numFmtId="0" fontId="18" fillId="2" borderId="0" xfId="0" quotePrefix="1" applyFont="1" applyFill="1"/>
    <xf numFmtId="0" fontId="19" fillId="2" borderId="0" xfId="0" applyFont="1" applyFill="1" applyAlignment="1">
      <alignment horizontal="center"/>
    </xf>
    <xf numFmtId="165" fontId="18" fillId="2" borderId="0" xfId="1" applyNumberFormat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165" fontId="15" fillId="2" borderId="0" xfId="1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165" fontId="18" fillId="2" borderId="0" xfId="1" applyNumberFormat="1" applyFont="1" applyFill="1" applyBorder="1"/>
    <xf numFmtId="165" fontId="18" fillId="2" borderId="0" xfId="1" applyNumberFormat="1" applyFont="1" applyFill="1" applyBorder="1" applyAlignment="1">
      <alignment horizontal="center"/>
    </xf>
    <xf numFmtId="165" fontId="15" fillId="2" borderId="0" xfId="1" applyNumberFormat="1" applyFont="1" applyFill="1" applyAlignment="1">
      <alignment horizontal="center"/>
    </xf>
    <xf numFmtId="0" fontId="21" fillId="2" borderId="0" xfId="0" applyFont="1" applyFill="1"/>
    <xf numFmtId="166" fontId="22" fillId="2" borderId="2" xfId="0" applyNumberFormat="1" applyFont="1" applyFill="1" applyBorder="1" applyAlignment="1">
      <alignment horizontal="center" vertical="center" wrapText="1"/>
    </xf>
    <xf numFmtId="166" fontId="22" fillId="2" borderId="2" xfId="0" applyNumberFormat="1" applyFont="1" applyFill="1" applyBorder="1" applyAlignment="1">
      <alignment horizontal="center" vertical="center"/>
    </xf>
    <xf numFmtId="0" fontId="22" fillId="2" borderId="2" xfId="32" applyFont="1" applyFill="1" applyBorder="1" applyAlignment="1">
      <alignment horizontal="center" vertical="center"/>
    </xf>
    <xf numFmtId="0" fontId="22" fillId="2" borderId="2" xfId="33" applyFont="1" applyFill="1" applyBorder="1" applyAlignment="1">
      <alignment vertical="center" wrapText="1"/>
    </xf>
    <xf numFmtId="0" fontId="20" fillId="2" borderId="2" xfId="32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right" vertical="center"/>
    </xf>
    <xf numFmtId="3" fontId="20" fillId="2" borderId="2" xfId="0" applyNumberFormat="1" applyFont="1" applyFill="1" applyBorder="1" applyAlignment="1">
      <alignment vertical="center"/>
    </xf>
    <xf numFmtId="167" fontId="20" fillId="2" borderId="2" xfId="2" quotePrefix="1" applyNumberFormat="1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vertical="center" wrapText="1"/>
    </xf>
    <xf numFmtId="0" fontId="20" fillId="2" borderId="2" xfId="32" applyFont="1" applyFill="1" applyBorder="1" applyAlignment="1">
      <alignment vertical="center"/>
    </xf>
    <xf numFmtId="0" fontId="20" fillId="2" borderId="2" xfId="33" applyFont="1" applyFill="1" applyBorder="1" applyAlignment="1">
      <alignment vertical="center" wrapText="1"/>
    </xf>
    <xf numFmtId="0" fontId="20" fillId="2" borderId="2" xfId="33" applyFont="1" applyFill="1" applyBorder="1" applyAlignment="1">
      <alignment horizontal="left" vertical="center" wrapText="1"/>
    </xf>
    <xf numFmtId="3" fontId="22" fillId="2" borderId="2" xfId="0" applyNumberFormat="1" applyFont="1" applyFill="1" applyBorder="1" applyAlignment="1">
      <alignment vertical="center"/>
    </xf>
    <xf numFmtId="3" fontId="22" fillId="2" borderId="2" xfId="0" applyNumberFormat="1" applyFont="1" applyFill="1" applyBorder="1" applyAlignment="1">
      <alignment horizontal="right" vertical="center"/>
    </xf>
    <xf numFmtId="167" fontId="22" fillId="2" borderId="2" xfId="2" quotePrefix="1" applyNumberFormat="1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 wrapText="1"/>
    </xf>
    <xf numFmtId="0" fontId="18" fillId="2" borderId="0" xfId="0" quotePrefix="1" applyFont="1" applyFill="1" applyAlignment="1">
      <alignment horizontal="right"/>
    </xf>
    <xf numFmtId="0" fontId="22" fillId="3" borderId="2" xfId="32" applyFont="1" applyFill="1" applyBorder="1" applyAlignment="1">
      <alignment horizontal="center" vertical="center"/>
    </xf>
    <xf numFmtId="0" fontId="22" fillId="3" borderId="2" xfId="33" applyFont="1" applyFill="1" applyBorder="1" applyAlignment="1">
      <alignment vertical="center" wrapText="1"/>
    </xf>
    <xf numFmtId="0" fontId="20" fillId="3" borderId="2" xfId="32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right" vertical="center"/>
    </xf>
    <xf numFmtId="3" fontId="20" fillId="3" borderId="2" xfId="0" applyNumberFormat="1" applyFont="1" applyFill="1" applyBorder="1" applyAlignment="1">
      <alignment vertical="center"/>
    </xf>
    <xf numFmtId="167" fontId="20" fillId="3" borderId="2" xfId="2" quotePrefix="1" applyNumberFormat="1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/>
    </xf>
    <xf numFmtId="3" fontId="27" fillId="2" borderId="2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left" vertical="center" wrapText="1"/>
    </xf>
    <xf numFmtId="3" fontId="27" fillId="2" borderId="2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left" vertical="center"/>
    </xf>
    <xf numFmtId="49" fontId="27" fillId="2" borderId="2" xfId="0" applyNumberFormat="1" applyFont="1" applyFill="1" applyBorder="1" applyAlignment="1">
      <alignment horizontal="center" vertical="center"/>
    </xf>
    <xf numFmtId="175" fontId="28" fillId="2" borderId="2" xfId="1" applyNumberFormat="1" applyFont="1" applyFill="1" applyBorder="1" applyAlignment="1">
      <alignment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0" xfId="0" applyFont="1" applyFill="1"/>
    <xf numFmtId="175" fontId="27" fillId="2" borderId="2" xfId="1" applyNumberFormat="1" applyFont="1" applyFill="1" applyBorder="1"/>
    <xf numFmtId="0" fontId="30" fillId="2" borderId="2" xfId="0" applyFont="1" applyFill="1" applyBorder="1" applyAlignment="1">
      <alignment horizontal="center" vertical="center"/>
    </xf>
    <xf numFmtId="0" fontId="30" fillId="2" borderId="2" xfId="27" applyFont="1" applyFill="1" applyBorder="1" applyAlignment="1">
      <alignment vertical="center"/>
    </xf>
    <xf numFmtId="0" fontId="29" fillId="2" borderId="2" xfId="27" applyFont="1" applyFill="1" applyBorder="1" applyAlignment="1">
      <alignment horizontal="center" vertical="center"/>
    </xf>
    <xf numFmtId="0" fontId="29" fillId="2" borderId="2" xfId="27" applyFont="1" applyFill="1" applyBorder="1" applyAlignment="1">
      <alignment horizontal="right" vertical="center"/>
    </xf>
    <xf numFmtId="3" fontId="30" fillId="2" borderId="2" xfId="0" applyNumberFormat="1" applyFont="1" applyFill="1" applyBorder="1" applyAlignment="1">
      <alignment horizontal="right"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horizontal="center" vertical="center"/>
    </xf>
    <xf numFmtId="49" fontId="30" fillId="2" borderId="2" xfId="1" quotePrefix="1" applyNumberFormat="1" applyFont="1" applyFill="1" applyBorder="1" applyAlignment="1">
      <alignment horizontal="center" vertical="center"/>
    </xf>
    <xf numFmtId="167" fontId="30" fillId="2" borderId="2" xfId="0" applyNumberFormat="1" applyFont="1" applyFill="1" applyBorder="1" applyAlignment="1">
      <alignment horizontal="right" vertical="center"/>
    </xf>
    <xf numFmtId="0" fontId="30" fillId="2" borderId="2" xfId="0" applyFont="1" applyFill="1" applyBorder="1" applyAlignment="1">
      <alignment vertical="center"/>
    </xf>
    <xf numFmtId="175" fontId="29" fillId="2" borderId="2" xfId="35" applyNumberFormat="1" applyFont="1" applyFill="1" applyBorder="1" applyAlignment="1">
      <alignment horizontal="right" vertical="center"/>
    </xf>
    <xf numFmtId="0" fontId="30" fillId="2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vertical="center"/>
    </xf>
    <xf numFmtId="0" fontId="30" fillId="2" borderId="2" xfId="27" applyFont="1" applyFill="1" applyBorder="1" applyAlignment="1">
      <alignment horizontal="left" vertical="center" wrapText="1"/>
    </xf>
    <xf numFmtId="0" fontId="29" fillId="2" borderId="2" xfId="27" applyFont="1" applyFill="1" applyBorder="1" applyAlignment="1">
      <alignment horizontal="center" vertical="center" wrapText="1"/>
    </xf>
    <xf numFmtId="175" fontId="29" fillId="2" borderId="2" xfId="35" applyNumberFormat="1" applyFont="1" applyFill="1" applyBorder="1" applyAlignment="1">
      <alignment horizontal="right" vertical="center" wrapText="1"/>
    </xf>
    <xf numFmtId="0" fontId="29" fillId="2" borderId="2" xfId="27" applyFont="1" applyFill="1" applyBorder="1" applyAlignment="1">
      <alignment horizontal="right" vertical="center" wrapText="1"/>
    </xf>
    <xf numFmtId="0" fontId="30" fillId="2" borderId="2" xfId="34" applyFont="1" applyFill="1" applyBorder="1" applyAlignment="1">
      <alignment horizontal="left" vertical="center" wrapText="1"/>
    </xf>
    <xf numFmtId="0" fontId="29" fillId="2" borderId="2" xfId="34" applyFont="1" applyFill="1" applyBorder="1" applyAlignment="1">
      <alignment horizontal="right" vertical="center" wrapText="1"/>
    </xf>
    <xf numFmtId="0" fontId="29" fillId="2" borderId="10" xfId="27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wrapText="1"/>
    </xf>
    <xf numFmtId="3" fontId="30" fillId="2" borderId="2" xfId="0" applyNumberFormat="1" applyFont="1" applyFill="1" applyBorder="1" applyAlignment="1">
      <alignment wrapText="1"/>
    </xf>
    <xf numFmtId="49" fontId="30" fillId="2" borderId="2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/>
    </xf>
    <xf numFmtId="0" fontId="30" fillId="2" borderId="0" xfId="0" applyFont="1" applyFill="1" applyAlignment="1">
      <alignment wrapText="1"/>
    </xf>
    <xf numFmtId="3" fontId="30" fillId="2" borderId="2" xfId="0" applyNumberFormat="1" applyFont="1" applyFill="1" applyBorder="1" applyAlignment="1">
      <alignment horizontal="left" vertical="center" wrapText="1"/>
    </xf>
    <xf numFmtId="3" fontId="30" fillId="2" borderId="2" xfId="0" applyNumberFormat="1" applyFont="1" applyFill="1" applyBorder="1" applyAlignment="1">
      <alignment horizontal="left" vertical="center"/>
    </xf>
    <xf numFmtId="49" fontId="30" fillId="2" borderId="2" xfId="0" applyNumberFormat="1" applyFont="1" applyFill="1" applyBorder="1" applyAlignment="1">
      <alignment horizontal="center" vertical="center"/>
    </xf>
    <xf numFmtId="0" fontId="30" fillId="2" borderId="0" xfId="0" applyFont="1" applyFill="1"/>
    <xf numFmtId="167" fontId="30" fillId="2" borderId="2" xfId="2" quotePrefix="1" applyNumberFormat="1" applyFont="1" applyFill="1" applyBorder="1" applyAlignment="1">
      <alignment vertical="center"/>
    </xf>
    <xf numFmtId="175" fontId="30" fillId="2" borderId="2" xfId="40" applyNumberFormat="1" applyFont="1" applyFill="1" applyBorder="1" applyAlignment="1" applyProtection="1">
      <alignment horizontal="center" vertical="center" wrapText="1"/>
    </xf>
    <xf numFmtId="0" fontId="18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wrapText="1"/>
    </xf>
    <xf numFmtId="49" fontId="18" fillId="2" borderId="0" xfId="1" applyNumberFormat="1" applyFont="1" applyFill="1" applyAlignment="1">
      <alignment horizontal="center"/>
    </xf>
    <xf numFmtId="0" fontId="15" fillId="2" borderId="0" xfId="0" applyFont="1" applyFill="1" applyAlignment="1">
      <alignment wrapText="1"/>
    </xf>
    <xf numFmtId="49" fontId="15" fillId="2" borderId="0" xfId="0" applyNumberFormat="1" applyFont="1" applyFill="1"/>
    <xf numFmtId="49" fontId="15" fillId="2" borderId="0" xfId="1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3" fontId="18" fillId="2" borderId="2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center" vertical="center" wrapText="1"/>
    </xf>
    <xf numFmtId="166" fontId="18" fillId="2" borderId="2" xfId="0" applyNumberFormat="1" applyFont="1" applyFill="1" applyBorder="1" applyAlignment="1">
      <alignment horizontal="center" vertical="center"/>
    </xf>
    <xf numFmtId="49" fontId="18" fillId="2" borderId="2" xfId="0" applyNumberFormat="1" applyFont="1" applyFill="1" applyBorder="1" applyAlignment="1">
      <alignment horizontal="center" vertical="center"/>
    </xf>
    <xf numFmtId="3" fontId="18" fillId="2" borderId="2" xfId="0" applyNumberFormat="1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vertical="center"/>
    </xf>
    <xf numFmtId="49" fontId="15" fillId="2" borderId="2" xfId="0" applyNumberFormat="1" applyFont="1" applyFill="1" applyBorder="1" applyAlignment="1">
      <alignment horizontal="center" vertical="center"/>
    </xf>
    <xf numFmtId="167" fontId="15" fillId="2" borderId="2" xfId="2" quotePrefix="1" applyNumberFormat="1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vertical="center" wrapText="1"/>
    </xf>
    <xf numFmtId="3" fontId="24" fillId="2" borderId="2" xfId="0" applyNumberFormat="1" applyFont="1" applyFill="1" applyBorder="1" applyAlignment="1">
      <alignment horizontal="right" vertical="center"/>
    </xf>
    <xf numFmtId="3" fontId="24" fillId="2" borderId="2" xfId="0" applyNumberFormat="1" applyFont="1" applyFill="1" applyBorder="1" applyAlignment="1">
      <alignment vertical="center"/>
    </xf>
    <xf numFmtId="49" fontId="24" fillId="2" borderId="2" xfId="0" applyNumberFormat="1" applyFont="1" applyFill="1" applyBorder="1" applyAlignment="1">
      <alignment horizontal="center" vertical="center"/>
    </xf>
    <xf numFmtId="167" fontId="24" fillId="2" borderId="2" xfId="2" quotePrefix="1" applyNumberFormat="1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175" fontId="24" fillId="2" borderId="2" xfId="40" applyNumberFormat="1" applyFont="1" applyFill="1" applyBorder="1" applyAlignment="1" applyProtection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0" fontId="24" fillId="2" borderId="0" xfId="0" applyFont="1" applyFill="1"/>
    <xf numFmtId="3" fontId="15" fillId="2" borderId="2" xfId="0" applyNumberFormat="1" applyFont="1" applyFill="1" applyBorder="1" applyAlignment="1">
      <alignment horizontal="left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left" vertical="center"/>
    </xf>
    <xf numFmtId="175" fontId="15" fillId="2" borderId="2" xfId="1" applyNumberFormat="1" applyFont="1" applyFill="1" applyBorder="1"/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vertical="center" wrapText="1"/>
    </xf>
    <xf numFmtId="0" fontId="32" fillId="2" borderId="2" xfId="0" applyFont="1" applyFill="1" applyBorder="1" applyAlignment="1">
      <alignment horizontal="left" vertical="center" wrapText="1"/>
    </xf>
    <xf numFmtId="3" fontId="32" fillId="2" borderId="2" xfId="0" applyNumberFormat="1" applyFont="1" applyFill="1" applyBorder="1" applyAlignment="1">
      <alignment horizontal="center" vertical="center"/>
    </xf>
    <xf numFmtId="3" fontId="32" fillId="2" borderId="2" xfId="0" applyNumberFormat="1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vertical="center"/>
    </xf>
    <xf numFmtId="49" fontId="32" fillId="2" borderId="2" xfId="1" quotePrefix="1" applyNumberFormat="1" applyFont="1" applyFill="1" applyBorder="1" applyAlignment="1">
      <alignment horizontal="center" vertical="center"/>
    </xf>
    <xf numFmtId="167" fontId="32" fillId="2" borderId="2" xfId="0" applyNumberFormat="1" applyFont="1" applyFill="1" applyBorder="1" applyAlignment="1">
      <alignment horizontal="right" vertical="center"/>
    </xf>
    <xf numFmtId="0" fontId="32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18" fillId="2" borderId="6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4" borderId="2" xfId="37" applyFont="1" applyFill="1" applyBorder="1" applyAlignment="1" applyProtection="1">
      <alignment horizontal="left" vertical="center" wrapText="1" shrinkToFit="1"/>
      <protection locked="0"/>
    </xf>
    <xf numFmtId="0" fontId="24" fillId="4" borderId="2" xfId="37" applyFont="1" applyFill="1" applyBorder="1" applyAlignment="1" applyProtection="1">
      <alignment horizontal="center" vertical="center" wrapText="1" shrinkToFit="1"/>
      <protection locked="0"/>
    </xf>
    <xf numFmtId="175" fontId="25" fillId="2" borderId="2" xfId="35" applyNumberFormat="1" applyFont="1" applyFill="1" applyBorder="1" applyAlignment="1">
      <alignment horizontal="right" vertical="center" wrapText="1"/>
    </xf>
    <xf numFmtId="49" fontId="24" fillId="2" borderId="2" xfId="1" quotePrefix="1" applyNumberFormat="1" applyFont="1" applyFill="1" applyBorder="1" applyAlignment="1">
      <alignment horizontal="center" vertical="center"/>
    </xf>
    <xf numFmtId="167" fontId="24" fillId="2" borderId="2" xfId="0" applyNumberFormat="1" applyFont="1" applyFill="1" applyBorder="1" applyAlignment="1">
      <alignment horizontal="right" vertical="center"/>
    </xf>
    <xf numFmtId="3" fontId="24" fillId="4" borderId="2" xfId="37" applyNumberFormat="1" applyFont="1" applyFill="1" applyBorder="1" applyAlignment="1" applyProtection="1">
      <alignment horizontal="right" vertical="center" wrapText="1" shrinkToFit="1"/>
      <protection locked="0"/>
    </xf>
    <xf numFmtId="0" fontId="24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vertical="center"/>
    </xf>
    <xf numFmtId="175" fontId="24" fillId="4" borderId="2" xfId="38" applyNumberFormat="1" applyFont="1" applyFill="1" applyBorder="1" applyAlignment="1" applyProtection="1">
      <alignment horizontal="right" vertical="center" wrapText="1" shrinkToFit="1"/>
      <protection locked="0"/>
    </xf>
    <xf numFmtId="3" fontId="20" fillId="2" borderId="2" xfId="0" applyNumberFormat="1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wrapText="1"/>
    </xf>
    <xf numFmtId="3" fontId="15" fillId="2" borderId="2" xfId="0" applyNumberFormat="1" applyFont="1" applyFill="1" applyBorder="1" applyAlignment="1">
      <alignment wrapText="1"/>
    </xf>
    <xf numFmtId="49" fontId="15" fillId="2" borderId="2" xfId="1" applyNumberFormat="1" applyFont="1" applyFill="1" applyBorder="1" applyAlignment="1">
      <alignment horizontal="center" vertical="center"/>
    </xf>
    <xf numFmtId="167" fontId="15" fillId="2" borderId="2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/>
    <xf numFmtId="3" fontId="32" fillId="2" borderId="2" xfId="0" applyNumberFormat="1" applyFont="1" applyFill="1" applyBorder="1" applyAlignment="1">
      <alignment horizontal="left" vertical="center" wrapText="1"/>
    </xf>
    <xf numFmtId="175" fontId="20" fillId="2" borderId="2" xfId="1" applyNumberFormat="1" applyFont="1" applyFill="1" applyBorder="1" applyAlignment="1">
      <alignment vertical="center"/>
    </xf>
    <xf numFmtId="49" fontId="15" fillId="2" borderId="2" xfId="0" applyNumberFormat="1" applyFont="1" applyFill="1" applyBorder="1" applyAlignment="1">
      <alignment vertical="center" wrapText="1"/>
    </xf>
    <xf numFmtId="3" fontId="15" fillId="2" borderId="2" xfId="0" applyNumberFormat="1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2" xfId="0" quotePrefix="1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33" fillId="2" borderId="2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5" fillId="2" borderId="2" xfId="3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174" fontId="15" fillId="2" borderId="2" xfId="0" applyNumberFormat="1" applyFont="1" applyFill="1" applyBorder="1" applyAlignment="1">
      <alignment horizontal="left" vertical="center" wrapText="1"/>
    </xf>
    <xf numFmtId="0" fontId="15" fillId="2" borderId="2" xfId="27" applyFont="1" applyFill="1" applyBorder="1" applyAlignment="1">
      <alignment horizontal="center" vertical="center"/>
    </xf>
    <xf numFmtId="0" fontId="15" fillId="2" borderId="2" xfId="30" applyFont="1" applyFill="1" applyBorder="1" applyAlignment="1">
      <alignment horizontal="center" vertical="center"/>
    </xf>
    <xf numFmtId="3" fontId="15" fillId="2" borderId="2" xfId="30" applyNumberFormat="1" applyFont="1" applyFill="1" applyBorder="1" applyAlignment="1">
      <alignment vertical="center" wrapText="1"/>
    </xf>
    <xf numFmtId="3" fontId="15" fillId="2" borderId="2" xfId="30" applyNumberFormat="1" applyFont="1" applyFill="1" applyBorder="1" applyAlignment="1">
      <alignment horizontal="center" vertical="center" wrapText="1"/>
    </xf>
    <xf numFmtId="3" fontId="15" fillId="2" borderId="2" xfId="30" applyNumberFormat="1" applyFont="1" applyFill="1" applyBorder="1" applyAlignment="1">
      <alignment horizontal="left" vertical="center" wrapText="1"/>
    </xf>
    <xf numFmtId="0" fontId="15" fillId="2" borderId="2" xfId="30" applyFont="1" applyFill="1" applyBorder="1" applyAlignment="1">
      <alignment horizontal="center" vertical="center" wrapText="1"/>
    </xf>
    <xf numFmtId="0" fontId="15" fillId="2" borderId="2" xfId="30" applyFont="1" applyFill="1" applyBorder="1" applyAlignment="1">
      <alignment horizontal="left" vertical="center" wrapText="1"/>
    </xf>
    <xf numFmtId="0" fontId="15" fillId="2" borderId="2" xfId="30" applyFont="1" applyFill="1" applyBorder="1" applyAlignment="1">
      <alignment vertical="center"/>
    </xf>
    <xf numFmtId="49" fontId="15" fillId="2" borderId="2" xfId="30" applyNumberFormat="1" applyFont="1" applyFill="1" applyBorder="1" applyAlignment="1">
      <alignment horizontal="center" vertical="center"/>
    </xf>
    <xf numFmtId="0" fontId="15" fillId="2" borderId="0" xfId="30" applyFont="1" applyFill="1" applyAlignment="1">
      <alignment vertical="center"/>
    </xf>
    <xf numFmtId="3" fontId="15" fillId="2" borderId="2" xfId="30" applyNumberFormat="1" applyFont="1" applyFill="1" applyBorder="1" applyAlignment="1">
      <alignment horizontal="right" vertical="center"/>
    </xf>
    <xf numFmtId="0" fontId="15" fillId="2" borderId="2" xfId="0" quotePrefix="1" applyFont="1" applyFill="1" applyBorder="1" applyAlignment="1">
      <alignment vertical="center" wrapText="1"/>
    </xf>
    <xf numFmtId="49" fontId="15" fillId="2" borderId="2" xfId="0" quotePrefix="1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/>
    <xf numFmtId="3" fontId="15" fillId="2" borderId="2" xfId="0" quotePrefix="1" applyNumberFormat="1" applyFont="1" applyFill="1" applyBorder="1" applyAlignment="1">
      <alignment horizontal="center" vertical="center"/>
    </xf>
    <xf numFmtId="49" fontId="18" fillId="2" borderId="2" xfId="0" quotePrefix="1" applyNumberFormat="1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right" vertical="center" wrapText="1"/>
    </xf>
    <xf numFmtId="0" fontId="15" fillId="2" borderId="2" xfId="27" applyFont="1" applyFill="1" applyBorder="1" applyAlignment="1">
      <alignment horizontal="center" vertical="center" wrapText="1"/>
    </xf>
    <xf numFmtId="49" fontId="15" fillId="2" borderId="2" xfId="1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25" fillId="2" borderId="2" xfId="27" applyFont="1" applyFill="1" applyBorder="1" applyAlignment="1">
      <alignment horizontal="center" vertical="center" wrapText="1"/>
    </xf>
    <xf numFmtId="0" fontId="15" fillId="2" borderId="2" xfId="27" applyFont="1" applyFill="1" applyBorder="1" applyAlignment="1">
      <alignment horizontal="left" vertical="center" wrapText="1"/>
    </xf>
    <xf numFmtId="0" fontId="34" fillId="2" borderId="2" xfId="27" quotePrefix="1" applyFont="1" applyFill="1" applyBorder="1" applyAlignment="1">
      <alignment vertical="center" wrapText="1"/>
    </xf>
    <xf numFmtId="0" fontId="34" fillId="2" borderId="2" xfId="27" applyFont="1" applyFill="1" applyBorder="1" applyAlignment="1">
      <alignment horizontal="center" vertical="center" wrapText="1"/>
    </xf>
    <xf numFmtId="49" fontId="25" fillId="2" borderId="2" xfId="35" applyNumberFormat="1" applyFont="1" applyFill="1" applyBorder="1" applyAlignment="1">
      <alignment horizontal="right" vertical="center" wrapText="1"/>
    </xf>
    <xf numFmtId="49" fontId="15" fillId="2" borderId="2" xfId="0" applyNumberFormat="1" applyFont="1" applyFill="1" applyBorder="1" applyAlignment="1">
      <alignment horizontal="right" vertical="center"/>
    </xf>
    <xf numFmtId="49" fontId="15" fillId="2" borderId="2" xfId="0" applyNumberFormat="1" applyFont="1" applyFill="1" applyBorder="1" applyAlignment="1">
      <alignment vertical="center"/>
    </xf>
    <xf numFmtId="175" fontId="24" fillId="2" borderId="2" xfId="36" applyNumberFormat="1" applyFont="1" applyFill="1" applyBorder="1" applyAlignment="1">
      <alignment horizontal="right" vertical="center" wrapText="1"/>
    </xf>
    <xf numFmtId="0" fontId="35" fillId="2" borderId="2" xfId="0" applyFont="1" applyFill="1" applyBorder="1" applyAlignment="1">
      <alignment horizontal="center" vertical="center"/>
    </xf>
    <xf numFmtId="0" fontId="35" fillId="4" borderId="2" xfId="41" applyFont="1" applyFill="1" applyBorder="1" applyAlignment="1" applyProtection="1">
      <alignment horizontal="center" vertical="center" wrapText="1" shrinkToFit="1"/>
      <protection locked="0"/>
    </xf>
    <xf numFmtId="0" fontId="35" fillId="2" borderId="2" xfId="0" applyFont="1" applyFill="1" applyBorder="1" applyAlignment="1">
      <alignment horizontal="left" vertical="center"/>
    </xf>
    <xf numFmtId="3" fontId="35" fillId="2" borderId="2" xfId="0" applyNumberFormat="1" applyFont="1" applyFill="1" applyBorder="1" applyAlignment="1">
      <alignment horizontal="right" vertical="center"/>
    </xf>
    <xf numFmtId="3" fontId="35" fillId="2" borderId="2" xfId="0" applyNumberFormat="1" applyFont="1" applyFill="1" applyBorder="1" applyAlignment="1">
      <alignment vertical="center"/>
    </xf>
    <xf numFmtId="3" fontId="35" fillId="2" borderId="2" xfId="0" applyNumberFormat="1" applyFont="1" applyFill="1" applyBorder="1" applyAlignment="1">
      <alignment horizontal="center" vertical="center"/>
    </xf>
    <xf numFmtId="49" fontId="35" fillId="2" borderId="2" xfId="42" applyNumberFormat="1" applyFont="1" applyFill="1" applyBorder="1" applyAlignment="1">
      <alignment vertical="center"/>
    </xf>
    <xf numFmtId="9" fontId="35" fillId="2" borderId="2" xfId="0" applyNumberFormat="1" applyFont="1" applyFill="1" applyBorder="1" applyAlignment="1">
      <alignment horizontal="right" vertical="center"/>
    </xf>
    <xf numFmtId="0" fontId="35" fillId="2" borderId="2" xfId="0" applyFont="1" applyFill="1" applyBorder="1" applyAlignment="1">
      <alignment vertical="center"/>
    </xf>
    <xf numFmtId="3" fontId="36" fillId="2" borderId="2" xfId="0" applyNumberFormat="1" applyFont="1" applyFill="1" applyBorder="1" applyAlignment="1">
      <alignment horizontal="center" vertical="center"/>
    </xf>
    <xf numFmtId="176" fontId="35" fillId="2" borderId="2" xfId="0" applyNumberFormat="1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/>
    </xf>
    <xf numFmtId="0" fontId="35" fillId="2" borderId="2" xfId="43" applyFont="1" applyFill="1" applyBorder="1" applyAlignment="1">
      <alignment vertical="center" wrapText="1"/>
    </xf>
    <xf numFmtId="0" fontId="18" fillId="2" borderId="0" xfId="0" applyFont="1" applyFill="1" applyAlignment="1">
      <alignment wrapText="1"/>
    </xf>
    <xf numFmtId="49" fontId="18" fillId="2" borderId="0" xfId="1" applyNumberFormat="1" applyFont="1" applyFill="1" applyBorder="1" applyAlignment="1">
      <alignment horizontal="center"/>
    </xf>
    <xf numFmtId="49" fontId="15" fillId="2" borderId="0" xfId="1" applyNumberFormat="1" applyFont="1" applyFill="1" applyAlignment="1">
      <alignment horizontal="center"/>
    </xf>
    <xf numFmtId="0" fontId="21" fillId="2" borderId="0" xfId="0" applyFont="1" applyFill="1" applyAlignment="1">
      <alignment wrapText="1"/>
    </xf>
    <xf numFmtId="0" fontId="15" fillId="2" borderId="2" xfId="0" quotePrefix="1" applyFont="1" applyFill="1" applyBorder="1" applyAlignment="1">
      <alignment vertical="center"/>
    </xf>
    <xf numFmtId="3" fontId="15" fillId="2" borderId="2" xfId="0" applyNumberFormat="1" applyFont="1" applyFill="1" applyBorder="1" applyAlignment="1">
      <alignment horizontal="right" wrapText="1"/>
    </xf>
    <xf numFmtId="3" fontId="15" fillId="2" borderId="2" xfId="29" applyNumberFormat="1" applyFont="1" applyFill="1" applyBorder="1" applyAlignment="1">
      <alignment horizontal="center" vertical="center"/>
    </xf>
    <xf numFmtId="0" fontId="15" fillId="2" borderId="2" xfId="29" applyFont="1" applyFill="1" applyBorder="1"/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/>
    <xf numFmtId="3" fontId="15" fillId="2" borderId="2" xfId="0" applyNumberFormat="1" applyFont="1" applyFill="1" applyBorder="1" applyAlignment="1">
      <alignment horizontal="right"/>
    </xf>
    <xf numFmtId="3" fontId="29" fillId="2" borderId="2" xfId="0" applyNumberFormat="1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2" xfId="39" applyFont="1" applyFill="1" applyBorder="1" applyAlignment="1">
      <alignment horizontal="center" vertical="center" wrapText="1"/>
    </xf>
    <xf numFmtId="49" fontId="29" fillId="2" borderId="2" xfId="0" quotePrefix="1" applyNumberFormat="1" applyFont="1" applyFill="1" applyBorder="1" applyAlignment="1">
      <alignment horizontal="center" vertical="center"/>
    </xf>
    <xf numFmtId="3" fontId="29" fillId="2" borderId="2" xfId="0" applyNumberFormat="1" applyFont="1" applyFill="1" applyBorder="1" applyAlignment="1">
      <alignment horizontal="left" vertical="center"/>
    </xf>
    <xf numFmtId="3" fontId="29" fillId="2" borderId="2" xfId="0" applyNumberFormat="1" applyFont="1" applyFill="1" applyBorder="1" applyAlignment="1">
      <alignment horizontal="right" vertical="center" wrapText="1"/>
    </xf>
    <xf numFmtId="3" fontId="29" fillId="2" borderId="2" xfId="0" applyNumberFormat="1" applyFont="1" applyFill="1" applyBorder="1" applyAlignment="1">
      <alignment horizontal="center" vertical="center" wrapText="1"/>
    </xf>
    <xf numFmtId="174" fontId="30" fillId="2" borderId="2" xfId="0" applyNumberFormat="1" applyFont="1" applyFill="1" applyBorder="1" applyAlignment="1">
      <alignment horizontal="left" vertical="center" wrapText="1"/>
    </xf>
    <xf numFmtId="0" fontId="30" fillId="2" borderId="2" xfId="27" applyFont="1" applyFill="1" applyBorder="1" applyAlignment="1">
      <alignment horizontal="center" vertical="center"/>
    </xf>
    <xf numFmtId="0" fontId="30" fillId="2" borderId="2" xfId="30" applyFont="1" applyFill="1" applyBorder="1" applyAlignment="1">
      <alignment horizontal="center" vertical="center"/>
    </xf>
    <xf numFmtId="3" fontId="30" fillId="2" borderId="2" xfId="30" applyNumberFormat="1" applyFont="1" applyFill="1" applyBorder="1" applyAlignment="1">
      <alignment vertical="center" wrapText="1"/>
    </xf>
    <xf numFmtId="3" fontId="30" fillId="2" borderId="2" xfId="30" applyNumberFormat="1" applyFont="1" applyFill="1" applyBorder="1" applyAlignment="1">
      <alignment horizontal="center" vertical="center" wrapText="1"/>
    </xf>
    <xf numFmtId="3" fontId="30" fillId="2" borderId="2" xfId="30" applyNumberFormat="1" applyFont="1" applyFill="1" applyBorder="1" applyAlignment="1">
      <alignment horizontal="left" vertical="center" wrapText="1"/>
    </xf>
    <xf numFmtId="0" fontId="30" fillId="2" borderId="2" xfId="30" applyFont="1" applyFill="1" applyBorder="1" applyAlignment="1">
      <alignment horizontal="center" vertical="center" wrapText="1"/>
    </xf>
    <xf numFmtId="0" fontId="30" fillId="2" borderId="2" xfId="30" applyFont="1" applyFill="1" applyBorder="1" applyAlignment="1">
      <alignment horizontal="left" vertical="center" wrapText="1"/>
    </xf>
    <xf numFmtId="0" fontId="30" fillId="2" borderId="2" xfId="30" applyFont="1" applyFill="1" applyBorder="1" applyAlignment="1">
      <alignment vertical="center"/>
    </xf>
    <xf numFmtId="49" fontId="30" fillId="2" borderId="2" xfId="30" applyNumberFormat="1" applyFont="1" applyFill="1" applyBorder="1" applyAlignment="1">
      <alignment horizontal="center" vertical="center"/>
    </xf>
    <xf numFmtId="0" fontId="30" fillId="2" borderId="0" xfId="30" applyFont="1" applyFill="1" applyAlignment="1">
      <alignment vertical="center"/>
    </xf>
    <xf numFmtId="3" fontId="30" fillId="2" borderId="2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/>
    <xf numFmtId="49" fontId="30" fillId="2" borderId="2" xfId="0" quotePrefix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3" fontId="22" fillId="2" borderId="2" xfId="0" applyNumberFormat="1" applyFont="1" applyFill="1" applyBorder="1" applyAlignment="1">
      <alignment horizontal="center" vertical="center" wrapText="1"/>
    </xf>
    <xf numFmtId="3" fontId="22" fillId="2" borderId="2" xfId="0" applyNumberFormat="1" applyFont="1" applyFill="1" applyBorder="1" applyAlignment="1">
      <alignment horizontal="center" vertical="center"/>
    </xf>
    <xf numFmtId="0" fontId="36" fillId="2" borderId="2" xfId="32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37" fillId="0" borderId="2" xfId="0" applyFont="1" applyBorder="1" applyAlignment="1">
      <alignment horizontal="center" vertical="center"/>
    </xf>
    <xf numFmtId="0" fontId="37" fillId="0" borderId="2" xfId="27" applyFont="1" applyBorder="1" applyAlignment="1">
      <alignment vertical="center" wrapText="1"/>
    </xf>
    <xf numFmtId="0" fontId="37" fillId="0" borderId="2" xfId="27" applyFont="1" applyBorder="1" applyAlignment="1">
      <alignment horizontal="left" vertical="center" wrapText="1"/>
    </xf>
    <xf numFmtId="0" fontId="38" fillId="2" borderId="2" xfId="0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/>
    </xf>
    <xf numFmtId="166" fontId="38" fillId="2" borderId="2" xfId="0" applyNumberFormat="1" applyFont="1" applyFill="1" applyBorder="1" applyAlignment="1">
      <alignment horizontal="center" vertical="center" wrapText="1"/>
    </xf>
    <xf numFmtId="3" fontId="38" fillId="2" borderId="2" xfId="0" applyNumberFormat="1" applyFont="1" applyFill="1" applyBorder="1" applyAlignment="1">
      <alignment horizontal="center" vertical="center" wrapText="1"/>
    </xf>
    <xf numFmtId="166" fontId="38" fillId="2" borderId="2" xfId="0" applyNumberFormat="1" applyFont="1" applyFill="1" applyBorder="1" applyAlignment="1">
      <alignment horizontal="center" vertical="center"/>
    </xf>
    <xf numFmtId="0" fontId="38" fillId="2" borderId="2" xfId="33" applyFont="1" applyFill="1" applyBorder="1" applyAlignment="1">
      <alignment vertical="center" wrapText="1"/>
    </xf>
    <xf numFmtId="0" fontId="40" fillId="2" borderId="2" xfId="0" applyFont="1" applyFill="1" applyBorder="1" applyAlignment="1">
      <alignment vertical="center"/>
    </xf>
    <xf numFmtId="3" fontId="40" fillId="2" borderId="2" xfId="0" applyNumberFormat="1" applyFont="1" applyFill="1" applyBorder="1" applyAlignment="1">
      <alignment horizontal="center" vertical="center"/>
    </xf>
    <xf numFmtId="3" fontId="40" fillId="2" borderId="2" xfId="0" applyNumberFormat="1" applyFont="1" applyFill="1" applyBorder="1" applyAlignment="1">
      <alignment horizontal="right" vertical="center"/>
    </xf>
    <xf numFmtId="3" fontId="40" fillId="2" borderId="2" xfId="0" applyNumberFormat="1" applyFont="1" applyFill="1" applyBorder="1" applyAlignment="1">
      <alignment vertical="center"/>
    </xf>
    <xf numFmtId="167" fontId="40" fillId="2" borderId="2" xfId="2" quotePrefix="1" applyNumberFormat="1" applyFont="1" applyFill="1" applyBorder="1" applyAlignment="1">
      <alignment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vertical="center" wrapText="1"/>
    </xf>
    <xf numFmtId="0" fontId="40" fillId="2" borderId="2" xfId="33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175" fontId="25" fillId="0" borderId="2" xfId="38" applyNumberFormat="1" applyFont="1" applyFill="1" applyBorder="1" applyAlignment="1">
      <alignment vertical="center"/>
    </xf>
    <xf numFmtId="175" fontId="20" fillId="2" borderId="2" xfId="0" applyNumberFormat="1" applyFont="1" applyFill="1" applyBorder="1" applyAlignment="1">
      <alignment vertical="center"/>
    </xf>
    <xf numFmtId="175" fontId="40" fillId="2" borderId="2" xfId="0" applyNumberFormat="1" applyFont="1" applyFill="1" applyBorder="1" applyAlignment="1">
      <alignment vertical="center"/>
    </xf>
    <xf numFmtId="175" fontId="36" fillId="2" borderId="2" xfId="1" applyNumberFormat="1" applyFont="1" applyFill="1" applyBorder="1" applyAlignment="1">
      <alignment vertical="center"/>
    </xf>
    <xf numFmtId="175" fontId="15" fillId="2" borderId="0" xfId="0" applyNumberFormat="1" applyFont="1" applyFill="1" applyAlignment="1">
      <alignment vertical="center"/>
    </xf>
    <xf numFmtId="3" fontId="18" fillId="2" borderId="3" xfId="0" applyNumberFormat="1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/>
    </xf>
    <xf numFmtId="49" fontId="18" fillId="2" borderId="3" xfId="0" applyNumberFormat="1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3" fontId="18" fillId="2" borderId="2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/>
    </xf>
    <xf numFmtId="0" fontId="31" fillId="2" borderId="2" xfId="0" applyFont="1" applyFill="1" applyBorder="1" applyAlignment="1">
      <alignment wrapText="1"/>
    </xf>
    <xf numFmtId="0" fontId="18" fillId="2" borderId="0" xfId="0" applyFont="1" applyFill="1" applyAlignment="1">
      <alignment horizontal="center"/>
    </xf>
    <xf numFmtId="3" fontId="18" fillId="2" borderId="3" xfId="0" applyNumberFormat="1" applyFont="1" applyFill="1" applyBorder="1" applyAlignment="1">
      <alignment horizontal="right" vertical="center" wrapText="1"/>
    </xf>
    <xf numFmtId="3" fontId="18" fillId="2" borderId="4" xfId="0" applyNumberFormat="1" applyFont="1" applyFill="1" applyBorder="1" applyAlignment="1">
      <alignment horizontal="right" vertical="center" wrapText="1"/>
    </xf>
    <xf numFmtId="3" fontId="18" fillId="2" borderId="5" xfId="0" applyNumberFormat="1" applyFont="1" applyFill="1" applyBorder="1" applyAlignment="1">
      <alignment horizontal="right" vertical="center" wrapText="1"/>
    </xf>
    <xf numFmtId="3" fontId="22" fillId="2" borderId="2" xfId="0" applyNumberFormat="1" applyFont="1" applyFill="1" applyBorder="1" applyAlignment="1">
      <alignment horizontal="center" vertical="center" wrapText="1"/>
    </xf>
    <xf numFmtId="3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 wrapText="1"/>
    </xf>
    <xf numFmtId="3" fontId="22" fillId="2" borderId="5" xfId="0" applyNumberFormat="1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23" fillId="2" borderId="2" xfId="0" applyFont="1" applyFill="1" applyBorder="1"/>
    <xf numFmtId="0" fontId="23" fillId="2" borderId="2" xfId="0" applyFont="1" applyFill="1" applyBorder="1" applyAlignment="1">
      <alignment horizontal="center"/>
    </xf>
    <xf numFmtId="0" fontId="38" fillId="2" borderId="3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3" fontId="38" fillId="2" borderId="3" xfId="0" applyNumberFormat="1" applyFont="1" applyFill="1" applyBorder="1" applyAlignment="1">
      <alignment horizontal="center" vertical="center" wrapText="1"/>
    </xf>
    <xf numFmtId="3" fontId="38" fillId="2" borderId="4" xfId="0" applyNumberFormat="1" applyFont="1" applyFill="1" applyBorder="1" applyAlignment="1">
      <alignment horizontal="center" vertical="center"/>
    </xf>
    <xf numFmtId="3" fontId="38" fillId="2" borderId="5" xfId="0" applyNumberFormat="1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/>
    </xf>
    <xf numFmtId="0" fontId="39" fillId="2" borderId="2" xfId="0" applyFont="1" applyFill="1" applyBorder="1"/>
    <xf numFmtId="0" fontId="38" fillId="2" borderId="4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3" fontId="38" fillId="2" borderId="5" xfId="0" applyNumberFormat="1" applyFont="1" applyFill="1" applyBorder="1" applyAlignment="1">
      <alignment horizontal="center" vertical="center" wrapText="1"/>
    </xf>
    <xf numFmtId="0" fontId="22" fillId="2" borderId="6" xfId="33" applyFont="1" applyFill="1" applyBorder="1" applyAlignment="1">
      <alignment horizontal="left" vertical="center" wrapText="1"/>
    </xf>
    <xf numFmtId="0" fontId="22" fillId="2" borderId="7" xfId="33" applyFont="1" applyFill="1" applyBorder="1" applyAlignment="1">
      <alignment horizontal="left" vertical="center" wrapText="1"/>
    </xf>
    <xf numFmtId="0" fontId="22" fillId="2" borderId="8" xfId="33" applyFont="1" applyFill="1" applyBorder="1" applyAlignment="1">
      <alignment horizontal="left" vertical="center" wrapText="1"/>
    </xf>
  </cellXfs>
  <cellStyles count="44">
    <cellStyle name="AeE­ [0]_INQUIRY ¿μ¾÷AßAø " xfId="3" xr:uid="{00000000-0005-0000-0000-000000000000}"/>
    <cellStyle name="AeE­_INQUIRY ¿μ¾÷AßAø " xfId="4" xr:uid="{00000000-0005-0000-0000-000001000000}"/>
    <cellStyle name="AÞ¸¶ [0]_INQUIRY ¿?¾÷AßAø " xfId="5" xr:uid="{00000000-0005-0000-0000-000002000000}"/>
    <cellStyle name="AÞ¸¶_INQUIRY ¿?¾÷AßAø " xfId="6" xr:uid="{00000000-0005-0000-0000-000003000000}"/>
    <cellStyle name="C?AØ_¿?¾÷CoE² " xfId="7" xr:uid="{00000000-0005-0000-0000-000004000000}"/>
    <cellStyle name="C￥AØ_¿μ¾÷CoE² " xfId="8" xr:uid="{00000000-0005-0000-0000-000005000000}"/>
    <cellStyle name="Comma" xfId="1" builtinId="3"/>
    <cellStyle name="Comma 2" xfId="9" xr:uid="{00000000-0005-0000-0000-000007000000}"/>
    <cellStyle name="Comma 2 10" xfId="28" xr:uid="{00000000-0005-0000-0000-000008000000}"/>
    <cellStyle name="Comma 2 2" xfId="42" xr:uid="{EBE72C18-6C98-4646-A391-5FAD5352B963}"/>
    <cellStyle name="Comma 4 2" xfId="36" xr:uid="{00000000-0005-0000-0000-000009000000}"/>
    <cellStyle name="Comma 7" xfId="35" xr:uid="{00000000-0005-0000-0000-00000A000000}"/>
    <cellStyle name="Comma 8" xfId="38" xr:uid="{091F770E-8EC8-4085-A681-37159C0FC991}"/>
    <cellStyle name="Comma0" xfId="10" xr:uid="{00000000-0005-0000-0000-00000B000000}"/>
    <cellStyle name="Currency0" xfId="11" xr:uid="{00000000-0005-0000-0000-00000C000000}"/>
    <cellStyle name="Date" xfId="12" xr:uid="{00000000-0005-0000-0000-00000D000000}"/>
    <cellStyle name="Fixed" xfId="13" xr:uid="{00000000-0005-0000-0000-00000E000000}"/>
    <cellStyle name="Normal" xfId="0" builtinId="0"/>
    <cellStyle name="Normal - Style1" xfId="14" xr:uid="{00000000-0005-0000-0000-000010000000}"/>
    <cellStyle name="Normal 10" xfId="34" xr:uid="{00000000-0005-0000-0000-000011000000}"/>
    <cellStyle name="Normal 2" xfId="27" xr:uid="{00000000-0005-0000-0000-000012000000}"/>
    <cellStyle name="Normal 2 2" xfId="33" xr:uid="{00000000-0005-0000-0000-000013000000}"/>
    <cellStyle name="Normal 2 3" xfId="39" xr:uid="{EDB037CE-E8D7-43ED-88C4-C022DD7756CA}"/>
    <cellStyle name="Normal 3" xfId="32" xr:uid="{00000000-0005-0000-0000-000014000000}"/>
    <cellStyle name="Normal 3 2" xfId="43" xr:uid="{445CCBC5-1114-418D-B678-3402B5265572}"/>
    <cellStyle name="Normal 5" xfId="37" xr:uid="{4401B5C2-C5B7-47A1-8BDB-D105DF1856AB}"/>
    <cellStyle name="Normal 5 2" xfId="41" xr:uid="{DFC91FF5-6078-4778-BF8B-92ADEC9E84D6}"/>
    <cellStyle name="Normal 8 3" xfId="40" xr:uid="{3365650F-DD00-4657-9682-404AA5019285}"/>
    <cellStyle name="Normal_Cong cu dung cu du an LG" xfId="29" xr:uid="{00000000-0005-0000-0000-000015000000}"/>
    <cellStyle name="Normal_Phuluc" xfId="31" xr:uid="{00000000-0005-0000-0000-000016000000}"/>
    <cellStyle name="Normal_Tai san Du an LGap" xfId="30" xr:uid="{00000000-0005-0000-0000-000017000000}"/>
    <cellStyle name="Percent" xfId="2" builtinId="5"/>
    <cellStyle name="Percent 2" xfId="15" xr:uid="{00000000-0005-0000-0000-000019000000}"/>
    <cellStyle name="똿뗦먛귟 [0.00]_PRODUCT DETAIL Q1" xfId="16" xr:uid="{00000000-0005-0000-0000-00001A000000}"/>
    <cellStyle name="똿뗦먛귟_PRODUCT DETAIL Q1" xfId="17" xr:uid="{00000000-0005-0000-0000-00001B000000}"/>
    <cellStyle name="믅됞 [0.00]_PRODUCT DETAIL Q1" xfId="18" xr:uid="{00000000-0005-0000-0000-00001C000000}"/>
    <cellStyle name="믅됞_PRODUCT DETAIL Q1" xfId="19" xr:uid="{00000000-0005-0000-0000-00001D000000}"/>
    <cellStyle name="백분율_HOBONG" xfId="20" xr:uid="{00000000-0005-0000-0000-00001E000000}"/>
    <cellStyle name="뷭?_BOOKSHIP" xfId="21" xr:uid="{00000000-0005-0000-0000-00001F000000}"/>
    <cellStyle name="콤마 [0]_1202" xfId="22" xr:uid="{00000000-0005-0000-0000-000020000000}"/>
    <cellStyle name="콤마_1202" xfId="23" xr:uid="{00000000-0005-0000-0000-000021000000}"/>
    <cellStyle name="통화 [0]_1202" xfId="24" xr:uid="{00000000-0005-0000-0000-000022000000}"/>
    <cellStyle name="통화_1202" xfId="25" xr:uid="{00000000-0005-0000-0000-000023000000}"/>
    <cellStyle name="표준_(정보부문)월별인원계획" xfId="26" xr:uid="{00000000-0005-0000-0000-00002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39"/>
  <sheetViews>
    <sheetView topLeftCell="A41" zoomScale="73" zoomScaleNormal="73" zoomScaleSheetLayoutView="80" workbookViewId="0">
      <selection activeCell="AF41" sqref="AF41"/>
    </sheetView>
  </sheetViews>
  <sheetFormatPr defaultColWidth="9.140625" defaultRowHeight="15.75"/>
  <cols>
    <col min="1" max="1" width="4.85546875" style="96" customWidth="1"/>
    <col min="2" max="2" width="37" style="1" customWidth="1"/>
    <col min="3" max="3" width="14.7109375" style="1" customWidth="1"/>
    <col min="4" max="4" width="8.28515625" style="97" customWidth="1"/>
    <col min="5" max="5" width="7.7109375" style="97" customWidth="1"/>
    <col min="6" max="6" width="11.5703125" style="5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97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28515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8" style="97" customWidth="1"/>
    <col min="25" max="25" width="12" style="1" hidden="1" customWidth="1"/>
    <col min="26" max="26" width="5.5703125" style="1" hidden="1" customWidth="1"/>
    <col min="27" max="27" width="8.7109375" style="231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1" style="1" hidden="1" customWidth="1"/>
    <col min="32" max="33" width="16.28515625" style="5" customWidth="1"/>
    <col min="34" max="34" width="15" style="97" customWidth="1"/>
    <col min="35" max="35" width="14.5703125" style="97" customWidth="1"/>
    <col min="36" max="36" width="12.28515625" style="1" customWidth="1"/>
    <col min="37" max="37" width="12.7109375" style="1" customWidth="1"/>
    <col min="38" max="38" width="18.5703125" style="232" customWidth="1"/>
    <col min="39" max="16384" width="9.140625" style="1"/>
  </cols>
  <sheetData>
    <row r="1" spans="1:38" ht="15.75" customHeight="1">
      <c r="A1" s="3" t="s">
        <v>40</v>
      </c>
      <c r="B1" s="4"/>
      <c r="C1" s="4"/>
      <c r="H1" s="6"/>
      <c r="I1" s="6"/>
      <c r="J1" s="96" t="s">
        <v>0</v>
      </c>
      <c r="K1" s="6"/>
      <c r="L1" s="6"/>
      <c r="M1" s="6"/>
      <c r="N1" s="6"/>
      <c r="P1" s="96"/>
      <c r="Q1" s="96"/>
      <c r="R1" s="96"/>
      <c r="S1" s="96"/>
      <c r="T1" s="96"/>
      <c r="U1" s="96"/>
      <c r="V1" s="96"/>
      <c r="W1" s="96"/>
      <c r="Z1" s="322" t="s">
        <v>0</v>
      </c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" customHeight="1">
      <c r="A2" s="7" t="s">
        <v>41</v>
      </c>
      <c r="K2" s="1"/>
      <c r="O2" s="8"/>
      <c r="P2" s="8"/>
      <c r="Q2" s="8"/>
      <c r="R2" s="8"/>
      <c r="S2" s="8"/>
      <c r="T2" s="8"/>
      <c r="U2" s="8"/>
      <c r="V2" s="8"/>
      <c r="W2" s="8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</row>
    <row r="3" spans="1:38" ht="22.5" hidden="1" customHeight="1">
      <c r="A3" s="322" t="s">
        <v>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</row>
    <row r="4" spans="1:38" ht="15" customHeight="1"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</row>
    <row r="5" spans="1:38" ht="20.25" customHeight="1">
      <c r="A5" s="322" t="s">
        <v>296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</row>
    <row r="6" spans="1:38" ht="20.25" customHeight="1">
      <c r="A6" s="322" t="s">
        <v>232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</row>
    <row r="7" spans="1:38" ht="7.5" customHeight="1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8"/>
      <c r="AB7" s="96"/>
      <c r="AC7" s="96"/>
      <c r="AD7" s="96"/>
      <c r="AE7" s="96"/>
      <c r="AF7" s="14"/>
      <c r="AG7" s="14"/>
      <c r="AH7" s="96"/>
      <c r="AI7" s="96"/>
      <c r="AJ7" s="96"/>
      <c r="AK7" s="96"/>
      <c r="AL7" s="99"/>
    </row>
    <row r="8" spans="1:38" ht="18" customHeight="1">
      <c r="A8" s="4" t="s">
        <v>247</v>
      </c>
      <c r="B8" s="97"/>
      <c r="C8" s="97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100"/>
      <c r="AB8" s="96"/>
      <c r="AC8" s="96"/>
      <c r="AD8" s="96"/>
      <c r="AE8" s="96"/>
      <c r="AF8" s="14"/>
      <c r="AG8" s="14"/>
      <c r="AH8" s="96"/>
      <c r="AL8" s="101"/>
    </row>
    <row r="9" spans="1:38" ht="15" customHeight="1">
      <c r="A9" s="10" t="s">
        <v>243</v>
      </c>
      <c r="B9" s="97"/>
      <c r="D9" s="97" t="s">
        <v>244</v>
      </c>
      <c r="E9" s="96"/>
      <c r="F9" s="1"/>
      <c r="H9" s="10"/>
      <c r="I9" s="96"/>
      <c r="K9" s="10" t="s">
        <v>2</v>
      </c>
      <c r="L9" s="96"/>
      <c r="M9" s="11"/>
      <c r="S9" s="10"/>
      <c r="T9" s="12"/>
      <c r="W9" s="9"/>
      <c r="X9" s="96"/>
      <c r="Z9" s="96"/>
      <c r="AA9" s="98"/>
      <c r="AB9" s="10"/>
      <c r="AI9" s="97" t="s">
        <v>86</v>
      </c>
      <c r="AL9" s="101"/>
    </row>
    <row r="10" spans="1:38" ht="15" customHeight="1">
      <c r="A10" s="10" t="s">
        <v>252</v>
      </c>
      <c r="B10" s="97"/>
      <c r="D10" s="97" t="s">
        <v>92</v>
      </c>
      <c r="F10" s="1"/>
      <c r="H10" s="10"/>
      <c r="I10" s="96"/>
      <c r="K10" s="10"/>
      <c r="L10" s="96"/>
      <c r="M10" s="11"/>
      <c r="S10" s="10"/>
      <c r="T10" s="12"/>
      <c r="W10" s="9"/>
      <c r="X10" s="96"/>
      <c r="Z10" s="96"/>
      <c r="AA10" s="98"/>
      <c r="AB10" s="10"/>
      <c r="AI10" s="97" t="s">
        <v>87</v>
      </c>
      <c r="AL10" s="101"/>
    </row>
    <row r="11" spans="1:38" ht="15" customHeight="1">
      <c r="A11" s="10" t="s">
        <v>88</v>
      </c>
      <c r="B11" s="97"/>
      <c r="D11" s="97" t="s">
        <v>89</v>
      </c>
      <c r="E11" s="96"/>
      <c r="F11" s="1"/>
      <c r="H11" s="10"/>
      <c r="I11" s="96"/>
      <c r="K11" s="10" t="s">
        <v>3</v>
      </c>
      <c r="L11" s="96"/>
      <c r="M11" s="11"/>
      <c r="S11" s="10"/>
      <c r="T11" s="12"/>
      <c r="W11" s="9"/>
      <c r="X11" s="96"/>
      <c r="Z11" s="96"/>
      <c r="AA11" s="98"/>
      <c r="AB11" s="10"/>
      <c r="AI11" s="97" t="s">
        <v>90</v>
      </c>
      <c r="AL11" s="101"/>
    </row>
    <row r="12" spans="1:38" ht="15" customHeight="1">
      <c r="A12" s="10" t="s">
        <v>251</v>
      </c>
      <c r="B12" s="97"/>
      <c r="D12" s="97" t="s">
        <v>294</v>
      </c>
      <c r="E12" s="1"/>
      <c r="F12" s="1"/>
      <c r="K12" s="1"/>
      <c r="X12" s="1"/>
      <c r="AA12" s="102"/>
      <c r="AI12" s="97" t="s">
        <v>94</v>
      </c>
      <c r="AL12" s="101"/>
    </row>
    <row r="13" spans="1:38" ht="15" customHeight="1">
      <c r="A13" s="10" t="s">
        <v>91</v>
      </c>
      <c r="E13" s="1"/>
      <c r="F13" s="1"/>
      <c r="K13" s="1"/>
      <c r="X13" s="1"/>
      <c r="AA13" s="102"/>
      <c r="AL13" s="101"/>
    </row>
    <row r="14" spans="1:38" ht="15.75" customHeight="1">
      <c r="A14" s="10" t="s">
        <v>4</v>
      </c>
      <c r="AA14" s="103"/>
      <c r="AL14" s="101"/>
    </row>
    <row r="15" spans="1:38" ht="12.75" customHeight="1">
      <c r="AA15" s="103"/>
      <c r="AL15" s="101"/>
    </row>
    <row r="16" spans="1:38" ht="42.75" customHeight="1">
      <c r="A16" s="307" t="s">
        <v>5</v>
      </c>
      <c r="B16" s="317" t="s">
        <v>6</v>
      </c>
      <c r="C16" s="307" t="s">
        <v>7</v>
      </c>
      <c r="D16" s="307" t="s">
        <v>8</v>
      </c>
      <c r="E16" s="318" t="s">
        <v>42</v>
      </c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104"/>
      <c r="R16" s="104"/>
      <c r="S16" s="104"/>
      <c r="T16" s="104"/>
      <c r="U16" s="104"/>
      <c r="V16" s="104"/>
      <c r="W16" s="105"/>
      <c r="X16" s="319" t="s">
        <v>43</v>
      </c>
      <c r="Y16" s="306"/>
      <c r="Z16" s="306"/>
      <c r="AA16" s="319" t="s">
        <v>44</v>
      </c>
      <c r="AB16" s="306"/>
      <c r="AC16" s="306"/>
      <c r="AD16" s="318" t="s">
        <v>9</v>
      </c>
      <c r="AE16" s="318" t="s">
        <v>10</v>
      </c>
      <c r="AF16" s="323" t="s">
        <v>277</v>
      </c>
      <c r="AG16" s="323" t="s">
        <v>278</v>
      </c>
      <c r="AH16" s="318" t="s">
        <v>11</v>
      </c>
      <c r="AI16" s="318" t="s">
        <v>12</v>
      </c>
      <c r="AJ16" s="318" t="s">
        <v>97</v>
      </c>
      <c r="AK16" s="307" t="s">
        <v>46</v>
      </c>
      <c r="AL16" s="318" t="s">
        <v>47</v>
      </c>
    </row>
    <row r="17" spans="1:40" ht="14.25" customHeight="1">
      <c r="A17" s="315"/>
      <c r="B17" s="317"/>
      <c r="C17" s="315"/>
      <c r="D17" s="308"/>
      <c r="E17" s="307" t="s">
        <v>45</v>
      </c>
      <c r="F17" s="299" t="s">
        <v>13</v>
      </c>
      <c r="G17" s="306" t="s">
        <v>14</v>
      </c>
      <c r="H17" s="306"/>
      <c r="I17" s="306"/>
      <c r="J17" s="105" t="s">
        <v>15</v>
      </c>
      <c r="K17" s="104" t="s">
        <v>16</v>
      </c>
      <c r="L17" s="105"/>
      <c r="M17" s="105" t="s">
        <v>15</v>
      </c>
      <c r="N17" s="105" t="s">
        <v>15</v>
      </c>
      <c r="O17" s="105" t="s">
        <v>15</v>
      </c>
      <c r="P17" s="105" t="s">
        <v>17</v>
      </c>
      <c r="Q17" s="105" t="s">
        <v>17</v>
      </c>
      <c r="R17" s="105" t="s">
        <v>17</v>
      </c>
      <c r="S17" s="105" t="s">
        <v>17</v>
      </c>
      <c r="T17" s="105" t="s">
        <v>17</v>
      </c>
      <c r="U17" s="105" t="s">
        <v>17</v>
      </c>
      <c r="V17" s="105" t="s">
        <v>18</v>
      </c>
      <c r="W17" s="105"/>
      <c r="X17" s="307" t="s">
        <v>45</v>
      </c>
      <c r="Y17" s="299" t="s">
        <v>19</v>
      </c>
      <c r="Z17" s="299" t="s">
        <v>20</v>
      </c>
      <c r="AA17" s="302" t="s">
        <v>45</v>
      </c>
      <c r="AB17" s="299" t="s">
        <v>19</v>
      </c>
      <c r="AC17" s="299" t="s">
        <v>21</v>
      </c>
      <c r="AD17" s="318"/>
      <c r="AE17" s="318"/>
      <c r="AF17" s="324"/>
      <c r="AG17" s="324"/>
      <c r="AH17" s="320"/>
      <c r="AI17" s="320"/>
      <c r="AJ17" s="317"/>
      <c r="AK17" s="315"/>
      <c r="AL17" s="321"/>
    </row>
    <row r="18" spans="1:40" ht="14.25" customHeight="1">
      <c r="A18" s="315"/>
      <c r="B18" s="317"/>
      <c r="C18" s="315"/>
      <c r="D18" s="308"/>
      <c r="E18" s="308"/>
      <c r="F18" s="300"/>
      <c r="G18" s="299" t="s">
        <v>22</v>
      </c>
      <c r="H18" s="306" t="s">
        <v>23</v>
      </c>
      <c r="I18" s="306"/>
      <c r="J18" s="105" t="s">
        <v>24</v>
      </c>
      <c r="K18" s="104" t="s">
        <v>25</v>
      </c>
      <c r="L18" s="105" t="s">
        <v>26</v>
      </c>
      <c r="M18" s="105" t="s">
        <v>24</v>
      </c>
      <c r="N18" s="105" t="s">
        <v>24</v>
      </c>
      <c r="O18" s="105" t="s">
        <v>24</v>
      </c>
      <c r="P18" s="105" t="s">
        <v>27</v>
      </c>
      <c r="Q18" s="105" t="s">
        <v>27</v>
      </c>
      <c r="R18" s="105" t="s">
        <v>27</v>
      </c>
      <c r="S18" s="105" t="s">
        <v>27</v>
      </c>
      <c r="T18" s="105" t="s">
        <v>27</v>
      </c>
      <c r="U18" s="105" t="s">
        <v>27</v>
      </c>
      <c r="V18" s="105" t="s">
        <v>24</v>
      </c>
      <c r="W18" s="105" t="s">
        <v>28</v>
      </c>
      <c r="X18" s="308"/>
      <c r="Y18" s="300"/>
      <c r="Z18" s="300"/>
      <c r="AA18" s="303"/>
      <c r="AB18" s="300"/>
      <c r="AC18" s="300"/>
      <c r="AD18" s="318"/>
      <c r="AE18" s="318"/>
      <c r="AF18" s="324"/>
      <c r="AG18" s="324"/>
      <c r="AH18" s="320"/>
      <c r="AI18" s="320"/>
      <c r="AJ18" s="317"/>
      <c r="AK18" s="315"/>
      <c r="AL18" s="321"/>
    </row>
    <row r="19" spans="1:40" ht="14.25" customHeight="1">
      <c r="A19" s="316"/>
      <c r="B19" s="317"/>
      <c r="C19" s="316"/>
      <c r="D19" s="309"/>
      <c r="E19" s="309"/>
      <c r="F19" s="301"/>
      <c r="G19" s="305"/>
      <c r="H19" s="106" t="s">
        <v>29</v>
      </c>
      <c r="I19" s="107" t="s">
        <v>30</v>
      </c>
      <c r="J19" s="105" t="s">
        <v>31</v>
      </c>
      <c r="K19" s="104" t="s">
        <v>32</v>
      </c>
      <c r="L19" s="105" t="s">
        <v>33</v>
      </c>
      <c r="M19" s="105" t="s">
        <v>31</v>
      </c>
      <c r="N19" s="105" t="s">
        <v>34</v>
      </c>
      <c r="O19" s="105" t="s">
        <v>34</v>
      </c>
      <c r="P19" s="105" t="s">
        <v>34</v>
      </c>
      <c r="Q19" s="105" t="s">
        <v>34</v>
      </c>
      <c r="R19" s="105" t="s">
        <v>34</v>
      </c>
      <c r="S19" s="105" t="s">
        <v>34</v>
      </c>
      <c r="T19" s="105" t="s">
        <v>34</v>
      </c>
      <c r="U19" s="105" t="s">
        <v>34</v>
      </c>
      <c r="V19" s="105" t="s">
        <v>34</v>
      </c>
      <c r="W19" s="105" t="s">
        <v>35</v>
      </c>
      <c r="X19" s="309"/>
      <c r="Y19" s="301"/>
      <c r="Z19" s="301"/>
      <c r="AA19" s="304"/>
      <c r="AB19" s="301"/>
      <c r="AC19" s="301"/>
      <c r="AD19" s="318"/>
      <c r="AE19" s="318"/>
      <c r="AF19" s="325"/>
      <c r="AG19" s="325"/>
      <c r="AH19" s="320"/>
      <c r="AI19" s="320"/>
      <c r="AJ19" s="317"/>
      <c r="AK19" s="316"/>
      <c r="AL19" s="321"/>
    </row>
    <row r="20" spans="1:40" s="2" customFormat="1" ht="29.25" customHeight="1">
      <c r="A20" s="104" t="s">
        <v>36</v>
      </c>
      <c r="B20" s="104" t="s">
        <v>37</v>
      </c>
      <c r="C20" s="104" t="s">
        <v>38</v>
      </c>
      <c r="D20" s="104" t="s">
        <v>39</v>
      </c>
      <c r="E20" s="104">
        <v>1</v>
      </c>
      <c r="F20" s="105">
        <v>2</v>
      </c>
      <c r="G20" s="108">
        <v>3</v>
      </c>
      <c r="H20" s="108">
        <v>4</v>
      </c>
      <c r="I20" s="105">
        <v>5</v>
      </c>
      <c r="J20" s="108">
        <v>7</v>
      </c>
      <c r="K20" s="105">
        <v>8</v>
      </c>
      <c r="L20" s="108">
        <v>9</v>
      </c>
      <c r="M20" s="105">
        <v>10</v>
      </c>
      <c r="N20" s="105"/>
      <c r="O20" s="108">
        <v>6</v>
      </c>
      <c r="P20" s="108"/>
      <c r="Q20" s="108"/>
      <c r="R20" s="108"/>
      <c r="S20" s="108"/>
      <c r="T20" s="108"/>
      <c r="U20" s="108"/>
      <c r="V20" s="108"/>
      <c r="W20" s="108">
        <v>5</v>
      </c>
      <c r="X20" s="104">
        <v>2</v>
      </c>
      <c r="Y20" s="105">
        <v>7</v>
      </c>
      <c r="Z20" s="105">
        <v>8</v>
      </c>
      <c r="AA20" s="109">
        <v>3</v>
      </c>
      <c r="AB20" s="104">
        <v>10</v>
      </c>
      <c r="AC20" s="108">
        <v>11</v>
      </c>
      <c r="AD20" s="104"/>
      <c r="AE20" s="104"/>
      <c r="AF20" s="110"/>
      <c r="AG20" s="110"/>
      <c r="AH20" s="104">
        <v>4</v>
      </c>
      <c r="AI20" s="104">
        <v>5</v>
      </c>
      <c r="AJ20" s="104">
        <v>6</v>
      </c>
      <c r="AK20" s="104">
        <v>7</v>
      </c>
      <c r="AL20" s="111">
        <v>8</v>
      </c>
    </row>
    <row r="21" spans="1:40" ht="26.25" customHeight="1">
      <c r="A21" s="104" t="s">
        <v>168</v>
      </c>
      <c r="B21" s="112" t="s">
        <v>171</v>
      </c>
      <c r="C21" s="113"/>
      <c r="D21" s="114"/>
      <c r="E21" s="115"/>
      <c r="F21" s="116"/>
      <c r="G21" s="116"/>
      <c r="H21" s="116"/>
      <c r="I21" s="117"/>
      <c r="J21" s="116"/>
      <c r="K21" s="116"/>
      <c r="L21" s="116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5"/>
      <c r="Y21" s="117"/>
      <c r="Z21" s="116"/>
      <c r="AA21" s="118"/>
      <c r="AB21" s="117"/>
      <c r="AC21" s="116"/>
      <c r="AD21" s="119"/>
      <c r="AE21" s="120"/>
      <c r="AF21" s="116"/>
      <c r="AG21" s="116"/>
      <c r="AH21" s="114"/>
      <c r="AI21" s="114"/>
      <c r="AJ21" s="114"/>
      <c r="AK21" s="121"/>
      <c r="AL21" s="122"/>
    </row>
    <row r="22" spans="1:40" s="133" customFormat="1" ht="68.25" customHeight="1">
      <c r="A22" s="123">
        <v>1</v>
      </c>
      <c r="B22" s="124" t="s">
        <v>169</v>
      </c>
      <c r="C22" s="123" t="s">
        <v>170</v>
      </c>
      <c r="D22" s="123">
        <v>2022</v>
      </c>
      <c r="E22" s="123">
        <v>1</v>
      </c>
      <c r="F22" s="125"/>
      <c r="G22" s="125"/>
      <c r="H22" s="125"/>
      <c r="I22" s="126"/>
      <c r="J22" s="125"/>
      <c r="K22" s="125"/>
      <c r="L22" s="125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3">
        <v>1</v>
      </c>
      <c r="Y22" s="126"/>
      <c r="Z22" s="125"/>
      <c r="AA22" s="127">
        <v>0</v>
      </c>
      <c r="AB22" s="126"/>
      <c r="AC22" s="125"/>
      <c r="AD22" s="128"/>
      <c r="AE22" s="129"/>
      <c r="AF22" s="130">
        <v>49000000</v>
      </c>
      <c r="AG22" s="130">
        <v>49000000</v>
      </c>
      <c r="AH22" s="123" t="s">
        <v>166</v>
      </c>
      <c r="AI22" s="131" t="s">
        <v>172</v>
      </c>
      <c r="AJ22" s="132" t="s">
        <v>101</v>
      </c>
      <c r="AK22" s="131"/>
      <c r="AL22" s="124"/>
    </row>
    <row r="23" spans="1:40" ht="30" customHeight="1">
      <c r="A23" s="115">
        <v>2</v>
      </c>
      <c r="B23" s="134" t="s">
        <v>261</v>
      </c>
      <c r="C23" s="135"/>
      <c r="D23" s="114">
        <v>2020</v>
      </c>
      <c r="E23" s="115">
        <v>1</v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>
        <v>1</v>
      </c>
      <c r="Y23" s="136"/>
      <c r="Z23" s="136"/>
      <c r="AA23" s="118">
        <v>0</v>
      </c>
      <c r="AB23" s="136"/>
      <c r="AC23" s="136"/>
      <c r="AD23" s="136"/>
      <c r="AE23" s="136"/>
      <c r="AF23" s="137">
        <v>12500000</v>
      </c>
      <c r="AG23" s="137">
        <v>12500000</v>
      </c>
      <c r="AH23" s="114" t="s">
        <v>166</v>
      </c>
      <c r="AI23" s="121" t="s">
        <v>172</v>
      </c>
      <c r="AJ23" s="115" t="s">
        <v>101</v>
      </c>
      <c r="AK23" s="115"/>
      <c r="AL23" s="134"/>
    </row>
    <row r="24" spans="1:40" s="149" customFormat="1" ht="21.75" customHeight="1">
      <c r="A24" s="138" t="s">
        <v>37</v>
      </c>
      <c r="B24" s="139" t="s">
        <v>308</v>
      </c>
      <c r="C24" s="140"/>
      <c r="D24" s="138"/>
      <c r="E24" s="141"/>
      <c r="F24" s="142"/>
      <c r="G24" s="142"/>
      <c r="H24" s="142"/>
      <c r="I24" s="143"/>
      <c r="J24" s="143"/>
      <c r="K24" s="141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1"/>
      <c r="Y24" s="143"/>
      <c r="Z24" s="142"/>
      <c r="AA24" s="144"/>
      <c r="AB24" s="143"/>
      <c r="AC24" s="142"/>
      <c r="AD24" s="145"/>
      <c r="AE24" s="146"/>
      <c r="AF24" s="142"/>
      <c r="AG24" s="142"/>
      <c r="AH24" s="138"/>
      <c r="AI24" s="138"/>
      <c r="AJ24" s="138"/>
      <c r="AK24" s="147"/>
      <c r="AL24" s="139"/>
      <c r="AM24" s="148"/>
      <c r="AN24" s="148"/>
    </row>
    <row r="25" spans="1:40" s="153" customFormat="1" ht="28.5" customHeight="1">
      <c r="A25" s="111" t="s">
        <v>209</v>
      </c>
      <c r="B25" s="150" t="s">
        <v>300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2"/>
    </row>
    <row r="26" spans="1:40" s="164" customFormat="1" ht="21.75" customHeight="1">
      <c r="A26" s="154">
        <v>1</v>
      </c>
      <c r="B26" s="155" t="s">
        <v>395</v>
      </c>
      <c r="C26" s="156" t="s">
        <v>392</v>
      </c>
      <c r="D26" s="156" t="s">
        <v>393</v>
      </c>
      <c r="E26" s="157">
        <v>1</v>
      </c>
      <c r="F26" s="125"/>
      <c r="G26" s="125"/>
      <c r="H26" s="125"/>
      <c r="I26" s="126"/>
      <c r="J26" s="126"/>
      <c r="K26" s="132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57">
        <v>1</v>
      </c>
      <c r="Y26" s="126"/>
      <c r="Z26" s="125"/>
      <c r="AA26" s="158" t="s">
        <v>381</v>
      </c>
      <c r="AB26" s="126"/>
      <c r="AC26" s="125"/>
      <c r="AD26" s="159"/>
      <c r="AE26" s="129"/>
      <c r="AF26" s="160">
        <v>19850000</v>
      </c>
      <c r="AG26" s="160">
        <v>19850000</v>
      </c>
      <c r="AH26" s="154" t="s">
        <v>155</v>
      </c>
      <c r="AI26" s="154"/>
      <c r="AJ26" s="154" t="s">
        <v>101</v>
      </c>
      <c r="AK26" s="161" t="s">
        <v>280</v>
      </c>
      <c r="AL26" s="162" t="s">
        <v>403</v>
      </c>
      <c r="AM26" s="163"/>
      <c r="AN26" s="163"/>
    </row>
    <row r="27" spans="1:40" s="164" customFormat="1" ht="21.75" customHeight="1">
      <c r="A27" s="154">
        <v>2</v>
      </c>
      <c r="B27" s="155" t="s">
        <v>391</v>
      </c>
      <c r="C27" s="156" t="s">
        <v>394</v>
      </c>
      <c r="D27" s="156">
        <v>2015</v>
      </c>
      <c r="E27" s="157">
        <v>1</v>
      </c>
      <c r="F27" s="125"/>
      <c r="G27" s="125"/>
      <c r="H27" s="125"/>
      <c r="I27" s="126"/>
      <c r="J27" s="126"/>
      <c r="K27" s="132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57">
        <v>1</v>
      </c>
      <c r="Y27" s="126"/>
      <c r="Z27" s="125"/>
      <c r="AA27" s="158" t="s">
        <v>381</v>
      </c>
      <c r="AB27" s="126"/>
      <c r="AC27" s="125"/>
      <c r="AD27" s="159"/>
      <c r="AE27" s="129"/>
      <c r="AF27" s="165">
        <v>11120000</v>
      </c>
      <c r="AG27" s="165">
        <v>11120000</v>
      </c>
      <c r="AH27" s="154" t="s">
        <v>155</v>
      </c>
      <c r="AI27" s="154"/>
      <c r="AJ27" s="154" t="s">
        <v>101</v>
      </c>
      <c r="AK27" s="161" t="s">
        <v>280</v>
      </c>
      <c r="AL27" s="162" t="s">
        <v>382</v>
      </c>
      <c r="AM27" s="163"/>
      <c r="AN27" s="163"/>
    </row>
    <row r="28" spans="1:40" s="2" customFormat="1" ht="29.25" customHeight="1">
      <c r="A28" s="104"/>
      <c r="B28" s="104" t="s">
        <v>406</v>
      </c>
      <c r="C28" s="104"/>
      <c r="D28" s="104"/>
      <c r="E28" s="104"/>
      <c r="F28" s="105"/>
      <c r="G28" s="108"/>
      <c r="H28" s="108"/>
      <c r="I28" s="105"/>
      <c r="J28" s="108"/>
      <c r="K28" s="105"/>
      <c r="L28" s="108"/>
      <c r="M28" s="105"/>
      <c r="N28" s="105"/>
      <c r="O28" s="108"/>
      <c r="P28" s="108"/>
      <c r="Q28" s="108"/>
      <c r="R28" s="108"/>
      <c r="S28" s="108"/>
      <c r="T28" s="108"/>
      <c r="U28" s="108"/>
      <c r="V28" s="108"/>
      <c r="W28" s="108"/>
      <c r="X28" s="104"/>
      <c r="Y28" s="105"/>
      <c r="Z28" s="105"/>
      <c r="AA28" s="109"/>
      <c r="AB28" s="104"/>
      <c r="AC28" s="108"/>
      <c r="AD28" s="104"/>
      <c r="AE28" s="104"/>
      <c r="AF28" s="110"/>
      <c r="AG28" s="110">
        <f>SUM(AG22:AG27)</f>
        <v>92470000</v>
      </c>
      <c r="AH28" s="104"/>
      <c r="AI28" s="104"/>
      <c r="AJ28" s="104"/>
      <c r="AK28" s="104"/>
      <c r="AL28" s="111"/>
    </row>
    <row r="29" spans="1:40" s="2" customFormat="1" ht="29.25" customHeight="1">
      <c r="A29" s="104"/>
      <c r="B29" s="104" t="s">
        <v>407</v>
      </c>
      <c r="C29" s="104"/>
      <c r="D29" s="104"/>
      <c r="E29" s="104"/>
      <c r="F29" s="105"/>
      <c r="G29" s="108"/>
      <c r="H29" s="108"/>
      <c r="I29" s="105"/>
      <c r="J29" s="108"/>
      <c r="K29" s="105"/>
      <c r="L29" s="108"/>
      <c r="M29" s="105"/>
      <c r="N29" s="105"/>
      <c r="O29" s="108"/>
      <c r="P29" s="108"/>
      <c r="Q29" s="108"/>
      <c r="R29" s="108"/>
      <c r="S29" s="108"/>
      <c r="T29" s="108"/>
      <c r="U29" s="108"/>
      <c r="V29" s="108"/>
      <c r="W29" s="108"/>
      <c r="X29" s="104"/>
      <c r="Y29" s="105"/>
      <c r="Z29" s="105"/>
      <c r="AA29" s="109"/>
      <c r="AB29" s="104"/>
      <c r="AC29" s="108"/>
      <c r="AD29" s="104"/>
      <c r="AE29" s="104"/>
      <c r="AF29" s="110"/>
      <c r="AG29" s="110"/>
      <c r="AH29" s="104"/>
      <c r="AI29" s="104"/>
      <c r="AJ29" s="104"/>
      <c r="AK29" s="104"/>
      <c r="AL29" s="111"/>
    </row>
    <row r="30" spans="1:40" s="2" customFormat="1" ht="29.25" customHeight="1">
      <c r="A30" s="104" t="s">
        <v>36</v>
      </c>
      <c r="B30" s="104" t="s">
        <v>307</v>
      </c>
      <c r="C30" s="104"/>
      <c r="D30" s="104"/>
      <c r="E30" s="104"/>
      <c r="F30" s="105"/>
      <c r="G30" s="108"/>
      <c r="H30" s="108"/>
      <c r="I30" s="105"/>
      <c r="J30" s="108"/>
      <c r="K30" s="105"/>
      <c r="L30" s="108"/>
      <c r="M30" s="105"/>
      <c r="N30" s="105"/>
      <c r="O30" s="108"/>
      <c r="P30" s="108"/>
      <c r="Q30" s="108"/>
      <c r="R30" s="108"/>
      <c r="S30" s="108"/>
      <c r="T30" s="108"/>
      <c r="U30" s="108"/>
      <c r="V30" s="108"/>
      <c r="W30" s="108"/>
      <c r="X30" s="104"/>
      <c r="Y30" s="105"/>
      <c r="Z30" s="105"/>
      <c r="AA30" s="109"/>
      <c r="AB30" s="104"/>
      <c r="AC30" s="108"/>
      <c r="AD30" s="104"/>
      <c r="AE30" s="104"/>
      <c r="AF30" s="110"/>
      <c r="AG30" s="110"/>
      <c r="AH30" s="104"/>
      <c r="AI30" s="104"/>
      <c r="AJ30" s="104"/>
      <c r="AK30" s="104"/>
      <c r="AL30" s="111"/>
    </row>
    <row r="31" spans="1:40" ht="25.5" customHeight="1">
      <c r="A31" s="104" t="s">
        <v>152</v>
      </c>
      <c r="B31" s="112" t="s">
        <v>112</v>
      </c>
      <c r="C31" s="113"/>
      <c r="D31" s="114"/>
      <c r="E31" s="115"/>
      <c r="F31" s="116"/>
      <c r="G31" s="116"/>
      <c r="H31" s="116"/>
      <c r="I31" s="117"/>
      <c r="J31" s="116"/>
      <c r="K31" s="116"/>
      <c r="L31" s="116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5"/>
      <c r="Y31" s="117"/>
      <c r="Z31" s="116"/>
      <c r="AA31" s="118"/>
      <c r="AB31" s="117"/>
      <c r="AC31" s="116"/>
      <c r="AD31" s="119"/>
      <c r="AE31" s="120"/>
      <c r="AF31" s="116"/>
      <c r="AG31" s="116"/>
      <c r="AH31" s="114"/>
      <c r="AI31" s="114"/>
      <c r="AJ31" s="114"/>
      <c r="AK31" s="121"/>
      <c r="AL31" s="122"/>
    </row>
    <row r="32" spans="1:40" ht="65.25" customHeight="1">
      <c r="A32" s="114">
        <v>1</v>
      </c>
      <c r="B32" s="166" t="s">
        <v>154</v>
      </c>
      <c r="C32" s="114" t="s">
        <v>165</v>
      </c>
      <c r="D32" s="114">
        <v>2022</v>
      </c>
      <c r="E32" s="115">
        <v>1</v>
      </c>
      <c r="F32" s="116"/>
      <c r="G32" s="116"/>
      <c r="H32" s="116"/>
      <c r="I32" s="117"/>
      <c r="J32" s="116"/>
      <c r="K32" s="116"/>
      <c r="L32" s="116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5">
        <v>0</v>
      </c>
      <c r="Y32" s="117"/>
      <c r="Z32" s="116"/>
      <c r="AA32" s="118" t="s">
        <v>249</v>
      </c>
      <c r="AB32" s="117"/>
      <c r="AC32" s="116"/>
      <c r="AD32" s="119"/>
      <c r="AE32" s="120"/>
      <c r="AF32" s="116"/>
      <c r="AG32" s="116"/>
      <c r="AH32" s="114" t="s">
        <v>166</v>
      </c>
      <c r="AI32" s="114" t="s">
        <v>238</v>
      </c>
      <c r="AJ32" s="114" t="s">
        <v>157</v>
      </c>
      <c r="AK32" s="121"/>
      <c r="AL32" s="122" t="s">
        <v>253</v>
      </c>
    </row>
    <row r="33" spans="1:39" ht="63">
      <c r="A33" s="114">
        <v>2</v>
      </c>
      <c r="B33" s="122" t="s">
        <v>159</v>
      </c>
      <c r="C33" s="114" t="s">
        <v>270</v>
      </c>
      <c r="D33" s="114">
        <v>2022</v>
      </c>
      <c r="E33" s="115">
        <v>1</v>
      </c>
      <c r="F33" s="116"/>
      <c r="G33" s="116"/>
      <c r="H33" s="116"/>
      <c r="I33" s="117"/>
      <c r="J33" s="116"/>
      <c r="K33" s="116"/>
      <c r="L33" s="116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5">
        <v>0</v>
      </c>
      <c r="Y33" s="117"/>
      <c r="Z33" s="116"/>
      <c r="AA33" s="118" t="s">
        <v>249</v>
      </c>
      <c r="AB33" s="117"/>
      <c r="AC33" s="116"/>
      <c r="AD33" s="119"/>
      <c r="AE33" s="120"/>
      <c r="AF33" s="116"/>
      <c r="AG33" s="116"/>
      <c r="AH33" s="114" t="s">
        <v>166</v>
      </c>
      <c r="AI33" s="114" t="s">
        <v>238</v>
      </c>
      <c r="AJ33" s="114" t="s">
        <v>157</v>
      </c>
      <c r="AK33" s="121"/>
      <c r="AL33" s="122" t="s">
        <v>253</v>
      </c>
    </row>
    <row r="34" spans="1:39" ht="84" customHeight="1">
      <c r="A34" s="114">
        <v>3</v>
      </c>
      <c r="B34" s="122" t="s">
        <v>160</v>
      </c>
      <c r="C34" s="114" t="s">
        <v>167</v>
      </c>
      <c r="D34" s="114">
        <v>2022</v>
      </c>
      <c r="E34" s="115">
        <v>1</v>
      </c>
      <c r="F34" s="116"/>
      <c r="G34" s="116"/>
      <c r="H34" s="116"/>
      <c r="I34" s="117"/>
      <c r="J34" s="116"/>
      <c r="K34" s="116"/>
      <c r="L34" s="116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5">
        <v>0</v>
      </c>
      <c r="Y34" s="117"/>
      <c r="Z34" s="116"/>
      <c r="AA34" s="118" t="s">
        <v>249</v>
      </c>
      <c r="AB34" s="117"/>
      <c r="AC34" s="116"/>
      <c r="AD34" s="119"/>
      <c r="AE34" s="120"/>
      <c r="AF34" s="116"/>
      <c r="AG34" s="116"/>
      <c r="AH34" s="114" t="s">
        <v>166</v>
      </c>
      <c r="AI34" s="114" t="s">
        <v>238</v>
      </c>
      <c r="AJ34" s="114" t="s">
        <v>157</v>
      </c>
      <c r="AK34" s="121"/>
      <c r="AL34" s="122" t="s">
        <v>256</v>
      </c>
    </row>
    <row r="35" spans="1:39" ht="49.5" customHeight="1">
      <c r="A35" s="114">
        <v>4</v>
      </c>
      <c r="B35" s="134" t="s">
        <v>188</v>
      </c>
      <c r="C35" s="114"/>
      <c r="D35" s="114"/>
      <c r="E35" s="115">
        <v>2</v>
      </c>
      <c r="F35" s="116"/>
      <c r="G35" s="116"/>
      <c r="H35" s="116"/>
      <c r="I35" s="117"/>
      <c r="J35" s="116"/>
      <c r="K35" s="116"/>
      <c r="L35" s="116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5">
        <v>1</v>
      </c>
      <c r="Y35" s="117"/>
      <c r="Z35" s="116"/>
      <c r="AA35" s="118" t="s">
        <v>249</v>
      </c>
      <c r="AB35" s="117"/>
      <c r="AC35" s="116"/>
      <c r="AD35" s="119"/>
      <c r="AE35" s="120"/>
      <c r="AF35" s="116"/>
      <c r="AG35" s="116"/>
      <c r="AH35" s="114" t="s">
        <v>166</v>
      </c>
      <c r="AI35" s="114" t="s">
        <v>238</v>
      </c>
      <c r="AJ35" s="114" t="s">
        <v>157</v>
      </c>
      <c r="AK35" s="121" t="s">
        <v>178</v>
      </c>
      <c r="AL35" s="122" t="s">
        <v>254</v>
      </c>
    </row>
    <row r="36" spans="1:39" ht="51" customHeight="1">
      <c r="A36" s="114">
        <v>5</v>
      </c>
      <c r="B36" s="134" t="s">
        <v>51</v>
      </c>
      <c r="C36" s="114"/>
      <c r="D36" s="114"/>
      <c r="E36" s="115">
        <v>1</v>
      </c>
      <c r="F36" s="116"/>
      <c r="G36" s="116"/>
      <c r="H36" s="116"/>
      <c r="I36" s="117"/>
      <c r="J36" s="116"/>
      <c r="K36" s="116"/>
      <c r="L36" s="116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5">
        <v>0</v>
      </c>
      <c r="Y36" s="117"/>
      <c r="Z36" s="116"/>
      <c r="AA36" s="118" t="s">
        <v>249</v>
      </c>
      <c r="AB36" s="117"/>
      <c r="AC36" s="116"/>
      <c r="AD36" s="119"/>
      <c r="AE36" s="120"/>
      <c r="AF36" s="116"/>
      <c r="AG36" s="116"/>
      <c r="AH36" s="114" t="s">
        <v>166</v>
      </c>
      <c r="AI36" s="114" t="s">
        <v>238</v>
      </c>
      <c r="AJ36" s="114" t="s">
        <v>157</v>
      </c>
      <c r="AK36" s="121" t="s">
        <v>178</v>
      </c>
      <c r="AL36" s="122" t="s">
        <v>255</v>
      </c>
    </row>
    <row r="37" spans="1:39" s="101" customFormat="1" ht="43.5" customHeight="1">
      <c r="A37" s="114">
        <v>6</v>
      </c>
      <c r="B37" s="122" t="s">
        <v>79</v>
      </c>
      <c r="C37" s="113"/>
      <c r="D37" s="114">
        <v>1994</v>
      </c>
      <c r="E37" s="115">
        <v>1</v>
      </c>
      <c r="F37" s="167"/>
      <c r="G37" s="168"/>
      <c r="H37" s="168"/>
      <c r="I37" s="168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15">
        <v>0</v>
      </c>
      <c r="Y37" s="167"/>
      <c r="Z37" s="167"/>
      <c r="AA37" s="169" t="s">
        <v>249</v>
      </c>
      <c r="AB37" s="117"/>
      <c r="AC37" s="116"/>
      <c r="AD37" s="170"/>
      <c r="AE37" s="120"/>
      <c r="AF37" s="116"/>
      <c r="AG37" s="116"/>
      <c r="AH37" s="114" t="s">
        <v>155</v>
      </c>
      <c r="AI37" s="114" t="s">
        <v>238</v>
      </c>
      <c r="AJ37" s="114" t="s">
        <v>157</v>
      </c>
      <c r="AK37" s="114" t="s">
        <v>178</v>
      </c>
      <c r="AL37" s="122" t="s">
        <v>256</v>
      </c>
      <c r="AM37" s="171"/>
    </row>
    <row r="38" spans="1:39" s="89" customFormat="1" ht="43.5" customHeight="1">
      <c r="A38" s="63">
        <v>7</v>
      </c>
      <c r="B38" s="75" t="s">
        <v>257</v>
      </c>
      <c r="C38" s="84" t="s">
        <v>370</v>
      </c>
      <c r="D38" s="63">
        <v>2015</v>
      </c>
      <c r="E38" s="69">
        <v>0</v>
      </c>
      <c r="F38" s="85"/>
      <c r="G38" s="86"/>
      <c r="H38" s="86"/>
      <c r="I38" s="86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69">
        <v>1</v>
      </c>
      <c r="Y38" s="85"/>
      <c r="Z38" s="85"/>
      <c r="AA38" s="87" t="s">
        <v>258</v>
      </c>
      <c r="AB38" s="68"/>
      <c r="AC38" s="67"/>
      <c r="AD38" s="71"/>
      <c r="AE38" s="72"/>
      <c r="AF38" s="67">
        <v>1870000</v>
      </c>
      <c r="AG38" s="67">
        <v>1870000</v>
      </c>
      <c r="AH38" s="63"/>
      <c r="AI38" s="63"/>
      <c r="AJ38" s="63"/>
      <c r="AK38" s="63"/>
      <c r="AL38" s="75" t="s">
        <v>259</v>
      </c>
      <c r="AM38" s="88"/>
    </row>
    <row r="39" spans="1:39" ht="26.25" customHeight="1">
      <c r="A39" s="104" t="s">
        <v>168</v>
      </c>
      <c r="B39" s="112" t="s">
        <v>171</v>
      </c>
      <c r="C39" s="113"/>
      <c r="D39" s="114"/>
      <c r="E39" s="115"/>
      <c r="F39" s="116"/>
      <c r="G39" s="116"/>
      <c r="H39" s="116"/>
      <c r="I39" s="117"/>
      <c r="J39" s="116"/>
      <c r="K39" s="116"/>
      <c r="L39" s="116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5"/>
      <c r="Y39" s="117"/>
      <c r="Z39" s="116"/>
      <c r="AA39" s="118"/>
      <c r="AB39" s="117"/>
      <c r="AC39" s="116"/>
      <c r="AD39" s="119"/>
      <c r="AE39" s="120"/>
      <c r="AF39" s="116"/>
      <c r="AG39" s="116"/>
      <c r="AH39" s="114"/>
      <c r="AI39" s="114"/>
      <c r="AJ39" s="114"/>
      <c r="AK39" s="121"/>
      <c r="AL39" s="122"/>
    </row>
    <row r="40" spans="1:39" ht="64.5" customHeight="1">
      <c r="A40" s="114">
        <v>2</v>
      </c>
      <c r="B40" s="122" t="s">
        <v>159</v>
      </c>
      <c r="C40" s="121" t="s">
        <v>271</v>
      </c>
      <c r="D40" s="114">
        <v>2022</v>
      </c>
      <c r="E40" s="115">
        <v>4</v>
      </c>
      <c r="F40" s="116"/>
      <c r="G40" s="116"/>
      <c r="H40" s="116"/>
      <c r="I40" s="117"/>
      <c r="J40" s="116"/>
      <c r="K40" s="116"/>
      <c r="L40" s="116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5">
        <v>3</v>
      </c>
      <c r="Y40" s="117"/>
      <c r="Z40" s="116"/>
      <c r="AA40" s="118" t="s">
        <v>249</v>
      </c>
      <c r="AB40" s="117"/>
      <c r="AC40" s="116"/>
      <c r="AD40" s="119"/>
      <c r="AE40" s="120"/>
      <c r="AF40" s="116">
        <v>660000</v>
      </c>
      <c r="AG40" s="116">
        <f>+X40*AF40</f>
        <v>1980000</v>
      </c>
      <c r="AH40" s="114" t="s">
        <v>166</v>
      </c>
      <c r="AI40" s="121" t="s">
        <v>172</v>
      </c>
      <c r="AJ40" s="115" t="s">
        <v>101</v>
      </c>
      <c r="AK40" s="121"/>
      <c r="AL40" s="122" t="s">
        <v>260</v>
      </c>
    </row>
    <row r="41" spans="1:39" s="93" customFormat="1" ht="57.75" customHeight="1">
      <c r="A41" s="69">
        <v>3</v>
      </c>
      <c r="B41" s="90" t="s">
        <v>174</v>
      </c>
      <c r="C41" s="259" t="s">
        <v>306</v>
      </c>
      <c r="D41" s="63">
        <v>2022</v>
      </c>
      <c r="E41" s="69">
        <v>1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>
        <v>1</v>
      </c>
      <c r="Y41" s="91"/>
      <c r="Z41" s="91"/>
      <c r="AA41" s="92">
        <v>0</v>
      </c>
      <c r="AB41" s="91"/>
      <c r="AC41" s="91"/>
      <c r="AD41" s="91"/>
      <c r="AE41" s="91"/>
      <c r="AF41" s="95">
        <v>1100000</v>
      </c>
      <c r="AG41" s="95">
        <v>1100000</v>
      </c>
      <c r="AH41" s="63" t="s">
        <v>166</v>
      </c>
      <c r="AI41" s="74" t="s">
        <v>172</v>
      </c>
      <c r="AJ41" s="69" t="s">
        <v>101</v>
      </c>
      <c r="AK41" s="69"/>
      <c r="AL41" s="90"/>
      <c r="AM41" s="260"/>
    </row>
    <row r="42" spans="1:39" s="61" customFormat="1" ht="30" customHeight="1">
      <c r="A42" s="53">
        <v>6</v>
      </c>
      <c r="B42" s="54" t="s">
        <v>262</v>
      </c>
      <c r="C42" s="55"/>
      <c r="D42" s="60">
        <v>2020</v>
      </c>
      <c r="E42" s="53">
        <v>1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>
        <v>1</v>
      </c>
      <c r="Y42" s="57"/>
      <c r="Z42" s="57"/>
      <c r="AA42" s="58">
        <v>0</v>
      </c>
      <c r="AB42" s="57"/>
      <c r="AC42" s="57"/>
      <c r="AD42" s="57"/>
      <c r="AE42" s="57"/>
      <c r="AF42" s="62">
        <v>9500000</v>
      </c>
      <c r="AG42" s="62">
        <v>9500000</v>
      </c>
      <c r="AH42" s="60" t="s">
        <v>166</v>
      </c>
      <c r="AI42" s="56" t="s">
        <v>172</v>
      </c>
      <c r="AJ42" s="53" t="s">
        <v>101</v>
      </c>
      <c r="AK42" s="53"/>
      <c r="AL42" s="54"/>
    </row>
    <row r="43" spans="1:39" ht="30" customHeight="1">
      <c r="A43" s="115">
        <v>7</v>
      </c>
      <c r="B43" s="134" t="s">
        <v>102</v>
      </c>
      <c r="C43" s="135" t="s">
        <v>237</v>
      </c>
      <c r="D43" s="114"/>
      <c r="E43" s="115">
        <v>2</v>
      </c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>
        <v>2</v>
      </c>
      <c r="Y43" s="136"/>
      <c r="Z43" s="136"/>
      <c r="AA43" s="118">
        <v>0</v>
      </c>
      <c r="AB43" s="136"/>
      <c r="AC43" s="136"/>
      <c r="AD43" s="136"/>
      <c r="AE43" s="136"/>
      <c r="AF43" s="137">
        <v>750000</v>
      </c>
      <c r="AG43" s="137">
        <v>1500000</v>
      </c>
      <c r="AH43" s="114" t="s">
        <v>166</v>
      </c>
      <c r="AI43" s="121" t="s">
        <v>177</v>
      </c>
      <c r="AJ43" s="115" t="s">
        <v>101</v>
      </c>
      <c r="AK43" s="115"/>
      <c r="AL43" s="134"/>
    </row>
    <row r="44" spans="1:39" ht="30" customHeight="1">
      <c r="A44" s="115">
        <v>8</v>
      </c>
      <c r="B44" s="134" t="s">
        <v>180</v>
      </c>
      <c r="C44" s="135"/>
      <c r="D44" s="114"/>
      <c r="E44" s="115">
        <v>1</v>
      </c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>
        <v>1</v>
      </c>
      <c r="Y44" s="136"/>
      <c r="Z44" s="136"/>
      <c r="AA44" s="118">
        <v>0</v>
      </c>
      <c r="AB44" s="136"/>
      <c r="AC44" s="136"/>
      <c r="AD44" s="136"/>
      <c r="AE44" s="136"/>
      <c r="AF44" s="137">
        <v>888000</v>
      </c>
      <c r="AG44" s="137">
        <v>888000</v>
      </c>
      <c r="AH44" s="114" t="s">
        <v>166</v>
      </c>
      <c r="AI44" s="121" t="s">
        <v>177</v>
      </c>
      <c r="AJ44" s="115" t="s">
        <v>101</v>
      </c>
      <c r="AK44" s="115"/>
      <c r="AL44" s="134"/>
    </row>
    <row r="45" spans="1:39" ht="30" customHeight="1">
      <c r="A45" s="115">
        <v>9</v>
      </c>
      <c r="B45" s="134" t="s">
        <v>213</v>
      </c>
      <c r="C45" s="135"/>
      <c r="D45" s="114"/>
      <c r="E45" s="115">
        <v>1</v>
      </c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>
        <v>1</v>
      </c>
      <c r="Y45" s="136"/>
      <c r="Z45" s="136"/>
      <c r="AA45" s="118">
        <v>0</v>
      </c>
      <c r="AB45" s="136"/>
      <c r="AC45" s="136"/>
      <c r="AD45" s="136"/>
      <c r="AE45" s="136"/>
      <c r="AF45" s="137">
        <v>888000</v>
      </c>
      <c r="AG45" s="137">
        <v>888000</v>
      </c>
      <c r="AH45" s="114" t="s">
        <v>166</v>
      </c>
      <c r="AI45" s="121" t="s">
        <v>177</v>
      </c>
      <c r="AJ45" s="115" t="s">
        <v>101</v>
      </c>
      <c r="AK45" s="115"/>
      <c r="AL45" s="134"/>
    </row>
    <row r="46" spans="1:39" ht="51.75" customHeight="1">
      <c r="A46" s="115">
        <v>10</v>
      </c>
      <c r="B46" s="134" t="s">
        <v>181</v>
      </c>
      <c r="C46" s="135" t="s">
        <v>235</v>
      </c>
      <c r="D46" s="114"/>
      <c r="E46" s="115">
        <v>1</v>
      </c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>
        <v>0</v>
      </c>
      <c r="Y46" s="136"/>
      <c r="Z46" s="136"/>
      <c r="AA46" s="118" t="s">
        <v>249</v>
      </c>
      <c r="AB46" s="136"/>
      <c r="AC46" s="136"/>
      <c r="AD46" s="136"/>
      <c r="AE46" s="136"/>
      <c r="AF46" s="116"/>
      <c r="AG46" s="116"/>
      <c r="AH46" s="114" t="s">
        <v>166</v>
      </c>
      <c r="AI46" s="121" t="s">
        <v>177</v>
      </c>
      <c r="AJ46" s="135" t="s">
        <v>246</v>
      </c>
      <c r="AK46" s="115"/>
      <c r="AL46" s="122" t="s">
        <v>263</v>
      </c>
    </row>
    <row r="47" spans="1:39" ht="48.75" customHeight="1">
      <c r="A47" s="115">
        <v>12</v>
      </c>
      <c r="B47" s="134" t="s">
        <v>181</v>
      </c>
      <c r="C47" s="135"/>
      <c r="D47" s="114"/>
      <c r="E47" s="115">
        <v>2</v>
      </c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>
        <v>0</v>
      </c>
      <c r="Y47" s="136"/>
      <c r="Z47" s="136"/>
      <c r="AA47" s="118" t="s">
        <v>250</v>
      </c>
      <c r="AB47" s="136"/>
      <c r="AC47" s="136"/>
      <c r="AD47" s="136"/>
      <c r="AE47" s="136"/>
      <c r="AF47" s="116"/>
      <c r="AG47" s="116"/>
      <c r="AH47" s="114" t="s">
        <v>166</v>
      </c>
      <c r="AI47" s="121" t="s">
        <v>177</v>
      </c>
      <c r="AJ47" s="135" t="s">
        <v>246</v>
      </c>
      <c r="AK47" s="115"/>
      <c r="AL47" s="122" t="s">
        <v>264</v>
      </c>
    </row>
    <row r="48" spans="1:39" ht="26.25" customHeight="1">
      <c r="A48" s="104" t="s">
        <v>175</v>
      </c>
      <c r="B48" s="310" t="s">
        <v>185</v>
      </c>
      <c r="C48" s="312"/>
      <c r="D48" s="114"/>
      <c r="E48" s="115"/>
      <c r="F48" s="116"/>
      <c r="G48" s="116"/>
      <c r="H48" s="116"/>
      <c r="I48" s="117"/>
      <c r="J48" s="116"/>
      <c r="K48" s="116"/>
      <c r="L48" s="116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5"/>
      <c r="Y48" s="117"/>
      <c r="Z48" s="116"/>
      <c r="AA48" s="118"/>
      <c r="AB48" s="117"/>
      <c r="AC48" s="116"/>
      <c r="AD48" s="119"/>
      <c r="AE48" s="120"/>
      <c r="AF48" s="116"/>
      <c r="AG48" s="116"/>
      <c r="AH48" s="114"/>
      <c r="AI48" s="114"/>
      <c r="AJ48" s="114"/>
      <c r="AK48" s="121"/>
      <c r="AL48" s="122"/>
    </row>
    <row r="49" spans="1:38" ht="33.75" customHeight="1">
      <c r="A49" s="114">
        <v>1</v>
      </c>
      <c r="B49" s="122" t="s">
        <v>214</v>
      </c>
      <c r="C49" s="113"/>
      <c r="D49" s="114"/>
      <c r="E49" s="115">
        <v>2</v>
      </c>
      <c r="F49" s="116"/>
      <c r="G49" s="116"/>
      <c r="H49" s="116"/>
      <c r="I49" s="117"/>
      <c r="J49" s="116"/>
      <c r="K49" s="116"/>
      <c r="L49" s="116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5">
        <v>0</v>
      </c>
      <c r="Y49" s="117"/>
      <c r="Z49" s="116"/>
      <c r="AA49" s="118" t="s">
        <v>250</v>
      </c>
      <c r="AB49" s="117"/>
      <c r="AC49" s="116"/>
      <c r="AD49" s="119"/>
      <c r="AE49" s="120"/>
      <c r="AF49" s="116"/>
      <c r="AG49" s="116"/>
      <c r="AH49" s="114" t="s">
        <v>166</v>
      </c>
      <c r="AI49" s="121" t="s">
        <v>186</v>
      </c>
      <c r="AJ49" s="115" t="s">
        <v>101</v>
      </c>
      <c r="AK49" s="115" t="s">
        <v>176</v>
      </c>
      <c r="AL49" s="134" t="s">
        <v>299</v>
      </c>
    </row>
    <row r="50" spans="1:38" s="101" customFormat="1" ht="47.25" customHeight="1">
      <c r="A50" s="114">
        <v>2</v>
      </c>
      <c r="B50" s="134" t="s">
        <v>182</v>
      </c>
      <c r="C50" s="135" t="s">
        <v>236</v>
      </c>
      <c r="D50" s="114"/>
      <c r="E50" s="115">
        <v>1</v>
      </c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>
        <v>0</v>
      </c>
      <c r="Y50" s="136"/>
      <c r="Z50" s="136"/>
      <c r="AA50" s="118" t="s">
        <v>249</v>
      </c>
      <c r="AB50" s="136"/>
      <c r="AC50" s="136"/>
      <c r="AD50" s="136"/>
      <c r="AE50" s="136"/>
      <c r="AF50" s="116"/>
      <c r="AG50" s="116"/>
      <c r="AH50" s="114" t="s">
        <v>166</v>
      </c>
      <c r="AI50" s="121" t="s">
        <v>177</v>
      </c>
      <c r="AJ50" s="115" t="s">
        <v>101</v>
      </c>
      <c r="AK50" s="121"/>
      <c r="AL50" s="122" t="s">
        <v>265</v>
      </c>
    </row>
    <row r="51" spans="1:38" ht="132.75" customHeight="1">
      <c r="A51" s="115">
        <v>3</v>
      </c>
      <c r="B51" s="122" t="s">
        <v>159</v>
      </c>
      <c r="C51" s="121" t="s">
        <v>268</v>
      </c>
      <c r="D51" s="121">
        <v>2022</v>
      </c>
      <c r="E51" s="115">
        <v>0</v>
      </c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>
        <v>3</v>
      </c>
      <c r="Y51" s="136"/>
      <c r="Z51" s="136"/>
      <c r="AA51" s="118" t="s">
        <v>266</v>
      </c>
      <c r="AB51" s="136"/>
      <c r="AC51" s="136"/>
      <c r="AD51" s="136"/>
      <c r="AE51" s="136"/>
      <c r="AF51" s="116">
        <v>660000</v>
      </c>
      <c r="AG51" s="116">
        <f>+X51*AF51</f>
        <v>1980000</v>
      </c>
      <c r="AH51" s="114"/>
      <c r="AI51" s="121"/>
      <c r="AJ51" s="115"/>
      <c r="AK51" s="115"/>
      <c r="AL51" s="135" t="s">
        <v>267</v>
      </c>
    </row>
    <row r="52" spans="1:38" ht="57.75" customHeight="1">
      <c r="A52" s="115">
        <v>4</v>
      </c>
      <c r="B52" s="134" t="s">
        <v>181</v>
      </c>
      <c r="C52" s="121"/>
      <c r="D52" s="121"/>
      <c r="E52" s="115">
        <v>0</v>
      </c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>
        <v>2</v>
      </c>
      <c r="Y52" s="136"/>
      <c r="Z52" s="136"/>
      <c r="AA52" s="118" t="s">
        <v>275</v>
      </c>
      <c r="AB52" s="136"/>
      <c r="AC52" s="136"/>
      <c r="AD52" s="136"/>
      <c r="AE52" s="136"/>
      <c r="AF52" s="116"/>
      <c r="AG52" s="116"/>
      <c r="AH52" s="114"/>
      <c r="AI52" s="121"/>
      <c r="AJ52" s="115"/>
      <c r="AK52" s="115"/>
      <c r="AL52" s="135" t="s">
        <v>276</v>
      </c>
    </row>
    <row r="53" spans="1:38" s="93" customFormat="1" ht="57.75" customHeight="1">
      <c r="A53" s="69">
        <v>5</v>
      </c>
      <c r="B53" s="90" t="s">
        <v>257</v>
      </c>
      <c r="C53" s="84" t="s">
        <v>377</v>
      </c>
      <c r="D53" s="84">
        <v>2015</v>
      </c>
      <c r="E53" s="69">
        <v>0</v>
      </c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>
        <v>1</v>
      </c>
      <c r="Y53" s="91"/>
      <c r="Z53" s="91"/>
      <c r="AA53" s="92" t="s">
        <v>258</v>
      </c>
      <c r="AB53" s="91"/>
      <c r="AC53" s="91"/>
      <c r="AD53" s="91"/>
      <c r="AE53" s="91"/>
      <c r="AF53" s="67">
        <v>1870000</v>
      </c>
      <c r="AG53" s="67">
        <v>1870000</v>
      </c>
      <c r="AH53" s="63" t="s">
        <v>166</v>
      </c>
      <c r="AI53" s="74" t="s">
        <v>177</v>
      </c>
      <c r="AJ53" s="69" t="s">
        <v>101</v>
      </c>
      <c r="AK53" s="69" t="s">
        <v>280</v>
      </c>
      <c r="AL53" s="90" t="s">
        <v>259</v>
      </c>
    </row>
    <row r="54" spans="1:38" s="93" customFormat="1" ht="57.75" customHeight="1">
      <c r="A54" s="69">
        <v>6</v>
      </c>
      <c r="B54" s="90" t="s">
        <v>279</v>
      </c>
      <c r="C54" s="84" t="s">
        <v>378</v>
      </c>
      <c r="D54" s="74"/>
      <c r="E54" s="69">
        <v>0</v>
      </c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>
        <v>1</v>
      </c>
      <c r="Y54" s="91"/>
      <c r="Z54" s="91"/>
      <c r="AA54" s="92" t="s">
        <v>258</v>
      </c>
      <c r="AB54" s="91"/>
      <c r="AC54" s="91"/>
      <c r="AD54" s="91"/>
      <c r="AE54" s="91"/>
      <c r="AF54" s="67">
        <v>500000</v>
      </c>
      <c r="AG54" s="67">
        <v>500000</v>
      </c>
      <c r="AH54" s="63"/>
      <c r="AI54" s="74"/>
      <c r="AJ54" s="69"/>
      <c r="AK54" s="69" t="s">
        <v>280</v>
      </c>
      <c r="AL54" s="90" t="s">
        <v>259</v>
      </c>
    </row>
    <row r="55" spans="1:38" ht="57.75" customHeight="1">
      <c r="A55" s="141" t="s">
        <v>187</v>
      </c>
      <c r="B55" s="173" t="s">
        <v>298</v>
      </c>
      <c r="C55" s="121"/>
      <c r="D55" s="121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36"/>
      <c r="Z55" s="136"/>
      <c r="AA55" s="118"/>
      <c r="AB55" s="136"/>
      <c r="AC55" s="136"/>
      <c r="AD55" s="136"/>
      <c r="AE55" s="136"/>
      <c r="AF55" s="116"/>
      <c r="AG55" s="116"/>
      <c r="AH55" s="114"/>
      <c r="AI55" s="121"/>
      <c r="AJ55" s="115"/>
      <c r="AK55" s="115"/>
      <c r="AL55" s="134"/>
    </row>
    <row r="56" spans="1:38" s="61" customFormat="1" ht="57.75" customHeight="1">
      <c r="A56" s="53">
        <v>1</v>
      </c>
      <c r="B56" s="54" t="s">
        <v>182</v>
      </c>
      <c r="C56" s="55" t="s">
        <v>236</v>
      </c>
      <c r="D56" s="56"/>
      <c r="E56" s="53">
        <v>0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>
        <v>1</v>
      </c>
      <c r="Y56" s="57"/>
      <c r="Z56" s="57"/>
      <c r="AA56" s="58" t="s">
        <v>258</v>
      </c>
      <c r="AB56" s="57"/>
      <c r="AC56" s="57"/>
      <c r="AD56" s="57"/>
      <c r="AE56" s="57"/>
      <c r="AF56" s="59"/>
      <c r="AG56" s="59"/>
      <c r="AH56" s="60"/>
      <c r="AI56" s="56"/>
      <c r="AJ56" s="53"/>
      <c r="AK56" s="53"/>
      <c r="AL56" s="54" t="s">
        <v>282</v>
      </c>
    </row>
    <row r="57" spans="1:38" ht="57.75" customHeight="1">
      <c r="A57" s="115">
        <v>2</v>
      </c>
      <c r="B57" s="122" t="s">
        <v>79</v>
      </c>
      <c r="C57" s="113"/>
      <c r="D57" s="114">
        <v>1994</v>
      </c>
      <c r="E57" s="115">
        <v>0</v>
      </c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>
        <v>1</v>
      </c>
      <c r="Y57" s="136"/>
      <c r="Z57" s="136"/>
      <c r="AA57" s="118" t="s">
        <v>258</v>
      </c>
      <c r="AB57" s="136"/>
      <c r="AC57" s="136"/>
      <c r="AD57" s="136"/>
      <c r="AE57" s="136"/>
      <c r="AF57" s="116"/>
      <c r="AG57" s="116"/>
      <c r="AH57" s="114"/>
      <c r="AI57" s="121"/>
      <c r="AJ57" s="115"/>
      <c r="AK57" s="115"/>
      <c r="AL57" s="134" t="s">
        <v>281</v>
      </c>
    </row>
    <row r="58" spans="1:38" ht="57.75" customHeight="1">
      <c r="A58" s="115">
        <v>3</v>
      </c>
      <c r="B58" s="134" t="s">
        <v>188</v>
      </c>
      <c r="C58" s="121"/>
      <c r="D58" s="121"/>
      <c r="E58" s="115">
        <v>0</v>
      </c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>
        <v>1</v>
      </c>
      <c r="Y58" s="136"/>
      <c r="Z58" s="136"/>
      <c r="AA58" s="118" t="s">
        <v>258</v>
      </c>
      <c r="AB58" s="136"/>
      <c r="AC58" s="136"/>
      <c r="AD58" s="136"/>
      <c r="AE58" s="136"/>
      <c r="AF58" s="116"/>
      <c r="AG58" s="116"/>
      <c r="AH58" s="114"/>
      <c r="AI58" s="121"/>
      <c r="AJ58" s="115"/>
      <c r="AK58" s="115"/>
      <c r="AL58" s="134" t="s">
        <v>281</v>
      </c>
    </row>
    <row r="59" spans="1:38" ht="92.25" customHeight="1">
      <c r="A59" s="115">
        <v>4</v>
      </c>
      <c r="B59" s="122" t="s">
        <v>160</v>
      </c>
      <c r="C59" s="114" t="s">
        <v>167</v>
      </c>
      <c r="D59" s="114">
        <v>2022</v>
      </c>
      <c r="E59" s="115">
        <v>0</v>
      </c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>
        <v>1</v>
      </c>
      <c r="Y59" s="136"/>
      <c r="Z59" s="136"/>
      <c r="AA59" s="118" t="s">
        <v>258</v>
      </c>
      <c r="AB59" s="136"/>
      <c r="AC59" s="136"/>
      <c r="AD59" s="136"/>
      <c r="AE59" s="136"/>
      <c r="AF59" s="130">
        <v>3280000</v>
      </c>
      <c r="AG59" s="116">
        <f>+X59*AF59</f>
        <v>3280000</v>
      </c>
      <c r="AH59" s="114"/>
      <c r="AI59" s="121"/>
      <c r="AJ59" s="115"/>
      <c r="AK59" s="115"/>
      <c r="AL59" s="134" t="s">
        <v>281</v>
      </c>
    </row>
    <row r="60" spans="1:38" ht="54" customHeight="1">
      <c r="A60" s="141" t="s">
        <v>189</v>
      </c>
      <c r="B60" s="139" t="s">
        <v>297</v>
      </c>
      <c r="C60" s="114"/>
      <c r="D60" s="114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36"/>
      <c r="Z60" s="136"/>
      <c r="AA60" s="118"/>
      <c r="AB60" s="136"/>
      <c r="AC60" s="136"/>
      <c r="AD60" s="136"/>
      <c r="AE60" s="136"/>
      <c r="AF60" s="116"/>
      <c r="AG60" s="116"/>
      <c r="AH60" s="114"/>
      <c r="AI60" s="121"/>
      <c r="AJ60" s="115"/>
      <c r="AK60" s="115"/>
      <c r="AL60" s="134"/>
    </row>
    <row r="61" spans="1:38" ht="63" customHeight="1">
      <c r="A61" s="115">
        <v>1</v>
      </c>
      <c r="B61" s="134" t="s">
        <v>181</v>
      </c>
      <c r="C61" s="135" t="s">
        <v>235</v>
      </c>
      <c r="D61" s="114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36"/>
      <c r="Z61" s="136"/>
      <c r="AA61" s="118"/>
      <c r="AB61" s="136"/>
      <c r="AC61" s="136"/>
      <c r="AD61" s="136"/>
      <c r="AE61" s="136"/>
      <c r="AF61" s="174">
        <v>190000</v>
      </c>
      <c r="AG61" s="174">
        <v>190000</v>
      </c>
      <c r="AH61" s="114"/>
      <c r="AI61" s="121"/>
      <c r="AJ61" s="115"/>
      <c r="AK61" s="115"/>
      <c r="AL61" s="134" t="s">
        <v>283</v>
      </c>
    </row>
    <row r="62" spans="1:38" ht="67.5" customHeight="1">
      <c r="A62" s="115">
        <v>2</v>
      </c>
      <c r="B62" s="122" t="s">
        <v>159</v>
      </c>
      <c r="C62" s="114" t="s">
        <v>305</v>
      </c>
      <c r="D62" s="114"/>
      <c r="E62" s="115">
        <v>0</v>
      </c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>
        <v>1</v>
      </c>
      <c r="Y62" s="136"/>
      <c r="Z62" s="136"/>
      <c r="AA62" s="118" t="s">
        <v>258</v>
      </c>
      <c r="AB62" s="136"/>
      <c r="AC62" s="136"/>
      <c r="AD62" s="136"/>
      <c r="AE62" s="136"/>
      <c r="AF62" s="116">
        <v>660000</v>
      </c>
      <c r="AG62" s="116">
        <f>+X62*AF62</f>
        <v>660000</v>
      </c>
      <c r="AH62" s="114"/>
      <c r="AI62" s="121"/>
      <c r="AJ62" s="115"/>
      <c r="AK62" s="115"/>
      <c r="AL62" s="135" t="s">
        <v>304</v>
      </c>
    </row>
    <row r="63" spans="1:38" s="93" customFormat="1" ht="78" customHeight="1">
      <c r="A63" s="69">
        <v>3</v>
      </c>
      <c r="B63" s="75" t="s">
        <v>284</v>
      </c>
      <c r="C63" s="84" t="s">
        <v>379</v>
      </c>
      <c r="D63" s="63"/>
      <c r="E63" s="69">
        <v>0</v>
      </c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>
        <v>1</v>
      </c>
      <c r="Y63" s="91"/>
      <c r="Z63" s="91"/>
      <c r="AA63" s="92" t="s">
        <v>258</v>
      </c>
      <c r="AB63" s="91"/>
      <c r="AC63" s="91"/>
      <c r="AD63" s="91"/>
      <c r="AE63" s="91"/>
      <c r="AF63" s="67">
        <v>870000</v>
      </c>
      <c r="AG63" s="67">
        <v>870000</v>
      </c>
      <c r="AH63" s="63"/>
      <c r="AI63" s="74"/>
      <c r="AJ63" s="69"/>
      <c r="AK63" s="69" t="s">
        <v>280</v>
      </c>
      <c r="AL63" s="90" t="s">
        <v>259</v>
      </c>
    </row>
    <row r="64" spans="1:38" s="177" customFormat="1" ht="31.5" customHeight="1">
      <c r="A64" s="111" t="s">
        <v>199</v>
      </c>
      <c r="B64" s="310" t="s">
        <v>153</v>
      </c>
      <c r="C64" s="311"/>
      <c r="D64" s="31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75"/>
      <c r="AB64" s="122"/>
      <c r="AC64" s="122"/>
      <c r="AD64" s="122"/>
      <c r="AE64" s="122"/>
      <c r="AF64" s="176"/>
      <c r="AG64" s="176"/>
      <c r="AH64" s="121"/>
      <c r="AI64" s="121"/>
      <c r="AJ64" s="122"/>
      <c r="AK64" s="122"/>
      <c r="AL64" s="122"/>
    </row>
    <row r="65" spans="1:38" s="177" customFormat="1" ht="73.5" customHeight="1">
      <c r="A65" s="121">
        <v>1</v>
      </c>
      <c r="B65" s="166" t="s">
        <v>154</v>
      </c>
      <c r="C65" s="121" t="s">
        <v>240</v>
      </c>
      <c r="D65" s="121">
        <v>2022</v>
      </c>
      <c r="E65" s="121">
        <v>7</v>
      </c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>
        <v>7</v>
      </c>
      <c r="Y65" s="121"/>
      <c r="Z65" s="121"/>
      <c r="AA65" s="178">
        <v>0</v>
      </c>
      <c r="AB65" s="122"/>
      <c r="AC65" s="122"/>
      <c r="AD65" s="122"/>
      <c r="AE65" s="122"/>
      <c r="AF65" s="130">
        <v>2500000</v>
      </c>
      <c r="AG65" s="176">
        <f>+X65*AF65</f>
        <v>17500000</v>
      </c>
      <c r="AH65" s="114" t="s">
        <v>155</v>
      </c>
      <c r="AI65" s="121" t="s">
        <v>156</v>
      </c>
      <c r="AJ65" s="114" t="s">
        <v>157</v>
      </c>
      <c r="AK65" s="121"/>
      <c r="AL65" s="122"/>
    </row>
    <row r="66" spans="1:38" s="177" customFormat="1" ht="66.75" customHeight="1">
      <c r="A66" s="121">
        <v>2</v>
      </c>
      <c r="B66" s="122" t="s">
        <v>158</v>
      </c>
      <c r="C66" s="121" t="s">
        <v>273</v>
      </c>
      <c r="D66" s="121">
        <v>2022</v>
      </c>
      <c r="E66" s="121">
        <v>1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>
        <v>2</v>
      </c>
      <c r="Y66" s="121"/>
      <c r="Z66" s="121"/>
      <c r="AA66" s="179" t="s">
        <v>258</v>
      </c>
      <c r="AB66" s="122"/>
      <c r="AC66" s="122"/>
      <c r="AD66" s="122"/>
      <c r="AE66" s="122"/>
      <c r="AF66" s="130">
        <v>7900000</v>
      </c>
      <c r="AG66" s="130">
        <f>+X66*AF66</f>
        <v>15800000</v>
      </c>
      <c r="AH66" s="114" t="s">
        <v>155</v>
      </c>
      <c r="AI66" s="121" t="s">
        <v>156</v>
      </c>
      <c r="AJ66" s="114" t="s">
        <v>157</v>
      </c>
      <c r="AK66" s="121"/>
      <c r="AL66" s="122" t="s">
        <v>272</v>
      </c>
    </row>
    <row r="67" spans="1:38" s="177" customFormat="1" ht="155.25" customHeight="1">
      <c r="A67" s="121">
        <v>3</v>
      </c>
      <c r="B67" s="122" t="s">
        <v>159</v>
      </c>
      <c r="C67" s="121" t="s">
        <v>303</v>
      </c>
      <c r="D67" s="121">
        <v>2022</v>
      </c>
      <c r="E67" s="121">
        <v>11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>
        <v>9</v>
      </c>
      <c r="Y67" s="121"/>
      <c r="Z67" s="121"/>
      <c r="AA67" s="178" t="s">
        <v>250</v>
      </c>
      <c r="AB67" s="122"/>
      <c r="AC67" s="122"/>
      <c r="AD67" s="122"/>
      <c r="AE67" s="122"/>
      <c r="AF67" s="116">
        <v>660000</v>
      </c>
      <c r="AG67" s="116">
        <f>+X67*AF67</f>
        <v>5940000</v>
      </c>
      <c r="AH67" s="114" t="s">
        <v>155</v>
      </c>
      <c r="AI67" s="121" t="s">
        <v>156</v>
      </c>
      <c r="AJ67" s="114" t="s">
        <v>157</v>
      </c>
      <c r="AK67" s="121"/>
      <c r="AL67" s="122" t="s">
        <v>302</v>
      </c>
    </row>
    <row r="68" spans="1:38" s="177" customFormat="1" ht="94.5" customHeight="1">
      <c r="A68" s="121">
        <v>4</v>
      </c>
      <c r="B68" s="122" t="s">
        <v>160</v>
      </c>
      <c r="C68" s="121" t="s">
        <v>161</v>
      </c>
      <c r="D68" s="121">
        <v>2022</v>
      </c>
      <c r="E68" s="121">
        <v>3</v>
      </c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>
        <v>3</v>
      </c>
      <c r="Y68" s="121"/>
      <c r="Z68" s="121"/>
      <c r="AA68" s="178">
        <v>0</v>
      </c>
      <c r="AB68" s="122"/>
      <c r="AC68" s="122"/>
      <c r="AD68" s="122"/>
      <c r="AE68" s="122"/>
      <c r="AF68" s="130">
        <v>3280000</v>
      </c>
      <c r="AG68" s="116">
        <f>+X68*AF68</f>
        <v>9840000</v>
      </c>
      <c r="AH68" s="114" t="s">
        <v>155</v>
      </c>
      <c r="AI68" s="121" t="s">
        <v>156</v>
      </c>
      <c r="AJ68" s="114" t="s">
        <v>157</v>
      </c>
      <c r="AK68" s="121"/>
      <c r="AL68" s="122"/>
    </row>
    <row r="69" spans="1:38" s="181" customFormat="1" ht="57" customHeight="1">
      <c r="A69" s="131">
        <v>5</v>
      </c>
      <c r="B69" s="124" t="s">
        <v>162</v>
      </c>
      <c r="C69" s="131" t="s">
        <v>163</v>
      </c>
      <c r="D69" s="131">
        <v>2022</v>
      </c>
      <c r="E69" s="131">
        <v>1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>
        <v>1</v>
      </c>
      <c r="Y69" s="131"/>
      <c r="Z69" s="131"/>
      <c r="AA69" s="180">
        <v>0</v>
      </c>
      <c r="AB69" s="124"/>
      <c r="AC69" s="124"/>
      <c r="AD69" s="124"/>
      <c r="AE69" s="124"/>
      <c r="AF69" s="130">
        <v>3700000</v>
      </c>
      <c r="AG69" s="130">
        <v>3700000</v>
      </c>
      <c r="AH69" s="123" t="s">
        <v>155</v>
      </c>
      <c r="AI69" s="131" t="s">
        <v>156</v>
      </c>
      <c r="AJ69" s="123" t="s">
        <v>157</v>
      </c>
      <c r="AK69" s="131"/>
      <c r="AL69" s="124"/>
    </row>
    <row r="70" spans="1:38" s="177" customFormat="1" ht="57" customHeight="1">
      <c r="A70" s="121">
        <v>6</v>
      </c>
      <c r="B70" s="122" t="s">
        <v>117</v>
      </c>
      <c r="C70" s="121" t="s">
        <v>164</v>
      </c>
      <c r="D70" s="121">
        <v>2022</v>
      </c>
      <c r="E70" s="121">
        <v>10</v>
      </c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>
        <v>10</v>
      </c>
      <c r="Y70" s="121"/>
      <c r="Z70" s="121"/>
      <c r="AA70" s="178">
        <v>0</v>
      </c>
      <c r="AB70" s="122"/>
      <c r="AC70" s="122"/>
      <c r="AD70" s="122"/>
      <c r="AE70" s="122"/>
      <c r="AF70" s="130">
        <v>960000</v>
      </c>
      <c r="AG70" s="176">
        <f>+X70*AF70</f>
        <v>9600000</v>
      </c>
      <c r="AH70" s="114" t="s">
        <v>155</v>
      </c>
      <c r="AI70" s="121" t="s">
        <v>156</v>
      </c>
      <c r="AJ70" s="114" t="s">
        <v>157</v>
      </c>
      <c r="AK70" s="121"/>
      <c r="AL70" s="122"/>
    </row>
    <row r="71" spans="1:38" s="177" customFormat="1" ht="27.75" customHeight="1">
      <c r="A71" s="121">
        <v>7</v>
      </c>
      <c r="B71" s="122" t="s">
        <v>102</v>
      </c>
      <c r="C71" s="121"/>
      <c r="D71" s="121"/>
      <c r="E71" s="121">
        <v>1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>
        <v>1</v>
      </c>
      <c r="Y71" s="121"/>
      <c r="Z71" s="121"/>
      <c r="AA71" s="179">
        <v>0</v>
      </c>
      <c r="AB71" s="122"/>
      <c r="AC71" s="122"/>
      <c r="AD71" s="122"/>
      <c r="AE71" s="122"/>
      <c r="AF71" s="176">
        <v>1500000</v>
      </c>
      <c r="AG71" s="176">
        <v>1500000</v>
      </c>
      <c r="AH71" s="114" t="s">
        <v>155</v>
      </c>
      <c r="AI71" s="121" t="s">
        <v>156</v>
      </c>
      <c r="AJ71" s="114" t="s">
        <v>157</v>
      </c>
      <c r="AK71" s="121" t="s">
        <v>178</v>
      </c>
      <c r="AL71" s="122"/>
    </row>
    <row r="72" spans="1:38" s="177" customFormat="1" ht="27.75" customHeight="1">
      <c r="A72" s="121">
        <v>8</v>
      </c>
      <c r="B72" s="182" t="s">
        <v>192</v>
      </c>
      <c r="C72" s="183"/>
      <c r="D72" s="121"/>
      <c r="E72" s="184">
        <v>1</v>
      </c>
      <c r="F72" s="183">
        <v>1</v>
      </c>
      <c r="G72" s="121">
        <v>1</v>
      </c>
      <c r="H72" s="121">
        <v>0</v>
      </c>
      <c r="I72" s="121" t="s">
        <v>103</v>
      </c>
      <c r="J72" s="185" t="s">
        <v>193</v>
      </c>
      <c r="K72" s="121" t="s">
        <v>194</v>
      </c>
      <c r="L72" s="121" t="s">
        <v>178</v>
      </c>
      <c r="M72" s="121"/>
      <c r="N72" s="185" t="s">
        <v>195</v>
      </c>
      <c r="O72" s="122"/>
      <c r="P72" s="122"/>
      <c r="Q72" s="122"/>
      <c r="R72" s="122"/>
      <c r="S72" s="122"/>
      <c r="T72" s="122"/>
      <c r="U72" s="122"/>
      <c r="V72" s="122"/>
      <c r="W72" s="122"/>
      <c r="X72" s="121">
        <v>1</v>
      </c>
      <c r="Y72" s="122"/>
      <c r="Z72" s="122"/>
      <c r="AA72" s="179">
        <v>0</v>
      </c>
      <c r="AB72" s="122"/>
      <c r="AC72" s="122"/>
      <c r="AD72" s="122"/>
      <c r="AE72" s="122"/>
      <c r="AF72" s="176"/>
      <c r="AG72" s="176"/>
      <c r="AH72" s="114" t="s">
        <v>155</v>
      </c>
      <c r="AI72" s="121" t="s">
        <v>156</v>
      </c>
      <c r="AJ72" s="114" t="s">
        <v>157</v>
      </c>
      <c r="AK72" s="121" t="s">
        <v>178</v>
      </c>
      <c r="AL72" s="122"/>
    </row>
    <row r="73" spans="1:38" s="177" customFormat="1" ht="27.75" customHeight="1">
      <c r="A73" s="121">
        <v>9</v>
      </c>
      <c r="B73" s="122" t="s">
        <v>49</v>
      </c>
      <c r="C73" s="121"/>
      <c r="D73" s="121"/>
      <c r="E73" s="121">
        <v>1</v>
      </c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>
        <v>1</v>
      </c>
      <c r="Y73" s="121"/>
      <c r="Z73" s="121"/>
      <c r="AA73" s="179">
        <v>0</v>
      </c>
      <c r="AB73" s="122"/>
      <c r="AC73" s="122"/>
      <c r="AD73" s="122"/>
      <c r="AE73" s="122"/>
      <c r="AF73" s="176"/>
      <c r="AG73" s="176"/>
      <c r="AH73" s="114" t="s">
        <v>155</v>
      </c>
      <c r="AI73" s="121" t="s">
        <v>156</v>
      </c>
      <c r="AJ73" s="114" t="s">
        <v>157</v>
      </c>
      <c r="AK73" s="121" t="s">
        <v>178</v>
      </c>
      <c r="AL73" s="122"/>
    </row>
    <row r="74" spans="1:38" s="177" customFormat="1" ht="27.75" customHeight="1">
      <c r="A74" s="121">
        <v>10</v>
      </c>
      <c r="B74" s="122" t="s">
        <v>196</v>
      </c>
      <c r="C74" s="121"/>
      <c r="D74" s="121"/>
      <c r="E74" s="121">
        <v>1</v>
      </c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>
        <v>1</v>
      </c>
      <c r="Y74" s="121"/>
      <c r="Z74" s="121"/>
      <c r="AA74" s="179">
        <v>0</v>
      </c>
      <c r="AB74" s="122"/>
      <c r="AC74" s="122"/>
      <c r="AD74" s="122"/>
      <c r="AE74" s="122"/>
      <c r="AF74" s="176">
        <v>800000</v>
      </c>
      <c r="AG74" s="176">
        <v>800000</v>
      </c>
      <c r="AH74" s="114" t="s">
        <v>155</v>
      </c>
      <c r="AI74" s="121" t="s">
        <v>156</v>
      </c>
      <c r="AJ74" s="114" t="s">
        <v>157</v>
      </c>
      <c r="AK74" s="121" t="s">
        <v>405</v>
      </c>
      <c r="AL74" s="122"/>
    </row>
    <row r="75" spans="1:38" s="196" customFormat="1" ht="32.25" customHeight="1">
      <c r="A75" s="121">
        <v>11</v>
      </c>
      <c r="B75" s="122" t="s">
        <v>109</v>
      </c>
      <c r="C75" s="186"/>
      <c r="D75" s="187">
        <v>2020</v>
      </c>
      <c r="E75" s="114">
        <v>1</v>
      </c>
      <c r="F75" s="188">
        <v>1</v>
      </c>
      <c r="G75" s="189"/>
      <c r="H75" s="190" t="s">
        <v>103</v>
      </c>
      <c r="I75" s="191" t="s">
        <v>104</v>
      </c>
      <c r="J75" s="114" t="s">
        <v>101</v>
      </c>
      <c r="K75" s="192" t="s">
        <v>105</v>
      </c>
      <c r="L75" s="193" t="s">
        <v>106</v>
      </c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88">
        <v>1</v>
      </c>
      <c r="Y75" s="194"/>
      <c r="Z75" s="194"/>
      <c r="AA75" s="195">
        <v>0</v>
      </c>
      <c r="AF75" s="197"/>
      <c r="AG75" s="197"/>
      <c r="AH75" s="114" t="s">
        <v>155</v>
      </c>
      <c r="AI75" s="121" t="s">
        <v>156</v>
      </c>
      <c r="AJ75" s="114" t="s">
        <v>50</v>
      </c>
      <c r="AK75" s="121" t="s">
        <v>178</v>
      </c>
      <c r="AL75" s="122"/>
    </row>
    <row r="76" spans="1:38" s="196" customFormat="1" ht="32.25" customHeight="1">
      <c r="A76" s="121">
        <v>12</v>
      </c>
      <c r="B76" s="122" t="s">
        <v>285</v>
      </c>
      <c r="C76" s="186"/>
      <c r="D76" s="187"/>
      <c r="E76" s="114">
        <v>0</v>
      </c>
      <c r="F76" s="188"/>
      <c r="G76" s="189"/>
      <c r="H76" s="190"/>
      <c r="I76" s="191"/>
      <c r="J76" s="114"/>
      <c r="K76" s="192"/>
      <c r="L76" s="193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88">
        <v>1</v>
      </c>
      <c r="Y76" s="194"/>
      <c r="Z76" s="194"/>
      <c r="AA76" s="195" t="s">
        <v>258</v>
      </c>
      <c r="AF76" s="197">
        <v>2200000</v>
      </c>
      <c r="AG76" s="197">
        <v>2200000</v>
      </c>
      <c r="AH76" s="114" t="s">
        <v>155</v>
      </c>
      <c r="AI76" s="121" t="s">
        <v>156</v>
      </c>
      <c r="AJ76" s="114" t="s">
        <v>157</v>
      </c>
      <c r="AK76" s="121" t="s">
        <v>286</v>
      </c>
      <c r="AL76" s="122" t="s">
        <v>287</v>
      </c>
    </row>
    <row r="77" spans="1:38" s="258" customFormat="1" ht="47.25" customHeight="1">
      <c r="A77" s="74">
        <v>13</v>
      </c>
      <c r="B77" s="75" t="s">
        <v>290</v>
      </c>
      <c r="C77" s="248"/>
      <c r="D77" s="249"/>
      <c r="E77" s="63">
        <v>0</v>
      </c>
      <c r="F77" s="250"/>
      <c r="G77" s="251"/>
      <c r="H77" s="252"/>
      <c r="I77" s="253"/>
      <c r="J77" s="63"/>
      <c r="K77" s="254"/>
      <c r="L77" s="255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0">
        <v>1</v>
      </c>
      <c r="Y77" s="256"/>
      <c r="Z77" s="256"/>
      <c r="AA77" s="257" t="s">
        <v>258</v>
      </c>
      <c r="AF77" s="67">
        <v>1750000</v>
      </c>
      <c r="AG77" s="67">
        <v>1750000</v>
      </c>
      <c r="AH77" s="63" t="s">
        <v>155</v>
      </c>
      <c r="AI77" s="74" t="s">
        <v>156</v>
      </c>
      <c r="AJ77" s="63" t="s">
        <v>157</v>
      </c>
      <c r="AK77" s="74" t="s">
        <v>288</v>
      </c>
      <c r="AL77" s="75" t="s">
        <v>289</v>
      </c>
    </row>
    <row r="78" spans="1:38" s="258" customFormat="1" ht="40.5" customHeight="1">
      <c r="A78" s="74">
        <v>14</v>
      </c>
      <c r="B78" s="75" t="s">
        <v>291</v>
      </c>
      <c r="C78" s="248"/>
      <c r="D78" s="249"/>
      <c r="E78" s="63">
        <v>0</v>
      </c>
      <c r="F78" s="250"/>
      <c r="G78" s="251"/>
      <c r="H78" s="252"/>
      <c r="I78" s="253"/>
      <c r="J78" s="63"/>
      <c r="K78" s="254"/>
      <c r="L78" s="255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0">
        <v>1</v>
      </c>
      <c r="Y78" s="256"/>
      <c r="Z78" s="256"/>
      <c r="AA78" s="257" t="s">
        <v>258</v>
      </c>
      <c r="AF78" s="67">
        <v>1050000</v>
      </c>
      <c r="AG78" s="67">
        <v>1050000</v>
      </c>
      <c r="AH78" s="63" t="s">
        <v>155</v>
      </c>
      <c r="AI78" s="74" t="s">
        <v>156</v>
      </c>
      <c r="AJ78" s="63" t="s">
        <v>157</v>
      </c>
      <c r="AK78" s="74" t="s">
        <v>288</v>
      </c>
      <c r="AL78" s="75" t="s">
        <v>289</v>
      </c>
    </row>
    <row r="79" spans="1:38" ht="26.25" customHeight="1">
      <c r="A79" s="104" t="s">
        <v>203</v>
      </c>
      <c r="B79" s="112" t="s">
        <v>190</v>
      </c>
      <c r="C79" s="113"/>
      <c r="D79" s="114"/>
      <c r="E79" s="115"/>
      <c r="F79" s="116"/>
      <c r="G79" s="116"/>
      <c r="H79" s="116"/>
      <c r="I79" s="117"/>
      <c r="J79" s="116"/>
      <c r="K79" s="116"/>
      <c r="L79" s="116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5"/>
      <c r="Y79" s="117"/>
      <c r="Z79" s="116"/>
      <c r="AA79" s="118"/>
      <c r="AB79" s="117"/>
      <c r="AC79" s="116"/>
      <c r="AD79" s="119"/>
      <c r="AE79" s="120"/>
      <c r="AF79" s="116"/>
      <c r="AG79" s="116"/>
      <c r="AH79" s="114"/>
      <c r="AI79" s="114"/>
      <c r="AJ79" s="114"/>
      <c r="AK79" s="121"/>
      <c r="AL79" s="122"/>
    </row>
    <row r="80" spans="1:38" s="177" customFormat="1" ht="59.25" customHeight="1">
      <c r="A80" s="121">
        <v>1</v>
      </c>
      <c r="B80" s="122" t="s">
        <v>197</v>
      </c>
      <c r="C80" s="121" t="s">
        <v>198</v>
      </c>
      <c r="D80" s="121">
        <v>2022</v>
      </c>
      <c r="E80" s="121">
        <v>1</v>
      </c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>
        <v>1</v>
      </c>
      <c r="Y80" s="121"/>
      <c r="Z80" s="121"/>
      <c r="AA80" s="179">
        <v>0</v>
      </c>
      <c r="AB80" s="122"/>
      <c r="AC80" s="122"/>
      <c r="AD80" s="122"/>
      <c r="AE80" s="122"/>
      <c r="AF80" s="176">
        <v>1650000</v>
      </c>
      <c r="AG80" s="176">
        <v>1650000</v>
      </c>
      <c r="AH80" s="114" t="s">
        <v>155</v>
      </c>
      <c r="AI80" s="121" t="s">
        <v>191</v>
      </c>
      <c r="AJ80" s="114" t="s">
        <v>50</v>
      </c>
      <c r="AK80" s="121" t="s">
        <v>269</v>
      </c>
      <c r="AL80" s="122"/>
    </row>
    <row r="81" spans="1:40" ht="27.75" customHeight="1">
      <c r="A81" s="114">
        <v>2</v>
      </c>
      <c r="B81" s="198" t="s">
        <v>208</v>
      </c>
      <c r="C81" s="113"/>
      <c r="D81" s="114">
        <v>2012</v>
      </c>
      <c r="E81" s="115">
        <v>1</v>
      </c>
      <c r="F81" s="116"/>
      <c r="G81" s="116"/>
      <c r="H81" s="116"/>
      <c r="I81" s="117"/>
      <c r="J81" s="116"/>
      <c r="K81" s="116"/>
      <c r="L81" s="116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5">
        <f>E81</f>
        <v>1</v>
      </c>
      <c r="Y81" s="117"/>
      <c r="Z81" s="116"/>
      <c r="AA81" s="118">
        <v>0</v>
      </c>
      <c r="AB81" s="117"/>
      <c r="AC81" s="116"/>
      <c r="AD81" s="119"/>
      <c r="AE81" s="120"/>
      <c r="AF81" s="116"/>
      <c r="AG81" s="116"/>
      <c r="AH81" s="114" t="s">
        <v>155</v>
      </c>
      <c r="AI81" s="121" t="s">
        <v>191</v>
      </c>
      <c r="AJ81" s="114" t="s">
        <v>157</v>
      </c>
      <c r="AK81" s="121" t="s">
        <v>178</v>
      </c>
      <c r="AL81" s="122"/>
      <c r="AM81" s="172"/>
    </row>
    <row r="82" spans="1:40" ht="32.25" customHeight="1">
      <c r="A82" s="121">
        <v>3</v>
      </c>
      <c r="B82" s="134" t="s">
        <v>184</v>
      </c>
      <c r="C82" s="114"/>
      <c r="D82" s="114"/>
      <c r="E82" s="115">
        <v>1</v>
      </c>
      <c r="F82" s="116"/>
      <c r="G82" s="116"/>
      <c r="H82" s="116"/>
      <c r="I82" s="117"/>
      <c r="J82" s="116"/>
      <c r="K82" s="116"/>
      <c r="L82" s="116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5">
        <v>1</v>
      </c>
      <c r="Y82" s="117"/>
      <c r="Z82" s="116"/>
      <c r="AA82" s="199">
        <v>0</v>
      </c>
      <c r="AB82" s="117"/>
      <c r="AC82" s="116"/>
      <c r="AD82" s="119"/>
      <c r="AE82" s="120"/>
      <c r="AF82" s="116"/>
      <c r="AG82" s="116"/>
      <c r="AH82" s="114" t="s">
        <v>166</v>
      </c>
      <c r="AI82" s="121" t="s">
        <v>191</v>
      </c>
      <c r="AJ82" s="114" t="s">
        <v>157</v>
      </c>
      <c r="AK82" s="121" t="s">
        <v>178</v>
      </c>
      <c r="AL82" s="122"/>
    </row>
    <row r="83" spans="1:40" ht="30" customHeight="1">
      <c r="A83" s="114">
        <v>4</v>
      </c>
      <c r="B83" s="134" t="s">
        <v>183</v>
      </c>
      <c r="C83" s="135"/>
      <c r="D83" s="114"/>
      <c r="E83" s="115">
        <v>2</v>
      </c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>
        <v>2</v>
      </c>
      <c r="Y83" s="136"/>
      <c r="Z83" s="136"/>
      <c r="AA83" s="199">
        <v>0</v>
      </c>
      <c r="AB83" s="136"/>
      <c r="AC83" s="136"/>
      <c r="AD83" s="136"/>
      <c r="AE83" s="136"/>
      <c r="AF83" s="200">
        <v>660000</v>
      </c>
      <c r="AG83" s="200">
        <v>1320000</v>
      </c>
      <c r="AH83" s="114" t="s">
        <v>166</v>
      </c>
      <c r="AI83" s="121" t="s">
        <v>191</v>
      </c>
      <c r="AJ83" s="114" t="s">
        <v>157</v>
      </c>
      <c r="AK83" s="115" t="s">
        <v>178</v>
      </c>
      <c r="AL83" s="122"/>
    </row>
    <row r="84" spans="1:40" ht="30" customHeight="1">
      <c r="A84" s="121">
        <v>5</v>
      </c>
      <c r="B84" s="134" t="s">
        <v>184</v>
      </c>
      <c r="C84" s="135"/>
      <c r="D84" s="114"/>
      <c r="E84" s="115">
        <v>1</v>
      </c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201" t="s">
        <v>239</v>
      </c>
      <c r="Y84" s="136"/>
      <c r="Z84" s="136"/>
      <c r="AA84" s="199">
        <v>0</v>
      </c>
      <c r="AB84" s="136"/>
      <c r="AC84" s="136"/>
      <c r="AD84" s="136"/>
      <c r="AE84" s="136"/>
      <c r="AF84" s="116"/>
      <c r="AG84" s="116"/>
      <c r="AH84" s="114" t="s">
        <v>166</v>
      </c>
      <c r="AI84" s="121" t="s">
        <v>191</v>
      </c>
      <c r="AJ84" s="114" t="s">
        <v>157</v>
      </c>
      <c r="AK84" s="115" t="s">
        <v>178</v>
      </c>
      <c r="AL84" s="122"/>
    </row>
    <row r="85" spans="1:40" s="93" customFormat="1" ht="37.5" customHeight="1">
      <c r="A85" s="63">
        <v>6</v>
      </c>
      <c r="B85" s="75" t="s">
        <v>115</v>
      </c>
      <c r="C85" s="63" t="s">
        <v>173</v>
      </c>
      <c r="D85" s="63">
        <v>2022</v>
      </c>
      <c r="E85" s="63">
        <v>12</v>
      </c>
      <c r="F85" s="67"/>
      <c r="G85" s="67"/>
      <c r="H85" s="67"/>
      <c r="I85" s="68"/>
      <c r="J85" s="67"/>
      <c r="K85" s="67"/>
      <c r="L85" s="67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3">
        <v>12</v>
      </c>
      <c r="Y85" s="68"/>
      <c r="Z85" s="67"/>
      <c r="AA85" s="261">
        <v>0</v>
      </c>
      <c r="AB85" s="68"/>
      <c r="AC85" s="67"/>
      <c r="AD85" s="94"/>
      <c r="AE85" s="72"/>
      <c r="AF85" s="95">
        <v>1100000</v>
      </c>
      <c r="AG85" s="67">
        <f>+X85*AF85</f>
        <v>13200000</v>
      </c>
      <c r="AH85" s="63" t="s">
        <v>166</v>
      </c>
      <c r="AI85" s="74" t="s">
        <v>191</v>
      </c>
      <c r="AJ85" s="63" t="s">
        <v>157</v>
      </c>
      <c r="AK85" s="69" t="s">
        <v>178</v>
      </c>
      <c r="AL85" s="75"/>
    </row>
    <row r="86" spans="1:40" s="153" customFormat="1" ht="28.5" customHeight="1">
      <c r="A86" s="111" t="s">
        <v>204</v>
      </c>
      <c r="B86" s="112" t="s">
        <v>200</v>
      </c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202"/>
      <c r="AB86" s="112"/>
      <c r="AC86" s="112"/>
      <c r="AD86" s="112"/>
      <c r="AE86" s="112"/>
      <c r="AF86" s="203"/>
      <c r="AG86" s="203"/>
      <c r="AH86" s="104"/>
      <c r="AI86" s="111"/>
      <c r="AJ86" s="104"/>
      <c r="AK86" s="111"/>
      <c r="AL86" s="112"/>
    </row>
    <row r="87" spans="1:40" ht="72.75" customHeight="1">
      <c r="A87" s="114">
        <v>1</v>
      </c>
      <c r="B87" s="122" t="s">
        <v>202</v>
      </c>
      <c r="C87" s="122"/>
      <c r="D87" s="121">
        <v>2022</v>
      </c>
      <c r="E87" s="121">
        <v>1</v>
      </c>
      <c r="F87" s="116"/>
      <c r="G87" s="116"/>
      <c r="H87" s="116"/>
      <c r="I87" s="117"/>
      <c r="J87" s="116"/>
      <c r="K87" s="116"/>
      <c r="L87" s="116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21">
        <v>0</v>
      </c>
      <c r="Y87" s="117"/>
      <c r="Z87" s="116"/>
      <c r="AA87" s="118" t="s">
        <v>249</v>
      </c>
      <c r="AB87" s="117"/>
      <c r="AC87" s="116"/>
      <c r="AD87" s="119"/>
      <c r="AE87" s="120"/>
      <c r="AF87" s="116"/>
      <c r="AG87" s="116"/>
      <c r="AH87" s="114" t="s">
        <v>155</v>
      </c>
      <c r="AI87" s="204" t="s">
        <v>201</v>
      </c>
      <c r="AJ87" s="114" t="s">
        <v>157</v>
      </c>
      <c r="AK87" s="121"/>
      <c r="AL87" s="122" t="s">
        <v>274</v>
      </c>
    </row>
    <row r="88" spans="1:40" s="153" customFormat="1" ht="28.5" customHeight="1">
      <c r="A88" s="111" t="s">
        <v>209</v>
      </c>
      <c r="B88" s="150" t="s">
        <v>300</v>
      </c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2"/>
    </row>
    <row r="89" spans="1:40" s="2" customFormat="1" ht="64.5" customHeight="1">
      <c r="A89" s="114"/>
      <c r="B89" s="122" t="s">
        <v>214</v>
      </c>
      <c r="C89" s="185"/>
      <c r="D89" s="114"/>
      <c r="E89" s="115">
        <v>0</v>
      </c>
      <c r="F89" s="116"/>
      <c r="G89" s="116"/>
      <c r="H89" s="116"/>
      <c r="I89" s="117"/>
      <c r="J89" s="117"/>
      <c r="K89" s="115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5">
        <v>2</v>
      </c>
      <c r="Y89" s="117"/>
      <c r="Z89" s="116"/>
      <c r="AA89" s="205" t="s">
        <v>275</v>
      </c>
      <c r="AB89" s="117"/>
      <c r="AC89" s="116"/>
      <c r="AD89" s="170"/>
      <c r="AE89" s="120"/>
      <c r="AF89" s="116">
        <v>888000</v>
      </c>
      <c r="AG89" s="116">
        <f>888000*2</f>
        <v>1776000</v>
      </c>
      <c r="AH89" s="114"/>
      <c r="AI89" s="114"/>
      <c r="AJ89" s="114"/>
      <c r="AK89" s="121"/>
      <c r="AL89" s="122" t="s">
        <v>301</v>
      </c>
      <c r="AM89" s="206"/>
      <c r="AN89" s="206"/>
    </row>
    <row r="90" spans="1:40" s="149" customFormat="1" ht="21.75" customHeight="1">
      <c r="A90" s="138" t="s">
        <v>37</v>
      </c>
      <c r="B90" s="139" t="s">
        <v>308</v>
      </c>
      <c r="C90" s="140"/>
      <c r="D90" s="138"/>
      <c r="E90" s="141"/>
      <c r="F90" s="142"/>
      <c r="G90" s="142"/>
      <c r="H90" s="142"/>
      <c r="I90" s="143"/>
      <c r="J90" s="143"/>
      <c r="K90" s="141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1"/>
      <c r="Y90" s="143"/>
      <c r="Z90" s="142"/>
      <c r="AA90" s="144"/>
      <c r="AB90" s="143"/>
      <c r="AC90" s="142"/>
      <c r="AD90" s="145"/>
      <c r="AE90" s="146"/>
      <c r="AF90" s="142"/>
      <c r="AG90" s="142"/>
      <c r="AH90" s="138"/>
      <c r="AI90" s="138"/>
      <c r="AJ90" s="138"/>
      <c r="AK90" s="147"/>
      <c r="AL90" s="139"/>
      <c r="AM90" s="148"/>
      <c r="AN90" s="148"/>
    </row>
    <row r="91" spans="1:40" s="77" customFormat="1" ht="21.75" customHeight="1">
      <c r="A91" s="63">
        <v>1</v>
      </c>
      <c r="B91" s="64" t="s">
        <v>309</v>
      </c>
      <c r="C91" s="65" t="s">
        <v>339</v>
      </c>
      <c r="D91" s="63"/>
      <c r="E91" s="66">
        <v>1</v>
      </c>
      <c r="F91" s="67"/>
      <c r="G91" s="67"/>
      <c r="H91" s="67"/>
      <c r="I91" s="68"/>
      <c r="J91" s="68"/>
      <c r="K91" s="69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6">
        <v>1</v>
      </c>
      <c r="Y91" s="68"/>
      <c r="Z91" s="67"/>
      <c r="AA91" s="70" t="s">
        <v>381</v>
      </c>
      <c r="AB91" s="68"/>
      <c r="AC91" s="67"/>
      <c r="AD91" s="71"/>
      <c r="AE91" s="72"/>
      <c r="AF91" s="73">
        <v>3000000</v>
      </c>
      <c r="AG91" s="73">
        <v>3000000</v>
      </c>
      <c r="AH91" s="63" t="s">
        <v>155</v>
      </c>
      <c r="AI91" s="63"/>
      <c r="AJ91" s="63" t="s">
        <v>383</v>
      </c>
      <c r="AK91" s="74" t="s">
        <v>280</v>
      </c>
      <c r="AL91" s="75" t="s">
        <v>382</v>
      </c>
      <c r="AM91" s="76"/>
      <c r="AN91" s="76"/>
    </row>
    <row r="92" spans="1:40" s="77" customFormat="1" ht="21.75" customHeight="1">
      <c r="A92" s="63">
        <v>2</v>
      </c>
      <c r="B92" s="78" t="s">
        <v>310</v>
      </c>
      <c r="C92" s="79" t="s">
        <v>340</v>
      </c>
      <c r="D92" s="63">
        <v>2017</v>
      </c>
      <c r="E92" s="80">
        <v>1</v>
      </c>
      <c r="F92" s="67"/>
      <c r="G92" s="67"/>
      <c r="H92" s="67"/>
      <c r="I92" s="68"/>
      <c r="J92" s="68"/>
      <c r="K92" s="69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80">
        <v>1</v>
      </c>
      <c r="Y92" s="68"/>
      <c r="Z92" s="67"/>
      <c r="AA92" s="70" t="s">
        <v>381</v>
      </c>
      <c r="AB92" s="68"/>
      <c r="AC92" s="67"/>
      <c r="AD92" s="71"/>
      <c r="AE92" s="72"/>
      <c r="AF92" s="80">
        <v>1230000</v>
      </c>
      <c r="AG92" s="80">
        <v>1230000</v>
      </c>
      <c r="AH92" s="63" t="s">
        <v>155</v>
      </c>
      <c r="AI92" s="63"/>
      <c r="AJ92" s="63" t="s">
        <v>101</v>
      </c>
      <c r="AK92" s="74" t="s">
        <v>280</v>
      </c>
      <c r="AL92" s="75" t="s">
        <v>382</v>
      </c>
      <c r="AM92" s="76"/>
      <c r="AN92" s="76"/>
    </row>
    <row r="93" spans="1:40" s="77" customFormat="1" ht="31.5" customHeight="1">
      <c r="A93" s="63">
        <v>3</v>
      </c>
      <c r="B93" s="78" t="s">
        <v>311</v>
      </c>
      <c r="C93" s="79" t="s">
        <v>341</v>
      </c>
      <c r="D93" s="63">
        <v>2015</v>
      </c>
      <c r="E93" s="80">
        <v>1</v>
      </c>
      <c r="F93" s="67"/>
      <c r="G93" s="67"/>
      <c r="H93" s="67"/>
      <c r="I93" s="68"/>
      <c r="J93" s="68"/>
      <c r="K93" s="69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80">
        <v>1</v>
      </c>
      <c r="Y93" s="68"/>
      <c r="Z93" s="67"/>
      <c r="AA93" s="70" t="s">
        <v>381</v>
      </c>
      <c r="AB93" s="68"/>
      <c r="AC93" s="67"/>
      <c r="AD93" s="71"/>
      <c r="AE93" s="72"/>
      <c r="AF93" s="80">
        <v>1870000</v>
      </c>
      <c r="AG93" s="80">
        <v>1870000</v>
      </c>
      <c r="AH93" s="63" t="s">
        <v>155</v>
      </c>
      <c r="AI93" s="63"/>
      <c r="AJ93" s="63" t="s">
        <v>101</v>
      </c>
      <c r="AK93" s="74" t="s">
        <v>280</v>
      </c>
      <c r="AL93" s="75" t="s">
        <v>382</v>
      </c>
      <c r="AM93" s="76"/>
      <c r="AN93" s="76"/>
    </row>
    <row r="94" spans="1:40" s="2" customFormat="1" ht="51.75" customHeight="1">
      <c r="A94" s="114">
        <v>4</v>
      </c>
      <c r="B94" s="208" t="s">
        <v>312</v>
      </c>
      <c r="C94" s="207" t="s">
        <v>342</v>
      </c>
      <c r="D94" s="114">
        <v>2017</v>
      </c>
      <c r="E94" s="157">
        <v>8</v>
      </c>
      <c r="F94" s="116"/>
      <c r="G94" s="116"/>
      <c r="H94" s="116"/>
      <c r="I94" s="117"/>
      <c r="J94" s="117"/>
      <c r="K94" s="115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57">
        <v>8</v>
      </c>
      <c r="Y94" s="117"/>
      <c r="Z94" s="116"/>
      <c r="AA94" s="205" t="s">
        <v>381</v>
      </c>
      <c r="AB94" s="117"/>
      <c r="AC94" s="116"/>
      <c r="AD94" s="170"/>
      <c r="AE94" s="120"/>
      <c r="AF94" s="157">
        <v>0</v>
      </c>
      <c r="AG94" s="157">
        <v>0</v>
      </c>
      <c r="AH94" s="114" t="s">
        <v>155</v>
      </c>
      <c r="AI94" s="114"/>
      <c r="AJ94" s="114" t="s">
        <v>386</v>
      </c>
      <c r="AK94" s="121" t="s">
        <v>280</v>
      </c>
      <c r="AL94" s="122" t="s">
        <v>384</v>
      </c>
      <c r="AM94" s="206"/>
      <c r="AN94" s="206"/>
    </row>
    <row r="95" spans="1:40" s="77" customFormat="1" ht="21.75" customHeight="1">
      <c r="A95" s="63">
        <v>5</v>
      </c>
      <c r="B95" s="78" t="s">
        <v>313</v>
      </c>
      <c r="C95" s="79" t="s">
        <v>343</v>
      </c>
      <c r="D95" s="63"/>
      <c r="E95" s="80">
        <v>1</v>
      </c>
      <c r="F95" s="67"/>
      <c r="G95" s="67"/>
      <c r="H95" s="67"/>
      <c r="I95" s="68"/>
      <c r="J95" s="68"/>
      <c r="K95" s="69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80">
        <v>1</v>
      </c>
      <c r="Y95" s="68"/>
      <c r="Z95" s="67"/>
      <c r="AA95" s="70" t="s">
        <v>381</v>
      </c>
      <c r="AB95" s="68"/>
      <c r="AC95" s="67"/>
      <c r="AD95" s="71"/>
      <c r="AE95" s="72"/>
      <c r="AF95" s="80">
        <v>3300000</v>
      </c>
      <c r="AG95" s="80">
        <v>3300000</v>
      </c>
      <c r="AH95" s="63" t="s">
        <v>155</v>
      </c>
      <c r="AI95" s="63"/>
      <c r="AJ95" s="63" t="s">
        <v>386</v>
      </c>
      <c r="AK95" s="74" t="s">
        <v>280</v>
      </c>
      <c r="AL95" s="75" t="s">
        <v>382</v>
      </c>
      <c r="AM95" s="76"/>
      <c r="AN95" s="76"/>
    </row>
    <row r="96" spans="1:40" s="77" customFormat="1" ht="21.75" customHeight="1">
      <c r="A96" s="63">
        <v>6</v>
      </c>
      <c r="B96" s="78" t="s">
        <v>314</v>
      </c>
      <c r="C96" s="79" t="s">
        <v>344</v>
      </c>
      <c r="D96" s="63"/>
      <c r="E96" s="80">
        <v>1</v>
      </c>
      <c r="F96" s="67"/>
      <c r="G96" s="67"/>
      <c r="H96" s="67"/>
      <c r="I96" s="68"/>
      <c r="J96" s="68"/>
      <c r="K96" s="69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80">
        <v>1</v>
      </c>
      <c r="Y96" s="68"/>
      <c r="Z96" s="67"/>
      <c r="AA96" s="70" t="s">
        <v>381</v>
      </c>
      <c r="AB96" s="68"/>
      <c r="AC96" s="67"/>
      <c r="AD96" s="71"/>
      <c r="AE96" s="72"/>
      <c r="AF96" s="80">
        <v>1000000</v>
      </c>
      <c r="AG96" s="80">
        <v>1000000</v>
      </c>
      <c r="AH96" s="63" t="s">
        <v>155</v>
      </c>
      <c r="AI96" s="63"/>
      <c r="AJ96" s="63" t="s">
        <v>101</v>
      </c>
      <c r="AK96" s="74" t="s">
        <v>280</v>
      </c>
      <c r="AL96" s="75" t="s">
        <v>382</v>
      </c>
      <c r="AM96" s="76"/>
      <c r="AN96" s="76"/>
    </row>
    <row r="97" spans="1:40" s="77" customFormat="1" ht="21.75" customHeight="1">
      <c r="A97" s="63">
        <v>7</v>
      </c>
      <c r="B97" s="78" t="s">
        <v>314</v>
      </c>
      <c r="C97" s="79" t="s">
        <v>345</v>
      </c>
      <c r="D97" s="63"/>
      <c r="E97" s="80">
        <v>1</v>
      </c>
      <c r="F97" s="67"/>
      <c r="G97" s="67"/>
      <c r="H97" s="67"/>
      <c r="I97" s="68"/>
      <c r="J97" s="68"/>
      <c r="K97" s="69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80">
        <v>1</v>
      </c>
      <c r="Y97" s="68"/>
      <c r="Z97" s="67"/>
      <c r="AA97" s="70" t="s">
        <v>381</v>
      </c>
      <c r="AB97" s="68"/>
      <c r="AC97" s="67"/>
      <c r="AD97" s="71"/>
      <c r="AE97" s="72"/>
      <c r="AF97" s="80">
        <v>1000000</v>
      </c>
      <c r="AG97" s="80">
        <v>1000000</v>
      </c>
      <c r="AH97" s="63" t="s">
        <v>155</v>
      </c>
      <c r="AI97" s="63"/>
      <c r="AJ97" s="63" t="s">
        <v>101</v>
      </c>
      <c r="AK97" s="74" t="s">
        <v>280</v>
      </c>
      <c r="AL97" s="75" t="s">
        <v>382</v>
      </c>
      <c r="AM97" s="76"/>
      <c r="AN97" s="76"/>
    </row>
    <row r="98" spans="1:40" s="77" customFormat="1" ht="21.75" customHeight="1">
      <c r="A98" s="63">
        <v>8</v>
      </c>
      <c r="B98" s="78" t="s">
        <v>180</v>
      </c>
      <c r="C98" s="79" t="s">
        <v>346</v>
      </c>
      <c r="D98" s="63"/>
      <c r="E98" s="80">
        <v>4</v>
      </c>
      <c r="F98" s="67"/>
      <c r="G98" s="67"/>
      <c r="H98" s="67"/>
      <c r="I98" s="68"/>
      <c r="J98" s="68"/>
      <c r="K98" s="69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80">
        <v>4</v>
      </c>
      <c r="Y98" s="68"/>
      <c r="Z98" s="67"/>
      <c r="AA98" s="70" t="s">
        <v>381</v>
      </c>
      <c r="AB98" s="68"/>
      <c r="AC98" s="67"/>
      <c r="AD98" s="71"/>
      <c r="AE98" s="72"/>
      <c r="AF98" s="80">
        <v>1400070</v>
      </c>
      <c r="AG98" s="80">
        <v>5600280</v>
      </c>
      <c r="AH98" s="63" t="s">
        <v>155</v>
      </c>
      <c r="AI98" s="63"/>
      <c r="AJ98" s="63" t="s">
        <v>386</v>
      </c>
      <c r="AK98" s="74" t="s">
        <v>280</v>
      </c>
      <c r="AL98" s="75" t="s">
        <v>385</v>
      </c>
      <c r="AM98" s="76"/>
      <c r="AN98" s="76"/>
    </row>
    <row r="99" spans="1:40" s="77" customFormat="1" ht="21.75" customHeight="1">
      <c r="A99" s="63">
        <v>9</v>
      </c>
      <c r="B99" s="78" t="s">
        <v>315</v>
      </c>
      <c r="C99" s="79" t="s">
        <v>347</v>
      </c>
      <c r="D99" s="63"/>
      <c r="E99" s="80">
        <v>10</v>
      </c>
      <c r="F99" s="67"/>
      <c r="G99" s="67"/>
      <c r="H99" s="67"/>
      <c r="I99" s="68"/>
      <c r="J99" s="68"/>
      <c r="K99" s="69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80">
        <v>10</v>
      </c>
      <c r="Y99" s="68"/>
      <c r="Z99" s="67"/>
      <c r="AA99" s="70" t="s">
        <v>381</v>
      </c>
      <c r="AB99" s="68"/>
      <c r="AC99" s="67"/>
      <c r="AD99" s="71"/>
      <c r="AE99" s="72"/>
      <c r="AF99" s="80">
        <v>250000</v>
      </c>
      <c r="AG99" s="80">
        <v>2500000</v>
      </c>
      <c r="AH99" s="63" t="s">
        <v>155</v>
      </c>
      <c r="AI99" s="63"/>
      <c r="AJ99" s="63" t="s">
        <v>383</v>
      </c>
      <c r="AK99" s="74" t="s">
        <v>280</v>
      </c>
      <c r="AL99" s="75" t="s">
        <v>382</v>
      </c>
      <c r="AM99" s="76"/>
      <c r="AN99" s="76"/>
    </row>
    <row r="100" spans="1:40" s="77" customFormat="1" ht="21.75" customHeight="1">
      <c r="A100" s="63">
        <v>10</v>
      </c>
      <c r="B100" s="78" t="s">
        <v>316</v>
      </c>
      <c r="C100" s="79" t="s">
        <v>348</v>
      </c>
      <c r="D100" s="63"/>
      <c r="E100" s="80">
        <v>1</v>
      </c>
      <c r="F100" s="67"/>
      <c r="G100" s="67"/>
      <c r="H100" s="67"/>
      <c r="I100" s="68"/>
      <c r="J100" s="68"/>
      <c r="K100" s="69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80">
        <v>1</v>
      </c>
      <c r="Y100" s="68"/>
      <c r="Z100" s="67"/>
      <c r="AA100" s="70" t="s">
        <v>381</v>
      </c>
      <c r="AB100" s="68"/>
      <c r="AC100" s="67"/>
      <c r="AD100" s="71"/>
      <c r="AE100" s="72"/>
      <c r="AF100" s="80">
        <v>449000</v>
      </c>
      <c r="AG100" s="80">
        <v>449000</v>
      </c>
      <c r="AH100" s="63" t="s">
        <v>155</v>
      </c>
      <c r="AI100" s="63"/>
      <c r="AJ100" s="63" t="s">
        <v>101</v>
      </c>
      <c r="AK100" s="74" t="s">
        <v>280</v>
      </c>
      <c r="AL100" s="75" t="s">
        <v>382</v>
      </c>
      <c r="AM100" s="76"/>
      <c r="AN100" s="76"/>
    </row>
    <row r="101" spans="1:40" s="77" customFormat="1" ht="21.75" customHeight="1">
      <c r="A101" s="63">
        <v>11</v>
      </c>
      <c r="B101" s="78" t="s">
        <v>317</v>
      </c>
      <c r="C101" s="79" t="s">
        <v>349</v>
      </c>
      <c r="D101" s="63"/>
      <c r="E101" s="80">
        <v>1</v>
      </c>
      <c r="F101" s="67"/>
      <c r="G101" s="67"/>
      <c r="H101" s="67"/>
      <c r="I101" s="68"/>
      <c r="J101" s="68"/>
      <c r="K101" s="69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80">
        <v>1</v>
      </c>
      <c r="Y101" s="68"/>
      <c r="Z101" s="67"/>
      <c r="AA101" s="70" t="s">
        <v>381</v>
      </c>
      <c r="AB101" s="68"/>
      <c r="AC101" s="67"/>
      <c r="AD101" s="71"/>
      <c r="AE101" s="72"/>
      <c r="AF101" s="80">
        <v>296900</v>
      </c>
      <c r="AG101" s="80">
        <v>296900</v>
      </c>
      <c r="AH101" s="63" t="s">
        <v>155</v>
      </c>
      <c r="AI101" s="63"/>
      <c r="AJ101" s="63" t="s">
        <v>101</v>
      </c>
      <c r="AK101" s="74" t="s">
        <v>280</v>
      </c>
      <c r="AL101" s="75" t="s">
        <v>382</v>
      </c>
      <c r="AM101" s="76"/>
      <c r="AN101" s="76"/>
    </row>
    <row r="102" spans="1:40" s="77" customFormat="1" ht="21.75" customHeight="1">
      <c r="A102" s="63">
        <v>12</v>
      </c>
      <c r="B102" s="78" t="s">
        <v>318</v>
      </c>
      <c r="C102" s="79" t="s">
        <v>350</v>
      </c>
      <c r="D102" s="63"/>
      <c r="E102" s="80">
        <v>1</v>
      </c>
      <c r="F102" s="67"/>
      <c r="G102" s="67"/>
      <c r="H102" s="67"/>
      <c r="I102" s="68"/>
      <c r="J102" s="68"/>
      <c r="K102" s="69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80">
        <v>1</v>
      </c>
      <c r="Y102" s="68"/>
      <c r="Z102" s="67"/>
      <c r="AA102" s="70" t="s">
        <v>381</v>
      </c>
      <c r="AB102" s="68"/>
      <c r="AC102" s="67"/>
      <c r="AD102" s="71"/>
      <c r="AE102" s="72"/>
      <c r="AF102" s="80">
        <v>4500000</v>
      </c>
      <c r="AG102" s="80">
        <v>4500000</v>
      </c>
      <c r="AH102" s="63" t="s">
        <v>155</v>
      </c>
      <c r="AI102" s="63"/>
      <c r="AJ102" s="63" t="s">
        <v>386</v>
      </c>
      <c r="AK102" s="74" t="s">
        <v>280</v>
      </c>
      <c r="AL102" s="75" t="s">
        <v>382</v>
      </c>
      <c r="AM102" s="76"/>
      <c r="AN102" s="76"/>
    </row>
    <row r="103" spans="1:40" s="77" customFormat="1" ht="21.75" customHeight="1">
      <c r="A103" s="63">
        <v>13</v>
      </c>
      <c r="B103" s="78" t="s">
        <v>106</v>
      </c>
      <c r="C103" s="79" t="s">
        <v>351</v>
      </c>
      <c r="D103" s="63"/>
      <c r="E103" s="80">
        <v>2</v>
      </c>
      <c r="F103" s="67"/>
      <c r="G103" s="67"/>
      <c r="H103" s="67"/>
      <c r="I103" s="68"/>
      <c r="J103" s="68"/>
      <c r="K103" s="69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80">
        <v>2</v>
      </c>
      <c r="Y103" s="68"/>
      <c r="Z103" s="67"/>
      <c r="AA103" s="70" t="s">
        <v>381</v>
      </c>
      <c r="AB103" s="68"/>
      <c r="AC103" s="67"/>
      <c r="AD103" s="71"/>
      <c r="AE103" s="72"/>
      <c r="AF103" s="80">
        <v>255000</v>
      </c>
      <c r="AG103" s="80">
        <v>510000</v>
      </c>
      <c r="AH103" s="63" t="s">
        <v>155</v>
      </c>
      <c r="AI103" s="63"/>
      <c r="AJ103" s="63" t="s">
        <v>101</v>
      </c>
      <c r="AK103" s="74" t="s">
        <v>280</v>
      </c>
      <c r="AL103" s="75" t="s">
        <v>382</v>
      </c>
      <c r="AM103" s="76"/>
      <c r="AN103" s="76"/>
    </row>
    <row r="104" spans="1:40" s="77" customFormat="1" ht="21.75" customHeight="1">
      <c r="A104" s="63">
        <v>14</v>
      </c>
      <c r="B104" s="78" t="s">
        <v>319</v>
      </c>
      <c r="C104" s="79" t="s">
        <v>352</v>
      </c>
      <c r="D104" s="63"/>
      <c r="E104" s="80">
        <v>1</v>
      </c>
      <c r="F104" s="67"/>
      <c r="G104" s="67"/>
      <c r="H104" s="67"/>
      <c r="I104" s="68"/>
      <c r="J104" s="68"/>
      <c r="K104" s="69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80">
        <v>1</v>
      </c>
      <c r="Y104" s="68"/>
      <c r="Z104" s="67"/>
      <c r="AA104" s="70" t="s">
        <v>381</v>
      </c>
      <c r="AB104" s="68"/>
      <c r="AC104" s="67"/>
      <c r="AD104" s="71"/>
      <c r="AE104" s="72"/>
      <c r="AF104" s="80">
        <v>600000</v>
      </c>
      <c r="AG104" s="80">
        <v>600000</v>
      </c>
      <c r="AH104" s="63" t="s">
        <v>155</v>
      </c>
      <c r="AI104" s="63"/>
      <c r="AJ104" s="63" t="s">
        <v>101</v>
      </c>
      <c r="AK104" s="74" t="s">
        <v>280</v>
      </c>
      <c r="AL104" s="75" t="s">
        <v>382</v>
      </c>
      <c r="AM104" s="76"/>
      <c r="AN104" s="76"/>
    </row>
    <row r="105" spans="1:40" s="77" customFormat="1" ht="21.75" customHeight="1">
      <c r="A105" s="63">
        <v>15</v>
      </c>
      <c r="B105" s="78" t="s">
        <v>320</v>
      </c>
      <c r="C105" s="79" t="s">
        <v>353</v>
      </c>
      <c r="D105" s="63"/>
      <c r="E105" s="80">
        <v>1</v>
      </c>
      <c r="F105" s="67"/>
      <c r="G105" s="67"/>
      <c r="H105" s="67"/>
      <c r="I105" s="68"/>
      <c r="J105" s="68"/>
      <c r="K105" s="69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80">
        <v>1</v>
      </c>
      <c r="Y105" s="68"/>
      <c r="Z105" s="67"/>
      <c r="AA105" s="70" t="s">
        <v>381</v>
      </c>
      <c r="AB105" s="68"/>
      <c r="AC105" s="67"/>
      <c r="AD105" s="71"/>
      <c r="AE105" s="72"/>
      <c r="AF105" s="80">
        <v>0</v>
      </c>
      <c r="AG105" s="80">
        <v>0</v>
      </c>
      <c r="AH105" s="63" t="s">
        <v>155</v>
      </c>
      <c r="AI105" s="63"/>
      <c r="AJ105" s="63" t="s">
        <v>101</v>
      </c>
      <c r="AK105" s="74" t="s">
        <v>280</v>
      </c>
      <c r="AL105" s="75" t="s">
        <v>382</v>
      </c>
      <c r="AM105" s="76"/>
      <c r="AN105" s="76"/>
    </row>
    <row r="106" spans="1:40" s="77" customFormat="1" ht="21.75" customHeight="1">
      <c r="A106" s="63">
        <v>16</v>
      </c>
      <c r="B106" s="78" t="s">
        <v>321</v>
      </c>
      <c r="C106" s="79" t="s">
        <v>354</v>
      </c>
      <c r="D106" s="63"/>
      <c r="E106" s="80">
        <v>2</v>
      </c>
      <c r="F106" s="67"/>
      <c r="G106" s="67"/>
      <c r="H106" s="67"/>
      <c r="I106" s="68"/>
      <c r="J106" s="68"/>
      <c r="K106" s="69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80">
        <v>2</v>
      </c>
      <c r="Y106" s="68"/>
      <c r="Z106" s="67"/>
      <c r="AA106" s="70" t="s">
        <v>381</v>
      </c>
      <c r="AB106" s="68"/>
      <c r="AC106" s="67"/>
      <c r="AD106" s="71"/>
      <c r="AE106" s="72"/>
      <c r="AF106" s="80">
        <v>225750</v>
      </c>
      <c r="AG106" s="80">
        <v>451500</v>
      </c>
      <c r="AH106" s="63" t="s">
        <v>155</v>
      </c>
      <c r="AI106" s="63"/>
      <c r="AJ106" s="63" t="s">
        <v>383</v>
      </c>
      <c r="AK106" s="74" t="s">
        <v>280</v>
      </c>
      <c r="AL106" s="75" t="s">
        <v>384</v>
      </c>
      <c r="AM106" s="76"/>
      <c r="AN106" s="76"/>
    </row>
    <row r="107" spans="1:40" s="77" customFormat="1" ht="21.75" customHeight="1">
      <c r="A107" s="63">
        <v>17</v>
      </c>
      <c r="B107" s="78" t="s">
        <v>322</v>
      </c>
      <c r="C107" s="79" t="s">
        <v>355</v>
      </c>
      <c r="D107" s="63"/>
      <c r="E107" s="80">
        <v>9</v>
      </c>
      <c r="F107" s="67"/>
      <c r="G107" s="67"/>
      <c r="H107" s="67"/>
      <c r="I107" s="68"/>
      <c r="J107" s="68"/>
      <c r="K107" s="69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80">
        <v>9</v>
      </c>
      <c r="Y107" s="68"/>
      <c r="Z107" s="67"/>
      <c r="AA107" s="70" t="s">
        <v>381</v>
      </c>
      <c r="AB107" s="68"/>
      <c r="AC107" s="67"/>
      <c r="AD107" s="71"/>
      <c r="AE107" s="72"/>
      <c r="AF107" s="80">
        <v>962500</v>
      </c>
      <c r="AG107" s="80">
        <v>8662500</v>
      </c>
      <c r="AH107" s="63" t="s">
        <v>155</v>
      </c>
      <c r="AI107" s="63"/>
      <c r="AJ107" s="63" t="s">
        <v>386</v>
      </c>
      <c r="AK107" s="74" t="s">
        <v>280</v>
      </c>
      <c r="AL107" s="75" t="s">
        <v>387</v>
      </c>
      <c r="AM107" s="76"/>
      <c r="AN107" s="76"/>
    </row>
    <row r="108" spans="1:40" s="77" customFormat="1" ht="21.75" customHeight="1">
      <c r="A108" s="63">
        <v>18</v>
      </c>
      <c r="B108" s="78" t="s">
        <v>323</v>
      </c>
      <c r="C108" s="79" t="s">
        <v>356</v>
      </c>
      <c r="D108" s="63"/>
      <c r="E108" s="80">
        <v>1</v>
      </c>
      <c r="F108" s="67"/>
      <c r="G108" s="67"/>
      <c r="H108" s="67"/>
      <c r="I108" s="68"/>
      <c r="J108" s="68"/>
      <c r="K108" s="69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80">
        <v>1</v>
      </c>
      <c r="Y108" s="68"/>
      <c r="Z108" s="67"/>
      <c r="AA108" s="70" t="s">
        <v>381</v>
      </c>
      <c r="AB108" s="68"/>
      <c r="AC108" s="67"/>
      <c r="AD108" s="71"/>
      <c r="AE108" s="72"/>
      <c r="AF108" s="80">
        <v>0</v>
      </c>
      <c r="AG108" s="80">
        <v>0</v>
      </c>
      <c r="AH108" s="63" t="s">
        <v>155</v>
      </c>
      <c r="AI108" s="63"/>
      <c r="AJ108" s="63" t="s">
        <v>383</v>
      </c>
      <c r="AK108" s="74" t="s">
        <v>280</v>
      </c>
      <c r="AL108" s="75" t="s">
        <v>387</v>
      </c>
      <c r="AM108" s="76"/>
      <c r="AN108" s="76"/>
    </row>
    <row r="109" spans="1:40" s="77" customFormat="1" ht="21.75" customHeight="1">
      <c r="A109" s="63">
        <v>19</v>
      </c>
      <c r="B109" s="78" t="s">
        <v>324</v>
      </c>
      <c r="C109" s="79" t="s">
        <v>357</v>
      </c>
      <c r="D109" s="63"/>
      <c r="E109" s="80">
        <v>1</v>
      </c>
      <c r="F109" s="67"/>
      <c r="G109" s="67"/>
      <c r="H109" s="67"/>
      <c r="I109" s="68"/>
      <c r="J109" s="68"/>
      <c r="K109" s="69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80">
        <v>1</v>
      </c>
      <c r="Y109" s="68"/>
      <c r="Z109" s="67"/>
      <c r="AA109" s="70" t="s">
        <v>381</v>
      </c>
      <c r="AB109" s="68"/>
      <c r="AC109" s="67"/>
      <c r="AD109" s="71"/>
      <c r="AE109" s="72"/>
      <c r="AF109" s="80">
        <v>700000</v>
      </c>
      <c r="AG109" s="80">
        <v>700000</v>
      </c>
      <c r="AH109" s="63" t="s">
        <v>155</v>
      </c>
      <c r="AI109" s="63"/>
      <c r="AJ109" s="63" t="s">
        <v>383</v>
      </c>
      <c r="AK109" s="74" t="s">
        <v>280</v>
      </c>
      <c r="AL109" s="75" t="s">
        <v>384</v>
      </c>
      <c r="AM109" s="76"/>
      <c r="AN109" s="76"/>
    </row>
    <row r="110" spans="1:40" s="77" customFormat="1" ht="21.75" customHeight="1">
      <c r="A110" s="63">
        <v>20</v>
      </c>
      <c r="B110" s="78" t="s">
        <v>325</v>
      </c>
      <c r="C110" s="79" t="s">
        <v>358</v>
      </c>
      <c r="D110" s="63"/>
      <c r="E110" s="80">
        <v>1</v>
      </c>
      <c r="F110" s="67"/>
      <c r="G110" s="67"/>
      <c r="H110" s="67"/>
      <c r="I110" s="68"/>
      <c r="J110" s="68"/>
      <c r="K110" s="69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80">
        <v>1</v>
      </c>
      <c r="Y110" s="68"/>
      <c r="Z110" s="67"/>
      <c r="AA110" s="70" t="s">
        <v>381</v>
      </c>
      <c r="AB110" s="68"/>
      <c r="AC110" s="67"/>
      <c r="AD110" s="71"/>
      <c r="AE110" s="72"/>
      <c r="AF110" s="80">
        <v>700000</v>
      </c>
      <c r="AG110" s="80">
        <v>700000</v>
      </c>
      <c r="AH110" s="63" t="s">
        <v>155</v>
      </c>
      <c r="AI110" s="63"/>
      <c r="AJ110" s="63" t="s">
        <v>383</v>
      </c>
      <c r="AK110" s="74" t="s">
        <v>280</v>
      </c>
      <c r="AL110" s="75" t="s">
        <v>384</v>
      </c>
      <c r="AM110" s="76"/>
      <c r="AN110" s="76"/>
    </row>
    <row r="111" spans="1:40" s="77" customFormat="1" ht="21.75" customHeight="1">
      <c r="A111" s="63">
        <v>21</v>
      </c>
      <c r="B111" s="78" t="s">
        <v>326</v>
      </c>
      <c r="C111" s="79" t="s">
        <v>359</v>
      </c>
      <c r="D111" s="63">
        <v>1999</v>
      </c>
      <c r="E111" s="80">
        <v>2</v>
      </c>
      <c r="F111" s="67"/>
      <c r="G111" s="67"/>
      <c r="H111" s="67"/>
      <c r="I111" s="68"/>
      <c r="J111" s="68"/>
      <c r="K111" s="69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80">
        <v>2</v>
      </c>
      <c r="Y111" s="68"/>
      <c r="Z111" s="67"/>
      <c r="AA111" s="70" t="s">
        <v>381</v>
      </c>
      <c r="AB111" s="68"/>
      <c r="AC111" s="67"/>
      <c r="AD111" s="71"/>
      <c r="AE111" s="72"/>
      <c r="AF111" s="80">
        <v>800000</v>
      </c>
      <c r="AG111" s="80">
        <v>1600000</v>
      </c>
      <c r="AH111" s="63" t="s">
        <v>155</v>
      </c>
      <c r="AI111" s="63"/>
      <c r="AJ111" s="63" t="s">
        <v>383</v>
      </c>
      <c r="AK111" s="74" t="s">
        <v>280</v>
      </c>
      <c r="AL111" s="75" t="s">
        <v>384</v>
      </c>
      <c r="AM111" s="76"/>
      <c r="AN111" s="76"/>
    </row>
    <row r="112" spans="1:40" s="77" customFormat="1" ht="21.75" customHeight="1">
      <c r="A112" s="63">
        <v>22</v>
      </c>
      <c r="B112" s="78" t="s">
        <v>327</v>
      </c>
      <c r="C112" s="79" t="s">
        <v>360</v>
      </c>
      <c r="D112" s="63">
        <v>2001</v>
      </c>
      <c r="E112" s="80">
        <v>1</v>
      </c>
      <c r="F112" s="67"/>
      <c r="G112" s="67"/>
      <c r="H112" s="67"/>
      <c r="I112" s="68"/>
      <c r="J112" s="68"/>
      <c r="K112" s="69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80">
        <v>1</v>
      </c>
      <c r="Y112" s="68"/>
      <c r="Z112" s="67"/>
      <c r="AA112" s="70" t="s">
        <v>381</v>
      </c>
      <c r="AB112" s="68"/>
      <c r="AC112" s="67"/>
      <c r="AD112" s="71"/>
      <c r="AE112" s="72"/>
      <c r="AF112" s="80">
        <v>788000</v>
      </c>
      <c r="AG112" s="80">
        <v>788000</v>
      </c>
      <c r="AH112" s="63" t="s">
        <v>155</v>
      </c>
      <c r="AI112" s="63"/>
      <c r="AJ112" s="63" t="s">
        <v>383</v>
      </c>
      <c r="AK112" s="74" t="s">
        <v>280</v>
      </c>
      <c r="AL112" s="75" t="s">
        <v>384</v>
      </c>
      <c r="AM112" s="76"/>
      <c r="AN112" s="76"/>
    </row>
    <row r="113" spans="1:40" s="77" customFormat="1" ht="21.75" customHeight="1">
      <c r="A113" s="63">
        <v>23</v>
      </c>
      <c r="B113" s="78" t="s">
        <v>328</v>
      </c>
      <c r="C113" s="79" t="s">
        <v>361</v>
      </c>
      <c r="D113" s="79" t="s">
        <v>380</v>
      </c>
      <c r="E113" s="80">
        <v>1</v>
      </c>
      <c r="F113" s="67"/>
      <c r="G113" s="67"/>
      <c r="H113" s="67"/>
      <c r="I113" s="68"/>
      <c r="J113" s="68"/>
      <c r="K113" s="69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80">
        <v>1</v>
      </c>
      <c r="Y113" s="68"/>
      <c r="Z113" s="67"/>
      <c r="AA113" s="70" t="s">
        <v>381</v>
      </c>
      <c r="AB113" s="68"/>
      <c r="AC113" s="67"/>
      <c r="AD113" s="71"/>
      <c r="AE113" s="72"/>
      <c r="AF113" s="80">
        <v>6810000</v>
      </c>
      <c r="AG113" s="80">
        <v>6810000</v>
      </c>
      <c r="AH113" s="63" t="s">
        <v>155</v>
      </c>
      <c r="AI113" s="63"/>
      <c r="AJ113" s="63" t="s">
        <v>386</v>
      </c>
      <c r="AK113" s="74" t="s">
        <v>280</v>
      </c>
      <c r="AL113" s="75" t="s">
        <v>387</v>
      </c>
      <c r="AM113" s="76"/>
      <c r="AN113" s="76"/>
    </row>
    <row r="114" spans="1:40" s="77" customFormat="1" ht="21.75" customHeight="1">
      <c r="A114" s="63">
        <v>24</v>
      </c>
      <c r="B114" s="78" t="s">
        <v>329</v>
      </c>
      <c r="C114" s="79" t="s">
        <v>362</v>
      </c>
      <c r="D114" s="79">
        <v>2009</v>
      </c>
      <c r="E114" s="80">
        <v>1</v>
      </c>
      <c r="F114" s="67"/>
      <c r="G114" s="67"/>
      <c r="H114" s="67"/>
      <c r="I114" s="68"/>
      <c r="J114" s="68"/>
      <c r="K114" s="69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80">
        <v>1</v>
      </c>
      <c r="Y114" s="68"/>
      <c r="Z114" s="67"/>
      <c r="AA114" s="70" t="s">
        <v>381</v>
      </c>
      <c r="AB114" s="68"/>
      <c r="AC114" s="67"/>
      <c r="AD114" s="71"/>
      <c r="AE114" s="72"/>
      <c r="AF114" s="80">
        <v>9000000</v>
      </c>
      <c r="AG114" s="80">
        <v>9000000</v>
      </c>
      <c r="AH114" s="63" t="s">
        <v>155</v>
      </c>
      <c r="AI114" s="63"/>
      <c r="AJ114" s="63" t="s">
        <v>386</v>
      </c>
      <c r="AK114" s="74" t="s">
        <v>280</v>
      </c>
      <c r="AL114" s="75" t="s">
        <v>387</v>
      </c>
      <c r="AM114" s="76"/>
      <c r="AN114" s="76"/>
    </row>
    <row r="115" spans="1:40" s="77" customFormat="1" ht="21.75" customHeight="1">
      <c r="A115" s="63">
        <v>25</v>
      </c>
      <c r="B115" s="78" t="s">
        <v>330</v>
      </c>
      <c r="C115" s="79" t="s">
        <v>363</v>
      </c>
      <c r="D115" s="63"/>
      <c r="E115" s="81">
        <v>1</v>
      </c>
      <c r="F115" s="67"/>
      <c r="G115" s="67"/>
      <c r="H115" s="67"/>
      <c r="I115" s="68"/>
      <c r="J115" s="68"/>
      <c r="K115" s="69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81">
        <v>1</v>
      </c>
      <c r="Y115" s="68"/>
      <c r="Z115" s="67"/>
      <c r="AA115" s="70" t="s">
        <v>381</v>
      </c>
      <c r="AB115" s="68"/>
      <c r="AC115" s="67"/>
      <c r="AD115" s="71"/>
      <c r="AE115" s="72"/>
      <c r="AF115" s="80">
        <v>1000000</v>
      </c>
      <c r="AG115" s="80">
        <v>1000000</v>
      </c>
      <c r="AH115" s="63" t="s">
        <v>155</v>
      </c>
      <c r="AI115" s="63"/>
      <c r="AJ115" s="63" t="s">
        <v>383</v>
      </c>
      <c r="AK115" s="74" t="s">
        <v>280</v>
      </c>
      <c r="AL115" s="75" t="s">
        <v>384</v>
      </c>
      <c r="AM115" s="76"/>
      <c r="AN115" s="76"/>
    </row>
    <row r="116" spans="1:40" s="77" customFormat="1" ht="21.75" customHeight="1">
      <c r="A116" s="63">
        <v>26</v>
      </c>
      <c r="B116" s="82" t="s">
        <v>331</v>
      </c>
      <c r="C116" s="79" t="s">
        <v>364</v>
      </c>
      <c r="D116" s="63"/>
      <c r="E116" s="83">
        <v>1</v>
      </c>
      <c r="F116" s="67"/>
      <c r="G116" s="67"/>
      <c r="H116" s="67"/>
      <c r="I116" s="68"/>
      <c r="J116" s="68"/>
      <c r="K116" s="69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83">
        <v>1</v>
      </c>
      <c r="Y116" s="68"/>
      <c r="Z116" s="67"/>
      <c r="AA116" s="70" t="s">
        <v>381</v>
      </c>
      <c r="AB116" s="68"/>
      <c r="AC116" s="67"/>
      <c r="AD116" s="71"/>
      <c r="AE116" s="72"/>
      <c r="AF116" s="80">
        <v>300000</v>
      </c>
      <c r="AG116" s="80">
        <v>300000</v>
      </c>
      <c r="AH116" s="63" t="s">
        <v>155</v>
      </c>
      <c r="AI116" s="63"/>
      <c r="AJ116" s="63" t="s">
        <v>386</v>
      </c>
      <c r="AK116" s="74" t="s">
        <v>280</v>
      </c>
      <c r="AL116" s="75" t="s">
        <v>387</v>
      </c>
      <c r="AM116" s="76"/>
      <c r="AN116" s="76"/>
    </row>
    <row r="117" spans="1:40" s="77" customFormat="1" ht="21.75" customHeight="1">
      <c r="A117" s="63">
        <v>27</v>
      </c>
      <c r="B117" s="78" t="s">
        <v>332</v>
      </c>
      <c r="C117" s="79" t="s">
        <v>365</v>
      </c>
      <c r="D117" s="79">
        <v>2014</v>
      </c>
      <c r="E117" s="80">
        <v>1</v>
      </c>
      <c r="F117" s="67"/>
      <c r="G117" s="67"/>
      <c r="H117" s="67"/>
      <c r="I117" s="68"/>
      <c r="J117" s="68"/>
      <c r="K117" s="69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80">
        <v>1</v>
      </c>
      <c r="Y117" s="68"/>
      <c r="Z117" s="67"/>
      <c r="AA117" s="70" t="s">
        <v>381</v>
      </c>
      <c r="AB117" s="68"/>
      <c r="AC117" s="67"/>
      <c r="AD117" s="71"/>
      <c r="AE117" s="72"/>
      <c r="AF117" s="80">
        <v>7220000</v>
      </c>
      <c r="AG117" s="80">
        <v>7220000</v>
      </c>
      <c r="AH117" s="63" t="s">
        <v>155</v>
      </c>
      <c r="AI117" s="63"/>
      <c r="AJ117" s="63" t="s">
        <v>383</v>
      </c>
      <c r="AK117" s="74" t="s">
        <v>280</v>
      </c>
      <c r="AL117" s="75" t="s">
        <v>382</v>
      </c>
      <c r="AM117" s="76"/>
      <c r="AN117" s="76"/>
    </row>
    <row r="118" spans="1:40" s="77" customFormat="1" ht="21.75" customHeight="1">
      <c r="A118" s="63">
        <v>28</v>
      </c>
      <c r="B118" s="78" t="s">
        <v>333</v>
      </c>
      <c r="C118" s="79" t="s">
        <v>366</v>
      </c>
      <c r="D118" s="79">
        <v>2014</v>
      </c>
      <c r="E118" s="80">
        <v>1</v>
      </c>
      <c r="F118" s="67"/>
      <c r="G118" s="67"/>
      <c r="H118" s="67"/>
      <c r="I118" s="68"/>
      <c r="J118" s="68"/>
      <c r="K118" s="69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80">
        <v>1</v>
      </c>
      <c r="Y118" s="68"/>
      <c r="Z118" s="67"/>
      <c r="AA118" s="70" t="s">
        <v>381</v>
      </c>
      <c r="AB118" s="68"/>
      <c r="AC118" s="67"/>
      <c r="AD118" s="71"/>
      <c r="AE118" s="72"/>
      <c r="AF118" s="80">
        <v>4800000</v>
      </c>
      <c r="AG118" s="80">
        <v>4800000</v>
      </c>
      <c r="AH118" s="63" t="s">
        <v>155</v>
      </c>
      <c r="AI118" s="63"/>
      <c r="AJ118" s="63" t="s">
        <v>386</v>
      </c>
      <c r="AK118" s="74" t="s">
        <v>280</v>
      </c>
      <c r="AL118" s="75" t="s">
        <v>382</v>
      </c>
      <c r="AM118" s="76"/>
      <c r="AN118" s="76"/>
    </row>
    <row r="119" spans="1:40" s="77" customFormat="1" ht="33.75" customHeight="1">
      <c r="A119" s="63">
        <v>29</v>
      </c>
      <c r="B119" s="78" t="s">
        <v>310</v>
      </c>
      <c r="C119" s="79" t="s">
        <v>367</v>
      </c>
      <c r="D119" s="79">
        <v>2017</v>
      </c>
      <c r="E119" s="80">
        <v>1</v>
      </c>
      <c r="F119" s="67"/>
      <c r="G119" s="67"/>
      <c r="H119" s="67"/>
      <c r="I119" s="68"/>
      <c r="J119" s="68"/>
      <c r="K119" s="69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80">
        <v>1</v>
      </c>
      <c r="Y119" s="68"/>
      <c r="Z119" s="67"/>
      <c r="AA119" s="70" t="s">
        <v>381</v>
      </c>
      <c r="AB119" s="68"/>
      <c r="AC119" s="67"/>
      <c r="AD119" s="71"/>
      <c r="AE119" s="72"/>
      <c r="AF119" s="80">
        <v>1230000</v>
      </c>
      <c r="AG119" s="80">
        <v>1230000</v>
      </c>
      <c r="AH119" s="63" t="s">
        <v>155</v>
      </c>
      <c r="AI119" s="63"/>
      <c r="AJ119" s="63" t="s">
        <v>101</v>
      </c>
      <c r="AK119" s="74" t="s">
        <v>280</v>
      </c>
      <c r="AL119" s="75" t="s">
        <v>382</v>
      </c>
      <c r="AM119" s="76"/>
      <c r="AN119" s="76"/>
    </row>
    <row r="120" spans="1:40" s="77" customFormat="1" ht="37.5" customHeight="1">
      <c r="A120" s="63">
        <v>30</v>
      </c>
      <c r="B120" s="78" t="s">
        <v>334</v>
      </c>
      <c r="C120" s="79" t="s">
        <v>368</v>
      </c>
      <c r="D120" s="79">
        <v>2017</v>
      </c>
      <c r="E120" s="80">
        <v>1</v>
      </c>
      <c r="F120" s="67"/>
      <c r="G120" s="67"/>
      <c r="H120" s="67"/>
      <c r="I120" s="68"/>
      <c r="J120" s="68"/>
      <c r="K120" s="69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80">
        <v>1</v>
      </c>
      <c r="Y120" s="68"/>
      <c r="Z120" s="67"/>
      <c r="AA120" s="70" t="s">
        <v>381</v>
      </c>
      <c r="AB120" s="68"/>
      <c r="AC120" s="67"/>
      <c r="AD120" s="71"/>
      <c r="AE120" s="72"/>
      <c r="AF120" s="80">
        <v>3260000</v>
      </c>
      <c r="AG120" s="80">
        <v>3260000</v>
      </c>
      <c r="AH120" s="63" t="s">
        <v>155</v>
      </c>
      <c r="AI120" s="63"/>
      <c r="AJ120" s="63" t="s">
        <v>386</v>
      </c>
      <c r="AK120" s="74" t="s">
        <v>280</v>
      </c>
      <c r="AL120" s="75" t="s">
        <v>382</v>
      </c>
      <c r="AM120" s="76"/>
      <c r="AN120" s="76"/>
    </row>
    <row r="121" spans="1:40" s="77" customFormat="1" ht="21.75" customHeight="1">
      <c r="A121" s="63">
        <v>31</v>
      </c>
      <c r="B121" s="78" t="s">
        <v>335</v>
      </c>
      <c r="C121" s="79" t="s">
        <v>369</v>
      </c>
      <c r="D121" s="79">
        <v>2015</v>
      </c>
      <c r="E121" s="80">
        <v>1</v>
      </c>
      <c r="F121" s="67"/>
      <c r="G121" s="67"/>
      <c r="H121" s="67"/>
      <c r="I121" s="68"/>
      <c r="J121" s="68"/>
      <c r="K121" s="69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80">
        <v>1</v>
      </c>
      <c r="Y121" s="68"/>
      <c r="Z121" s="67"/>
      <c r="AA121" s="70" t="s">
        <v>381</v>
      </c>
      <c r="AB121" s="68"/>
      <c r="AC121" s="67"/>
      <c r="AD121" s="71"/>
      <c r="AE121" s="72"/>
      <c r="AF121" s="80">
        <v>8010000</v>
      </c>
      <c r="AG121" s="80">
        <v>8010000</v>
      </c>
      <c r="AH121" s="63" t="s">
        <v>155</v>
      </c>
      <c r="AI121" s="63"/>
      <c r="AJ121" s="63" t="s">
        <v>383</v>
      </c>
      <c r="AK121" s="74" t="s">
        <v>280</v>
      </c>
      <c r="AL121" s="75" t="s">
        <v>382</v>
      </c>
      <c r="AM121" s="76"/>
      <c r="AN121" s="76"/>
    </row>
    <row r="122" spans="1:40" s="77" customFormat="1" ht="21.75" customHeight="1">
      <c r="A122" s="63">
        <v>32</v>
      </c>
      <c r="B122" s="78" t="s">
        <v>311</v>
      </c>
      <c r="C122" s="79" t="s">
        <v>376</v>
      </c>
      <c r="D122" s="79">
        <v>2015</v>
      </c>
      <c r="E122" s="80">
        <v>1</v>
      </c>
      <c r="F122" s="67"/>
      <c r="G122" s="67"/>
      <c r="H122" s="67"/>
      <c r="I122" s="68"/>
      <c r="J122" s="68"/>
      <c r="K122" s="69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80">
        <v>1</v>
      </c>
      <c r="Y122" s="68"/>
      <c r="Z122" s="67"/>
      <c r="AA122" s="70" t="s">
        <v>381</v>
      </c>
      <c r="AB122" s="68"/>
      <c r="AC122" s="67"/>
      <c r="AD122" s="71"/>
      <c r="AE122" s="72"/>
      <c r="AF122" s="80">
        <v>1870000</v>
      </c>
      <c r="AG122" s="80">
        <v>1870000</v>
      </c>
      <c r="AH122" s="63" t="s">
        <v>155</v>
      </c>
      <c r="AI122" s="63"/>
      <c r="AJ122" s="63" t="s">
        <v>101</v>
      </c>
      <c r="AK122" s="74" t="s">
        <v>280</v>
      </c>
      <c r="AL122" s="75" t="s">
        <v>382</v>
      </c>
      <c r="AM122" s="76"/>
      <c r="AN122" s="76"/>
    </row>
    <row r="123" spans="1:40" s="77" customFormat="1" ht="21.75" customHeight="1">
      <c r="A123" s="63">
        <v>33</v>
      </c>
      <c r="B123" s="78" t="s">
        <v>336</v>
      </c>
      <c r="C123" s="79" t="s">
        <v>371</v>
      </c>
      <c r="D123" s="79">
        <v>2015</v>
      </c>
      <c r="E123" s="80">
        <v>1</v>
      </c>
      <c r="F123" s="67"/>
      <c r="G123" s="67"/>
      <c r="H123" s="67"/>
      <c r="I123" s="68"/>
      <c r="J123" s="68"/>
      <c r="K123" s="69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80">
        <v>1</v>
      </c>
      <c r="Y123" s="68"/>
      <c r="Z123" s="67"/>
      <c r="AA123" s="70" t="s">
        <v>381</v>
      </c>
      <c r="AB123" s="68"/>
      <c r="AC123" s="67"/>
      <c r="AD123" s="71"/>
      <c r="AE123" s="72"/>
      <c r="AF123" s="80">
        <v>3520000</v>
      </c>
      <c r="AG123" s="80">
        <v>3520000</v>
      </c>
      <c r="AH123" s="63" t="s">
        <v>155</v>
      </c>
      <c r="AI123" s="63"/>
      <c r="AJ123" s="63" t="s">
        <v>386</v>
      </c>
      <c r="AK123" s="74" t="s">
        <v>280</v>
      </c>
      <c r="AL123" s="75" t="s">
        <v>382</v>
      </c>
      <c r="AM123" s="76"/>
      <c r="AN123" s="76"/>
    </row>
    <row r="124" spans="1:40" s="77" customFormat="1" ht="21.75" customHeight="1">
      <c r="A124" s="63">
        <v>34</v>
      </c>
      <c r="B124" s="78" t="s">
        <v>337</v>
      </c>
      <c r="C124" s="79" t="s">
        <v>372</v>
      </c>
      <c r="D124" s="79">
        <v>2002</v>
      </c>
      <c r="E124" s="80">
        <v>1</v>
      </c>
      <c r="F124" s="67"/>
      <c r="G124" s="67"/>
      <c r="H124" s="67"/>
      <c r="I124" s="68"/>
      <c r="J124" s="68"/>
      <c r="K124" s="69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80">
        <v>1</v>
      </c>
      <c r="Y124" s="68"/>
      <c r="Z124" s="67"/>
      <c r="AA124" s="70" t="s">
        <v>381</v>
      </c>
      <c r="AB124" s="68"/>
      <c r="AC124" s="67"/>
      <c r="AD124" s="71"/>
      <c r="AE124" s="72"/>
      <c r="AF124" s="80">
        <v>1400000</v>
      </c>
      <c r="AG124" s="80">
        <v>1400000</v>
      </c>
      <c r="AH124" s="63" t="s">
        <v>155</v>
      </c>
      <c r="AI124" s="63"/>
      <c r="AJ124" s="63" t="s">
        <v>386</v>
      </c>
      <c r="AK124" s="74" t="s">
        <v>280</v>
      </c>
      <c r="AL124" s="75" t="s">
        <v>382</v>
      </c>
      <c r="AM124" s="76"/>
      <c r="AN124" s="76"/>
    </row>
    <row r="125" spans="1:40" s="77" customFormat="1" ht="21.75" customHeight="1">
      <c r="A125" s="63">
        <v>35</v>
      </c>
      <c r="B125" s="78" t="s">
        <v>326</v>
      </c>
      <c r="C125" s="79" t="s">
        <v>373</v>
      </c>
      <c r="D125" s="79">
        <v>1998</v>
      </c>
      <c r="E125" s="80">
        <v>1</v>
      </c>
      <c r="F125" s="67"/>
      <c r="G125" s="67"/>
      <c r="H125" s="67"/>
      <c r="I125" s="68"/>
      <c r="J125" s="68"/>
      <c r="K125" s="69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80">
        <v>1</v>
      </c>
      <c r="Y125" s="68"/>
      <c r="Z125" s="67"/>
      <c r="AA125" s="70" t="s">
        <v>381</v>
      </c>
      <c r="AB125" s="68"/>
      <c r="AC125" s="67"/>
      <c r="AD125" s="71"/>
      <c r="AE125" s="72"/>
      <c r="AF125" s="80">
        <v>815000</v>
      </c>
      <c r="AG125" s="80">
        <v>815000</v>
      </c>
      <c r="AH125" s="63" t="s">
        <v>155</v>
      </c>
      <c r="AI125" s="63"/>
      <c r="AJ125" s="63" t="s">
        <v>101</v>
      </c>
      <c r="AK125" s="74" t="s">
        <v>280</v>
      </c>
      <c r="AL125" s="75" t="s">
        <v>382</v>
      </c>
      <c r="AM125" s="76"/>
      <c r="AN125" s="76"/>
    </row>
    <row r="126" spans="1:40" s="77" customFormat="1" ht="21.75" customHeight="1">
      <c r="A126" s="63">
        <v>36</v>
      </c>
      <c r="B126" s="82" t="s">
        <v>338</v>
      </c>
      <c r="C126" s="79" t="s">
        <v>374</v>
      </c>
      <c r="D126" s="63"/>
      <c r="E126" s="83">
        <v>2</v>
      </c>
      <c r="F126" s="67"/>
      <c r="G126" s="67"/>
      <c r="H126" s="67"/>
      <c r="I126" s="68"/>
      <c r="J126" s="68"/>
      <c r="K126" s="69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83">
        <v>2</v>
      </c>
      <c r="Y126" s="68"/>
      <c r="Z126" s="67"/>
      <c r="AA126" s="70" t="s">
        <v>381</v>
      </c>
      <c r="AB126" s="68"/>
      <c r="AC126" s="67"/>
      <c r="AD126" s="71"/>
      <c r="AE126" s="72"/>
      <c r="AF126" s="80">
        <v>920000</v>
      </c>
      <c r="AG126" s="73">
        <v>1840000</v>
      </c>
      <c r="AH126" s="63" t="s">
        <v>155</v>
      </c>
      <c r="AI126" s="63"/>
      <c r="AJ126" s="63" t="s">
        <v>101</v>
      </c>
      <c r="AK126" s="74" t="s">
        <v>280</v>
      </c>
      <c r="AL126" s="75" t="s">
        <v>382</v>
      </c>
      <c r="AM126" s="76"/>
      <c r="AN126" s="76"/>
    </row>
    <row r="127" spans="1:40" s="77" customFormat="1" ht="21.75" customHeight="1">
      <c r="A127" s="63">
        <v>37</v>
      </c>
      <c r="B127" s="78" t="s">
        <v>310</v>
      </c>
      <c r="C127" s="79" t="s">
        <v>375</v>
      </c>
      <c r="D127" s="79">
        <v>2017</v>
      </c>
      <c r="E127" s="80">
        <v>1</v>
      </c>
      <c r="F127" s="67"/>
      <c r="G127" s="67"/>
      <c r="H127" s="67"/>
      <c r="I127" s="68"/>
      <c r="J127" s="68"/>
      <c r="K127" s="69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80">
        <v>1</v>
      </c>
      <c r="Y127" s="68"/>
      <c r="Z127" s="67"/>
      <c r="AA127" s="70" t="s">
        <v>381</v>
      </c>
      <c r="AB127" s="68"/>
      <c r="AC127" s="67"/>
      <c r="AD127" s="71"/>
      <c r="AE127" s="72"/>
      <c r="AF127" s="80">
        <v>1230000</v>
      </c>
      <c r="AG127" s="80">
        <v>1230000</v>
      </c>
      <c r="AH127" s="63" t="s">
        <v>155</v>
      </c>
      <c r="AI127" s="63"/>
      <c r="AJ127" s="63" t="s">
        <v>101</v>
      </c>
      <c r="AK127" s="74" t="s">
        <v>280</v>
      </c>
      <c r="AL127" s="75" t="s">
        <v>382</v>
      </c>
      <c r="AM127" s="76"/>
      <c r="AN127" s="76"/>
    </row>
    <row r="128" spans="1:40" s="77" customFormat="1" ht="43.5" customHeight="1">
      <c r="A128" s="240">
        <v>40</v>
      </c>
      <c r="B128" s="241" t="s">
        <v>396</v>
      </c>
      <c r="C128" s="242" t="s">
        <v>397</v>
      </c>
      <c r="D128" s="243"/>
      <c r="E128" s="240">
        <v>0</v>
      </c>
      <c r="F128" s="240">
        <v>1</v>
      </c>
      <c r="G128" s="240" t="s">
        <v>398</v>
      </c>
      <c r="H128" s="240" t="s">
        <v>399</v>
      </c>
      <c r="I128" s="240" t="s">
        <v>400</v>
      </c>
      <c r="J128" s="240" t="s">
        <v>101</v>
      </c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>
        <v>1</v>
      </c>
      <c r="Y128" s="240"/>
      <c r="Z128" s="240"/>
      <c r="AA128" s="244" t="s">
        <v>258</v>
      </c>
      <c r="AB128" s="245"/>
      <c r="AC128" s="245"/>
      <c r="AD128" s="245"/>
      <c r="AE128" s="245"/>
      <c r="AF128" s="246">
        <v>2500000</v>
      </c>
      <c r="AG128" s="246">
        <v>2500000</v>
      </c>
      <c r="AH128" s="240" t="s">
        <v>401</v>
      </c>
      <c r="AI128" s="240"/>
      <c r="AJ128" s="240" t="s">
        <v>157</v>
      </c>
      <c r="AK128" s="240" t="s">
        <v>280</v>
      </c>
      <c r="AL128" s="247" t="s">
        <v>402</v>
      </c>
      <c r="AM128" s="76"/>
      <c r="AN128" s="76"/>
    </row>
    <row r="129" spans="1:40" s="2" customFormat="1" ht="51" customHeight="1">
      <c r="A129" s="114">
        <v>41</v>
      </c>
      <c r="B129" s="209" t="s">
        <v>388</v>
      </c>
      <c r="C129" s="210" t="s">
        <v>389</v>
      </c>
      <c r="D129" s="210">
        <v>2017</v>
      </c>
      <c r="E129" s="211">
        <v>0</v>
      </c>
      <c r="F129" s="212"/>
      <c r="G129" s="212"/>
      <c r="H129" s="212"/>
      <c r="I129" s="213"/>
      <c r="J129" s="213"/>
      <c r="K129" s="118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1" t="s">
        <v>239</v>
      </c>
      <c r="Y129" s="213"/>
      <c r="Z129" s="212"/>
      <c r="AA129" s="205" t="s">
        <v>258</v>
      </c>
      <c r="AB129" s="117"/>
      <c r="AC129" s="116"/>
      <c r="AD129" s="170"/>
      <c r="AE129" s="120"/>
      <c r="AF129" s="214">
        <v>9130000</v>
      </c>
      <c r="AG129" s="214">
        <v>9130000</v>
      </c>
      <c r="AH129" s="114" t="s">
        <v>155</v>
      </c>
      <c r="AI129" s="114"/>
      <c r="AJ129" s="114"/>
      <c r="AK129" s="121" t="s">
        <v>280</v>
      </c>
      <c r="AL129" s="122" t="s">
        <v>390</v>
      </c>
      <c r="AM129" s="206"/>
      <c r="AN129" s="206"/>
    </row>
    <row r="130" spans="1:40" s="2" customFormat="1" ht="21.75" customHeight="1">
      <c r="A130" s="215"/>
      <c r="B130" s="216" t="s">
        <v>406</v>
      </c>
      <c r="C130" s="217"/>
      <c r="D130" s="216"/>
      <c r="E130" s="215"/>
      <c r="F130" s="215"/>
      <c r="G130" s="218"/>
      <c r="H130" s="218"/>
      <c r="I130" s="218"/>
      <c r="J130" s="219"/>
      <c r="K130" s="219"/>
      <c r="L130" s="220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5"/>
      <c r="Z130" s="219"/>
      <c r="AA130" s="218"/>
      <c r="AB130" s="221"/>
      <c r="AC130" s="219"/>
      <c r="AD130" s="219"/>
      <c r="AE130" s="222"/>
      <c r="AF130" s="223"/>
      <c r="AG130" s="224">
        <f>SUM(AG29:AG129)</f>
        <v>217395180</v>
      </c>
      <c r="AH130" s="225">
        <f>SUM(AH69:AH129)</f>
        <v>0</v>
      </c>
      <c r="AI130" s="215"/>
      <c r="AJ130" s="215"/>
      <c r="AK130" s="226"/>
      <c r="AL130" s="227"/>
      <c r="AM130" s="228"/>
      <c r="AN130" s="206"/>
    </row>
    <row r="131" spans="1:40" s="6" customFormat="1" ht="16.5" customHeight="1">
      <c r="A131" s="96"/>
      <c r="D131" s="96"/>
      <c r="E131" s="96"/>
      <c r="F131" s="14"/>
      <c r="K131" s="96"/>
      <c r="X131" s="96"/>
      <c r="AA131" s="98"/>
      <c r="AB131" s="15"/>
      <c r="AF131" s="14"/>
      <c r="AG131" s="14"/>
      <c r="AH131" s="96"/>
      <c r="AI131" s="322" t="s">
        <v>292</v>
      </c>
      <c r="AJ131" s="322"/>
      <c r="AK131" s="322"/>
      <c r="AL131" s="322"/>
    </row>
    <row r="132" spans="1:40" s="6" customFormat="1" ht="16.5" customHeight="1">
      <c r="A132" s="96"/>
      <c r="B132" s="6" t="s">
        <v>95</v>
      </c>
      <c r="D132" s="322" t="s">
        <v>294</v>
      </c>
      <c r="E132" s="322"/>
      <c r="F132" s="322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  <c r="AA132" s="322"/>
      <c r="AB132" s="322"/>
      <c r="AC132" s="322"/>
      <c r="AD132" s="322"/>
      <c r="AE132" s="322"/>
      <c r="AF132" s="322"/>
      <c r="AG132" s="322"/>
      <c r="AH132" s="322"/>
      <c r="AI132" s="322" t="s">
        <v>92</v>
      </c>
      <c r="AJ132" s="322"/>
      <c r="AK132" s="322" t="s">
        <v>86</v>
      </c>
      <c r="AL132" s="322"/>
    </row>
    <row r="133" spans="1:40" s="6" customFormat="1" ht="22.5" customHeight="1">
      <c r="A133" s="12" t="s">
        <v>96</v>
      </c>
      <c r="B133" s="6" t="s">
        <v>233</v>
      </c>
      <c r="C133" s="1"/>
      <c r="D133" s="96"/>
      <c r="E133" s="96"/>
      <c r="F133" s="14"/>
      <c r="K133" s="96"/>
      <c r="X133" s="96"/>
      <c r="AA133" s="98"/>
      <c r="AB133" s="15"/>
      <c r="AF133" s="14"/>
      <c r="AG133" s="14"/>
      <c r="AH133" s="96"/>
      <c r="AI133" s="96"/>
      <c r="AL133" s="229"/>
    </row>
    <row r="134" spans="1:40" s="6" customFormat="1" ht="22.5" customHeight="1">
      <c r="A134" s="12" t="s">
        <v>96</v>
      </c>
      <c r="B134" s="6" t="s">
        <v>234</v>
      </c>
      <c r="C134" s="1"/>
      <c r="D134" s="96"/>
      <c r="E134" s="96"/>
      <c r="F134" s="14"/>
      <c r="K134" s="96"/>
      <c r="X134" s="96"/>
      <c r="AA134" s="98"/>
      <c r="AB134" s="15"/>
      <c r="AF134" s="14"/>
      <c r="AG134" s="14"/>
      <c r="AH134" s="96"/>
      <c r="AI134" s="96"/>
      <c r="AL134" s="229"/>
    </row>
    <row r="135" spans="1:40" s="6" customFormat="1" ht="22.5" customHeight="1">
      <c r="A135" s="12" t="s">
        <v>96</v>
      </c>
      <c r="B135" s="6" t="s">
        <v>248</v>
      </c>
      <c r="C135" s="1"/>
      <c r="D135" s="96"/>
      <c r="E135" s="96"/>
      <c r="F135" s="14"/>
      <c r="K135" s="96"/>
      <c r="X135" s="96"/>
      <c r="AA135" s="98"/>
      <c r="AB135" s="15"/>
      <c r="AF135" s="14"/>
      <c r="AG135" s="14"/>
      <c r="AH135" s="96"/>
      <c r="AI135" s="96"/>
      <c r="AL135" s="229"/>
    </row>
    <row r="136" spans="1:40" s="6" customFormat="1" ht="22.5" customHeight="1">
      <c r="A136" s="12" t="s">
        <v>96</v>
      </c>
      <c r="B136" s="6" t="s">
        <v>404</v>
      </c>
      <c r="C136" s="1"/>
      <c r="D136" s="322" t="s">
        <v>293</v>
      </c>
      <c r="E136" s="322"/>
      <c r="F136" s="322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322"/>
      <c r="AD136" s="322"/>
      <c r="AE136" s="322"/>
      <c r="AF136" s="322"/>
      <c r="AG136" s="322"/>
      <c r="AH136" s="322"/>
      <c r="AI136" s="322" t="s">
        <v>295</v>
      </c>
      <c r="AJ136" s="322"/>
      <c r="AK136" s="322" t="s">
        <v>245</v>
      </c>
      <c r="AL136" s="322"/>
    </row>
    <row r="137" spans="1:40" s="6" customFormat="1" ht="23.25" customHeight="1">
      <c r="A137" s="12" t="s">
        <v>96</v>
      </c>
      <c r="C137" s="1"/>
      <c r="D137" s="96"/>
      <c r="E137" s="96"/>
      <c r="F137" s="14"/>
      <c r="K137" s="96"/>
      <c r="X137" s="96"/>
      <c r="AA137" s="230"/>
      <c r="AF137" s="14"/>
      <c r="AG137" s="14"/>
      <c r="AH137" s="96"/>
      <c r="AI137" s="96"/>
      <c r="AJ137" s="96"/>
      <c r="AK137" s="96"/>
      <c r="AL137" s="229"/>
    </row>
    <row r="138" spans="1:40" ht="16.5" customHeight="1"/>
    <row r="139" spans="1:40" ht="16.5" customHeight="1"/>
    <row r="140" spans="1:40" ht="16.5" customHeight="1"/>
    <row r="141" spans="1:40" ht="16.5" customHeight="1"/>
    <row r="142" spans="1:40" ht="16.5" customHeight="1"/>
    <row r="143" spans="1:40" ht="16.5" customHeight="1"/>
    <row r="144" spans="1:40" ht="16.5" customHeight="1"/>
    <row r="145" spans="1:38" ht="16.5" customHeight="1"/>
    <row r="146" spans="1:38" ht="16.5" customHeight="1"/>
    <row r="147" spans="1:38" ht="16.5" customHeight="1"/>
    <row r="148" spans="1:38" ht="16.5" customHeight="1"/>
    <row r="149" spans="1:38" ht="16.5" customHeight="1"/>
    <row r="150" spans="1:38" ht="16.5" customHeight="1"/>
    <row r="151" spans="1:38" ht="16.5" customHeight="1"/>
    <row r="152" spans="1:38" ht="16.5" customHeight="1"/>
    <row r="153" spans="1:38" ht="16.5" customHeight="1"/>
    <row r="154" spans="1:38" ht="16.5" customHeight="1"/>
    <row r="155" spans="1:38" ht="16.5" customHeight="1"/>
    <row r="156" spans="1:38" ht="21.75" customHeight="1">
      <c r="A156" s="313" t="s">
        <v>241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313"/>
      <c r="AB156" s="313"/>
      <c r="AC156" s="313"/>
      <c r="AD156" s="313"/>
      <c r="AE156" s="313"/>
      <c r="AF156" s="313"/>
      <c r="AG156" s="313"/>
      <c r="AH156" s="313"/>
      <c r="AI156" s="313"/>
      <c r="AJ156" s="313"/>
      <c r="AK156" s="313"/>
      <c r="AL156" s="313"/>
    </row>
    <row r="157" spans="1:38" ht="16.5" customHeight="1"/>
    <row r="158" spans="1:38" ht="42.75" customHeight="1">
      <c r="A158" s="307" t="s">
        <v>5</v>
      </c>
      <c r="B158" s="317" t="s">
        <v>6</v>
      </c>
      <c r="C158" s="307" t="s">
        <v>7</v>
      </c>
      <c r="D158" s="307" t="s">
        <v>8</v>
      </c>
      <c r="E158" s="318" t="s">
        <v>42</v>
      </c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104"/>
      <c r="R158" s="104"/>
      <c r="S158" s="104"/>
      <c r="T158" s="104"/>
      <c r="U158" s="104"/>
      <c r="V158" s="104"/>
      <c r="W158" s="105"/>
      <c r="X158" s="319" t="s">
        <v>43</v>
      </c>
      <c r="Y158" s="306"/>
      <c r="Z158" s="306"/>
      <c r="AA158" s="319" t="s">
        <v>44</v>
      </c>
      <c r="AB158" s="306"/>
      <c r="AC158" s="306"/>
      <c r="AD158" s="318" t="s">
        <v>9</v>
      </c>
      <c r="AE158" s="318" t="s">
        <v>10</v>
      </c>
      <c r="AF158" s="203"/>
      <c r="AG158" s="203"/>
      <c r="AH158" s="318" t="s">
        <v>11</v>
      </c>
      <c r="AI158" s="318" t="s">
        <v>12</v>
      </c>
      <c r="AJ158" s="318" t="s">
        <v>97</v>
      </c>
      <c r="AK158" s="307" t="s">
        <v>46</v>
      </c>
      <c r="AL158" s="318" t="s">
        <v>47</v>
      </c>
    </row>
    <row r="159" spans="1:38" ht="14.25" customHeight="1">
      <c r="A159" s="315"/>
      <c r="B159" s="317"/>
      <c r="C159" s="315"/>
      <c r="D159" s="308"/>
      <c r="E159" s="307" t="s">
        <v>45</v>
      </c>
      <c r="F159" s="299" t="s">
        <v>13</v>
      </c>
      <c r="G159" s="306" t="s">
        <v>14</v>
      </c>
      <c r="H159" s="306"/>
      <c r="I159" s="306"/>
      <c r="J159" s="105" t="s">
        <v>15</v>
      </c>
      <c r="K159" s="104" t="s">
        <v>16</v>
      </c>
      <c r="L159" s="105"/>
      <c r="M159" s="105" t="s">
        <v>15</v>
      </c>
      <c r="N159" s="105" t="s">
        <v>15</v>
      </c>
      <c r="O159" s="105" t="s">
        <v>15</v>
      </c>
      <c r="P159" s="105" t="s">
        <v>17</v>
      </c>
      <c r="Q159" s="105" t="s">
        <v>17</v>
      </c>
      <c r="R159" s="105" t="s">
        <v>17</v>
      </c>
      <c r="S159" s="105" t="s">
        <v>17</v>
      </c>
      <c r="T159" s="105" t="s">
        <v>17</v>
      </c>
      <c r="U159" s="105" t="s">
        <v>17</v>
      </c>
      <c r="V159" s="105" t="s">
        <v>18</v>
      </c>
      <c r="W159" s="105"/>
      <c r="X159" s="307" t="s">
        <v>45</v>
      </c>
      <c r="Y159" s="299" t="s">
        <v>19</v>
      </c>
      <c r="Z159" s="299" t="s">
        <v>20</v>
      </c>
      <c r="AA159" s="302" t="s">
        <v>45</v>
      </c>
      <c r="AB159" s="299" t="s">
        <v>19</v>
      </c>
      <c r="AC159" s="299" t="s">
        <v>21</v>
      </c>
      <c r="AD159" s="318"/>
      <c r="AE159" s="318"/>
      <c r="AF159" s="203"/>
      <c r="AG159" s="203"/>
      <c r="AH159" s="320"/>
      <c r="AI159" s="320"/>
      <c r="AJ159" s="317"/>
      <c r="AK159" s="315"/>
      <c r="AL159" s="321"/>
    </row>
    <row r="160" spans="1:38" ht="14.25" customHeight="1">
      <c r="A160" s="315"/>
      <c r="B160" s="317"/>
      <c r="C160" s="315"/>
      <c r="D160" s="308"/>
      <c r="E160" s="308"/>
      <c r="F160" s="300"/>
      <c r="G160" s="299" t="s">
        <v>22</v>
      </c>
      <c r="H160" s="306" t="s">
        <v>23</v>
      </c>
      <c r="I160" s="306"/>
      <c r="J160" s="105" t="s">
        <v>24</v>
      </c>
      <c r="K160" s="104" t="s">
        <v>25</v>
      </c>
      <c r="L160" s="105" t="s">
        <v>26</v>
      </c>
      <c r="M160" s="105" t="s">
        <v>24</v>
      </c>
      <c r="N160" s="105" t="s">
        <v>24</v>
      </c>
      <c r="O160" s="105" t="s">
        <v>24</v>
      </c>
      <c r="P160" s="105" t="s">
        <v>27</v>
      </c>
      <c r="Q160" s="105" t="s">
        <v>27</v>
      </c>
      <c r="R160" s="105" t="s">
        <v>27</v>
      </c>
      <c r="S160" s="105" t="s">
        <v>27</v>
      </c>
      <c r="T160" s="105" t="s">
        <v>27</v>
      </c>
      <c r="U160" s="105" t="s">
        <v>27</v>
      </c>
      <c r="V160" s="105" t="s">
        <v>24</v>
      </c>
      <c r="W160" s="105" t="s">
        <v>28</v>
      </c>
      <c r="X160" s="308"/>
      <c r="Y160" s="300"/>
      <c r="Z160" s="300"/>
      <c r="AA160" s="303"/>
      <c r="AB160" s="300"/>
      <c r="AC160" s="300"/>
      <c r="AD160" s="318"/>
      <c r="AE160" s="318"/>
      <c r="AF160" s="203"/>
      <c r="AG160" s="203"/>
      <c r="AH160" s="320"/>
      <c r="AI160" s="320"/>
      <c r="AJ160" s="317"/>
      <c r="AK160" s="315"/>
      <c r="AL160" s="321"/>
    </row>
    <row r="161" spans="1:38" ht="14.25" customHeight="1">
      <c r="A161" s="316"/>
      <c r="B161" s="317"/>
      <c r="C161" s="316"/>
      <c r="D161" s="309"/>
      <c r="E161" s="309"/>
      <c r="F161" s="301"/>
      <c r="G161" s="305"/>
      <c r="H161" s="106" t="s">
        <v>29</v>
      </c>
      <c r="I161" s="107" t="s">
        <v>30</v>
      </c>
      <c r="J161" s="105" t="s">
        <v>31</v>
      </c>
      <c r="K161" s="104" t="s">
        <v>32</v>
      </c>
      <c r="L161" s="105" t="s">
        <v>33</v>
      </c>
      <c r="M161" s="105" t="s">
        <v>31</v>
      </c>
      <c r="N161" s="105" t="s">
        <v>34</v>
      </c>
      <c r="O161" s="105" t="s">
        <v>34</v>
      </c>
      <c r="P161" s="105" t="s">
        <v>34</v>
      </c>
      <c r="Q161" s="105" t="s">
        <v>34</v>
      </c>
      <c r="R161" s="105" t="s">
        <v>34</v>
      </c>
      <c r="S161" s="105" t="s">
        <v>34</v>
      </c>
      <c r="T161" s="105" t="s">
        <v>34</v>
      </c>
      <c r="U161" s="105" t="s">
        <v>34</v>
      </c>
      <c r="V161" s="105" t="s">
        <v>34</v>
      </c>
      <c r="W161" s="105" t="s">
        <v>35</v>
      </c>
      <c r="X161" s="309"/>
      <c r="Y161" s="301"/>
      <c r="Z161" s="301"/>
      <c r="AA161" s="304"/>
      <c r="AB161" s="301"/>
      <c r="AC161" s="301"/>
      <c r="AD161" s="318"/>
      <c r="AE161" s="318"/>
      <c r="AF161" s="203"/>
      <c r="AG161" s="203"/>
      <c r="AH161" s="320"/>
      <c r="AI161" s="320"/>
      <c r="AJ161" s="317"/>
      <c r="AK161" s="316"/>
      <c r="AL161" s="321"/>
    </row>
    <row r="162" spans="1:38" s="2" customFormat="1" ht="29.25" customHeight="1">
      <c r="A162" s="104" t="s">
        <v>36</v>
      </c>
      <c r="B162" s="104" t="s">
        <v>37</v>
      </c>
      <c r="C162" s="104" t="s">
        <v>38</v>
      </c>
      <c r="D162" s="104" t="s">
        <v>39</v>
      </c>
      <c r="E162" s="104">
        <v>1</v>
      </c>
      <c r="F162" s="105">
        <v>2</v>
      </c>
      <c r="G162" s="108">
        <v>3</v>
      </c>
      <c r="H162" s="108">
        <v>4</v>
      </c>
      <c r="I162" s="105">
        <v>5</v>
      </c>
      <c r="J162" s="108">
        <v>7</v>
      </c>
      <c r="K162" s="105">
        <v>8</v>
      </c>
      <c r="L162" s="108">
        <v>9</v>
      </c>
      <c r="M162" s="105">
        <v>10</v>
      </c>
      <c r="N162" s="105"/>
      <c r="O162" s="108">
        <v>6</v>
      </c>
      <c r="P162" s="108"/>
      <c r="Q162" s="108"/>
      <c r="R162" s="108"/>
      <c r="S162" s="108"/>
      <c r="T162" s="108"/>
      <c r="U162" s="108"/>
      <c r="V162" s="108"/>
      <c r="W162" s="108">
        <v>5</v>
      </c>
      <c r="X162" s="104">
        <v>2</v>
      </c>
      <c r="Y162" s="105">
        <v>7</v>
      </c>
      <c r="Z162" s="105">
        <v>8</v>
      </c>
      <c r="AA162" s="109">
        <v>3</v>
      </c>
      <c r="AB162" s="104">
        <v>10</v>
      </c>
      <c r="AC162" s="108">
        <v>11</v>
      </c>
      <c r="AD162" s="104"/>
      <c r="AE162" s="104"/>
      <c r="AF162" s="110"/>
      <c r="AG162" s="110"/>
      <c r="AH162" s="104">
        <v>4</v>
      </c>
      <c r="AI162" s="104">
        <v>5</v>
      </c>
      <c r="AJ162" s="104">
        <v>6</v>
      </c>
      <c r="AK162" s="104">
        <v>7</v>
      </c>
      <c r="AL162" s="111">
        <v>8</v>
      </c>
    </row>
    <row r="163" spans="1:38" s="177" customFormat="1" ht="31.5" customHeight="1">
      <c r="A163" s="111" t="s">
        <v>187</v>
      </c>
      <c r="B163" s="310" t="s">
        <v>153</v>
      </c>
      <c r="C163" s="311"/>
      <c r="D163" s="31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75"/>
      <c r="AB163" s="122"/>
      <c r="AC163" s="122"/>
      <c r="AD163" s="122"/>
      <c r="AE163" s="122"/>
      <c r="AF163" s="176"/>
      <c r="AG163" s="176"/>
      <c r="AH163" s="121"/>
      <c r="AI163" s="121"/>
      <c r="AJ163" s="122"/>
      <c r="AK163" s="122"/>
      <c r="AL163" s="122"/>
    </row>
    <row r="164" spans="1:38" s="177" customFormat="1" ht="27.75" customHeight="1">
      <c r="A164" s="121">
        <v>11</v>
      </c>
      <c r="B164" s="122" t="s">
        <v>48</v>
      </c>
      <c r="C164" s="121" t="s">
        <v>107</v>
      </c>
      <c r="D164" s="121">
        <v>2016</v>
      </c>
      <c r="E164" s="121">
        <v>1</v>
      </c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>
        <v>1</v>
      </c>
      <c r="Y164" s="121"/>
      <c r="Z164" s="121"/>
      <c r="AA164" s="179">
        <v>0</v>
      </c>
      <c r="AB164" s="122"/>
      <c r="AC164" s="122"/>
      <c r="AD164" s="122"/>
      <c r="AE164" s="122"/>
      <c r="AF164" s="176"/>
      <c r="AG164" s="176"/>
      <c r="AH164" s="114" t="s">
        <v>155</v>
      </c>
      <c r="AI164" s="121" t="s">
        <v>156</v>
      </c>
      <c r="AJ164" s="114" t="s">
        <v>157</v>
      </c>
      <c r="AK164" s="121" t="s">
        <v>178</v>
      </c>
      <c r="AL164" s="122" t="s">
        <v>179</v>
      </c>
    </row>
    <row r="165" spans="1:38" s="153" customFormat="1" ht="28.5" customHeight="1">
      <c r="A165" s="111" t="s">
        <v>204</v>
      </c>
      <c r="B165" s="310" t="s">
        <v>211</v>
      </c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2"/>
    </row>
    <row r="166" spans="1:38" ht="30" customHeight="1">
      <c r="A166" s="114">
        <v>1</v>
      </c>
      <c r="B166" s="120" t="s">
        <v>52</v>
      </c>
      <c r="C166" s="113"/>
      <c r="D166" s="114"/>
      <c r="E166" s="115">
        <v>1</v>
      </c>
      <c r="F166" s="116"/>
      <c r="G166" s="116"/>
      <c r="H166" s="116"/>
      <c r="I166" s="117"/>
      <c r="J166" s="116"/>
      <c r="K166" s="116"/>
      <c r="L166" s="116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5">
        <f t="shared" ref="X166:X183" si="0">E166</f>
        <v>1</v>
      </c>
      <c r="Y166" s="117"/>
      <c r="Z166" s="116"/>
      <c r="AA166" s="118">
        <v>0</v>
      </c>
      <c r="AB166" s="117"/>
      <c r="AC166" s="116"/>
      <c r="AD166" s="119"/>
      <c r="AE166" s="120"/>
      <c r="AF166" s="116"/>
      <c r="AG166" s="116"/>
      <c r="AH166" s="114" t="s">
        <v>155</v>
      </c>
      <c r="AI166" s="114" t="s">
        <v>98</v>
      </c>
      <c r="AJ166" s="114" t="s">
        <v>205</v>
      </c>
      <c r="AK166" s="114" t="s">
        <v>206</v>
      </c>
      <c r="AL166" s="122" t="s">
        <v>108</v>
      </c>
    </row>
    <row r="167" spans="1:38" ht="34.5" customHeight="1">
      <c r="A167" s="114">
        <v>2</v>
      </c>
      <c r="B167" s="198" t="s">
        <v>207</v>
      </c>
      <c r="C167" s="113"/>
      <c r="D167" s="114">
        <v>1997</v>
      </c>
      <c r="E167" s="115">
        <v>1</v>
      </c>
      <c r="F167" s="116"/>
      <c r="G167" s="116"/>
      <c r="H167" s="116"/>
      <c r="I167" s="117"/>
      <c r="J167" s="116"/>
      <c r="K167" s="116"/>
      <c r="L167" s="116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5">
        <f t="shared" si="0"/>
        <v>1</v>
      </c>
      <c r="Y167" s="117"/>
      <c r="Z167" s="116"/>
      <c r="AA167" s="118">
        <v>0</v>
      </c>
      <c r="AB167" s="117"/>
      <c r="AC167" s="116"/>
      <c r="AD167" s="119"/>
      <c r="AE167" s="120"/>
      <c r="AF167" s="116"/>
      <c r="AG167" s="116"/>
      <c r="AH167" s="114" t="s">
        <v>155</v>
      </c>
      <c r="AI167" s="114" t="s">
        <v>56</v>
      </c>
      <c r="AJ167" s="114" t="s">
        <v>50</v>
      </c>
      <c r="AK167" s="114" t="s">
        <v>206</v>
      </c>
      <c r="AL167" s="122" t="s">
        <v>108</v>
      </c>
    </row>
    <row r="168" spans="1:38" ht="28.5" customHeight="1">
      <c r="A168" s="114">
        <v>3</v>
      </c>
      <c r="B168" s="198" t="s">
        <v>58</v>
      </c>
      <c r="C168" s="113"/>
      <c r="D168" s="114">
        <v>2008</v>
      </c>
      <c r="E168" s="115">
        <v>1</v>
      </c>
      <c r="F168" s="116"/>
      <c r="G168" s="116"/>
      <c r="H168" s="116"/>
      <c r="I168" s="117"/>
      <c r="J168" s="116"/>
      <c r="K168" s="116"/>
      <c r="L168" s="116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5">
        <f t="shared" si="0"/>
        <v>1</v>
      </c>
      <c r="Y168" s="117"/>
      <c r="Z168" s="116"/>
      <c r="AA168" s="118">
        <v>0</v>
      </c>
      <c r="AB168" s="117"/>
      <c r="AC168" s="116"/>
      <c r="AD168" s="119"/>
      <c r="AE168" s="120"/>
      <c r="AF168" s="116"/>
      <c r="AG168" s="116"/>
      <c r="AH168" s="114" t="s">
        <v>155</v>
      </c>
      <c r="AI168" s="114" t="s">
        <v>59</v>
      </c>
      <c r="AJ168" s="114" t="s">
        <v>50</v>
      </c>
      <c r="AK168" s="114" t="s">
        <v>206</v>
      </c>
      <c r="AL168" s="122" t="s">
        <v>108</v>
      </c>
    </row>
    <row r="169" spans="1:38" s="2" customFormat="1" ht="28.5" customHeight="1">
      <c r="A169" s="114">
        <v>4</v>
      </c>
      <c r="B169" s="198" t="s">
        <v>57</v>
      </c>
      <c r="C169" s="113" t="s">
        <v>60</v>
      </c>
      <c r="D169" s="114"/>
      <c r="E169" s="114">
        <v>1</v>
      </c>
      <c r="F169" s="116"/>
      <c r="G169" s="116"/>
      <c r="H169" s="116"/>
      <c r="I169" s="117"/>
      <c r="J169" s="117"/>
      <c r="K169" s="115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5">
        <f t="shared" si="0"/>
        <v>1</v>
      </c>
      <c r="Y169" s="117"/>
      <c r="Z169" s="116"/>
      <c r="AA169" s="118">
        <v>0</v>
      </c>
      <c r="AB169" s="117"/>
      <c r="AC169" s="116"/>
      <c r="AD169" s="170"/>
      <c r="AE169" s="120"/>
      <c r="AF169" s="116"/>
      <c r="AG169" s="116"/>
      <c r="AH169" s="114" t="s">
        <v>155</v>
      </c>
      <c r="AI169" s="114" t="s">
        <v>61</v>
      </c>
      <c r="AJ169" s="114" t="s">
        <v>50</v>
      </c>
      <c r="AK169" s="114" t="s">
        <v>206</v>
      </c>
      <c r="AL169" s="122" t="s">
        <v>108</v>
      </c>
    </row>
    <row r="170" spans="1:38" s="2" customFormat="1" ht="30" customHeight="1">
      <c r="A170" s="114">
        <v>5</v>
      </c>
      <c r="B170" s="198" t="s">
        <v>84</v>
      </c>
      <c r="C170" s="113"/>
      <c r="D170" s="114"/>
      <c r="E170" s="115">
        <v>1</v>
      </c>
      <c r="F170" s="116"/>
      <c r="G170" s="116"/>
      <c r="H170" s="116"/>
      <c r="I170" s="117"/>
      <c r="J170" s="117"/>
      <c r="K170" s="115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5">
        <f t="shared" si="0"/>
        <v>1</v>
      </c>
      <c r="Y170" s="117"/>
      <c r="Z170" s="116"/>
      <c r="AA170" s="118">
        <v>0</v>
      </c>
      <c r="AB170" s="117"/>
      <c r="AC170" s="116"/>
      <c r="AD170" s="170"/>
      <c r="AE170" s="120"/>
      <c r="AF170" s="116"/>
      <c r="AG170" s="116"/>
      <c r="AH170" s="114" t="s">
        <v>155</v>
      </c>
      <c r="AI170" s="114" t="s">
        <v>206</v>
      </c>
      <c r="AJ170" s="114" t="s">
        <v>50</v>
      </c>
      <c r="AK170" s="114" t="s">
        <v>206</v>
      </c>
      <c r="AL170" s="122" t="s">
        <v>108</v>
      </c>
    </row>
    <row r="171" spans="1:38" s="2" customFormat="1" ht="35.25" customHeight="1">
      <c r="A171" s="114">
        <v>6</v>
      </c>
      <c r="B171" s="120" t="s">
        <v>85</v>
      </c>
      <c r="C171" s="113"/>
      <c r="D171" s="114"/>
      <c r="E171" s="115">
        <v>1</v>
      </c>
      <c r="F171" s="116"/>
      <c r="G171" s="116"/>
      <c r="H171" s="116"/>
      <c r="I171" s="117"/>
      <c r="J171" s="116"/>
      <c r="K171" s="116"/>
      <c r="L171" s="116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5">
        <f t="shared" si="0"/>
        <v>1</v>
      </c>
      <c r="Y171" s="117"/>
      <c r="Z171" s="116"/>
      <c r="AA171" s="118">
        <v>0</v>
      </c>
      <c r="AB171" s="117"/>
      <c r="AC171" s="116"/>
      <c r="AD171" s="119"/>
      <c r="AE171" s="120"/>
      <c r="AF171" s="116"/>
      <c r="AG171" s="116"/>
      <c r="AH171" s="114" t="s">
        <v>155</v>
      </c>
      <c r="AI171" s="114" t="s">
        <v>61</v>
      </c>
      <c r="AJ171" s="114" t="s">
        <v>205</v>
      </c>
      <c r="AK171" s="114" t="s">
        <v>206</v>
      </c>
      <c r="AL171" s="122" t="s">
        <v>108</v>
      </c>
    </row>
    <row r="172" spans="1:38" s="2" customFormat="1" ht="32.25" customHeight="1">
      <c r="A172" s="114">
        <v>7</v>
      </c>
      <c r="B172" s="233" t="s">
        <v>65</v>
      </c>
      <c r="C172" s="113"/>
      <c r="D172" s="114">
        <v>2010</v>
      </c>
      <c r="E172" s="114">
        <v>1</v>
      </c>
      <c r="F172" s="116"/>
      <c r="G172" s="116"/>
      <c r="H172" s="116"/>
      <c r="I172" s="116"/>
      <c r="J172" s="117"/>
      <c r="K172" s="115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5">
        <f t="shared" si="0"/>
        <v>1</v>
      </c>
      <c r="Y172" s="117"/>
      <c r="Z172" s="116"/>
      <c r="AA172" s="118">
        <v>0</v>
      </c>
      <c r="AB172" s="117"/>
      <c r="AC172" s="116"/>
      <c r="AD172" s="170"/>
      <c r="AE172" s="120"/>
      <c r="AF172" s="116"/>
      <c r="AG172" s="116"/>
      <c r="AH172" s="114" t="s">
        <v>155</v>
      </c>
      <c r="AI172" s="114" t="s">
        <v>59</v>
      </c>
      <c r="AJ172" s="114" t="s">
        <v>205</v>
      </c>
      <c r="AK172" s="114" t="s">
        <v>206</v>
      </c>
      <c r="AL172" s="122" t="s">
        <v>108</v>
      </c>
    </row>
    <row r="173" spans="1:38" s="2" customFormat="1" ht="32.25" customHeight="1">
      <c r="A173" s="114">
        <v>8</v>
      </c>
      <c r="B173" s="233" t="s">
        <v>83</v>
      </c>
      <c r="C173" s="113"/>
      <c r="D173" s="114">
        <v>2016</v>
      </c>
      <c r="E173" s="115">
        <v>1</v>
      </c>
      <c r="F173" s="116"/>
      <c r="G173" s="116"/>
      <c r="H173" s="116"/>
      <c r="I173" s="117"/>
      <c r="J173" s="117"/>
      <c r="K173" s="115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5">
        <f t="shared" si="0"/>
        <v>1</v>
      </c>
      <c r="Y173" s="117"/>
      <c r="Z173" s="116"/>
      <c r="AA173" s="118">
        <v>0</v>
      </c>
      <c r="AB173" s="117"/>
      <c r="AC173" s="116"/>
      <c r="AD173" s="170"/>
      <c r="AE173" s="120"/>
      <c r="AF173" s="116"/>
      <c r="AG173" s="116"/>
      <c r="AH173" s="114" t="s">
        <v>155</v>
      </c>
      <c r="AI173" s="114" t="s">
        <v>63</v>
      </c>
      <c r="AJ173" s="114" t="s">
        <v>205</v>
      </c>
      <c r="AK173" s="114" t="s">
        <v>206</v>
      </c>
      <c r="AL173" s="122" t="s">
        <v>108</v>
      </c>
    </row>
    <row r="174" spans="1:38" ht="32.25" customHeight="1">
      <c r="A174" s="114">
        <v>9</v>
      </c>
      <c r="B174" s="233" t="s">
        <v>66</v>
      </c>
      <c r="C174" s="113" t="s">
        <v>67</v>
      </c>
      <c r="D174" s="114">
        <v>2011</v>
      </c>
      <c r="E174" s="115">
        <v>1</v>
      </c>
      <c r="F174" s="116"/>
      <c r="G174" s="116"/>
      <c r="H174" s="116"/>
      <c r="I174" s="117"/>
      <c r="J174" s="117"/>
      <c r="K174" s="115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5">
        <f t="shared" si="0"/>
        <v>1</v>
      </c>
      <c r="Y174" s="117"/>
      <c r="Z174" s="116"/>
      <c r="AA174" s="118">
        <v>0</v>
      </c>
      <c r="AB174" s="117"/>
      <c r="AC174" s="116"/>
      <c r="AD174" s="170"/>
      <c r="AE174" s="120"/>
      <c r="AF174" s="116"/>
      <c r="AG174" s="116"/>
      <c r="AH174" s="114" t="s">
        <v>155</v>
      </c>
      <c r="AI174" s="114" t="s">
        <v>62</v>
      </c>
      <c r="AJ174" s="114" t="s">
        <v>205</v>
      </c>
      <c r="AK174" s="114" t="s">
        <v>206</v>
      </c>
      <c r="AL174" s="122" t="s">
        <v>108</v>
      </c>
    </row>
    <row r="175" spans="1:38" s="2" customFormat="1" ht="32.25" customHeight="1">
      <c r="A175" s="114">
        <v>10</v>
      </c>
      <c r="B175" s="233" t="s">
        <v>68</v>
      </c>
      <c r="C175" s="113"/>
      <c r="D175" s="114"/>
      <c r="E175" s="115">
        <v>1</v>
      </c>
      <c r="F175" s="116"/>
      <c r="G175" s="116"/>
      <c r="H175" s="116"/>
      <c r="I175" s="117"/>
      <c r="J175" s="117"/>
      <c r="K175" s="115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5">
        <f t="shared" si="0"/>
        <v>1</v>
      </c>
      <c r="Y175" s="117"/>
      <c r="Z175" s="116"/>
      <c r="AA175" s="118">
        <v>0</v>
      </c>
      <c r="AB175" s="117"/>
      <c r="AC175" s="116"/>
      <c r="AD175" s="170"/>
      <c r="AE175" s="120"/>
      <c r="AF175" s="116"/>
      <c r="AG175" s="116"/>
      <c r="AH175" s="114" t="s">
        <v>155</v>
      </c>
      <c r="AI175" s="114" t="s">
        <v>64</v>
      </c>
      <c r="AJ175" s="114" t="s">
        <v>205</v>
      </c>
      <c r="AK175" s="114" t="s">
        <v>206</v>
      </c>
      <c r="AL175" s="122" t="s">
        <v>108</v>
      </c>
    </row>
    <row r="176" spans="1:38" s="2" customFormat="1" ht="33" customHeight="1">
      <c r="A176" s="114">
        <v>11</v>
      </c>
      <c r="B176" s="198" t="s">
        <v>69</v>
      </c>
      <c r="C176" s="113"/>
      <c r="D176" s="114"/>
      <c r="E176" s="115">
        <v>1</v>
      </c>
      <c r="F176" s="116"/>
      <c r="G176" s="116"/>
      <c r="H176" s="116"/>
      <c r="I176" s="117"/>
      <c r="J176" s="117"/>
      <c r="K176" s="115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5">
        <f t="shared" si="0"/>
        <v>1</v>
      </c>
      <c r="Y176" s="117"/>
      <c r="Z176" s="116"/>
      <c r="AA176" s="118">
        <v>0</v>
      </c>
      <c r="AB176" s="117"/>
      <c r="AC176" s="116"/>
      <c r="AD176" s="170"/>
      <c r="AE176" s="120"/>
      <c r="AF176" s="116"/>
      <c r="AG176" s="116"/>
      <c r="AH176" s="114" t="s">
        <v>155</v>
      </c>
      <c r="AI176" s="114" t="s">
        <v>63</v>
      </c>
      <c r="AJ176" s="114" t="s">
        <v>205</v>
      </c>
      <c r="AK176" s="114" t="s">
        <v>206</v>
      </c>
      <c r="AL176" s="122" t="s">
        <v>108</v>
      </c>
    </row>
    <row r="177" spans="1:40" s="2" customFormat="1" ht="33" customHeight="1">
      <c r="A177" s="114">
        <v>12</v>
      </c>
      <c r="B177" s="198" t="s">
        <v>70</v>
      </c>
      <c r="C177" s="113"/>
      <c r="D177" s="114"/>
      <c r="E177" s="115">
        <v>1</v>
      </c>
      <c r="F177" s="116"/>
      <c r="G177" s="116"/>
      <c r="H177" s="116"/>
      <c r="I177" s="117"/>
      <c r="J177" s="117"/>
      <c r="K177" s="115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5">
        <f t="shared" si="0"/>
        <v>1</v>
      </c>
      <c r="Y177" s="117"/>
      <c r="Z177" s="116"/>
      <c r="AA177" s="118">
        <v>0</v>
      </c>
      <c r="AB177" s="117"/>
      <c r="AC177" s="116"/>
      <c r="AD177" s="170"/>
      <c r="AE177" s="120"/>
      <c r="AF177" s="116"/>
      <c r="AG177" s="116"/>
      <c r="AH177" s="114" t="s">
        <v>155</v>
      </c>
      <c r="AI177" s="114" t="s">
        <v>155</v>
      </c>
      <c r="AJ177" s="114" t="s">
        <v>205</v>
      </c>
      <c r="AK177" s="114" t="s">
        <v>206</v>
      </c>
      <c r="AL177" s="122" t="s">
        <v>108</v>
      </c>
    </row>
    <row r="178" spans="1:40" s="2" customFormat="1" ht="33" customHeight="1">
      <c r="A178" s="114">
        <v>13</v>
      </c>
      <c r="B178" s="198" t="s">
        <v>71</v>
      </c>
      <c r="C178" s="113"/>
      <c r="D178" s="114">
        <v>2015</v>
      </c>
      <c r="E178" s="114">
        <v>1</v>
      </c>
      <c r="F178" s="116"/>
      <c r="G178" s="116"/>
      <c r="H178" s="116"/>
      <c r="I178" s="117"/>
      <c r="J178" s="117"/>
      <c r="K178" s="115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5">
        <f t="shared" si="0"/>
        <v>1</v>
      </c>
      <c r="Y178" s="117"/>
      <c r="Z178" s="116"/>
      <c r="AA178" s="118">
        <v>0</v>
      </c>
      <c r="AB178" s="117"/>
      <c r="AC178" s="116"/>
      <c r="AD178" s="170"/>
      <c r="AE178" s="120"/>
      <c r="AF178" s="116"/>
      <c r="AG178" s="116"/>
      <c r="AH178" s="114" t="s">
        <v>155</v>
      </c>
      <c r="AI178" s="114" t="s">
        <v>155</v>
      </c>
      <c r="AJ178" s="114" t="s">
        <v>205</v>
      </c>
      <c r="AK178" s="114" t="s">
        <v>206</v>
      </c>
      <c r="AL178" s="122" t="s">
        <v>108</v>
      </c>
    </row>
    <row r="179" spans="1:40" ht="33" customHeight="1">
      <c r="A179" s="114">
        <v>14</v>
      </c>
      <c r="B179" s="198" t="s">
        <v>72</v>
      </c>
      <c r="C179" s="113"/>
      <c r="D179" s="114"/>
      <c r="E179" s="115">
        <v>1</v>
      </c>
      <c r="F179" s="116"/>
      <c r="G179" s="116"/>
      <c r="H179" s="116"/>
      <c r="I179" s="117"/>
      <c r="J179" s="116"/>
      <c r="K179" s="116"/>
      <c r="L179" s="116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5">
        <f t="shared" si="0"/>
        <v>1</v>
      </c>
      <c r="Y179" s="117"/>
      <c r="Z179" s="116"/>
      <c r="AA179" s="118">
        <v>0</v>
      </c>
      <c r="AB179" s="117"/>
      <c r="AC179" s="116"/>
      <c r="AD179" s="119"/>
      <c r="AE179" s="120"/>
      <c r="AF179" s="116"/>
      <c r="AG179" s="116"/>
      <c r="AH179" s="114" t="s">
        <v>155</v>
      </c>
      <c r="AI179" s="114" t="s">
        <v>155</v>
      </c>
      <c r="AJ179" s="114" t="s">
        <v>205</v>
      </c>
      <c r="AK179" s="114" t="s">
        <v>206</v>
      </c>
      <c r="AL179" s="122" t="s">
        <v>108</v>
      </c>
    </row>
    <row r="180" spans="1:40" s="2" customFormat="1" ht="33" customHeight="1">
      <c r="A180" s="114">
        <v>15</v>
      </c>
      <c r="B180" s="198" t="s">
        <v>73</v>
      </c>
      <c r="C180" s="113"/>
      <c r="D180" s="114"/>
      <c r="E180" s="115">
        <v>1</v>
      </c>
      <c r="F180" s="116"/>
      <c r="G180" s="116"/>
      <c r="H180" s="116"/>
      <c r="I180" s="117"/>
      <c r="J180" s="117"/>
      <c r="K180" s="115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5">
        <f t="shared" si="0"/>
        <v>1</v>
      </c>
      <c r="Y180" s="117"/>
      <c r="Z180" s="116"/>
      <c r="AA180" s="118">
        <v>0</v>
      </c>
      <c r="AB180" s="117"/>
      <c r="AC180" s="116"/>
      <c r="AD180" s="170"/>
      <c r="AE180" s="120"/>
      <c r="AF180" s="116"/>
      <c r="AG180" s="116"/>
      <c r="AH180" s="114" t="s">
        <v>155</v>
      </c>
      <c r="AI180" s="114" t="s">
        <v>61</v>
      </c>
      <c r="AJ180" s="114" t="s">
        <v>205</v>
      </c>
      <c r="AK180" s="114" t="s">
        <v>206</v>
      </c>
      <c r="AL180" s="122" t="s">
        <v>108</v>
      </c>
    </row>
    <row r="181" spans="1:40" s="2" customFormat="1" ht="24.75" customHeight="1">
      <c r="A181" s="114">
        <v>16</v>
      </c>
      <c r="B181" s="122" t="s">
        <v>110</v>
      </c>
      <c r="C181" s="113"/>
      <c r="D181" s="114">
        <v>2006</v>
      </c>
      <c r="E181" s="115">
        <v>1</v>
      </c>
      <c r="F181" s="116"/>
      <c r="G181" s="116"/>
      <c r="H181" s="116"/>
      <c r="I181" s="117"/>
      <c r="J181" s="117"/>
      <c r="K181" s="115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5">
        <f t="shared" si="0"/>
        <v>1</v>
      </c>
      <c r="Y181" s="117"/>
      <c r="Z181" s="116"/>
      <c r="AA181" s="118">
        <v>0</v>
      </c>
      <c r="AB181" s="117"/>
      <c r="AC181" s="116"/>
      <c r="AD181" s="170"/>
      <c r="AE181" s="120"/>
      <c r="AF181" s="116"/>
      <c r="AG181" s="116"/>
      <c r="AH181" s="114" t="s">
        <v>155</v>
      </c>
      <c r="AI181" s="114" t="s">
        <v>155</v>
      </c>
      <c r="AJ181" s="114" t="s">
        <v>50</v>
      </c>
      <c r="AK181" s="114" t="s">
        <v>206</v>
      </c>
      <c r="AL181" s="122" t="s">
        <v>108</v>
      </c>
      <c r="AM181" s="177"/>
      <c r="AN181" s="177"/>
    </row>
    <row r="182" spans="1:40" ht="31.5" customHeight="1">
      <c r="A182" s="114">
        <v>17</v>
      </c>
      <c r="B182" s="198" t="s">
        <v>57</v>
      </c>
      <c r="C182" s="113"/>
      <c r="D182" s="114">
        <v>1997</v>
      </c>
      <c r="E182" s="115">
        <v>1</v>
      </c>
      <c r="F182" s="116"/>
      <c r="G182" s="116"/>
      <c r="H182" s="116"/>
      <c r="I182" s="117"/>
      <c r="J182" s="116"/>
      <c r="K182" s="116"/>
      <c r="L182" s="116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5">
        <f t="shared" si="0"/>
        <v>1</v>
      </c>
      <c r="Y182" s="117"/>
      <c r="Z182" s="116"/>
      <c r="AA182" s="118">
        <v>0</v>
      </c>
      <c r="AB182" s="117"/>
      <c r="AC182" s="116"/>
      <c r="AD182" s="119"/>
      <c r="AE182" s="120"/>
      <c r="AF182" s="116"/>
      <c r="AG182" s="116"/>
      <c r="AH182" s="114" t="s">
        <v>155</v>
      </c>
      <c r="AI182" s="114" t="s">
        <v>150</v>
      </c>
      <c r="AJ182" s="114" t="s">
        <v>205</v>
      </c>
      <c r="AK182" s="114" t="s">
        <v>150</v>
      </c>
      <c r="AL182" s="122" t="s">
        <v>108</v>
      </c>
      <c r="AM182" s="101"/>
      <c r="AN182" s="101"/>
    </row>
    <row r="183" spans="1:40" s="2" customFormat="1" ht="29.25" customHeight="1">
      <c r="A183" s="114">
        <v>18</v>
      </c>
      <c r="B183" s="122" t="s">
        <v>77</v>
      </c>
      <c r="C183" s="113"/>
      <c r="D183" s="114"/>
      <c r="E183" s="115">
        <v>3</v>
      </c>
      <c r="F183" s="116"/>
      <c r="G183" s="116"/>
      <c r="H183" s="116"/>
      <c r="I183" s="117"/>
      <c r="J183" s="117"/>
      <c r="K183" s="115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5">
        <f t="shared" si="0"/>
        <v>3</v>
      </c>
      <c r="Y183" s="117"/>
      <c r="Z183" s="116"/>
      <c r="AA183" s="169">
        <v>0</v>
      </c>
      <c r="AB183" s="117"/>
      <c r="AC183" s="116"/>
      <c r="AD183" s="170"/>
      <c r="AE183" s="120"/>
      <c r="AF183" s="116"/>
      <c r="AG183" s="116"/>
      <c r="AH183" s="114" t="s">
        <v>155</v>
      </c>
      <c r="AI183" s="114" t="s">
        <v>150</v>
      </c>
      <c r="AJ183" s="114" t="s">
        <v>50</v>
      </c>
      <c r="AK183" s="114" t="s">
        <v>150</v>
      </c>
      <c r="AL183" s="122" t="s">
        <v>108</v>
      </c>
    </row>
    <row r="184" spans="1:40" s="153" customFormat="1" ht="28.5" customHeight="1">
      <c r="A184" s="111" t="s">
        <v>209</v>
      </c>
      <c r="B184" s="310" t="s">
        <v>210</v>
      </c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2"/>
    </row>
    <row r="185" spans="1:40" s="2" customFormat="1" ht="25.5" customHeight="1">
      <c r="A185" s="114">
        <v>1</v>
      </c>
      <c r="B185" s="198" t="s">
        <v>74</v>
      </c>
      <c r="C185" s="113"/>
      <c r="D185" s="114"/>
      <c r="E185" s="115">
        <v>1</v>
      </c>
      <c r="F185" s="116"/>
      <c r="G185" s="116"/>
      <c r="H185" s="116"/>
      <c r="I185" s="117"/>
      <c r="J185" s="117"/>
      <c r="K185" s="115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5">
        <f t="shared" ref="X185:X191" si="1">E185</f>
        <v>1</v>
      </c>
      <c r="Y185" s="117"/>
      <c r="Z185" s="116"/>
      <c r="AA185" s="169">
        <v>0</v>
      </c>
      <c r="AB185" s="117"/>
      <c r="AC185" s="116"/>
      <c r="AD185" s="170"/>
      <c r="AE185" s="120"/>
      <c r="AF185" s="116"/>
      <c r="AG185" s="116"/>
      <c r="AH185" s="114" t="s">
        <v>155</v>
      </c>
      <c r="AI185" s="114" t="s">
        <v>212</v>
      </c>
      <c r="AJ185" s="114" t="s">
        <v>205</v>
      </c>
      <c r="AK185" s="121"/>
      <c r="AL185" s="122" t="s">
        <v>108</v>
      </c>
    </row>
    <row r="186" spans="1:40" s="2" customFormat="1" ht="25.5" customHeight="1">
      <c r="A186" s="114">
        <v>2</v>
      </c>
      <c r="B186" s="198" t="s">
        <v>75</v>
      </c>
      <c r="C186" s="113"/>
      <c r="D186" s="114"/>
      <c r="E186" s="115">
        <v>1</v>
      </c>
      <c r="F186" s="116"/>
      <c r="G186" s="116"/>
      <c r="H186" s="116"/>
      <c r="I186" s="117"/>
      <c r="J186" s="117"/>
      <c r="K186" s="115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5">
        <f t="shared" si="1"/>
        <v>1</v>
      </c>
      <c r="Y186" s="117"/>
      <c r="Z186" s="116"/>
      <c r="AA186" s="169">
        <v>0</v>
      </c>
      <c r="AB186" s="117"/>
      <c r="AC186" s="116"/>
      <c r="AD186" s="170"/>
      <c r="AE186" s="120"/>
      <c r="AF186" s="116"/>
      <c r="AG186" s="116"/>
      <c r="AH186" s="114" t="s">
        <v>155</v>
      </c>
      <c r="AI186" s="114" t="s">
        <v>212</v>
      </c>
      <c r="AJ186" s="114" t="s">
        <v>205</v>
      </c>
      <c r="AK186" s="121"/>
      <c r="AL186" s="122" t="s">
        <v>108</v>
      </c>
    </row>
    <row r="187" spans="1:40" s="2" customFormat="1" ht="25.5" customHeight="1">
      <c r="A187" s="114">
        <v>3</v>
      </c>
      <c r="B187" s="198" t="s">
        <v>76</v>
      </c>
      <c r="C187" s="113"/>
      <c r="D187" s="114"/>
      <c r="E187" s="115">
        <v>1</v>
      </c>
      <c r="F187" s="116"/>
      <c r="G187" s="116"/>
      <c r="H187" s="116"/>
      <c r="I187" s="117"/>
      <c r="J187" s="117"/>
      <c r="K187" s="115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5">
        <f t="shared" si="1"/>
        <v>1</v>
      </c>
      <c r="Y187" s="117"/>
      <c r="Z187" s="116"/>
      <c r="AA187" s="169">
        <v>0</v>
      </c>
      <c r="AB187" s="117"/>
      <c r="AC187" s="116"/>
      <c r="AD187" s="170"/>
      <c r="AE187" s="120"/>
      <c r="AF187" s="116"/>
      <c r="AG187" s="116"/>
      <c r="AH187" s="114" t="s">
        <v>155</v>
      </c>
      <c r="AI187" s="114" t="s">
        <v>212</v>
      </c>
      <c r="AJ187" s="114" t="s">
        <v>205</v>
      </c>
      <c r="AK187" s="121"/>
      <c r="AL187" s="122" t="s">
        <v>108</v>
      </c>
    </row>
    <row r="188" spans="1:40" s="2" customFormat="1" ht="25.5" customHeight="1">
      <c r="A188" s="114">
        <v>4</v>
      </c>
      <c r="B188" s="198" t="s">
        <v>78</v>
      </c>
      <c r="C188" s="113"/>
      <c r="D188" s="114"/>
      <c r="E188" s="115">
        <v>1</v>
      </c>
      <c r="F188" s="116"/>
      <c r="G188" s="116"/>
      <c r="H188" s="116"/>
      <c r="I188" s="117"/>
      <c r="J188" s="117"/>
      <c r="K188" s="115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5">
        <f t="shared" si="1"/>
        <v>1</v>
      </c>
      <c r="Y188" s="117"/>
      <c r="Z188" s="116"/>
      <c r="AA188" s="169">
        <v>0</v>
      </c>
      <c r="AB188" s="117"/>
      <c r="AC188" s="116"/>
      <c r="AD188" s="170"/>
      <c r="AE188" s="120"/>
      <c r="AF188" s="116"/>
      <c r="AG188" s="116"/>
      <c r="AH188" s="114" t="s">
        <v>155</v>
      </c>
      <c r="AI188" s="114" t="s">
        <v>212</v>
      </c>
      <c r="AJ188" s="114" t="s">
        <v>205</v>
      </c>
      <c r="AK188" s="121"/>
      <c r="AL188" s="122" t="s">
        <v>108</v>
      </c>
    </row>
    <row r="189" spans="1:40" s="101" customFormat="1" ht="30" customHeight="1">
      <c r="A189" s="114">
        <v>5</v>
      </c>
      <c r="B189" s="122" t="s">
        <v>80</v>
      </c>
      <c r="C189" s="113"/>
      <c r="D189" s="114"/>
      <c r="E189" s="115">
        <v>1</v>
      </c>
      <c r="F189" s="167"/>
      <c r="G189" s="168"/>
      <c r="H189" s="168"/>
      <c r="I189" s="168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15">
        <f t="shared" si="1"/>
        <v>1</v>
      </c>
      <c r="Y189" s="167"/>
      <c r="Z189" s="167"/>
      <c r="AA189" s="169">
        <v>0</v>
      </c>
      <c r="AB189" s="167"/>
      <c r="AC189" s="167"/>
      <c r="AD189" s="167"/>
      <c r="AE189" s="167"/>
      <c r="AF189" s="234"/>
      <c r="AG189" s="234"/>
      <c r="AH189" s="114" t="s">
        <v>155</v>
      </c>
      <c r="AI189" s="114" t="s">
        <v>212</v>
      </c>
      <c r="AJ189" s="114" t="s">
        <v>50</v>
      </c>
      <c r="AK189" s="121"/>
      <c r="AL189" s="122" t="s">
        <v>108</v>
      </c>
    </row>
    <row r="190" spans="1:40" s="101" customFormat="1" ht="30" customHeight="1">
      <c r="A190" s="114">
        <v>6</v>
      </c>
      <c r="B190" s="122" t="s">
        <v>81</v>
      </c>
      <c r="C190" s="113"/>
      <c r="D190" s="114"/>
      <c r="E190" s="115">
        <v>1</v>
      </c>
      <c r="F190" s="167"/>
      <c r="G190" s="168"/>
      <c r="H190" s="168"/>
      <c r="I190" s="168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15">
        <f t="shared" si="1"/>
        <v>1</v>
      </c>
      <c r="Y190" s="167"/>
      <c r="Z190" s="167"/>
      <c r="AA190" s="169">
        <v>0</v>
      </c>
      <c r="AB190" s="167"/>
      <c r="AC190" s="167"/>
      <c r="AD190" s="167"/>
      <c r="AE190" s="167"/>
      <c r="AF190" s="234"/>
      <c r="AG190" s="234"/>
      <c r="AH190" s="114" t="s">
        <v>155</v>
      </c>
      <c r="AI190" s="114" t="s">
        <v>212</v>
      </c>
      <c r="AJ190" s="114" t="s">
        <v>50</v>
      </c>
      <c r="AK190" s="121"/>
      <c r="AL190" s="122" t="s">
        <v>108</v>
      </c>
    </row>
    <row r="191" spans="1:40" ht="27" customHeight="1">
      <c r="A191" s="114">
        <v>7</v>
      </c>
      <c r="B191" s="122" t="s">
        <v>54</v>
      </c>
      <c r="C191" s="113"/>
      <c r="D191" s="114"/>
      <c r="E191" s="115">
        <v>1</v>
      </c>
      <c r="F191" s="116"/>
      <c r="G191" s="116"/>
      <c r="H191" s="116"/>
      <c r="I191" s="117"/>
      <c r="J191" s="116"/>
      <c r="K191" s="116"/>
      <c r="L191" s="116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5">
        <f t="shared" si="1"/>
        <v>1</v>
      </c>
      <c r="Y191" s="117"/>
      <c r="Z191" s="116"/>
      <c r="AA191" s="169">
        <v>0</v>
      </c>
      <c r="AB191" s="117"/>
      <c r="AC191" s="116"/>
      <c r="AD191" s="119"/>
      <c r="AE191" s="120"/>
      <c r="AF191" s="116"/>
      <c r="AG191" s="116"/>
      <c r="AH191" s="114" t="s">
        <v>155</v>
      </c>
      <c r="AI191" s="114" t="s">
        <v>212</v>
      </c>
      <c r="AJ191" s="114" t="s">
        <v>50</v>
      </c>
      <c r="AK191" s="121"/>
      <c r="AL191" s="122" t="s">
        <v>108</v>
      </c>
    </row>
    <row r="192" spans="1:40" ht="16.5" customHeight="1"/>
    <row r="193" spans="1:38" ht="16.5" customHeight="1"/>
    <row r="194" spans="1:38" ht="16.5" customHeight="1">
      <c r="A194" s="313" t="s">
        <v>242</v>
      </c>
      <c r="B194" s="313"/>
      <c r="C194" s="313"/>
      <c r="D194" s="313"/>
      <c r="E194" s="313"/>
      <c r="F194" s="313"/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  <c r="T194" s="313"/>
      <c r="U194" s="313"/>
      <c r="V194" s="313"/>
      <c r="W194" s="313"/>
      <c r="X194" s="313"/>
      <c r="Y194" s="313"/>
      <c r="Z194" s="313"/>
      <c r="AA194" s="313"/>
      <c r="AB194" s="313"/>
      <c r="AC194" s="313"/>
      <c r="AD194" s="313"/>
      <c r="AE194" s="313"/>
      <c r="AF194" s="313"/>
      <c r="AG194" s="313"/>
      <c r="AH194" s="313"/>
      <c r="AI194" s="313"/>
      <c r="AJ194" s="313"/>
      <c r="AK194" s="313"/>
      <c r="AL194" s="314"/>
    </row>
    <row r="195" spans="1:38" ht="16.5" customHeight="1"/>
    <row r="196" spans="1:38" ht="42.75" customHeight="1">
      <c r="A196" s="307" t="s">
        <v>5</v>
      </c>
      <c r="B196" s="317" t="s">
        <v>6</v>
      </c>
      <c r="C196" s="307" t="s">
        <v>7</v>
      </c>
      <c r="D196" s="307" t="s">
        <v>8</v>
      </c>
      <c r="E196" s="318" t="s">
        <v>42</v>
      </c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104"/>
      <c r="R196" s="104"/>
      <c r="S196" s="104"/>
      <c r="T196" s="104"/>
      <c r="U196" s="104"/>
      <c r="V196" s="104"/>
      <c r="W196" s="105"/>
      <c r="X196" s="319" t="s">
        <v>43</v>
      </c>
      <c r="Y196" s="306"/>
      <c r="Z196" s="306"/>
      <c r="AA196" s="319" t="s">
        <v>44</v>
      </c>
      <c r="AB196" s="306"/>
      <c r="AC196" s="306"/>
      <c r="AD196" s="318" t="s">
        <v>9</v>
      </c>
      <c r="AE196" s="318" t="s">
        <v>10</v>
      </c>
      <c r="AF196" s="203"/>
      <c r="AG196" s="203"/>
      <c r="AH196" s="318" t="s">
        <v>11</v>
      </c>
      <c r="AI196" s="318" t="s">
        <v>12</v>
      </c>
      <c r="AJ196" s="318" t="s">
        <v>97</v>
      </c>
      <c r="AK196" s="307" t="s">
        <v>46</v>
      </c>
      <c r="AL196" s="318" t="s">
        <v>47</v>
      </c>
    </row>
    <row r="197" spans="1:38" ht="14.25" customHeight="1">
      <c r="A197" s="315"/>
      <c r="B197" s="317"/>
      <c r="C197" s="315"/>
      <c r="D197" s="308"/>
      <c r="E197" s="307" t="s">
        <v>45</v>
      </c>
      <c r="F197" s="299" t="s">
        <v>13</v>
      </c>
      <c r="G197" s="306" t="s">
        <v>14</v>
      </c>
      <c r="H197" s="306"/>
      <c r="I197" s="306"/>
      <c r="J197" s="105" t="s">
        <v>15</v>
      </c>
      <c r="K197" s="104" t="s">
        <v>16</v>
      </c>
      <c r="L197" s="105"/>
      <c r="M197" s="105" t="s">
        <v>15</v>
      </c>
      <c r="N197" s="105" t="s">
        <v>15</v>
      </c>
      <c r="O197" s="105" t="s">
        <v>15</v>
      </c>
      <c r="P197" s="105" t="s">
        <v>17</v>
      </c>
      <c r="Q197" s="105" t="s">
        <v>17</v>
      </c>
      <c r="R197" s="105" t="s">
        <v>17</v>
      </c>
      <c r="S197" s="105" t="s">
        <v>17</v>
      </c>
      <c r="T197" s="105" t="s">
        <v>17</v>
      </c>
      <c r="U197" s="105" t="s">
        <v>17</v>
      </c>
      <c r="V197" s="105" t="s">
        <v>18</v>
      </c>
      <c r="W197" s="105"/>
      <c r="X197" s="307" t="s">
        <v>45</v>
      </c>
      <c r="Y197" s="299" t="s">
        <v>19</v>
      </c>
      <c r="Z197" s="299" t="s">
        <v>20</v>
      </c>
      <c r="AA197" s="302" t="s">
        <v>45</v>
      </c>
      <c r="AB197" s="299" t="s">
        <v>19</v>
      </c>
      <c r="AC197" s="299" t="s">
        <v>21</v>
      </c>
      <c r="AD197" s="318"/>
      <c r="AE197" s="318"/>
      <c r="AF197" s="203"/>
      <c r="AG197" s="203"/>
      <c r="AH197" s="320"/>
      <c r="AI197" s="320"/>
      <c r="AJ197" s="317"/>
      <c r="AK197" s="315"/>
      <c r="AL197" s="321"/>
    </row>
    <row r="198" spans="1:38" ht="14.25" customHeight="1">
      <c r="A198" s="315"/>
      <c r="B198" s="317"/>
      <c r="C198" s="315"/>
      <c r="D198" s="308"/>
      <c r="E198" s="308"/>
      <c r="F198" s="300"/>
      <c r="G198" s="299" t="s">
        <v>22</v>
      </c>
      <c r="H198" s="306" t="s">
        <v>23</v>
      </c>
      <c r="I198" s="306"/>
      <c r="J198" s="105" t="s">
        <v>24</v>
      </c>
      <c r="K198" s="104" t="s">
        <v>25</v>
      </c>
      <c r="L198" s="105" t="s">
        <v>26</v>
      </c>
      <c r="M198" s="105" t="s">
        <v>24</v>
      </c>
      <c r="N198" s="105" t="s">
        <v>24</v>
      </c>
      <c r="O198" s="105" t="s">
        <v>24</v>
      </c>
      <c r="P198" s="105" t="s">
        <v>27</v>
      </c>
      <c r="Q198" s="105" t="s">
        <v>27</v>
      </c>
      <c r="R198" s="105" t="s">
        <v>27</v>
      </c>
      <c r="S198" s="105" t="s">
        <v>27</v>
      </c>
      <c r="T198" s="105" t="s">
        <v>27</v>
      </c>
      <c r="U198" s="105" t="s">
        <v>27</v>
      </c>
      <c r="V198" s="105" t="s">
        <v>24</v>
      </c>
      <c r="W198" s="105" t="s">
        <v>28</v>
      </c>
      <c r="X198" s="308"/>
      <c r="Y198" s="300"/>
      <c r="Z198" s="300"/>
      <c r="AA198" s="303"/>
      <c r="AB198" s="300"/>
      <c r="AC198" s="300"/>
      <c r="AD198" s="318"/>
      <c r="AE198" s="318"/>
      <c r="AF198" s="203"/>
      <c r="AG198" s="203"/>
      <c r="AH198" s="320"/>
      <c r="AI198" s="320"/>
      <c r="AJ198" s="317"/>
      <c r="AK198" s="315"/>
      <c r="AL198" s="321"/>
    </row>
    <row r="199" spans="1:38" ht="14.25" customHeight="1">
      <c r="A199" s="316"/>
      <c r="B199" s="317"/>
      <c r="C199" s="316"/>
      <c r="D199" s="309"/>
      <c r="E199" s="309"/>
      <c r="F199" s="301"/>
      <c r="G199" s="305"/>
      <c r="H199" s="106" t="s">
        <v>29</v>
      </c>
      <c r="I199" s="107" t="s">
        <v>30</v>
      </c>
      <c r="J199" s="105" t="s">
        <v>31</v>
      </c>
      <c r="K199" s="104" t="s">
        <v>32</v>
      </c>
      <c r="L199" s="105" t="s">
        <v>33</v>
      </c>
      <c r="M199" s="105" t="s">
        <v>31</v>
      </c>
      <c r="N199" s="105" t="s">
        <v>34</v>
      </c>
      <c r="O199" s="105" t="s">
        <v>34</v>
      </c>
      <c r="P199" s="105" t="s">
        <v>34</v>
      </c>
      <c r="Q199" s="105" t="s">
        <v>34</v>
      </c>
      <c r="R199" s="105" t="s">
        <v>34</v>
      </c>
      <c r="S199" s="105" t="s">
        <v>34</v>
      </c>
      <c r="T199" s="105" t="s">
        <v>34</v>
      </c>
      <c r="U199" s="105" t="s">
        <v>34</v>
      </c>
      <c r="V199" s="105" t="s">
        <v>34</v>
      </c>
      <c r="W199" s="105" t="s">
        <v>35</v>
      </c>
      <c r="X199" s="309"/>
      <c r="Y199" s="301"/>
      <c r="Z199" s="301"/>
      <c r="AA199" s="304"/>
      <c r="AB199" s="301"/>
      <c r="AC199" s="301"/>
      <c r="AD199" s="318"/>
      <c r="AE199" s="318"/>
      <c r="AF199" s="203"/>
      <c r="AG199" s="203"/>
      <c r="AH199" s="320"/>
      <c r="AI199" s="320"/>
      <c r="AJ199" s="317"/>
      <c r="AK199" s="316"/>
      <c r="AL199" s="321"/>
    </row>
    <row r="200" spans="1:38" s="153" customFormat="1" ht="28.5" customHeight="1">
      <c r="A200" s="111" t="s">
        <v>204</v>
      </c>
      <c r="B200" s="310" t="s">
        <v>211</v>
      </c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2"/>
    </row>
    <row r="201" spans="1:38" ht="32.25" customHeight="1">
      <c r="A201" s="114">
        <v>19</v>
      </c>
      <c r="B201" s="122" t="s">
        <v>53</v>
      </c>
      <c r="C201" s="113"/>
      <c r="D201" s="114"/>
      <c r="E201" s="115">
        <v>1</v>
      </c>
      <c r="F201" s="116"/>
      <c r="G201" s="116"/>
      <c r="H201" s="116"/>
      <c r="I201" s="117"/>
      <c r="J201" s="116"/>
      <c r="K201" s="116"/>
      <c r="L201" s="116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5">
        <f t="shared" ref="X201:X203" si="2">E201</f>
        <v>1</v>
      </c>
      <c r="Y201" s="117"/>
      <c r="Z201" s="116"/>
      <c r="AA201" s="169">
        <v>0</v>
      </c>
      <c r="AB201" s="117"/>
      <c r="AC201" s="116"/>
      <c r="AD201" s="119"/>
      <c r="AE201" s="120"/>
      <c r="AF201" s="116"/>
      <c r="AG201" s="116"/>
      <c r="AH201" s="114" t="s">
        <v>155</v>
      </c>
      <c r="AI201" s="114" t="s">
        <v>155</v>
      </c>
      <c r="AJ201" s="114" t="s">
        <v>205</v>
      </c>
      <c r="AK201" s="114" t="s">
        <v>206</v>
      </c>
      <c r="AL201" s="122" t="s">
        <v>108</v>
      </c>
    </row>
    <row r="202" spans="1:38" ht="33.75" customHeight="1">
      <c r="A202" s="114">
        <v>20</v>
      </c>
      <c r="B202" s="122" t="s">
        <v>55</v>
      </c>
      <c r="C202" s="113"/>
      <c r="D202" s="114">
        <v>2011</v>
      </c>
      <c r="E202" s="115">
        <v>1</v>
      </c>
      <c r="F202" s="116"/>
      <c r="G202" s="116"/>
      <c r="H202" s="116"/>
      <c r="I202" s="117"/>
      <c r="J202" s="116"/>
      <c r="K202" s="116"/>
      <c r="L202" s="116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5">
        <f t="shared" si="2"/>
        <v>1</v>
      </c>
      <c r="Y202" s="117"/>
      <c r="Z202" s="116"/>
      <c r="AA202" s="169">
        <v>0</v>
      </c>
      <c r="AB202" s="117"/>
      <c r="AC202" s="116"/>
      <c r="AD202" s="119"/>
      <c r="AE202" s="120"/>
      <c r="AF202" s="116"/>
      <c r="AG202" s="116"/>
      <c r="AH202" s="114" t="s">
        <v>155</v>
      </c>
      <c r="AI202" s="114" t="s">
        <v>155</v>
      </c>
      <c r="AJ202" s="114" t="s">
        <v>205</v>
      </c>
      <c r="AK202" s="114" t="s">
        <v>206</v>
      </c>
      <c r="AL202" s="122" t="s">
        <v>108</v>
      </c>
    </row>
    <row r="203" spans="1:38" ht="38.25" customHeight="1">
      <c r="A203" s="114">
        <v>21</v>
      </c>
      <c r="B203" s="122" t="s">
        <v>82</v>
      </c>
      <c r="C203" s="113"/>
      <c r="D203" s="114">
        <v>2012</v>
      </c>
      <c r="E203" s="115">
        <v>1</v>
      </c>
      <c r="F203" s="116"/>
      <c r="G203" s="116"/>
      <c r="H203" s="116"/>
      <c r="I203" s="117"/>
      <c r="J203" s="116"/>
      <c r="K203" s="116"/>
      <c r="L203" s="116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5">
        <f t="shared" si="2"/>
        <v>1</v>
      </c>
      <c r="Y203" s="117"/>
      <c r="Z203" s="116"/>
      <c r="AA203" s="169">
        <v>0</v>
      </c>
      <c r="AB203" s="117"/>
      <c r="AC203" s="116"/>
      <c r="AD203" s="119"/>
      <c r="AE203" s="120"/>
      <c r="AF203" s="116"/>
      <c r="AG203" s="116"/>
      <c r="AH203" s="114" t="s">
        <v>155</v>
      </c>
      <c r="AI203" s="114" t="s">
        <v>155</v>
      </c>
      <c r="AJ203" s="114" t="s">
        <v>205</v>
      </c>
      <c r="AK203" s="114" t="s">
        <v>206</v>
      </c>
      <c r="AL203" s="122" t="s">
        <v>108</v>
      </c>
    </row>
    <row r="204" spans="1:38" s="101" customFormat="1" ht="30.75" customHeight="1">
      <c r="A204" s="114">
        <v>22</v>
      </c>
      <c r="B204" s="122" t="s">
        <v>82</v>
      </c>
      <c r="C204" s="121" t="s">
        <v>99</v>
      </c>
      <c r="D204" s="187">
        <v>2012</v>
      </c>
      <c r="E204" s="114">
        <v>1</v>
      </c>
      <c r="F204" s="115">
        <v>1</v>
      </c>
      <c r="G204" s="120"/>
      <c r="H204" s="235" t="s">
        <v>100</v>
      </c>
      <c r="I204" s="185" t="s">
        <v>100</v>
      </c>
      <c r="J204" s="121" t="s">
        <v>101</v>
      </c>
      <c r="K204" s="236"/>
      <c r="L204" s="237"/>
      <c r="M204" s="167"/>
      <c r="N204" s="121"/>
      <c r="O204" s="121"/>
      <c r="P204" s="238"/>
      <c r="Q204" s="238"/>
      <c r="R204" s="238"/>
      <c r="S204" s="238"/>
      <c r="T204" s="238"/>
      <c r="U204" s="238"/>
      <c r="V204" s="238"/>
      <c r="W204" s="238"/>
      <c r="X204" s="114">
        <v>1</v>
      </c>
      <c r="Y204" s="238"/>
      <c r="Z204" s="238"/>
      <c r="AA204" s="169">
        <v>0</v>
      </c>
      <c r="AB204" s="238"/>
      <c r="AC204" s="238"/>
      <c r="AD204" s="238"/>
      <c r="AE204" s="238"/>
      <c r="AF204" s="239"/>
      <c r="AG204" s="239"/>
      <c r="AH204" s="114" t="s">
        <v>155</v>
      </c>
      <c r="AI204" s="114" t="s">
        <v>150</v>
      </c>
      <c r="AJ204" s="114" t="s">
        <v>205</v>
      </c>
      <c r="AK204" s="114" t="s">
        <v>150</v>
      </c>
      <c r="AL204" s="122" t="s">
        <v>108</v>
      </c>
    </row>
    <row r="205" spans="1:38" ht="16.5" customHeight="1"/>
    <row r="206" spans="1:38" ht="16.5" customHeight="1"/>
    <row r="207" spans="1:38" ht="16.5" customHeight="1"/>
    <row r="208" spans="1:3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</sheetData>
  <mergeCells count="98">
    <mergeCell ref="AL16:AL19"/>
    <mergeCell ref="AA16:AC16"/>
    <mergeCell ref="G18:G19"/>
    <mergeCell ref="H18:I18"/>
    <mergeCell ref="Z17:Z19"/>
    <mergeCell ref="X16:Z16"/>
    <mergeCell ref="E16:P16"/>
    <mergeCell ref="AA17:AA19"/>
    <mergeCell ref="AF16:AF19"/>
    <mergeCell ref="AG16:AG19"/>
    <mergeCell ref="Z1:AL1"/>
    <mergeCell ref="Z2:AL2"/>
    <mergeCell ref="A3:AL3"/>
    <mergeCell ref="Z4:AL4"/>
    <mergeCell ref="A5:AL5"/>
    <mergeCell ref="A6:AL6"/>
    <mergeCell ref="E17:E19"/>
    <mergeCell ref="F17:F19"/>
    <mergeCell ref="G17:I17"/>
    <mergeCell ref="X17:X19"/>
    <mergeCell ref="Y17:Y19"/>
    <mergeCell ref="A16:A19"/>
    <mergeCell ref="B16:B19"/>
    <mergeCell ref="AH16:AH19"/>
    <mergeCell ref="AI16:AI19"/>
    <mergeCell ref="AB17:AB19"/>
    <mergeCell ref="AC17:AC19"/>
    <mergeCell ref="AJ16:AJ19"/>
    <mergeCell ref="AD16:AD19"/>
    <mergeCell ref="AE16:AE19"/>
    <mergeCell ref="AK16:AK19"/>
    <mergeCell ref="B200:AL200"/>
    <mergeCell ref="AI132:AJ132"/>
    <mergeCell ref="AK132:AL132"/>
    <mergeCell ref="B64:D64"/>
    <mergeCell ref="D132:AH132"/>
    <mergeCell ref="AK196:AK199"/>
    <mergeCell ref="D136:AH136"/>
    <mergeCell ref="AI136:AJ136"/>
    <mergeCell ref="AK136:AL136"/>
    <mergeCell ref="AA158:AC158"/>
    <mergeCell ref="AD158:AD161"/>
    <mergeCell ref="AE158:AE161"/>
    <mergeCell ref="AA159:AA161"/>
    <mergeCell ref="AB159:AB161"/>
    <mergeCell ref="B165:AL165"/>
    <mergeCell ref="G160:G161"/>
    <mergeCell ref="B48:C48"/>
    <mergeCell ref="C16:C19"/>
    <mergeCell ref="D16:D19"/>
    <mergeCell ref="AJ158:AJ161"/>
    <mergeCell ref="AK158:AK161"/>
    <mergeCell ref="X158:Z158"/>
    <mergeCell ref="X159:X161"/>
    <mergeCell ref="Y159:Y161"/>
    <mergeCell ref="Z159:Z161"/>
    <mergeCell ref="F159:F161"/>
    <mergeCell ref="G159:I159"/>
    <mergeCell ref="AI131:AL131"/>
    <mergeCell ref="AL158:AL161"/>
    <mergeCell ref="A156:AL156"/>
    <mergeCell ref="A158:A161"/>
    <mergeCell ref="AC159:AC161"/>
    <mergeCell ref="H160:I160"/>
    <mergeCell ref="AH158:AH161"/>
    <mergeCell ref="AI158:AI161"/>
    <mergeCell ref="B158:B161"/>
    <mergeCell ref="C158:C161"/>
    <mergeCell ref="D158:D161"/>
    <mergeCell ref="E158:P158"/>
    <mergeCell ref="E159:E161"/>
    <mergeCell ref="B163:D163"/>
    <mergeCell ref="B184:AL184"/>
    <mergeCell ref="A194:AL194"/>
    <mergeCell ref="A196:A199"/>
    <mergeCell ref="B196:B199"/>
    <mergeCell ref="C196:C199"/>
    <mergeCell ref="D196:D199"/>
    <mergeCell ref="E196:P196"/>
    <mergeCell ref="X196:Z196"/>
    <mergeCell ref="AA196:AC196"/>
    <mergeCell ref="AD196:AD199"/>
    <mergeCell ref="AE196:AE199"/>
    <mergeCell ref="AH196:AH199"/>
    <mergeCell ref="AI196:AI199"/>
    <mergeCell ref="AJ196:AJ199"/>
    <mergeCell ref="AL196:AL199"/>
    <mergeCell ref="E197:E199"/>
    <mergeCell ref="F197:F199"/>
    <mergeCell ref="G197:I197"/>
    <mergeCell ref="X197:X199"/>
    <mergeCell ref="Y197:Y199"/>
    <mergeCell ref="Z197:Z199"/>
    <mergeCell ref="AA197:AA199"/>
    <mergeCell ref="AB197:AB199"/>
    <mergeCell ref="AC197:AC199"/>
    <mergeCell ref="G198:G199"/>
    <mergeCell ref="H198:I198"/>
  </mergeCells>
  <phoneticPr fontId="17" type="noConversion"/>
  <printOptions horizontalCentered="1"/>
  <pageMargins left="0" right="0" top="0.36811023599999998" bottom="0.47244094488188998" header="0.196850393700787" footer="0"/>
  <pageSetup paperSize="9" scale="75" orientation="landscape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46"/>
  <sheetViews>
    <sheetView tabSelected="1" topLeftCell="A94" zoomScaleSheetLayoutView="80" workbookViewId="0">
      <selection activeCell="B47" sqref="B47"/>
    </sheetView>
  </sheetViews>
  <sheetFormatPr defaultRowHeight="15.75"/>
  <cols>
    <col min="1" max="1" width="4.85546875" style="262" customWidth="1"/>
    <col min="2" max="2" width="44.5703125" style="1" customWidth="1"/>
    <col min="3" max="3" width="8.28515625" style="1" customWidth="1"/>
    <col min="4" max="4" width="8.28515625" style="263" customWidth="1"/>
    <col min="5" max="5" width="6.5703125" style="263" customWidth="1"/>
    <col min="6" max="6" width="11.5703125" style="5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263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28515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7" style="263" customWidth="1"/>
    <col min="25" max="25" width="12" style="1" hidden="1" customWidth="1"/>
    <col min="26" max="26" width="5.5703125" style="1" hidden="1" customWidth="1"/>
    <col min="27" max="27" width="7.140625" style="1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1" style="1" hidden="1" customWidth="1"/>
    <col min="32" max="32" width="12.7109375" style="1" customWidth="1"/>
    <col min="33" max="33" width="13.85546875" style="1" customWidth="1"/>
    <col min="34" max="34" width="15" style="263" customWidth="1"/>
    <col min="35" max="35" width="15.42578125" style="1" customWidth="1"/>
    <col min="36" max="36" width="10.42578125" style="1" customWidth="1"/>
    <col min="37" max="37" width="10.85546875" style="1" customWidth="1"/>
    <col min="38" max="38" width="9.85546875" style="18" customWidth="1"/>
    <col min="39" max="16384" width="9.140625" style="1"/>
  </cols>
  <sheetData>
    <row r="1" spans="1:38" ht="15.75" customHeight="1">
      <c r="A1" s="3" t="s">
        <v>40</v>
      </c>
      <c r="B1" s="4"/>
      <c r="C1" s="4"/>
      <c r="H1" s="6"/>
      <c r="I1" s="6"/>
      <c r="J1" s="262" t="s">
        <v>0</v>
      </c>
      <c r="K1" s="6"/>
      <c r="L1" s="6"/>
      <c r="M1" s="6"/>
      <c r="N1" s="6"/>
      <c r="P1" s="262"/>
      <c r="Q1" s="262"/>
      <c r="R1" s="262"/>
      <c r="S1" s="262"/>
      <c r="T1" s="262"/>
      <c r="U1" s="262"/>
      <c r="V1" s="262"/>
      <c r="W1" s="262"/>
      <c r="Z1" s="322" t="s">
        <v>0</v>
      </c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" customHeight="1">
      <c r="A2" s="7" t="s">
        <v>41</v>
      </c>
      <c r="K2" s="1"/>
      <c r="O2" s="8"/>
      <c r="P2" s="8"/>
      <c r="Q2" s="8"/>
      <c r="R2" s="8"/>
      <c r="S2" s="8"/>
      <c r="T2" s="8"/>
      <c r="U2" s="8"/>
      <c r="V2" s="8"/>
      <c r="W2" s="8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</row>
    <row r="3" spans="1:38" ht="22.5" hidden="1" customHeight="1">
      <c r="A3" s="322" t="s">
        <v>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</row>
    <row r="4" spans="1:38" ht="15" customHeight="1"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</row>
    <row r="5" spans="1:38" ht="20.25" customHeight="1">
      <c r="A5" s="322" t="s">
        <v>296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</row>
    <row r="6" spans="1:38" ht="20.25" customHeight="1">
      <c r="A6" s="322" t="s">
        <v>224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</row>
    <row r="7" spans="1:38" ht="7.5" customHeight="1"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91"/>
      <c r="AG7" s="291"/>
      <c r="AH7" s="262"/>
      <c r="AI7" s="262"/>
      <c r="AJ7" s="262"/>
      <c r="AK7" s="262"/>
      <c r="AL7" s="262"/>
    </row>
    <row r="8" spans="1:38" ht="18" customHeight="1">
      <c r="A8" s="4" t="s">
        <v>408</v>
      </c>
      <c r="B8" s="263"/>
      <c r="C8" s="263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9"/>
      <c r="AB8" s="262"/>
      <c r="AC8" s="262"/>
      <c r="AD8" s="262"/>
      <c r="AE8" s="262"/>
      <c r="AF8" s="291"/>
      <c r="AG8" s="291"/>
      <c r="AH8" s="262"/>
      <c r="AL8" s="1"/>
    </row>
    <row r="9" spans="1:38" ht="15" customHeight="1">
      <c r="A9" s="10" t="s">
        <v>243</v>
      </c>
      <c r="B9" s="263"/>
      <c r="D9" s="263" t="s">
        <v>244</v>
      </c>
      <c r="E9" s="262"/>
      <c r="F9" s="1"/>
      <c r="H9" s="10"/>
      <c r="I9" s="262"/>
      <c r="K9" s="10" t="s">
        <v>2</v>
      </c>
      <c r="L9" s="262"/>
      <c r="M9" s="11"/>
      <c r="S9" s="10"/>
      <c r="T9" s="12"/>
      <c r="W9" s="9"/>
      <c r="X9" s="262"/>
      <c r="Z9" s="262"/>
      <c r="AA9" s="262"/>
      <c r="AB9" s="10"/>
      <c r="AI9" s="10" t="s">
        <v>86</v>
      </c>
      <c r="AL9" s="1"/>
    </row>
    <row r="10" spans="1:38" ht="15" customHeight="1">
      <c r="A10" s="10" t="s">
        <v>252</v>
      </c>
      <c r="B10" s="263"/>
      <c r="D10" s="263" t="s">
        <v>92</v>
      </c>
      <c r="F10" s="1"/>
      <c r="H10" s="10"/>
      <c r="I10" s="262"/>
      <c r="K10" s="10"/>
      <c r="L10" s="262"/>
      <c r="M10" s="11"/>
      <c r="S10" s="10"/>
      <c r="T10" s="12"/>
      <c r="W10" s="9"/>
      <c r="X10" s="262"/>
      <c r="Z10" s="262"/>
      <c r="AA10" s="262"/>
      <c r="AB10" s="10"/>
      <c r="AI10" s="1" t="s">
        <v>87</v>
      </c>
      <c r="AL10" s="1"/>
    </row>
    <row r="11" spans="1:38" ht="15" customHeight="1">
      <c r="A11" s="10" t="s">
        <v>88</v>
      </c>
      <c r="B11" s="263"/>
      <c r="D11" s="263" t="s">
        <v>89</v>
      </c>
      <c r="E11" s="262"/>
      <c r="F11" s="1"/>
      <c r="H11" s="10"/>
      <c r="I11" s="262"/>
      <c r="K11" s="10" t="s">
        <v>3</v>
      </c>
      <c r="L11" s="262"/>
      <c r="M11" s="11"/>
      <c r="S11" s="10"/>
      <c r="T11" s="12"/>
      <c r="W11" s="9"/>
      <c r="X11" s="262"/>
      <c r="Z11" s="262"/>
      <c r="AA11" s="262"/>
      <c r="AB11" s="10"/>
      <c r="AI11" s="1" t="s">
        <v>90</v>
      </c>
      <c r="AL11" s="1"/>
    </row>
    <row r="12" spans="1:38" ht="15" customHeight="1">
      <c r="A12" s="10" t="s">
        <v>251</v>
      </c>
      <c r="B12" s="263"/>
      <c r="D12" s="263" t="s">
        <v>409</v>
      </c>
      <c r="E12" s="1"/>
      <c r="F12" s="1"/>
      <c r="K12" s="1"/>
      <c r="X12" s="1"/>
      <c r="AA12" s="1"/>
      <c r="AI12" s="1" t="s">
        <v>94</v>
      </c>
      <c r="AL12" s="1"/>
    </row>
    <row r="13" spans="1:38" ht="15" customHeight="1">
      <c r="A13" s="10" t="s">
        <v>91</v>
      </c>
      <c r="E13" s="1"/>
      <c r="F13" s="1"/>
      <c r="K13" s="1"/>
      <c r="X13" s="1"/>
      <c r="AA13" s="1"/>
      <c r="AL13" s="1"/>
    </row>
    <row r="14" spans="1:38" ht="15.75" customHeight="1">
      <c r="A14" s="10" t="s">
        <v>4</v>
      </c>
      <c r="AA14" s="13"/>
      <c r="AL14" s="1"/>
    </row>
    <row r="15" spans="1:38" ht="12.75" customHeight="1">
      <c r="AA15" s="13"/>
      <c r="AL15" s="1"/>
    </row>
    <row r="16" spans="1:38" ht="42.75" customHeight="1">
      <c r="A16" s="330" t="s">
        <v>5</v>
      </c>
      <c r="B16" s="329" t="s">
        <v>6</v>
      </c>
      <c r="C16" s="330" t="s">
        <v>217</v>
      </c>
      <c r="D16" s="330" t="s">
        <v>8</v>
      </c>
      <c r="E16" s="328" t="s">
        <v>42</v>
      </c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265"/>
      <c r="R16" s="265"/>
      <c r="S16" s="265"/>
      <c r="T16" s="265"/>
      <c r="U16" s="265"/>
      <c r="V16" s="265"/>
      <c r="W16" s="269"/>
      <c r="X16" s="326" t="s">
        <v>43</v>
      </c>
      <c r="Y16" s="327"/>
      <c r="Z16" s="327"/>
      <c r="AA16" s="326" t="s">
        <v>44</v>
      </c>
      <c r="AB16" s="327"/>
      <c r="AC16" s="327"/>
      <c r="AD16" s="328" t="s">
        <v>9</v>
      </c>
      <c r="AE16" s="328" t="s">
        <v>10</v>
      </c>
      <c r="AF16" s="333" t="s">
        <v>277</v>
      </c>
      <c r="AG16" s="333" t="s">
        <v>278</v>
      </c>
      <c r="AH16" s="328" t="s">
        <v>11</v>
      </c>
      <c r="AI16" s="328" t="s">
        <v>12</v>
      </c>
      <c r="AJ16" s="328" t="s">
        <v>97</v>
      </c>
      <c r="AK16" s="330" t="s">
        <v>46</v>
      </c>
      <c r="AL16" s="328" t="s">
        <v>47</v>
      </c>
    </row>
    <row r="17" spans="1:38" ht="14.25" customHeight="1">
      <c r="A17" s="331"/>
      <c r="B17" s="329"/>
      <c r="C17" s="331"/>
      <c r="D17" s="336"/>
      <c r="E17" s="330" t="s">
        <v>45</v>
      </c>
      <c r="F17" s="333" t="s">
        <v>13</v>
      </c>
      <c r="G17" s="327" t="s">
        <v>14</v>
      </c>
      <c r="H17" s="327"/>
      <c r="I17" s="327"/>
      <c r="J17" s="269" t="s">
        <v>15</v>
      </c>
      <c r="K17" s="265" t="s">
        <v>16</v>
      </c>
      <c r="L17" s="269"/>
      <c r="M17" s="269" t="s">
        <v>15</v>
      </c>
      <c r="N17" s="269" t="s">
        <v>15</v>
      </c>
      <c r="O17" s="269" t="s">
        <v>15</v>
      </c>
      <c r="P17" s="269" t="s">
        <v>17</v>
      </c>
      <c r="Q17" s="269" t="s">
        <v>17</v>
      </c>
      <c r="R17" s="269" t="s">
        <v>17</v>
      </c>
      <c r="S17" s="269" t="s">
        <v>17</v>
      </c>
      <c r="T17" s="269" t="s">
        <v>17</v>
      </c>
      <c r="U17" s="269" t="s">
        <v>17</v>
      </c>
      <c r="V17" s="269" t="s">
        <v>18</v>
      </c>
      <c r="W17" s="269"/>
      <c r="X17" s="330" t="s">
        <v>45</v>
      </c>
      <c r="Y17" s="333" t="s">
        <v>19</v>
      </c>
      <c r="Z17" s="333" t="s">
        <v>20</v>
      </c>
      <c r="AA17" s="330" t="s">
        <v>45</v>
      </c>
      <c r="AB17" s="333" t="s">
        <v>19</v>
      </c>
      <c r="AC17" s="333" t="s">
        <v>21</v>
      </c>
      <c r="AD17" s="328"/>
      <c r="AE17" s="328"/>
      <c r="AF17" s="334"/>
      <c r="AG17" s="334"/>
      <c r="AH17" s="341"/>
      <c r="AI17" s="340"/>
      <c r="AJ17" s="329"/>
      <c r="AK17" s="331"/>
      <c r="AL17" s="340"/>
    </row>
    <row r="18" spans="1:38" ht="14.25" customHeight="1">
      <c r="A18" s="331"/>
      <c r="B18" s="329"/>
      <c r="C18" s="331"/>
      <c r="D18" s="336"/>
      <c r="E18" s="336"/>
      <c r="F18" s="338"/>
      <c r="G18" s="333" t="s">
        <v>22</v>
      </c>
      <c r="H18" s="327" t="s">
        <v>23</v>
      </c>
      <c r="I18" s="327"/>
      <c r="J18" s="269" t="s">
        <v>24</v>
      </c>
      <c r="K18" s="265" t="s">
        <v>25</v>
      </c>
      <c r="L18" s="269" t="s">
        <v>26</v>
      </c>
      <c r="M18" s="269" t="s">
        <v>24</v>
      </c>
      <c r="N18" s="269" t="s">
        <v>24</v>
      </c>
      <c r="O18" s="269" t="s">
        <v>24</v>
      </c>
      <c r="P18" s="269" t="s">
        <v>27</v>
      </c>
      <c r="Q18" s="269" t="s">
        <v>27</v>
      </c>
      <c r="R18" s="269" t="s">
        <v>27</v>
      </c>
      <c r="S18" s="269" t="s">
        <v>27</v>
      </c>
      <c r="T18" s="269" t="s">
        <v>27</v>
      </c>
      <c r="U18" s="269" t="s">
        <v>27</v>
      </c>
      <c r="V18" s="269" t="s">
        <v>24</v>
      </c>
      <c r="W18" s="269" t="s">
        <v>28</v>
      </c>
      <c r="X18" s="336"/>
      <c r="Y18" s="338"/>
      <c r="Z18" s="338"/>
      <c r="AA18" s="336"/>
      <c r="AB18" s="338"/>
      <c r="AC18" s="338"/>
      <c r="AD18" s="328"/>
      <c r="AE18" s="328"/>
      <c r="AF18" s="334"/>
      <c r="AG18" s="334"/>
      <c r="AH18" s="341"/>
      <c r="AI18" s="340"/>
      <c r="AJ18" s="329"/>
      <c r="AK18" s="331"/>
      <c r="AL18" s="340"/>
    </row>
    <row r="19" spans="1:38" ht="14.25" customHeight="1">
      <c r="A19" s="332"/>
      <c r="B19" s="329"/>
      <c r="C19" s="332"/>
      <c r="D19" s="337"/>
      <c r="E19" s="337"/>
      <c r="F19" s="339"/>
      <c r="G19" s="335"/>
      <c r="H19" s="19" t="s">
        <v>29</v>
      </c>
      <c r="I19" s="268" t="s">
        <v>30</v>
      </c>
      <c r="J19" s="269" t="s">
        <v>31</v>
      </c>
      <c r="K19" s="265" t="s">
        <v>32</v>
      </c>
      <c r="L19" s="269" t="s">
        <v>33</v>
      </c>
      <c r="M19" s="269" t="s">
        <v>31</v>
      </c>
      <c r="N19" s="269" t="s">
        <v>34</v>
      </c>
      <c r="O19" s="269" t="s">
        <v>34</v>
      </c>
      <c r="P19" s="269" t="s">
        <v>34</v>
      </c>
      <c r="Q19" s="269" t="s">
        <v>34</v>
      </c>
      <c r="R19" s="269" t="s">
        <v>34</v>
      </c>
      <c r="S19" s="269" t="s">
        <v>34</v>
      </c>
      <c r="T19" s="269" t="s">
        <v>34</v>
      </c>
      <c r="U19" s="269" t="s">
        <v>34</v>
      </c>
      <c r="V19" s="269" t="s">
        <v>34</v>
      </c>
      <c r="W19" s="269" t="s">
        <v>35</v>
      </c>
      <c r="X19" s="337"/>
      <c r="Y19" s="339"/>
      <c r="Z19" s="339"/>
      <c r="AA19" s="337"/>
      <c r="AB19" s="339"/>
      <c r="AC19" s="339"/>
      <c r="AD19" s="328"/>
      <c r="AE19" s="328"/>
      <c r="AF19" s="335"/>
      <c r="AG19" s="335"/>
      <c r="AH19" s="341"/>
      <c r="AI19" s="340"/>
      <c r="AJ19" s="329"/>
      <c r="AK19" s="332"/>
      <c r="AL19" s="340"/>
    </row>
    <row r="20" spans="1:38" s="2" customFormat="1" ht="29.25" customHeight="1">
      <c r="A20" s="265" t="s">
        <v>36</v>
      </c>
      <c r="B20" s="265" t="s">
        <v>37</v>
      </c>
      <c r="C20" s="265" t="s">
        <v>38</v>
      </c>
      <c r="D20" s="265" t="s">
        <v>39</v>
      </c>
      <c r="E20" s="265">
        <v>1</v>
      </c>
      <c r="F20" s="269">
        <v>2</v>
      </c>
      <c r="G20" s="20">
        <v>3</v>
      </c>
      <c r="H20" s="20">
        <v>4</v>
      </c>
      <c r="I20" s="269">
        <v>5</v>
      </c>
      <c r="J20" s="20">
        <v>7</v>
      </c>
      <c r="K20" s="269">
        <v>8</v>
      </c>
      <c r="L20" s="20">
        <v>9</v>
      </c>
      <c r="M20" s="269">
        <v>10</v>
      </c>
      <c r="N20" s="269"/>
      <c r="O20" s="20">
        <v>6</v>
      </c>
      <c r="P20" s="20"/>
      <c r="Q20" s="20"/>
      <c r="R20" s="20"/>
      <c r="S20" s="20"/>
      <c r="T20" s="20"/>
      <c r="U20" s="20"/>
      <c r="V20" s="20"/>
      <c r="W20" s="20">
        <v>5</v>
      </c>
      <c r="X20" s="265">
        <v>2</v>
      </c>
      <c r="Y20" s="269">
        <v>7</v>
      </c>
      <c r="Z20" s="269">
        <v>8</v>
      </c>
      <c r="AA20" s="269">
        <v>3</v>
      </c>
      <c r="AB20" s="265">
        <v>10</v>
      </c>
      <c r="AC20" s="20">
        <v>11</v>
      </c>
      <c r="AD20" s="265"/>
      <c r="AE20" s="265"/>
      <c r="AF20" s="292"/>
      <c r="AG20" s="292"/>
      <c r="AH20" s="265">
        <v>4</v>
      </c>
      <c r="AI20" s="265">
        <v>5</v>
      </c>
      <c r="AJ20" s="265">
        <v>6</v>
      </c>
      <c r="AK20" s="265">
        <v>7</v>
      </c>
      <c r="AL20" s="265">
        <v>8</v>
      </c>
    </row>
    <row r="21" spans="1:38" s="52" customFormat="1" ht="25.5" customHeight="1">
      <c r="A21" s="41" t="s">
        <v>152</v>
      </c>
      <c r="B21" s="42" t="s">
        <v>111</v>
      </c>
      <c r="C21" s="43"/>
      <c r="D21" s="43"/>
      <c r="E21" s="44"/>
      <c r="F21" s="45"/>
      <c r="G21" s="45"/>
      <c r="H21" s="45"/>
      <c r="I21" s="46"/>
      <c r="J21" s="45"/>
      <c r="K21" s="45"/>
      <c r="L21" s="4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4"/>
      <c r="Y21" s="46"/>
      <c r="Z21" s="45"/>
      <c r="AA21" s="44"/>
      <c r="AB21" s="46"/>
      <c r="AC21" s="45"/>
      <c r="AD21" s="47"/>
      <c r="AE21" s="48"/>
      <c r="AF21" s="48"/>
      <c r="AG21" s="48"/>
      <c r="AH21" s="49"/>
      <c r="AI21" s="49"/>
      <c r="AJ21" s="49"/>
      <c r="AK21" s="50"/>
      <c r="AL21" s="51"/>
    </row>
    <row r="22" spans="1:38" s="2" customFormat="1" ht="25.5" customHeight="1">
      <c r="A22" s="23">
        <v>1</v>
      </c>
      <c r="B22" s="32" t="s">
        <v>118</v>
      </c>
      <c r="C22" s="23" t="s">
        <v>215</v>
      </c>
      <c r="D22" s="23">
        <v>2022</v>
      </c>
      <c r="E22" s="23">
        <v>3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N22" s="23">
        <v>3</v>
      </c>
      <c r="O22" s="23">
        <v>3</v>
      </c>
      <c r="P22" s="23">
        <v>3</v>
      </c>
      <c r="Q22" s="23">
        <v>3</v>
      </c>
      <c r="R22" s="23">
        <v>3</v>
      </c>
      <c r="S22" s="23">
        <v>3</v>
      </c>
      <c r="T22" s="23">
        <v>3</v>
      </c>
      <c r="U22" s="23">
        <v>3</v>
      </c>
      <c r="V22" s="23">
        <v>3</v>
      </c>
      <c r="W22" s="23">
        <v>3</v>
      </c>
      <c r="X22" s="23">
        <v>3</v>
      </c>
      <c r="Y22" s="26"/>
      <c r="Z22" s="25"/>
      <c r="AA22" s="24">
        <v>0</v>
      </c>
      <c r="AB22" s="26"/>
      <c r="AC22" s="25"/>
      <c r="AD22" s="27"/>
      <c r="AE22" s="28"/>
      <c r="AF22" s="28"/>
      <c r="AG22" s="28"/>
      <c r="AH22" s="29" t="s">
        <v>166</v>
      </c>
      <c r="AI22" s="29" t="s">
        <v>218</v>
      </c>
      <c r="AJ22" s="29" t="s">
        <v>101</v>
      </c>
      <c r="AK22" s="30"/>
      <c r="AL22" s="31"/>
    </row>
    <row r="23" spans="1:38" s="2" customFormat="1" ht="25.5" customHeight="1">
      <c r="A23" s="23">
        <v>2</v>
      </c>
      <c r="B23" s="32" t="s">
        <v>119</v>
      </c>
      <c r="C23" s="23" t="s">
        <v>215</v>
      </c>
      <c r="D23" s="23">
        <v>2022</v>
      </c>
      <c r="E23" s="23">
        <v>1</v>
      </c>
      <c r="F23" s="23">
        <v>1</v>
      </c>
      <c r="G23" s="23">
        <v>1</v>
      </c>
      <c r="H23" s="23">
        <v>1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23">
        <v>1</v>
      </c>
      <c r="Q23" s="23">
        <v>1</v>
      </c>
      <c r="R23" s="23">
        <v>1</v>
      </c>
      <c r="S23" s="23">
        <v>1</v>
      </c>
      <c r="T23" s="23">
        <v>1</v>
      </c>
      <c r="U23" s="23">
        <v>1</v>
      </c>
      <c r="V23" s="23">
        <v>1</v>
      </c>
      <c r="W23" s="23">
        <v>1</v>
      </c>
      <c r="X23" s="23">
        <v>1</v>
      </c>
      <c r="Y23" s="26"/>
      <c r="Z23" s="25"/>
      <c r="AA23" s="24">
        <v>0</v>
      </c>
      <c r="AB23" s="26"/>
      <c r="AC23" s="25"/>
      <c r="AD23" s="27"/>
      <c r="AE23" s="28"/>
      <c r="AF23" s="28"/>
      <c r="AG23" s="28"/>
      <c r="AH23" s="29" t="s">
        <v>166</v>
      </c>
      <c r="AI23" s="29" t="s">
        <v>218</v>
      </c>
      <c r="AJ23" s="29" t="s">
        <v>101</v>
      </c>
      <c r="AK23" s="30"/>
      <c r="AL23" s="31"/>
    </row>
    <row r="24" spans="1:38" s="2" customFormat="1" ht="25.5" customHeight="1">
      <c r="A24" s="23">
        <v>3</v>
      </c>
      <c r="B24" s="32" t="s">
        <v>120</v>
      </c>
      <c r="C24" s="23" t="s">
        <v>215</v>
      </c>
      <c r="D24" s="23">
        <v>2022</v>
      </c>
      <c r="E24" s="23">
        <v>3</v>
      </c>
      <c r="F24" s="23">
        <v>3</v>
      </c>
      <c r="G24" s="23">
        <v>3</v>
      </c>
      <c r="H24" s="23">
        <v>3</v>
      </c>
      <c r="I24" s="23">
        <v>3</v>
      </c>
      <c r="J24" s="23">
        <v>3</v>
      </c>
      <c r="K24" s="23">
        <v>3</v>
      </c>
      <c r="L24" s="23">
        <v>3</v>
      </c>
      <c r="M24" s="23">
        <v>3</v>
      </c>
      <c r="N24" s="23">
        <v>3</v>
      </c>
      <c r="O24" s="23">
        <v>3</v>
      </c>
      <c r="P24" s="23">
        <v>3</v>
      </c>
      <c r="Q24" s="23">
        <v>3</v>
      </c>
      <c r="R24" s="23">
        <v>3</v>
      </c>
      <c r="S24" s="23">
        <v>3</v>
      </c>
      <c r="T24" s="23">
        <v>3</v>
      </c>
      <c r="U24" s="23">
        <v>3</v>
      </c>
      <c r="V24" s="23">
        <v>3</v>
      </c>
      <c r="W24" s="23">
        <v>3</v>
      </c>
      <c r="X24" s="23">
        <v>3</v>
      </c>
      <c r="Y24" s="26"/>
      <c r="Z24" s="25"/>
      <c r="AA24" s="24">
        <v>0</v>
      </c>
      <c r="AB24" s="26"/>
      <c r="AC24" s="25"/>
      <c r="AD24" s="27"/>
      <c r="AE24" s="28"/>
      <c r="AF24" s="28"/>
      <c r="AG24" s="28"/>
      <c r="AH24" s="29" t="s">
        <v>166</v>
      </c>
      <c r="AI24" s="29" t="s">
        <v>218</v>
      </c>
      <c r="AJ24" s="29" t="s">
        <v>101</v>
      </c>
      <c r="AK24" s="30"/>
      <c r="AL24" s="31"/>
    </row>
    <row r="25" spans="1:38" s="2" customFormat="1" ht="25.5" customHeight="1">
      <c r="A25" s="23">
        <v>4</v>
      </c>
      <c r="B25" s="32" t="s">
        <v>121</v>
      </c>
      <c r="C25" s="23" t="s">
        <v>215</v>
      </c>
      <c r="D25" s="23">
        <v>2022</v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23">
        <v>1</v>
      </c>
      <c r="O25" s="23">
        <v>1</v>
      </c>
      <c r="P25" s="23">
        <v>1</v>
      </c>
      <c r="Q25" s="23">
        <v>1</v>
      </c>
      <c r="R25" s="23">
        <v>1</v>
      </c>
      <c r="S25" s="23">
        <v>1</v>
      </c>
      <c r="T25" s="23">
        <v>1</v>
      </c>
      <c r="U25" s="23">
        <v>1</v>
      </c>
      <c r="V25" s="23">
        <v>1</v>
      </c>
      <c r="W25" s="23">
        <v>1</v>
      </c>
      <c r="X25" s="23">
        <v>1</v>
      </c>
      <c r="Y25" s="26"/>
      <c r="Z25" s="25"/>
      <c r="AA25" s="24">
        <v>0</v>
      </c>
      <c r="AB25" s="26"/>
      <c r="AC25" s="25"/>
      <c r="AD25" s="27"/>
      <c r="AE25" s="28"/>
      <c r="AF25" s="28"/>
      <c r="AG25" s="28"/>
      <c r="AH25" s="29" t="s">
        <v>166</v>
      </c>
      <c r="AI25" s="29" t="s">
        <v>218</v>
      </c>
      <c r="AJ25" s="29" t="s">
        <v>101</v>
      </c>
      <c r="AK25" s="30"/>
      <c r="AL25" s="31"/>
    </row>
    <row r="26" spans="1:38" s="2" customFormat="1" ht="25.5" customHeight="1">
      <c r="A26" s="23">
        <v>5</v>
      </c>
      <c r="B26" s="32" t="s">
        <v>122</v>
      </c>
      <c r="C26" s="23" t="s">
        <v>215</v>
      </c>
      <c r="D26" s="23">
        <v>2022</v>
      </c>
      <c r="E26" s="23">
        <v>1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23">
        <v>1</v>
      </c>
      <c r="O26" s="23">
        <v>1</v>
      </c>
      <c r="P26" s="23">
        <v>1</v>
      </c>
      <c r="Q26" s="23">
        <v>1</v>
      </c>
      <c r="R26" s="23">
        <v>1</v>
      </c>
      <c r="S26" s="23">
        <v>1</v>
      </c>
      <c r="T26" s="23">
        <v>1</v>
      </c>
      <c r="U26" s="23">
        <v>1</v>
      </c>
      <c r="V26" s="23">
        <v>1</v>
      </c>
      <c r="W26" s="23">
        <v>1</v>
      </c>
      <c r="X26" s="23">
        <v>1</v>
      </c>
      <c r="Y26" s="26"/>
      <c r="Z26" s="25"/>
      <c r="AA26" s="24">
        <v>0</v>
      </c>
      <c r="AB26" s="26"/>
      <c r="AC26" s="25"/>
      <c r="AD26" s="27"/>
      <c r="AE26" s="28"/>
      <c r="AF26" s="28"/>
      <c r="AG26" s="28"/>
      <c r="AH26" s="29" t="s">
        <v>166</v>
      </c>
      <c r="AI26" s="29" t="s">
        <v>218</v>
      </c>
      <c r="AJ26" s="29" t="s">
        <v>101</v>
      </c>
      <c r="AK26" s="30"/>
      <c r="AL26" s="31"/>
    </row>
    <row r="27" spans="1:38" s="2" customFormat="1" ht="25.5" customHeight="1">
      <c r="A27" s="23">
        <v>6</v>
      </c>
      <c r="B27" s="33" t="s">
        <v>123</v>
      </c>
      <c r="C27" s="23" t="s">
        <v>216</v>
      </c>
      <c r="D27" s="23">
        <v>2022</v>
      </c>
      <c r="E27" s="23">
        <v>1</v>
      </c>
      <c r="F27" s="23">
        <v>1</v>
      </c>
      <c r="G27" s="23">
        <v>1</v>
      </c>
      <c r="H27" s="23">
        <v>1</v>
      </c>
      <c r="I27" s="23">
        <v>1</v>
      </c>
      <c r="J27" s="23">
        <v>1</v>
      </c>
      <c r="K27" s="23">
        <v>1</v>
      </c>
      <c r="L27" s="23">
        <v>1</v>
      </c>
      <c r="M27" s="23">
        <v>1</v>
      </c>
      <c r="N27" s="23">
        <v>1</v>
      </c>
      <c r="O27" s="23">
        <v>1</v>
      </c>
      <c r="P27" s="23">
        <v>1</v>
      </c>
      <c r="Q27" s="23">
        <v>1</v>
      </c>
      <c r="R27" s="23">
        <v>1</v>
      </c>
      <c r="S27" s="23">
        <v>1</v>
      </c>
      <c r="T27" s="23">
        <v>1</v>
      </c>
      <c r="U27" s="23">
        <v>1</v>
      </c>
      <c r="V27" s="23">
        <v>1</v>
      </c>
      <c r="W27" s="23">
        <v>1</v>
      </c>
      <c r="X27" s="23">
        <v>1</v>
      </c>
      <c r="Y27" s="26"/>
      <c r="Z27" s="25"/>
      <c r="AA27" s="24">
        <v>0</v>
      </c>
      <c r="AB27" s="26"/>
      <c r="AC27" s="25"/>
      <c r="AD27" s="27"/>
      <c r="AE27" s="28"/>
      <c r="AF27" s="28"/>
      <c r="AG27" s="28"/>
      <c r="AH27" s="29" t="s">
        <v>166</v>
      </c>
      <c r="AI27" s="29" t="s">
        <v>218</v>
      </c>
      <c r="AJ27" s="29" t="s">
        <v>101</v>
      </c>
      <c r="AK27" s="30"/>
      <c r="AL27" s="31"/>
    </row>
    <row r="28" spans="1:38" s="2" customFormat="1" ht="25.5" customHeight="1">
      <c r="A28" s="23">
        <v>7</v>
      </c>
      <c r="B28" s="34" t="s">
        <v>124</v>
      </c>
      <c r="C28" s="23" t="s">
        <v>216</v>
      </c>
      <c r="D28" s="23">
        <v>2022</v>
      </c>
      <c r="E28" s="23">
        <v>2</v>
      </c>
      <c r="F28" s="23">
        <v>2</v>
      </c>
      <c r="G28" s="23">
        <v>2</v>
      </c>
      <c r="H28" s="23">
        <v>2</v>
      </c>
      <c r="I28" s="23">
        <v>2</v>
      </c>
      <c r="J28" s="23">
        <v>2</v>
      </c>
      <c r="K28" s="23">
        <v>2</v>
      </c>
      <c r="L28" s="23">
        <v>2</v>
      </c>
      <c r="M28" s="23">
        <v>2</v>
      </c>
      <c r="N28" s="23">
        <v>2</v>
      </c>
      <c r="O28" s="23">
        <v>2</v>
      </c>
      <c r="P28" s="23">
        <v>2</v>
      </c>
      <c r="Q28" s="23">
        <v>2</v>
      </c>
      <c r="R28" s="23">
        <v>2</v>
      </c>
      <c r="S28" s="23">
        <v>2</v>
      </c>
      <c r="T28" s="23">
        <v>2</v>
      </c>
      <c r="U28" s="23">
        <v>2</v>
      </c>
      <c r="V28" s="23">
        <v>2</v>
      </c>
      <c r="W28" s="23">
        <v>2</v>
      </c>
      <c r="X28" s="23">
        <v>2</v>
      </c>
      <c r="Y28" s="26"/>
      <c r="Z28" s="25"/>
      <c r="AA28" s="24">
        <v>0</v>
      </c>
      <c r="AB28" s="26"/>
      <c r="AC28" s="25"/>
      <c r="AD28" s="27"/>
      <c r="AE28" s="28"/>
      <c r="AF28" s="28"/>
      <c r="AG28" s="28"/>
      <c r="AH28" s="29" t="s">
        <v>166</v>
      </c>
      <c r="AI28" s="29" t="s">
        <v>218</v>
      </c>
      <c r="AJ28" s="29" t="s">
        <v>101</v>
      </c>
      <c r="AK28" s="30"/>
      <c r="AL28" s="31"/>
    </row>
    <row r="29" spans="1:38" s="2" customFormat="1" ht="25.5" customHeight="1">
      <c r="A29" s="21" t="s">
        <v>168</v>
      </c>
      <c r="B29" s="22" t="s">
        <v>112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6"/>
      <c r="Z29" s="25"/>
      <c r="AA29" s="24"/>
      <c r="AB29" s="26"/>
      <c r="AC29" s="25"/>
      <c r="AD29" s="27"/>
      <c r="AE29" s="28"/>
      <c r="AF29" s="28"/>
      <c r="AG29" s="28"/>
      <c r="AH29" s="29"/>
      <c r="AI29" s="29"/>
      <c r="AJ29" s="29"/>
      <c r="AK29" s="30"/>
      <c r="AL29" s="31"/>
    </row>
    <row r="30" spans="1:38" s="2" customFormat="1" ht="25.5" customHeight="1">
      <c r="A30" s="23">
        <v>1</v>
      </c>
      <c r="B30" s="32" t="s">
        <v>118</v>
      </c>
      <c r="C30" s="23" t="s">
        <v>215</v>
      </c>
      <c r="D30" s="23">
        <v>2022</v>
      </c>
      <c r="E30" s="23">
        <v>9</v>
      </c>
      <c r="F30" s="23">
        <v>9</v>
      </c>
      <c r="G30" s="23">
        <v>9</v>
      </c>
      <c r="H30" s="23">
        <v>9</v>
      </c>
      <c r="I30" s="23">
        <v>9</v>
      </c>
      <c r="J30" s="23">
        <v>9</v>
      </c>
      <c r="K30" s="23">
        <v>9</v>
      </c>
      <c r="L30" s="23">
        <v>9</v>
      </c>
      <c r="M30" s="23">
        <v>9</v>
      </c>
      <c r="N30" s="23">
        <v>9</v>
      </c>
      <c r="O30" s="23">
        <v>9</v>
      </c>
      <c r="P30" s="23">
        <v>9</v>
      </c>
      <c r="Q30" s="23">
        <v>9</v>
      </c>
      <c r="R30" s="23">
        <v>9</v>
      </c>
      <c r="S30" s="23">
        <v>9</v>
      </c>
      <c r="T30" s="23">
        <v>9</v>
      </c>
      <c r="U30" s="23">
        <v>9</v>
      </c>
      <c r="V30" s="23">
        <v>9</v>
      </c>
      <c r="W30" s="23">
        <v>9</v>
      </c>
      <c r="X30" s="23">
        <v>9</v>
      </c>
      <c r="Y30" s="26"/>
      <c r="Z30" s="25"/>
      <c r="AA30" s="24">
        <v>0</v>
      </c>
      <c r="AB30" s="26"/>
      <c r="AC30" s="25"/>
      <c r="AD30" s="27"/>
      <c r="AE30" s="28"/>
      <c r="AF30" s="28"/>
      <c r="AG30" s="28"/>
      <c r="AH30" s="29" t="s">
        <v>166</v>
      </c>
      <c r="AI30" s="29" t="s">
        <v>219</v>
      </c>
      <c r="AJ30" s="29" t="s">
        <v>101</v>
      </c>
      <c r="AK30" s="30"/>
      <c r="AL30" s="31"/>
    </row>
    <row r="31" spans="1:38" s="2" customFormat="1" ht="25.5" customHeight="1">
      <c r="A31" s="23">
        <v>2</v>
      </c>
      <c r="B31" s="32" t="s">
        <v>119</v>
      </c>
      <c r="C31" s="23" t="s">
        <v>215</v>
      </c>
      <c r="D31" s="23">
        <v>2022</v>
      </c>
      <c r="E31" s="23">
        <v>1</v>
      </c>
      <c r="F31" s="23">
        <v>1</v>
      </c>
      <c r="G31" s="23">
        <v>1</v>
      </c>
      <c r="H31" s="23">
        <v>1</v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1</v>
      </c>
      <c r="R31" s="23">
        <v>1</v>
      </c>
      <c r="S31" s="23">
        <v>1</v>
      </c>
      <c r="T31" s="23">
        <v>1</v>
      </c>
      <c r="U31" s="23">
        <v>1</v>
      </c>
      <c r="V31" s="23">
        <v>1</v>
      </c>
      <c r="W31" s="23">
        <v>1</v>
      </c>
      <c r="X31" s="23">
        <v>1</v>
      </c>
      <c r="Y31" s="26"/>
      <c r="Z31" s="25"/>
      <c r="AA31" s="24">
        <v>0</v>
      </c>
      <c r="AB31" s="26"/>
      <c r="AC31" s="25"/>
      <c r="AD31" s="27"/>
      <c r="AE31" s="28"/>
      <c r="AF31" s="28"/>
      <c r="AG31" s="28"/>
      <c r="AH31" s="29" t="s">
        <v>166</v>
      </c>
      <c r="AI31" s="29" t="s">
        <v>219</v>
      </c>
      <c r="AJ31" s="29" t="s">
        <v>101</v>
      </c>
      <c r="AK31" s="30"/>
      <c r="AL31" s="31"/>
    </row>
    <row r="32" spans="1:38" s="2" customFormat="1" ht="25.5" customHeight="1">
      <c r="A32" s="23">
        <v>3</v>
      </c>
      <c r="B32" s="32" t="s">
        <v>120</v>
      </c>
      <c r="C32" s="23" t="s">
        <v>215</v>
      </c>
      <c r="D32" s="23">
        <v>2022</v>
      </c>
      <c r="E32" s="23">
        <v>5</v>
      </c>
      <c r="F32" s="23">
        <v>5</v>
      </c>
      <c r="G32" s="23">
        <v>5</v>
      </c>
      <c r="H32" s="23">
        <v>5</v>
      </c>
      <c r="I32" s="23">
        <v>5</v>
      </c>
      <c r="J32" s="23">
        <v>5</v>
      </c>
      <c r="K32" s="23">
        <v>5</v>
      </c>
      <c r="L32" s="23">
        <v>5</v>
      </c>
      <c r="M32" s="23">
        <v>5</v>
      </c>
      <c r="N32" s="23">
        <v>5</v>
      </c>
      <c r="O32" s="23">
        <v>5</v>
      </c>
      <c r="P32" s="23">
        <v>5</v>
      </c>
      <c r="Q32" s="23">
        <v>5</v>
      </c>
      <c r="R32" s="23">
        <v>5</v>
      </c>
      <c r="S32" s="23">
        <v>5</v>
      </c>
      <c r="T32" s="23">
        <v>5</v>
      </c>
      <c r="U32" s="23">
        <v>5</v>
      </c>
      <c r="V32" s="23">
        <v>5</v>
      </c>
      <c r="W32" s="23">
        <v>5</v>
      </c>
      <c r="X32" s="23">
        <v>5</v>
      </c>
      <c r="Y32" s="26"/>
      <c r="Z32" s="25"/>
      <c r="AA32" s="24">
        <v>0</v>
      </c>
      <c r="AB32" s="26"/>
      <c r="AC32" s="25"/>
      <c r="AD32" s="27"/>
      <c r="AE32" s="28"/>
      <c r="AF32" s="28"/>
      <c r="AG32" s="28"/>
      <c r="AH32" s="29" t="s">
        <v>166</v>
      </c>
      <c r="AI32" s="29" t="s">
        <v>219</v>
      </c>
      <c r="AJ32" s="29" t="s">
        <v>101</v>
      </c>
      <c r="AK32" s="30"/>
      <c r="AL32" s="31"/>
    </row>
    <row r="33" spans="1:38" s="2" customFormat="1" ht="25.5" customHeight="1">
      <c r="A33" s="23">
        <v>4</v>
      </c>
      <c r="B33" s="32" t="s">
        <v>121</v>
      </c>
      <c r="C33" s="23" t="s">
        <v>215</v>
      </c>
      <c r="D33" s="23">
        <v>2022</v>
      </c>
      <c r="E33" s="23">
        <v>1</v>
      </c>
      <c r="F33" s="23">
        <v>1</v>
      </c>
      <c r="G33" s="23">
        <v>1</v>
      </c>
      <c r="H33" s="23">
        <v>1</v>
      </c>
      <c r="I33" s="23">
        <v>1</v>
      </c>
      <c r="J33" s="23">
        <v>1</v>
      </c>
      <c r="K33" s="23">
        <v>1</v>
      </c>
      <c r="L33" s="23">
        <v>1</v>
      </c>
      <c r="M33" s="23">
        <v>1</v>
      </c>
      <c r="N33" s="23">
        <v>1</v>
      </c>
      <c r="O33" s="23">
        <v>1</v>
      </c>
      <c r="P33" s="23">
        <v>1</v>
      </c>
      <c r="Q33" s="23">
        <v>1</v>
      </c>
      <c r="R33" s="23">
        <v>1</v>
      </c>
      <c r="S33" s="23">
        <v>1</v>
      </c>
      <c r="T33" s="23">
        <v>1</v>
      </c>
      <c r="U33" s="23">
        <v>1</v>
      </c>
      <c r="V33" s="23">
        <v>1</v>
      </c>
      <c r="W33" s="23">
        <v>1</v>
      </c>
      <c r="X33" s="23">
        <v>1</v>
      </c>
      <c r="Y33" s="26"/>
      <c r="Z33" s="25"/>
      <c r="AA33" s="24">
        <v>0</v>
      </c>
      <c r="AB33" s="26"/>
      <c r="AC33" s="25"/>
      <c r="AD33" s="27"/>
      <c r="AE33" s="28"/>
      <c r="AF33" s="28"/>
      <c r="AG33" s="28"/>
      <c r="AH33" s="29" t="s">
        <v>166</v>
      </c>
      <c r="AI33" s="29" t="s">
        <v>219</v>
      </c>
      <c r="AJ33" s="29" t="s">
        <v>101</v>
      </c>
      <c r="AK33" s="30"/>
      <c r="AL33" s="31"/>
    </row>
    <row r="34" spans="1:38" s="2" customFormat="1" ht="25.5" customHeight="1">
      <c r="A34" s="23">
        <v>5</v>
      </c>
      <c r="B34" s="32" t="s">
        <v>125</v>
      </c>
      <c r="C34" s="23" t="s">
        <v>215</v>
      </c>
      <c r="D34" s="23">
        <v>2022</v>
      </c>
      <c r="E34" s="23">
        <v>2</v>
      </c>
      <c r="F34" s="23">
        <v>2</v>
      </c>
      <c r="G34" s="23">
        <v>2</v>
      </c>
      <c r="H34" s="23">
        <v>2</v>
      </c>
      <c r="I34" s="23">
        <v>2</v>
      </c>
      <c r="J34" s="23">
        <v>2</v>
      </c>
      <c r="K34" s="23">
        <v>2</v>
      </c>
      <c r="L34" s="23">
        <v>2</v>
      </c>
      <c r="M34" s="23">
        <v>2</v>
      </c>
      <c r="N34" s="23">
        <v>2</v>
      </c>
      <c r="O34" s="23">
        <v>2</v>
      </c>
      <c r="P34" s="23">
        <v>2</v>
      </c>
      <c r="Q34" s="23">
        <v>2</v>
      </c>
      <c r="R34" s="23">
        <v>2</v>
      </c>
      <c r="S34" s="23">
        <v>2</v>
      </c>
      <c r="T34" s="23">
        <v>2</v>
      </c>
      <c r="U34" s="23">
        <v>2</v>
      </c>
      <c r="V34" s="23">
        <v>2</v>
      </c>
      <c r="W34" s="23">
        <v>2</v>
      </c>
      <c r="X34" s="23">
        <v>2</v>
      </c>
      <c r="Y34" s="26"/>
      <c r="Z34" s="25"/>
      <c r="AA34" s="24">
        <v>0</v>
      </c>
      <c r="AB34" s="26"/>
      <c r="AC34" s="25"/>
      <c r="AD34" s="27"/>
      <c r="AE34" s="28"/>
      <c r="AF34" s="294">
        <v>15675000</v>
      </c>
      <c r="AG34" s="295">
        <f>+X34*AF34</f>
        <v>31350000</v>
      </c>
      <c r="AH34" s="29" t="s">
        <v>166</v>
      </c>
      <c r="AI34" s="29" t="s">
        <v>219</v>
      </c>
      <c r="AJ34" s="29" t="s">
        <v>101</v>
      </c>
      <c r="AK34" s="30"/>
      <c r="AL34" s="31"/>
    </row>
    <row r="35" spans="1:38" s="2" customFormat="1" ht="25.5" customHeight="1">
      <c r="A35" s="23">
        <v>6</v>
      </c>
      <c r="B35" s="33" t="s">
        <v>123</v>
      </c>
      <c r="C35" s="23" t="s">
        <v>216</v>
      </c>
      <c r="D35" s="23">
        <v>2022</v>
      </c>
      <c r="E35" s="23">
        <v>1</v>
      </c>
      <c r="F35" s="23">
        <v>1</v>
      </c>
      <c r="G35" s="23">
        <v>1</v>
      </c>
      <c r="H35" s="23">
        <v>1</v>
      </c>
      <c r="I35" s="23">
        <v>1</v>
      </c>
      <c r="J35" s="23">
        <v>1</v>
      </c>
      <c r="K35" s="23">
        <v>1</v>
      </c>
      <c r="L35" s="23">
        <v>1</v>
      </c>
      <c r="M35" s="23">
        <v>1</v>
      </c>
      <c r="N35" s="23">
        <v>1</v>
      </c>
      <c r="O35" s="23">
        <v>1</v>
      </c>
      <c r="P35" s="23">
        <v>1</v>
      </c>
      <c r="Q35" s="23">
        <v>1</v>
      </c>
      <c r="R35" s="23">
        <v>1</v>
      </c>
      <c r="S35" s="23">
        <v>1</v>
      </c>
      <c r="T35" s="23">
        <v>1</v>
      </c>
      <c r="U35" s="23">
        <v>1</v>
      </c>
      <c r="V35" s="23">
        <v>1</v>
      </c>
      <c r="W35" s="23">
        <v>1</v>
      </c>
      <c r="X35" s="23">
        <v>1</v>
      </c>
      <c r="Y35" s="26"/>
      <c r="Z35" s="25"/>
      <c r="AA35" s="24">
        <v>0</v>
      </c>
      <c r="AB35" s="26"/>
      <c r="AC35" s="25"/>
      <c r="AD35" s="27"/>
      <c r="AE35" s="28"/>
      <c r="AF35" s="28"/>
      <c r="AG35" s="28"/>
      <c r="AH35" s="29" t="s">
        <v>166</v>
      </c>
      <c r="AI35" s="29" t="s">
        <v>219</v>
      </c>
      <c r="AJ35" s="29" t="s">
        <v>101</v>
      </c>
      <c r="AK35" s="30"/>
      <c r="AL35" s="31"/>
    </row>
    <row r="36" spans="1:38" s="2" customFormat="1" ht="25.5" customHeight="1">
      <c r="A36" s="23">
        <v>7</v>
      </c>
      <c r="B36" s="34" t="s">
        <v>124</v>
      </c>
      <c r="C36" s="23" t="s">
        <v>216</v>
      </c>
      <c r="D36" s="23">
        <v>2022</v>
      </c>
      <c r="E36" s="23">
        <v>4</v>
      </c>
      <c r="F36" s="23">
        <v>4</v>
      </c>
      <c r="G36" s="23">
        <v>4</v>
      </c>
      <c r="H36" s="23">
        <v>4</v>
      </c>
      <c r="I36" s="23">
        <v>4</v>
      </c>
      <c r="J36" s="23">
        <v>4</v>
      </c>
      <c r="K36" s="23">
        <v>4</v>
      </c>
      <c r="L36" s="23">
        <v>4</v>
      </c>
      <c r="M36" s="23">
        <v>4</v>
      </c>
      <c r="N36" s="23">
        <v>4</v>
      </c>
      <c r="O36" s="23">
        <v>4</v>
      </c>
      <c r="P36" s="23">
        <v>4</v>
      </c>
      <c r="Q36" s="23">
        <v>4</v>
      </c>
      <c r="R36" s="23">
        <v>4</v>
      </c>
      <c r="S36" s="23">
        <v>4</v>
      </c>
      <c r="T36" s="23">
        <v>4</v>
      </c>
      <c r="U36" s="23">
        <v>4</v>
      </c>
      <c r="V36" s="23">
        <v>4</v>
      </c>
      <c r="W36" s="23">
        <v>4</v>
      </c>
      <c r="X36" s="23">
        <v>4</v>
      </c>
      <c r="Y36" s="26"/>
      <c r="Z36" s="25"/>
      <c r="AA36" s="24">
        <v>0</v>
      </c>
      <c r="AB36" s="26"/>
      <c r="AC36" s="25"/>
      <c r="AD36" s="27"/>
      <c r="AE36" s="28"/>
      <c r="AF36" s="28"/>
      <c r="AG36" s="28"/>
      <c r="AH36" s="29" t="s">
        <v>166</v>
      </c>
      <c r="AI36" s="29" t="s">
        <v>219</v>
      </c>
      <c r="AJ36" s="29" t="s">
        <v>101</v>
      </c>
      <c r="AK36" s="30"/>
      <c r="AL36" s="31"/>
    </row>
    <row r="37" spans="1:38" s="2" customFormat="1" ht="25.5" customHeight="1">
      <c r="A37" s="21" t="s">
        <v>175</v>
      </c>
      <c r="B37" s="22" t="s">
        <v>113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6"/>
      <c r="Z37" s="25"/>
      <c r="AA37" s="24"/>
      <c r="AB37" s="26"/>
      <c r="AC37" s="25"/>
      <c r="AD37" s="27"/>
      <c r="AE37" s="28"/>
      <c r="AF37" s="28"/>
      <c r="AG37" s="28"/>
      <c r="AH37" s="29"/>
      <c r="AI37" s="29"/>
      <c r="AJ37" s="29"/>
      <c r="AK37" s="30"/>
      <c r="AL37" s="31"/>
    </row>
    <row r="38" spans="1:38" s="2" customFormat="1" ht="25.5" customHeight="1">
      <c r="A38" s="23">
        <v>1</v>
      </c>
      <c r="B38" s="32" t="s">
        <v>118</v>
      </c>
      <c r="C38" s="23" t="s">
        <v>215</v>
      </c>
      <c r="D38" s="23">
        <v>2022</v>
      </c>
      <c r="E38" s="23">
        <v>6</v>
      </c>
      <c r="F38" s="23">
        <v>6</v>
      </c>
      <c r="G38" s="23">
        <v>6</v>
      </c>
      <c r="H38" s="23">
        <v>6</v>
      </c>
      <c r="I38" s="23">
        <v>6</v>
      </c>
      <c r="J38" s="23">
        <v>6</v>
      </c>
      <c r="K38" s="23">
        <v>6</v>
      </c>
      <c r="L38" s="23">
        <v>6</v>
      </c>
      <c r="M38" s="23">
        <v>6</v>
      </c>
      <c r="N38" s="23">
        <v>6</v>
      </c>
      <c r="O38" s="23">
        <v>6</v>
      </c>
      <c r="P38" s="23">
        <v>6</v>
      </c>
      <c r="Q38" s="23">
        <v>6</v>
      </c>
      <c r="R38" s="23">
        <v>6</v>
      </c>
      <c r="S38" s="23">
        <v>6</v>
      </c>
      <c r="T38" s="23">
        <v>6</v>
      </c>
      <c r="U38" s="23">
        <v>6</v>
      </c>
      <c r="V38" s="23">
        <v>6</v>
      </c>
      <c r="W38" s="23">
        <v>6</v>
      </c>
      <c r="X38" s="23">
        <v>6</v>
      </c>
      <c r="Y38" s="26"/>
      <c r="Z38" s="25"/>
      <c r="AA38" s="24">
        <v>0</v>
      </c>
      <c r="AB38" s="26"/>
      <c r="AC38" s="25"/>
      <c r="AD38" s="27"/>
      <c r="AE38" s="28"/>
      <c r="AF38" s="28"/>
      <c r="AG38" s="28"/>
      <c r="AH38" s="29" t="s">
        <v>166</v>
      </c>
      <c r="AI38" s="29" t="s">
        <v>151</v>
      </c>
      <c r="AJ38" s="29" t="s">
        <v>101</v>
      </c>
      <c r="AK38" s="30"/>
      <c r="AL38" s="31"/>
    </row>
    <row r="39" spans="1:38" s="2" customFormat="1" ht="25.5" customHeight="1">
      <c r="A39" s="23">
        <v>2</v>
      </c>
      <c r="B39" s="32" t="s">
        <v>126</v>
      </c>
      <c r="C39" s="23" t="s">
        <v>215</v>
      </c>
      <c r="D39" s="23">
        <v>2022</v>
      </c>
      <c r="E39" s="23">
        <v>2</v>
      </c>
      <c r="F39" s="23">
        <v>2</v>
      </c>
      <c r="G39" s="23">
        <v>2</v>
      </c>
      <c r="H39" s="23">
        <v>2</v>
      </c>
      <c r="I39" s="23">
        <v>2</v>
      </c>
      <c r="J39" s="23">
        <v>2</v>
      </c>
      <c r="K39" s="23">
        <v>2</v>
      </c>
      <c r="L39" s="23">
        <v>2</v>
      </c>
      <c r="M39" s="23">
        <v>2</v>
      </c>
      <c r="N39" s="23">
        <v>2</v>
      </c>
      <c r="O39" s="23">
        <v>2</v>
      </c>
      <c r="P39" s="23">
        <v>2</v>
      </c>
      <c r="Q39" s="23">
        <v>2</v>
      </c>
      <c r="R39" s="23">
        <v>2</v>
      </c>
      <c r="S39" s="23">
        <v>2</v>
      </c>
      <c r="T39" s="23">
        <v>2</v>
      </c>
      <c r="U39" s="23">
        <v>2</v>
      </c>
      <c r="V39" s="23">
        <v>2</v>
      </c>
      <c r="W39" s="23">
        <v>2</v>
      </c>
      <c r="X39" s="23">
        <v>2</v>
      </c>
      <c r="Y39" s="26"/>
      <c r="Z39" s="25"/>
      <c r="AA39" s="24">
        <v>0</v>
      </c>
      <c r="AB39" s="26"/>
      <c r="AC39" s="25"/>
      <c r="AD39" s="27"/>
      <c r="AE39" s="28"/>
      <c r="AF39" s="28"/>
      <c r="AG39" s="28"/>
      <c r="AH39" s="29" t="s">
        <v>166</v>
      </c>
      <c r="AI39" s="29" t="s">
        <v>151</v>
      </c>
      <c r="AJ39" s="29" t="s">
        <v>101</v>
      </c>
      <c r="AK39" s="30"/>
      <c r="AL39" s="31"/>
    </row>
    <row r="40" spans="1:38" s="2" customFormat="1" ht="25.5" customHeight="1">
      <c r="A40" s="23">
        <v>3</v>
      </c>
      <c r="B40" s="32" t="s">
        <v>119</v>
      </c>
      <c r="C40" s="23" t="s">
        <v>215</v>
      </c>
      <c r="D40" s="23">
        <v>2022</v>
      </c>
      <c r="E40" s="23">
        <v>1</v>
      </c>
      <c r="F40" s="23">
        <v>1</v>
      </c>
      <c r="G40" s="23">
        <v>1</v>
      </c>
      <c r="H40" s="23">
        <v>1</v>
      </c>
      <c r="I40" s="23">
        <v>1</v>
      </c>
      <c r="J40" s="23">
        <v>1</v>
      </c>
      <c r="K40" s="23">
        <v>1</v>
      </c>
      <c r="L40" s="23">
        <v>1</v>
      </c>
      <c r="M40" s="23">
        <v>1</v>
      </c>
      <c r="N40" s="23">
        <v>1</v>
      </c>
      <c r="O40" s="23">
        <v>1</v>
      </c>
      <c r="P40" s="23">
        <v>1</v>
      </c>
      <c r="Q40" s="23">
        <v>1</v>
      </c>
      <c r="R40" s="23">
        <v>1</v>
      </c>
      <c r="S40" s="23">
        <v>1</v>
      </c>
      <c r="T40" s="23">
        <v>1</v>
      </c>
      <c r="U40" s="23">
        <v>1</v>
      </c>
      <c r="V40" s="23">
        <v>1</v>
      </c>
      <c r="W40" s="23">
        <v>1</v>
      </c>
      <c r="X40" s="23">
        <v>1</v>
      </c>
      <c r="Y40" s="26"/>
      <c r="Z40" s="25"/>
      <c r="AA40" s="24">
        <v>0</v>
      </c>
      <c r="AB40" s="26"/>
      <c r="AC40" s="25"/>
      <c r="AD40" s="27"/>
      <c r="AE40" s="28"/>
      <c r="AF40" s="28"/>
      <c r="AG40" s="28"/>
      <c r="AH40" s="29" t="s">
        <v>166</v>
      </c>
      <c r="AI40" s="29" t="s">
        <v>151</v>
      </c>
      <c r="AJ40" s="29" t="s">
        <v>101</v>
      </c>
      <c r="AK40" s="30"/>
      <c r="AL40" s="31"/>
    </row>
    <row r="41" spans="1:38" s="2" customFormat="1" ht="25.5" customHeight="1">
      <c r="A41" s="23">
        <v>4</v>
      </c>
      <c r="B41" s="32" t="s">
        <v>120</v>
      </c>
      <c r="C41" s="23" t="s">
        <v>215</v>
      </c>
      <c r="D41" s="23">
        <v>2022</v>
      </c>
      <c r="E41" s="23">
        <v>8</v>
      </c>
      <c r="F41" s="23">
        <v>8</v>
      </c>
      <c r="G41" s="23">
        <v>8</v>
      </c>
      <c r="H41" s="23">
        <v>8</v>
      </c>
      <c r="I41" s="23">
        <v>8</v>
      </c>
      <c r="J41" s="23">
        <v>8</v>
      </c>
      <c r="K41" s="23">
        <v>8</v>
      </c>
      <c r="L41" s="23">
        <v>8</v>
      </c>
      <c r="M41" s="23">
        <v>8</v>
      </c>
      <c r="N41" s="23">
        <v>8</v>
      </c>
      <c r="O41" s="23">
        <v>8</v>
      </c>
      <c r="P41" s="23">
        <v>8</v>
      </c>
      <c r="Q41" s="23">
        <v>8</v>
      </c>
      <c r="R41" s="23">
        <v>8</v>
      </c>
      <c r="S41" s="23">
        <v>8</v>
      </c>
      <c r="T41" s="23">
        <v>8</v>
      </c>
      <c r="U41" s="23">
        <v>8</v>
      </c>
      <c r="V41" s="23">
        <v>8</v>
      </c>
      <c r="W41" s="23">
        <v>8</v>
      </c>
      <c r="X41" s="23">
        <v>8</v>
      </c>
      <c r="Y41" s="26"/>
      <c r="Z41" s="25"/>
      <c r="AA41" s="24">
        <v>0</v>
      </c>
      <c r="AB41" s="26"/>
      <c r="AC41" s="25"/>
      <c r="AD41" s="27"/>
      <c r="AE41" s="28"/>
      <c r="AF41" s="28"/>
      <c r="AG41" s="28"/>
      <c r="AH41" s="29" t="s">
        <v>166</v>
      </c>
      <c r="AI41" s="29" t="s">
        <v>151</v>
      </c>
      <c r="AJ41" s="29" t="s">
        <v>101</v>
      </c>
      <c r="AK41" s="30"/>
      <c r="AL41" s="31"/>
    </row>
    <row r="42" spans="1:38" s="2" customFormat="1" ht="25.5" customHeight="1">
      <c r="A42" s="23">
        <v>5</v>
      </c>
      <c r="B42" s="32" t="s">
        <v>121</v>
      </c>
      <c r="C42" s="23" t="s">
        <v>215</v>
      </c>
      <c r="D42" s="23">
        <v>2022</v>
      </c>
      <c r="E42" s="23">
        <v>1</v>
      </c>
      <c r="F42" s="23">
        <v>1</v>
      </c>
      <c r="G42" s="23">
        <v>1</v>
      </c>
      <c r="H42" s="23">
        <v>1</v>
      </c>
      <c r="I42" s="23">
        <v>1</v>
      </c>
      <c r="J42" s="23">
        <v>1</v>
      </c>
      <c r="K42" s="23">
        <v>1</v>
      </c>
      <c r="L42" s="23">
        <v>1</v>
      </c>
      <c r="M42" s="23">
        <v>1</v>
      </c>
      <c r="N42" s="23">
        <v>1</v>
      </c>
      <c r="O42" s="23">
        <v>1</v>
      </c>
      <c r="P42" s="23">
        <v>1</v>
      </c>
      <c r="Q42" s="23">
        <v>1</v>
      </c>
      <c r="R42" s="23">
        <v>1</v>
      </c>
      <c r="S42" s="23">
        <v>1</v>
      </c>
      <c r="T42" s="23">
        <v>1</v>
      </c>
      <c r="U42" s="23">
        <v>1</v>
      </c>
      <c r="V42" s="23">
        <v>1</v>
      </c>
      <c r="W42" s="23">
        <v>1</v>
      </c>
      <c r="X42" s="23">
        <v>1</v>
      </c>
      <c r="Y42" s="26"/>
      <c r="Z42" s="25"/>
      <c r="AA42" s="24">
        <v>0</v>
      </c>
      <c r="AB42" s="26"/>
      <c r="AC42" s="25"/>
      <c r="AD42" s="27"/>
      <c r="AE42" s="28"/>
      <c r="AF42" s="28"/>
      <c r="AG42" s="28"/>
      <c r="AH42" s="29" t="s">
        <v>166</v>
      </c>
      <c r="AI42" s="29" t="s">
        <v>151</v>
      </c>
      <c r="AJ42" s="29" t="s">
        <v>101</v>
      </c>
      <c r="AK42" s="30"/>
      <c r="AL42" s="31"/>
    </row>
    <row r="43" spans="1:38" s="2" customFormat="1" ht="25.5" customHeight="1">
      <c r="A43" s="23">
        <v>6</v>
      </c>
      <c r="B43" s="32" t="s">
        <v>127</v>
      </c>
      <c r="C43" s="23" t="s">
        <v>215</v>
      </c>
      <c r="D43" s="23">
        <v>2022</v>
      </c>
      <c r="E43" s="23">
        <v>1</v>
      </c>
      <c r="F43" s="23">
        <v>1</v>
      </c>
      <c r="G43" s="23">
        <v>1</v>
      </c>
      <c r="H43" s="23">
        <v>1</v>
      </c>
      <c r="I43" s="23">
        <v>1</v>
      </c>
      <c r="J43" s="23">
        <v>1</v>
      </c>
      <c r="K43" s="23">
        <v>1</v>
      </c>
      <c r="L43" s="23">
        <v>1</v>
      </c>
      <c r="M43" s="23">
        <v>1</v>
      </c>
      <c r="N43" s="23">
        <v>1</v>
      </c>
      <c r="O43" s="23">
        <v>1</v>
      </c>
      <c r="P43" s="23">
        <v>1</v>
      </c>
      <c r="Q43" s="23">
        <v>1</v>
      </c>
      <c r="R43" s="23">
        <v>1</v>
      </c>
      <c r="S43" s="23">
        <v>1</v>
      </c>
      <c r="T43" s="23">
        <v>1</v>
      </c>
      <c r="U43" s="23">
        <v>1</v>
      </c>
      <c r="V43" s="23">
        <v>1</v>
      </c>
      <c r="W43" s="23">
        <v>1</v>
      </c>
      <c r="X43" s="23">
        <v>1</v>
      </c>
      <c r="Y43" s="26"/>
      <c r="Z43" s="25"/>
      <c r="AA43" s="24">
        <v>0</v>
      </c>
      <c r="AB43" s="26"/>
      <c r="AC43" s="25"/>
      <c r="AD43" s="27"/>
      <c r="AE43" s="28"/>
      <c r="AF43" s="28"/>
      <c r="AG43" s="28"/>
      <c r="AH43" s="29" t="s">
        <v>166</v>
      </c>
      <c r="AI43" s="29" t="s">
        <v>151</v>
      </c>
      <c r="AJ43" s="29" t="s">
        <v>101</v>
      </c>
      <c r="AK43" s="30"/>
      <c r="AL43" s="31"/>
    </row>
    <row r="44" spans="1:38" s="2" customFormat="1" ht="25.5" customHeight="1">
      <c r="A44" s="23">
        <v>7</v>
      </c>
      <c r="B44" s="32" t="s">
        <v>128</v>
      </c>
      <c r="C44" s="23" t="s">
        <v>215</v>
      </c>
      <c r="D44" s="23">
        <v>2022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6"/>
      <c r="Z44" s="25"/>
      <c r="AA44" s="24">
        <v>0</v>
      </c>
      <c r="AB44" s="26"/>
      <c r="AC44" s="25"/>
      <c r="AD44" s="27"/>
      <c r="AE44" s="28"/>
      <c r="AF44" s="294">
        <v>12669000</v>
      </c>
      <c r="AG44" s="295">
        <f>+X44*AF44</f>
        <v>12669000</v>
      </c>
      <c r="AH44" s="29" t="s">
        <v>166</v>
      </c>
      <c r="AI44" s="29" t="s">
        <v>151</v>
      </c>
      <c r="AJ44" s="29" t="s">
        <v>101</v>
      </c>
      <c r="AK44" s="30"/>
      <c r="AL44" s="31"/>
    </row>
    <row r="45" spans="1:38" s="2" customFormat="1" ht="25.5" customHeight="1">
      <c r="A45" s="23">
        <v>8</v>
      </c>
      <c r="B45" s="32" t="s">
        <v>130</v>
      </c>
      <c r="C45" s="23" t="s">
        <v>215</v>
      </c>
      <c r="D45" s="23">
        <v>2022</v>
      </c>
      <c r="E45" s="23">
        <v>1</v>
      </c>
      <c r="F45" s="23">
        <v>1</v>
      </c>
      <c r="G45" s="23">
        <v>1</v>
      </c>
      <c r="H45" s="23">
        <v>1</v>
      </c>
      <c r="I45" s="23">
        <v>1</v>
      </c>
      <c r="J45" s="23">
        <v>1</v>
      </c>
      <c r="K45" s="23">
        <v>1</v>
      </c>
      <c r="L45" s="23">
        <v>1</v>
      </c>
      <c r="M45" s="23">
        <v>1</v>
      </c>
      <c r="N45" s="23">
        <v>1</v>
      </c>
      <c r="O45" s="23">
        <v>1</v>
      </c>
      <c r="P45" s="23">
        <v>1</v>
      </c>
      <c r="Q45" s="23">
        <v>1</v>
      </c>
      <c r="R45" s="23">
        <v>1</v>
      </c>
      <c r="S45" s="23">
        <v>1</v>
      </c>
      <c r="T45" s="23">
        <v>1</v>
      </c>
      <c r="U45" s="23">
        <v>1</v>
      </c>
      <c r="V45" s="23">
        <v>1</v>
      </c>
      <c r="W45" s="23">
        <v>1</v>
      </c>
      <c r="X45" s="23">
        <v>1</v>
      </c>
      <c r="Y45" s="26"/>
      <c r="Z45" s="25"/>
      <c r="AA45" s="24">
        <v>0</v>
      </c>
      <c r="AB45" s="26"/>
      <c r="AC45" s="25"/>
      <c r="AD45" s="27"/>
      <c r="AE45" s="28"/>
      <c r="AF45" s="28"/>
      <c r="AG45" s="28"/>
      <c r="AH45" s="29" t="s">
        <v>166</v>
      </c>
      <c r="AI45" s="29" t="s">
        <v>151</v>
      </c>
      <c r="AJ45" s="29" t="s">
        <v>101</v>
      </c>
      <c r="AK45" s="30"/>
      <c r="AL45" s="31"/>
    </row>
    <row r="46" spans="1:38" s="2" customFormat="1" ht="25.5" customHeight="1">
      <c r="A46" s="23">
        <v>9</v>
      </c>
      <c r="B46" s="33" t="s">
        <v>123</v>
      </c>
      <c r="C46" s="23" t="s">
        <v>216</v>
      </c>
      <c r="D46" s="23">
        <v>2022</v>
      </c>
      <c r="E46" s="23">
        <v>3</v>
      </c>
      <c r="F46" s="23">
        <v>3</v>
      </c>
      <c r="G46" s="23">
        <v>3</v>
      </c>
      <c r="H46" s="23">
        <v>3</v>
      </c>
      <c r="I46" s="23">
        <v>3</v>
      </c>
      <c r="J46" s="23">
        <v>3</v>
      </c>
      <c r="K46" s="23">
        <v>3</v>
      </c>
      <c r="L46" s="23">
        <v>3</v>
      </c>
      <c r="M46" s="23">
        <v>3</v>
      </c>
      <c r="N46" s="23">
        <v>3</v>
      </c>
      <c r="O46" s="23">
        <v>3</v>
      </c>
      <c r="P46" s="23">
        <v>3</v>
      </c>
      <c r="Q46" s="23">
        <v>3</v>
      </c>
      <c r="R46" s="23">
        <v>3</v>
      </c>
      <c r="S46" s="23">
        <v>3</v>
      </c>
      <c r="T46" s="23">
        <v>3</v>
      </c>
      <c r="U46" s="23">
        <v>3</v>
      </c>
      <c r="V46" s="23">
        <v>3</v>
      </c>
      <c r="W46" s="23">
        <v>3</v>
      </c>
      <c r="X46" s="23">
        <v>3</v>
      </c>
      <c r="Y46" s="26"/>
      <c r="Z46" s="25"/>
      <c r="AA46" s="24">
        <v>0</v>
      </c>
      <c r="AB46" s="26"/>
      <c r="AC46" s="25"/>
      <c r="AD46" s="27"/>
      <c r="AE46" s="28"/>
      <c r="AF46" s="28"/>
      <c r="AG46" s="28"/>
      <c r="AH46" s="29" t="s">
        <v>166</v>
      </c>
      <c r="AI46" s="29" t="s">
        <v>151</v>
      </c>
      <c r="AJ46" s="29" t="s">
        <v>101</v>
      </c>
      <c r="AK46" s="30"/>
      <c r="AL46" s="31"/>
    </row>
    <row r="47" spans="1:38" s="2" customFormat="1" ht="25.5" customHeight="1">
      <c r="A47" s="23">
        <v>10</v>
      </c>
      <c r="B47" s="34" t="s">
        <v>124</v>
      </c>
      <c r="C47" s="23" t="s">
        <v>216</v>
      </c>
      <c r="D47" s="23">
        <v>2022</v>
      </c>
      <c r="E47" s="23">
        <v>4</v>
      </c>
      <c r="F47" s="23">
        <v>4</v>
      </c>
      <c r="G47" s="23">
        <v>4</v>
      </c>
      <c r="H47" s="23">
        <v>4</v>
      </c>
      <c r="I47" s="23">
        <v>4</v>
      </c>
      <c r="J47" s="23">
        <v>4</v>
      </c>
      <c r="K47" s="23">
        <v>4</v>
      </c>
      <c r="L47" s="23">
        <v>4</v>
      </c>
      <c r="M47" s="23">
        <v>4</v>
      </c>
      <c r="N47" s="23">
        <v>4</v>
      </c>
      <c r="O47" s="23">
        <v>4</v>
      </c>
      <c r="P47" s="23">
        <v>4</v>
      </c>
      <c r="Q47" s="23">
        <v>4</v>
      </c>
      <c r="R47" s="23">
        <v>4</v>
      </c>
      <c r="S47" s="23">
        <v>4</v>
      </c>
      <c r="T47" s="23">
        <v>4</v>
      </c>
      <c r="U47" s="23">
        <v>4</v>
      </c>
      <c r="V47" s="23">
        <v>4</v>
      </c>
      <c r="W47" s="23">
        <v>4</v>
      </c>
      <c r="X47" s="23">
        <v>4</v>
      </c>
      <c r="Y47" s="26"/>
      <c r="Z47" s="25"/>
      <c r="AA47" s="24">
        <v>0</v>
      </c>
      <c r="AB47" s="26"/>
      <c r="AC47" s="25"/>
      <c r="AD47" s="27"/>
      <c r="AE47" s="28"/>
      <c r="AF47" s="28"/>
      <c r="AG47" s="28"/>
      <c r="AH47" s="29" t="s">
        <v>166</v>
      </c>
      <c r="AI47" s="29" t="s">
        <v>151</v>
      </c>
      <c r="AJ47" s="29" t="s">
        <v>101</v>
      </c>
      <c r="AK47" s="30"/>
      <c r="AL47" s="31"/>
    </row>
    <row r="48" spans="1:38" s="2" customFormat="1" ht="25.5" customHeight="1">
      <c r="A48" s="21" t="s">
        <v>187</v>
      </c>
      <c r="B48" s="22" t="s">
        <v>114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6"/>
      <c r="Z48" s="25"/>
      <c r="AA48" s="24"/>
      <c r="AB48" s="26"/>
      <c r="AC48" s="25"/>
      <c r="AD48" s="27"/>
      <c r="AE48" s="28"/>
      <c r="AF48" s="28"/>
      <c r="AG48" s="28"/>
      <c r="AH48" s="29"/>
      <c r="AI48" s="29"/>
      <c r="AJ48" s="29"/>
      <c r="AK48" s="30"/>
      <c r="AL48" s="31"/>
    </row>
    <row r="49" spans="1:38" s="2" customFormat="1" ht="25.5" customHeight="1">
      <c r="A49" s="23">
        <v>1</v>
      </c>
      <c r="B49" s="32" t="s">
        <v>118</v>
      </c>
      <c r="C49" s="23" t="s">
        <v>215</v>
      </c>
      <c r="D49" s="23">
        <v>2022</v>
      </c>
      <c r="E49" s="23">
        <v>4</v>
      </c>
      <c r="F49" s="23">
        <v>4</v>
      </c>
      <c r="G49" s="23">
        <v>4</v>
      </c>
      <c r="H49" s="23">
        <v>4</v>
      </c>
      <c r="I49" s="23">
        <v>4</v>
      </c>
      <c r="J49" s="23">
        <v>4</v>
      </c>
      <c r="K49" s="23">
        <v>4</v>
      </c>
      <c r="L49" s="23">
        <v>4</v>
      </c>
      <c r="M49" s="23">
        <v>4</v>
      </c>
      <c r="N49" s="23">
        <v>4</v>
      </c>
      <c r="O49" s="23">
        <v>4</v>
      </c>
      <c r="P49" s="23">
        <v>4</v>
      </c>
      <c r="Q49" s="23">
        <v>4</v>
      </c>
      <c r="R49" s="23">
        <v>4</v>
      </c>
      <c r="S49" s="23">
        <v>4</v>
      </c>
      <c r="T49" s="23">
        <v>4</v>
      </c>
      <c r="U49" s="23">
        <v>4</v>
      </c>
      <c r="V49" s="23">
        <v>4</v>
      </c>
      <c r="W49" s="23">
        <v>4</v>
      </c>
      <c r="X49" s="23">
        <v>4</v>
      </c>
      <c r="Y49" s="26"/>
      <c r="Z49" s="25"/>
      <c r="AA49" s="24">
        <v>0</v>
      </c>
      <c r="AB49" s="26"/>
      <c r="AC49" s="25"/>
      <c r="AD49" s="27"/>
      <c r="AE49" s="28"/>
      <c r="AF49" s="28"/>
      <c r="AG49" s="28"/>
      <c r="AH49" s="29" t="s">
        <v>166</v>
      </c>
      <c r="AI49" s="29" t="s">
        <v>220</v>
      </c>
      <c r="AJ49" s="29" t="s">
        <v>101</v>
      </c>
      <c r="AK49" s="30"/>
      <c r="AL49" s="31"/>
    </row>
    <row r="50" spans="1:38" s="2" customFormat="1" ht="25.5" customHeight="1">
      <c r="A50" s="23">
        <v>2</v>
      </c>
      <c r="B50" s="32" t="s">
        <v>119</v>
      </c>
      <c r="C50" s="23" t="s">
        <v>215</v>
      </c>
      <c r="D50" s="23">
        <v>2022</v>
      </c>
      <c r="E50" s="23">
        <v>1</v>
      </c>
      <c r="F50" s="23">
        <v>1</v>
      </c>
      <c r="G50" s="23">
        <v>1</v>
      </c>
      <c r="H50" s="23">
        <v>1</v>
      </c>
      <c r="I50" s="23">
        <v>1</v>
      </c>
      <c r="J50" s="23">
        <v>1</v>
      </c>
      <c r="K50" s="23">
        <v>1</v>
      </c>
      <c r="L50" s="23">
        <v>1</v>
      </c>
      <c r="M50" s="23">
        <v>1</v>
      </c>
      <c r="N50" s="23">
        <v>1</v>
      </c>
      <c r="O50" s="23">
        <v>1</v>
      </c>
      <c r="P50" s="23">
        <v>1</v>
      </c>
      <c r="Q50" s="23">
        <v>1</v>
      </c>
      <c r="R50" s="23">
        <v>1</v>
      </c>
      <c r="S50" s="23">
        <v>1</v>
      </c>
      <c r="T50" s="23">
        <v>1</v>
      </c>
      <c r="U50" s="23">
        <v>1</v>
      </c>
      <c r="V50" s="23">
        <v>1</v>
      </c>
      <c r="W50" s="23">
        <v>1</v>
      </c>
      <c r="X50" s="23">
        <v>1</v>
      </c>
      <c r="Y50" s="26"/>
      <c r="Z50" s="25"/>
      <c r="AA50" s="24">
        <v>0</v>
      </c>
      <c r="AB50" s="26"/>
      <c r="AC50" s="25"/>
      <c r="AD50" s="27"/>
      <c r="AE50" s="28"/>
      <c r="AF50" s="28"/>
      <c r="AG50" s="28"/>
      <c r="AH50" s="29" t="s">
        <v>166</v>
      </c>
      <c r="AI50" s="29" t="s">
        <v>220</v>
      </c>
      <c r="AJ50" s="29" t="s">
        <v>101</v>
      </c>
      <c r="AK50" s="30"/>
      <c r="AL50" s="31"/>
    </row>
    <row r="51" spans="1:38" s="2" customFormat="1" ht="25.5" customHeight="1">
      <c r="A51" s="23">
        <v>3</v>
      </c>
      <c r="B51" s="32" t="s">
        <v>120</v>
      </c>
      <c r="C51" s="23" t="s">
        <v>215</v>
      </c>
      <c r="D51" s="23">
        <v>2022</v>
      </c>
      <c r="E51" s="23">
        <v>4</v>
      </c>
      <c r="F51" s="23">
        <v>4</v>
      </c>
      <c r="G51" s="23">
        <v>4</v>
      </c>
      <c r="H51" s="23">
        <v>4</v>
      </c>
      <c r="I51" s="23">
        <v>4</v>
      </c>
      <c r="J51" s="23">
        <v>4</v>
      </c>
      <c r="K51" s="23">
        <v>4</v>
      </c>
      <c r="L51" s="23">
        <v>4</v>
      </c>
      <c r="M51" s="23">
        <v>4</v>
      </c>
      <c r="N51" s="23">
        <v>4</v>
      </c>
      <c r="O51" s="23">
        <v>4</v>
      </c>
      <c r="P51" s="23">
        <v>4</v>
      </c>
      <c r="Q51" s="23">
        <v>4</v>
      </c>
      <c r="R51" s="23">
        <v>4</v>
      </c>
      <c r="S51" s="23">
        <v>4</v>
      </c>
      <c r="T51" s="23">
        <v>4</v>
      </c>
      <c r="U51" s="23">
        <v>4</v>
      </c>
      <c r="V51" s="23">
        <v>4</v>
      </c>
      <c r="W51" s="23">
        <v>4</v>
      </c>
      <c r="X51" s="23">
        <v>4</v>
      </c>
      <c r="Y51" s="26"/>
      <c r="Z51" s="25"/>
      <c r="AA51" s="24">
        <v>0</v>
      </c>
      <c r="AB51" s="26"/>
      <c r="AC51" s="25"/>
      <c r="AD51" s="27"/>
      <c r="AE51" s="28"/>
      <c r="AF51" s="28"/>
      <c r="AG51" s="28"/>
      <c r="AH51" s="29" t="s">
        <v>166</v>
      </c>
      <c r="AI51" s="29" t="s">
        <v>220</v>
      </c>
      <c r="AJ51" s="29" t="s">
        <v>101</v>
      </c>
      <c r="AK51" s="30"/>
      <c r="AL51" s="31"/>
    </row>
    <row r="52" spans="1:38" s="2" customFormat="1" ht="25.5" customHeight="1">
      <c r="A52" s="23">
        <v>4</v>
      </c>
      <c r="B52" s="32" t="s">
        <v>121</v>
      </c>
      <c r="C52" s="23" t="s">
        <v>215</v>
      </c>
      <c r="D52" s="23">
        <v>2022</v>
      </c>
      <c r="E52" s="23">
        <v>1</v>
      </c>
      <c r="F52" s="23">
        <v>1</v>
      </c>
      <c r="G52" s="23">
        <v>1</v>
      </c>
      <c r="H52" s="23">
        <v>1</v>
      </c>
      <c r="I52" s="23">
        <v>1</v>
      </c>
      <c r="J52" s="23">
        <v>1</v>
      </c>
      <c r="K52" s="23">
        <v>1</v>
      </c>
      <c r="L52" s="23">
        <v>1</v>
      </c>
      <c r="M52" s="23">
        <v>1</v>
      </c>
      <c r="N52" s="23">
        <v>1</v>
      </c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1</v>
      </c>
      <c r="V52" s="23">
        <v>1</v>
      </c>
      <c r="W52" s="23">
        <v>1</v>
      </c>
      <c r="X52" s="23">
        <v>1</v>
      </c>
      <c r="Y52" s="26"/>
      <c r="Z52" s="25"/>
      <c r="AA52" s="24">
        <v>0</v>
      </c>
      <c r="AB52" s="26"/>
      <c r="AC52" s="25"/>
      <c r="AD52" s="27"/>
      <c r="AE52" s="28"/>
      <c r="AF52" s="28"/>
      <c r="AG52" s="28"/>
      <c r="AH52" s="29" t="s">
        <v>166</v>
      </c>
      <c r="AI52" s="29" t="s">
        <v>220</v>
      </c>
      <c r="AJ52" s="29" t="s">
        <v>101</v>
      </c>
      <c r="AK52" s="30"/>
      <c r="AL52" s="31"/>
    </row>
    <row r="53" spans="1:38" s="2" customFormat="1" ht="25.5" customHeight="1">
      <c r="A53" s="23">
        <v>5</v>
      </c>
      <c r="B53" s="32" t="s">
        <v>131</v>
      </c>
      <c r="C53" s="23" t="s">
        <v>215</v>
      </c>
      <c r="D53" s="23">
        <v>2022</v>
      </c>
      <c r="E53" s="23">
        <v>1</v>
      </c>
      <c r="F53" s="23">
        <v>1</v>
      </c>
      <c r="G53" s="23">
        <v>1</v>
      </c>
      <c r="H53" s="23">
        <v>1</v>
      </c>
      <c r="I53" s="23">
        <v>1</v>
      </c>
      <c r="J53" s="23">
        <v>1</v>
      </c>
      <c r="K53" s="23">
        <v>1</v>
      </c>
      <c r="L53" s="23">
        <v>1</v>
      </c>
      <c r="M53" s="23">
        <v>1</v>
      </c>
      <c r="N53" s="23">
        <v>1</v>
      </c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1</v>
      </c>
      <c r="W53" s="23">
        <v>1</v>
      </c>
      <c r="X53" s="23">
        <v>1</v>
      </c>
      <c r="Y53" s="26"/>
      <c r="Z53" s="25"/>
      <c r="AA53" s="24">
        <v>0</v>
      </c>
      <c r="AB53" s="26"/>
      <c r="AC53" s="25"/>
      <c r="AD53" s="27"/>
      <c r="AE53" s="28"/>
      <c r="AF53" s="294">
        <v>15675000</v>
      </c>
      <c r="AG53" s="295">
        <f>+X53*AF53</f>
        <v>15675000</v>
      </c>
      <c r="AH53" s="29" t="s">
        <v>166</v>
      </c>
      <c r="AI53" s="29" t="s">
        <v>220</v>
      </c>
      <c r="AJ53" s="29" t="s">
        <v>101</v>
      </c>
      <c r="AK53" s="30"/>
      <c r="AL53" s="31"/>
    </row>
    <row r="54" spans="1:38" s="2" customFormat="1" ht="25.5" customHeight="1">
      <c r="A54" s="23">
        <v>6</v>
      </c>
      <c r="B54" s="33" t="s">
        <v>123</v>
      </c>
      <c r="C54" s="23" t="s">
        <v>216</v>
      </c>
      <c r="D54" s="23">
        <v>2022</v>
      </c>
      <c r="E54" s="23">
        <v>1</v>
      </c>
      <c r="F54" s="23">
        <v>1</v>
      </c>
      <c r="G54" s="23">
        <v>1</v>
      </c>
      <c r="H54" s="23">
        <v>1</v>
      </c>
      <c r="I54" s="23">
        <v>1</v>
      </c>
      <c r="J54" s="23">
        <v>1</v>
      </c>
      <c r="K54" s="23">
        <v>1</v>
      </c>
      <c r="L54" s="23">
        <v>1</v>
      </c>
      <c r="M54" s="23">
        <v>1</v>
      </c>
      <c r="N54" s="23">
        <v>1</v>
      </c>
      <c r="O54" s="23">
        <v>1</v>
      </c>
      <c r="P54" s="23">
        <v>1</v>
      </c>
      <c r="Q54" s="23">
        <v>1</v>
      </c>
      <c r="R54" s="23">
        <v>1</v>
      </c>
      <c r="S54" s="23">
        <v>1</v>
      </c>
      <c r="T54" s="23">
        <v>1</v>
      </c>
      <c r="U54" s="23">
        <v>1</v>
      </c>
      <c r="V54" s="23">
        <v>1</v>
      </c>
      <c r="W54" s="23">
        <v>1</v>
      </c>
      <c r="X54" s="23">
        <v>1</v>
      </c>
      <c r="Y54" s="26"/>
      <c r="Z54" s="25"/>
      <c r="AA54" s="24">
        <v>0</v>
      </c>
      <c r="AB54" s="26"/>
      <c r="AC54" s="25"/>
      <c r="AD54" s="27"/>
      <c r="AE54" s="28"/>
      <c r="AF54" s="28"/>
      <c r="AG54" s="28"/>
      <c r="AH54" s="29" t="s">
        <v>166</v>
      </c>
      <c r="AI54" s="29" t="s">
        <v>220</v>
      </c>
      <c r="AJ54" s="29" t="s">
        <v>101</v>
      </c>
      <c r="AK54" s="30"/>
      <c r="AL54" s="31"/>
    </row>
    <row r="55" spans="1:38" s="2" customFormat="1" ht="25.5" customHeight="1">
      <c r="A55" s="23">
        <v>7</v>
      </c>
      <c r="B55" s="34" t="s">
        <v>124</v>
      </c>
      <c r="C55" s="23" t="s">
        <v>216</v>
      </c>
      <c r="D55" s="23">
        <v>2022</v>
      </c>
      <c r="E55" s="23">
        <v>2</v>
      </c>
      <c r="F55" s="23">
        <v>2</v>
      </c>
      <c r="G55" s="23">
        <v>2</v>
      </c>
      <c r="H55" s="23">
        <v>2</v>
      </c>
      <c r="I55" s="23">
        <v>2</v>
      </c>
      <c r="J55" s="23">
        <v>2</v>
      </c>
      <c r="K55" s="23">
        <v>2</v>
      </c>
      <c r="L55" s="23">
        <v>2</v>
      </c>
      <c r="M55" s="23">
        <v>2</v>
      </c>
      <c r="N55" s="23">
        <v>2</v>
      </c>
      <c r="O55" s="23">
        <v>2</v>
      </c>
      <c r="P55" s="23">
        <v>2</v>
      </c>
      <c r="Q55" s="23">
        <v>2</v>
      </c>
      <c r="R55" s="23">
        <v>2</v>
      </c>
      <c r="S55" s="23">
        <v>2</v>
      </c>
      <c r="T55" s="23">
        <v>2</v>
      </c>
      <c r="U55" s="23">
        <v>2</v>
      </c>
      <c r="V55" s="23">
        <v>2</v>
      </c>
      <c r="W55" s="23">
        <v>2</v>
      </c>
      <c r="X55" s="23">
        <v>2</v>
      </c>
      <c r="Y55" s="26"/>
      <c r="Z55" s="25"/>
      <c r="AA55" s="24">
        <v>0</v>
      </c>
      <c r="AB55" s="26"/>
      <c r="AC55" s="25"/>
      <c r="AD55" s="27"/>
      <c r="AE55" s="28"/>
      <c r="AF55" s="28"/>
      <c r="AG55" s="28"/>
      <c r="AH55" s="29" t="s">
        <v>166</v>
      </c>
      <c r="AI55" s="29" t="s">
        <v>220</v>
      </c>
      <c r="AJ55" s="29" t="s">
        <v>101</v>
      </c>
      <c r="AK55" s="30"/>
      <c r="AL55" s="31"/>
    </row>
    <row r="56" spans="1:38" s="2" customFormat="1" ht="25.5" customHeight="1">
      <c r="A56" s="21" t="s">
        <v>189</v>
      </c>
      <c r="B56" s="22" t="s">
        <v>410</v>
      </c>
      <c r="C56" s="21"/>
      <c r="D56" s="23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35"/>
      <c r="Z56" s="36"/>
      <c r="AA56" s="269"/>
      <c r="AB56" s="35"/>
      <c r="AC56" s="36"/>
      <c r="AD56" s="37"/>
      <c r="AE56" s="38"/>
      <c r="AF56" s="38"/>
      <c r="AG56" s="38"/>
      <c r="AH56" s="265"/>
      <c r="AI56" s="265"/>
      <c r="AJ56" s="265"/>
      <c r="AK56" s="264"/>
      <c r="AL56" s="39"/>
    </row>
    <row r="57" spans="1:38" s="2" customFormat="1" ht="25.5" customHeight="1">
      <c r="A57" s="23">
        <v>1</v>
      </c>
      <c r="B57" s="32" t="s">
        <v>132</v>
      </c>
      <c r="C57" s="23" t="s">
        <v>215</v>
      </c>
      <c r="D57" s="23">
        <v>2022</v>
      </c>
      <c r="E57" s="23">
        <v>6</v>
      </c>
      <c r="F57" s="23">
        <v>6</v>
      </c>
      <c r="G57" s="23">
        <v>6</v>
      </c>
      <c r="H57" s="23">
        <v>6</v>
      </c>
      <c r="I57" s="23">
        <v>6</v>
      </c>
      <c r="J57" s="23">
        <v>6</v>
      </c>
      <c r="K57" s="23">
        <v>6</v>
      </c>
      <c r="L57" s="23">
        <v>6</v>
      </c>
      <c r="M57" s="23">
        <v>6</v>
      </c>
      <c r="N57" s="23">
        <v>6</v>
      </c>
      <c r="O57" s="23">
        <v>6</v>
      </c>
      <c r="P57" s="23">
        <v>6</v>
      </c>
      <c r="Q57" s="23">
        <v>6</v>
      </c>
      <c r="R57" s="23">
        <v>6</v>
      </c>
      <c r="S57" s="23">
        <v>6</v>
      </c>
      <c r="T57" s="23">
        <v>6</v>
      </c>
      <c r="U57" s="23">
        <v>6</v>
      </c>
      <c r="V57" s="23">
        <v>6</v>
      </c>
      <c r="W57" s="23">
        <v>6</v>
      </c>
      <c r="X57" s="23">
        <v>6</v>
      </c>
      <c r="Y57" s="26"/>
      <c r="Z57" s="25"/>
      <c r="AA57" s="24">
        <v>0</v>
      </c>
      <c r="AB57" s="26"/>
      <c r="AC57" s="25"/>
      <c r="AD57" s="27"/>
      <c r="AE57" s="28"/>
      <c r="AF57" s="28"/>
      <c r="AG57" s="28"/>
      <c r="AH57" s="29" t="s">
        <v>166</v>
      </c>
      <c r="AI57" s="29" t="s">
        <v>222</v>
      </c>
      <c r="AJ57" s="29" t="s">
        <v>101</v>
      </c>
      <c r="AK57" s="30"/>
      <c r="AL57" s="31"/>
    </row>
    <row r="58" spans="1:38" s="2" customFormat="1" ht="25.5" customHeight="1">
      <c r="A58" s="23">
        <v>2</v>
      </c>
      <c r="B58" s="32" t="s">
        <v>119</v>
      </c>
      <c r="C58" s="23" t="s">
        <v>215</v>
      </c>
      <c r="D58" s="23">
        <v>2022</v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  <c r="K58" s="23">
        <v>1</v>
      </c>
      <c r="L58" s="23">
        <v>1</v>
      </c>
      <c r="M58" s="23">
        <v>1</v>
      </c>
      <c r="N58" s="23">
        <v>1</v>
      </c>
      <c r="O58" s="23">
        <v>1</v>
      </c>
      <c r="P58" s="23">
        <v>1</v>
      </c>
      <c r="Q58" s="23">
        <v>1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1</v>
      </c>
      <c r="X58" s="23">
        <v>1</v>
      </c>
      <c r="Y58" s="26"/>
      <c r="Z58" s="25"/>
      <c r="AA58" s="24">
        <v>0</v>
      </c>
      <c r="AB58" s="26"/>
      <c r="AC58" s="25"/>
      <c r="AD58" s="27"/>
      <c r="AE58" s="28"/>
      <c r="AF58" s="28"/>
      <c r="AG58" s="28"/>
      <c r="AH58" s="29" t="s">
        <v>166</v>
      </c>
      <c r="AI58" s="29" t="s">
        <v>222</v>
      </c>
      <c r="AJ58" s="29" t="s">
        <v>101</v>
      </c>
      <c r="AK58" s="30"/>
      <c r="AL58" s="31"/>
    </row>
    <row r="59" spans="1:38" s="2" customFormat="1" ht="25.5" customHeight="1">
      <c r="A59" s="23">
        <v>3</v>
      </c>
      <c r="B59" s="32" t="s">
        <v>120</v>
      </c>
      <c r="C59" s="23" t="s">
        <v>215</v>
      </c>
      <c r="D59" s="23">
        <v>2022</v>
      </c>
      <c r="E59" s="23">
        <v>3</v>
      </c>
      <c r="F59" s="23">
        <v>3</v>
      </c>
      <c r="G59" s="23">
        <v>3</v>
      </c>
      <c r="H59" s="23">
        <v>3</v>
      </c>
      <c r="I59" s="23">
        <v>3</v>
      </c>
      <c r="J59" s="23">
        <v>3</v>
      </c>
      <c r="K59" s="23">
        <v>3</v>
      </c>
      <c r="L59" s="23">
        <v>3</v>
      </c>
      <c r="M59" s="23">
        <v>3</v>
      </c>
      <c r="N59" s="23">
        <v>3</v>
      </c>
      <c r="O59" s="23">
        <v>3</v>
      </c>
      <c r="P59" s="23">
        <v>3</v>
      </c>
      <c r="Q59" s="23">
        <v>3</v>
      </c>
      <c r="R59" s="23">
        <v>3</v>
      </c>
      <c r="S59" s="23">
        <v>3</v>
      </c>
      <c r="T59" s="23">
        <v>3</v>
      </c>
      <c r="U59" s="23">
        <v>3</v>
      </c>
      <c r="V59" s="23">
        <v>3</v>
      </c>
      <c r="W59" s="23">
        <v>3</v>
      </c>
      <c r="X59" s="23">
        <v>3</v>
      </c>
      <c r="Y59" s="26"/>
      <c r="Z59" s="25"/>
      <c r="AA59" s="24">
        <v>0</v>
      </c>
      <c r="AB59" s="26"/>
      <c r="AC59" s="25"/>
      <c r="AD59" s="27"/>
      <c r="AE59" s="28"/>
      <c r="AF59" s="28"/>
      <c r="AG59" s="28"/>
      <c r="AH59" s="29" t="s">
        <v>166</v>
      </c>
      <c r="AI59" s="29" t="s">
        <v>222</v>
      </c>
      <c r="AJ59" s="29" t="s">
        <v>101</v>
      </c>
      <c r="AK59" s="30"/>
      <c r="AL59" s="31"/>
    </row>
    <row r="60" spans="1:38" s="2" customFormat="1" ht="25.5" customHeight="1">
      <c r="A60" s="23">
        <v>4</v>
      </c>
      <c r="B60" s="32" t="s">
        <v>121</v>
      </c>
      <c r="C60" s="23" t="s">
        <v>215</v>
      </c>
      <c r="D60" s="23">
        <v>2022</v>
      </c>
      <c r="E60" s="23">
        <v>1</v>
      </c>
      <c r="F60" s="23">
        <v>1</v>
      </c>
      <c r="G60" s="23">
        <v>1</v>
      </c>
      <c r="H60" s="23">
        <v>1</v>
      </c>
      <c r="I60" s="23">
        <v>1</v>
      </c>
      <c r="J60" s="23">
        <v>1</v>
      </c>
      <c r="K60" s="23">
        <v>1</v>
      </c>
      <c r="L60" s="23">
        <v>1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1</v>
      </c>
      <c r="X60" s="23">
        <v>1</v>
      </c>
      <c r="Y60" s="26"/>
      <c r="Z60" s="25"/>
      <c r="AA60" s="24">
        <v>0</v>
      </c>
      <c r="AB60" s="26"/>
      <c r="AC60" s="25"/>
      <c r="AD60" s="27"/>
      <c r="AE60" s="28"/>
      <c r="AF60" s="28"/>
      <c r="AG60" s="28"/>
      <c r="AH60" s="29" t="s">
        <v>166</v>
      </c>
      <c r="AI60" s="29" t="s">
        <v>222</v>
      </c>
      <c r="AJ60" s="29" t="s">
        <v>101</v>
      </c>
      <c r="AK60" s="30"/>
      <c r="AL60" s="31"/>
    </row>
    <row r="61" spans="1:38" s="2" customFormat="1" ht="25.5" customHeight="1">
      <c r="A61" s="23">
        <v>5</v>
      </c>
      <c r="B61" s="32" t="s">
        <v>133</v>
      </c>
      <c r="C61" s="23" t="s">
        <v>215</v>
      </c>
      <c r="D61" s="23">
        <v>2022</v>
      </c>
      <c r="E61" s="23">
        <v>1</v>
      </c>
      <c r="F61" s="23">
        <v>1</v>
      </c>
      <c r="G61" s="23">
        <v>1</v>
      </c>
      <c r="H61" s="23">
        <v>1</v>
      </c>
      <c r="I61" s="23">
        <v>1</v>
      </c>
      <c r="J61" s="23">
        <v>1</v>
      </c>
      <c r="K61" s="23">
        <v>1</v>
      </c>
      <c r="L61" s="23">
        <v>1</v>
      </c>
      <c r="M61" s="23">
        <v>1</v>
      </c>
      <c r="N61" s="23">
        <v>1</v>
      </c>
      <c r="O61" s="23">
        <v>1</v>
      </c>
      <c r="P61" s="23">
        <v>1</v>
      </c>
      <c r="Q61" s="23">
        <v>1</v>
      </c>
      <c r="R61" s="23">
        <v>1</v>
      </c>
      <c r="S61" s="23">
        <v>1</v>
      </c>
      <c r="T61" s="23">
        <v>1</v>
      </c>
      <c r="U61" s="23">
        <v>1</v>
      </c>
      <c r="V61" s="23">
        <v>1</v>
      </c>
      <c r="W61" s="23">
        <v>1</v>
      </c>
      <c r="X61" s="23">
        <v>1</v>
      </c>
      <c r="Y61" s="26"/>
      <c r="Z61" s="25"/>
      <c r="AA61" s="24">
        <v>0</v>
      </c>
      <c r="AB61" s="26"/>
      <c r="AC61" s="25"/>
      <c r="AD61" s="27"/>
      <c r="AE61" s="28"/>
      <c r="AF61" s="28"/>
      <c r="AG61" s="28"/>
      <c r="AH61" s="29" t="s">
        <v>166</v>
      </c>
      <c r="AI61" s="29" t="s">
        <v>222</v>
      </c>
      <c r="AJ61" s="29" t="s">
        <v>101</v>
      </c>
      <c r="AK61" s="30"/>
      <c r="AL61" s="31"/>
    </row>
    <row r="62" spans="1:38" s="2" customFormat="1" ht="25.5" customHeight="1">
      <c r="A62" s="23">
        <v>6</v>
      </c>
      <c r="B62" s="32" t="s">
        <v>134</v>
      </c>
      <c r="C62" s="23" t="s">
        <v>215</v>
      </c>
      <c r="D62" s="23">
        <v>2022</v>
      </c>
      <c r="E62" s="23">
        <v>1</v>
      </c>
      <c r="F62" s="23">
        <v>1</v>
      </c>
      <c r="G62" s="23">
        <v>1</v>
      </c>
      <c r="H62" s="23">
        <v>1</v>
      </c>
      <c r="I62" s="23">
        <v>1</v>
      </c>
      <c r="J62" s="23">
        <v>1</v>
      </c>
      <c r="K62" s="23">
        <v>1</v>
      </c>
      <c r="L62" s="23">
        <v>1</v>
      </c>
      <c r="M62" s="23">
        <v>1</v>
      </c>
      <c r="N62" s="23">
        <v>1</v>
      </c>
      <c r="O62" s="23">
        <v>1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3">
        <v>1</v>
      </c>
      <c r="Y62" s="26"/>
      <c r="Z62" s="25"/>
      <c r="AA62" s="24">
        <v>0</v>
      </c>
      <c r="AB62" s="26"/>
      <c r="AC62" s="25"/>
      <c r="AD62" s="27"/>
      <c r="AE62" s="28"/>
      <c r="AF62" s="294">
        <v>12669000</v>
      </c>
      <c r="AG62" s="295">
        <f>+X62*AF62</f>
        <v>12669000</v>
      </c>
      <c r="AH62" s="29" t="s">
        <v>166</v>
      </c>
      <c r="AI62" s="29" t="s">
        <v>222</v>
      </c>
      <c r="AJ62" s="29" t="s">
        <v>101</v>
      </c>
      <c r="AK62" s="30"/>
      <c r="AL62" s="31"/>
    </row>
    <row r="63" spans="1:38" s="2" customFormat="1" ht="25.5" customHeight="1">
      <c r="A63" s="23">
        <v>7</v>
      </c>
      <c r="B63" s="32" t="s">
        <v>130</v>
      </c>
      <c r="C63" s="23" t="s">
        <v>215</v>
      </c>
      <c r="D63" s="23">
        <v>2022</v>
      </c>
      <c r="E63" s="23">
        <v>1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  <c r="K63" s="23">
        <v>1</v>
      </c>
      <c r="L63" s="23">
        <v>1</v>
      </c>
      <c r="M63" s="23">
        <v>1</v>
      </c>
      <c r="N63" s="23">
        <v>1</v>
      </c>
      <c r="O63" s="23">
        <v>1</v>
      </c>
      <c r="P63" s="23">
        <v>1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23">
        <v>1</v>
      </c>
      <c r="X63" s="23">
        <v>1</v>
      </c>
      <c r="Y63" s="26"/>
      <c r="Z63" s="25"/>
      <c r="AA63" s="24">
        <v>0</v>
      </c>
      <c r="AB63" s="26"/>
      <c r="AC63" s="25"/>
      <c r="AD63" s="27"/>
      <c r="AE63" s="28"/>
      <c r="AF63" s="28"/>
      <c r="AG63" s="28"/>
      <c r="AH63" s="29" t="s">
        <v>166</v>
      </c>
      <c r="AI63" s="29" t="s">
        <v>222</v>
      </c>
      <c r="AJ63" s="29" t="s">
        <v>101</v>
      </c>
      <c r="AK63" s="30"/>
      <c r="AL63" s="31"/>
    </row>
    <row r="64" spans="1:38" s="2" customFormat="1" ht="25.5" customHeight="1">
      <c r="A64" s="23">
        <v>8</v>
      </c>
      <c r="B64" s="33" t="s">
        <v>123</v>
      </c>
      <c r="C64" s="23" t="s">
        <v>216</v>
      </c>
      <c r="D64" s="23">
        <v>2022</v>
      </c>
      <c r="E64" s="23">
        <v>1</v>
      </c>
      <c r="F64" s="23">
        <v>1</v>
      </c>
      <c r="G64" s="23">
        <v>1</v>
      </c>
      <c r="H64" s="23">
        <v>1</v>
      </c>
      <c r="I64" s="23">
        <v>1</v>
      </c>
      <c r="J64" s="23">
        <v>1</v>
      </c>
      <c r="K64" s="23">
        <v>1</v>
      </c>
      <c r="L64" s="23">
        <v>1</v>
      </c>
      <c r="M64" s="23">
        <v>1</v>
      </c>
      <c r="N64" s="23">
        <v>1</v>
      </c>
      <c r="O64" s="23">
        <v>1</v>
      </c>
      <c r="P64" s="23">
        <v>1</v>
      </c>
      <c r="Q64" s="23">
        <v>1</v>
      </c>
      <c r="R64" s="23">
        <v>1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6"/>
      <c r="Z64" s="25"/>
      <c r="AA64" s="24">
        <v>0</v>
      </c>
      <c r="AB64" s="26"/>
      <c r="AC64" s="25"/>
      <c r="AD64" s="27"/>
      <c r="AE64" s="28"/>
      <c r="AF64" s="28"/>
      <c r="AG64" s="28"/>
      <c r="AH64" s="29" t="s">
        <v>166</v>
      </c>
      <c r="AI64" s="29" t="s">
        <v>222</v>
      </c>
      <c r="AJ64" s="29" t="s">
        <v>101</v>
      </c>
      <c r="AK64" s="30"/>
      <c r="AL64" s="31"/>
    </row>
    <row r="65" spans="1:38" s="2" customFormat="1" ht="25.5" customHeight="1">
      <c r="A65" s="23">
        <v>9</v>
      </c>
      <c r="B65" s="34" t="s">
        <v>124</v>
      </c>
      <c r="C65" s="23" t="s">
        <v>216</v>
      </c>
      <c r="D65" s="23">
        <v>2022</v>
      </c>
      <c r="E65" s="23">
        <v>2</v>
      </c>
      <c r="F65" s="23">
        <v>2</v>
      </c>
      <c r="G65" s="23">
        <v>2</v>
      </c>
      <c r="H65" s="23">
        <v>2</v>
      </c>
      <c r="I65" s="23">
        <v>2</v>
      </c>
      <c r="J65" s="23">
        <v>2</v>
      </c>
      <c r="K65" s="23">
        <v>2</v>
      </c>
      <c r="L65" s="23">
        <v>2</v>
      </c>
      <c r="M65" s="23">
        <v>2</v>
      </c>
      <c r="N65" s="23">
        <v>2</v>
      </c>
      <c r="O65" s="23">
        <v>2</v>
      </c>
      <c r="P65" s="23">
        <v>2</v>
      </c>
      <c r="Q65" s="23">
        <v>2</v>
      </c>
      <c r="R65" s="23">
        <v>2</v>
      </c>
      <c r="S65" s="23">
        <v>2</v>
      </c>
      <c r="T65" s="23">
        <v>2</v>
      </c>
      <c r="U65" s="23">
        <v>2</v>
      </c>
      <c r="V65" s="23">
        <v>2</v>
      </c>
      <c r="W65" s="23">
        <v>2</v>
      </c>
      <c r="X65" s="23">
        <v>2</v>
      </c>
      <c r="Y65" s="26"/>
      <c r="Z65" s="25"/>
      <c r="AA65" s="24">
        <v>0</v>
      </c>
      <c r="AB65" s="26"/>
      <c r="AC65" s="25"/>
      <c r="AD65" s="27"/>
      <c r="AE65" s="28"/>
      <c r="AF65" s="28"/>
      <c r="AG65" s="28"/>
      <c r="AH65" s="29" t="s">
        <v>166</v>
      </c>
      <c r="AI65" s="29" t="s">
        <v>222</v>
      </c>
      <c r="AJ65" s="29" t="s">
        <v>101</v>
      </c>
      <c r="AK65" s="30"/>
      <c r="AL65" s="31"/>
    </row>
    <row r="66" spans="1:38" s="2" customFormat="1" ht="25.5" customHeight="1">
      <c r="A66" s="21" t="s">
        <v>199</v>
      </c>
      <c r="B66" s="22" t="s">
        <v>221</v>
      </c>
      <c r="C66" s="21"/>
      <c r="D66" s="23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35"/>
      <c r="Z66" s="36"/>
      <c r="AA66" s="269"/>
      <c r="AB66" s="35"/>
      <c r="AC66" s="36"/>
      <c r="AD66" s="37"/>
      <c r="AE66" s="38"/>
      <c r="AF66" s="38"/>
      <c r="AG66" s="38"/>
      <c r="AH66" s="265"/>
      <c r="AI66" s="265"/>
      <c r="AJ66" s="29"/>
      <c r="AK66" s="264"/>
      <c r="AL66" s="39"/>
    </row>
    <row r="67" spans="1:38" s="2" customFormat="1" ht="25.5" customHeight="1">
      <c r="A67" s="23">
        <v>1</v>
      </c>
      <c r="B67" s="32" t="s">
        <v>118</v>
      </c>
      <c r="C67" s="23" t="s">
        <v>215</v>
      </c>
      <c r="D67" s="23">
        <v>2022</v>
      </c>
      <c r="E67" s="23">
        <v>6</v>
      </c>
      <c r="F67" s="23">
        <v>6</v>
      </c>
      <c r="G67" s="23">
        <v>6</v>
      </c>
      <c r="H67" s="23">
        <v>6</v>
      </c>
      <c r="I67" s="23">
        <v>6</v>
      </c>
      <c r="J67" s="23">
        <v>6</v>
      </c>
      <c r="K67" s="23">
        <v>6</v>
      </c>
      <c r="L67" s="23">
        <v>6</v>
      </c>
      <c r="M67" s="23">
        <v>6</v>
      </c>
      <c r="N67" s="23">
        <v>6</v>
      </c>
      <c r="O67" s="23">
        <v>6</v>
      </c>
      <c r="P67" s="23">
        <v>6</v>
      </c>
      <c r="Q67" s="23">
        <v>6</v>
      </c>
      <c r="R67" s="23">
        <v>6</v>
      </c>
      <c r="S67" s="23">
        <v>6</v>
      </c>
      <c r="T67" s="23">
        <v>6</v>
      </c>
      <c r="U67" s="23">
        <v>6</v>
      </c>
      <c r="V67" s="23">
        <v>6</v>
      </c>
      <c r="W67" s="23">
        <v>6</v>
      </c>
      <c r="X67" s="23">
        <v>6</v>
      </c>
      <c r="Y67" s="26"/>
      <c r="Z67" s="25"/>
      <c r="AA67" s="24">
        <v>0</v>
      </c>
      <c r="AB67" s="26"/>
      <c r="AC67" s="25"/>
      <c r="AD67" s="27"/>
      <c r="AE67" s="28"/>
      <c r="AF67" s="28"/>
      <c r="AG67" s="28"/>
      <c r="AH67" s="29" t="s">
        <v>166</v>
      </c>
      <c r="AI67" s="29" t="s">
        <v>222</v>
      </c>
      <c r="AJ67" s="29" t="s">
        <v>101</v>
      </c>
      <c r="AK67" s="30"/>
      <c r="AL67" s="31"/>
    </row>
    <row r="68" spans="1:38" s="2" customFormat="1" ht="25.5" customHeight="1">
      <c r="A68" s="23">
        <v>2</v>
      </c>
      <c r="B68" s="32" t="s">
        <v>119</v>
      </c>
      <c r="C68" s="23" t="s">
        <v>215</v>
      </c>
      <c r="D68" s="23">
        <v>2022</v>
      </c>
      <c r="E68" s="23">
        <v>1</v>
      </c>
      <c r="F68" s="23">
        <v>1</v>
      </c>
      <c r="G68" s="23">
        <v>1</v>
      </c>
      <c r="H68" s="23">
        <v>1</v>
      </c>
      <c r="I68" s="23">
        <v>1</v>
      </c>
      <c r="J68" s="23">
        <v>1</v>
      </c>
      <c r="K68" s="23">
        <v>1</v>
      </c>
      <c r="L68" s="23">
        <v>1</v>
      </c>
      <c r="M68" s="23">
        <v>1</v>
      </c>
      <c r="N68" s="23">
        <v>1</v>
      </c>
      <c r="O68" s="23">
        <v>1</v>
      </c>
      <c r="P68" s="23">
        <v>1</v>
      </c>
      <c r="Q68" s="23">
        <v>1</v>
      </c>
      <c r="R68" s="23">
        <v>1</v>
      </c>
      <c r="S68" s="23">
        <v>1</v>
      </c>
      <c r="T68" s="23">
        <v>1</v>
      </c>
      <c r="U68" s="23">
        <v>1</v>
      </c>
      <c r="V68" s="23">
        <v>1</v>
      </c>
      <c r="W68" s="23">
        <v>1</v>
      </c>
      <c r="X68" s="23">
        <v>1</v>
      </c>
      <c r="Y68" s="26"/>
      <c r="Z68" s="25"/>
      <c r="AA68" s="24">
        <v>0</v>
      </c>
      <c r="AB68" s="26"/>
      <c r="AC68" s="25"/>
      <c r="AD68" s="27"/>
      <c r="AE68" s="28"/>
      <c r="AF68" s="28"/>
      <c r="AG68" s="28"/>
      <c r="AH68" s="29" t="s">
        <v>166</v>
      </c>
      <c r="AI68" s="29" t="s">
        <v>222</v>
      </c>
      <c r="AJ68" s="29" t="s">
        <v>101</v>
      </c>
      <c r="AK68" s="30"/>
      <c r="AL68" s="31"/>
    </row>
    <row r="69" spans="1:38" s="2" customFormat="1" ht="25.5" customHeight="1">
      <c r="A69" s="23">
        <v>3</v>
      </c>
      <c r="B69" s="32" t="s">
        <v>120</v>
      </c>
      <c r="C69" s="23" t="s">
        <v>215</v>
      </c>
      <c r="D69" s="23">
        <v>2022</v>
      </c>
      <c r="E69" s="23">
        <v>5</v>
      </c>
      <c r="F69" s="23">
        <v>5</v>
      </c>
      <c r="G69" s="23">
        <v>5</v>
      </c>
      <c r="H69" s="23">
        <v>5</v>
      </c>
      <c r="I69" s="23">
        <v>5</v>
      </c>
      <c r="J69" s="23">
        <v>5</v>
      </c>
      <c r="K69" s="23">
        <v>5</v>
      </c>
      <c r="L69" s="23">
        <v>5</v>
      </c>
      <c r="M69" s="23">
        <v>5</v>
      </c>
      <c r="N69" s="23">
        <v>5</v>
      </c>
      <c r="O69" s="23">
        <v>5</v>
      </c>
      <c r="P69" s="23">
        <v>5</v>
      </c>
      <c r="Q69" s="23">
        <v>5</v>
      </c>
      <c r="R69" s="23">
        <v>5</v>
      </c>
      <c r="S69" s="23">
        <v>5</v>
      </c>
      <c r="T69" s="23">
        <v>5</v>
      </c>
      <c r="U69" s="23">
        <v>5</v>
      </c>
      <c r="V69" s="23">
        <v>5</v>
      </c>
      <c r="W69" s="23">
        <v>5</v>
      </c>
      <c r="X69" s="23">
        <v>5</v>
      </c>
      <c r="Y69" s="26"/>
      <c r="Z69" s="25"/>
      <c r="AA69" s="24">
        <v>0</v>
      </c>
      <c r="AB69" s="26"/>
      <c r="AC69" s="25"/>
      <c r="AD69" s="27"/>
      <c r="AE69" s="28"/>
      <c r="AF69" s="28"/>
      <c r="AG69" s="28"/>
      <c r="AH69" s="29" t="s">
        <v>166</v>
      </c>
      <c r="AI69" s="29" t="s">
        <v>222</v>
      </c>
      <c r="AJ69" s="29" t="s">
        <v>101</v>
      </c>
      <c r="AK69" s="30"/>
      <c r="AL69" s="31"/>
    </row>
    <row r="70" spans="1:38" s="2" customFormat="1" ht="25.5" customHeight="1">
      <c r="A70" s="23">
        <v>4</v>
      </c>
      <c r="B70" s="32" t="s">
        <v>121</v>
      </c>
      <c r="C70" s="23" t="s">
        <v>215</v>
      </c>
      <c r="D70" s="23">
        <v>2022</v>
      </c>
      <c r="E70" s="23">
        <v>1</v>
      </c>
      <c r="F70" s="23">
        <v>1</v>
      </c>
      <c r="G70" s="23">
        <v>1</v>
      </c>
      <c r="H70" s="23">
        <v>1</v>
      </c>
      <c r="I70" s="23">
        <v>1</v>
      </c>
      <c r="J70" s="23">
        <v>1</v>
      </c>
      <c r="K70" s="23">
        <v>1</v>
      </c>
      <c r="L70" s="23">
        <v>1</v>
      </c>
      <c r="M70" s="23">
        <v>1</v>
      </c>
      <c r="N70" s="23">
        <v>1</v>
      </c>
      <c r="O70" s="23">
        <v>1</v>
      </c>
      <c r="P70" s="23">
        <v>1</v>
      </c>
      <c r="Q70" s="23">
        <v>1</v>
      </c>
      <c r="R70" s="23">
        <v>1</v>
      </c>
      <c r="S70" s="23">
        <v>1</v>
      </c>
      <c r="T70" s="23">
        <v>1</v>
      </c>
      <c r="U70" s="23">
        <v>1</v>
      </c>
      <c r="V70" s="23">
        <v>1</v>
      </c>
      <c r="W70" s="23">
        <v>1</v>
      </c>
      <c r="X70" s="23">
        <v>1</v>
      </c>
      <c r="Y70" s="26"/>
      <c r="Z70" s="25"/>
      <c r="AA70" s="24">
        <v>0</v>
      </c>
      <c r="AB70" s="26"/>
      <c r="AC70" s="25"/>
      <c r="AD70" s="27"/>
      <c r="AE70" s="28"/>
      <c r="AF70" s="28"/>
      <c r="AG70" s="28"/>
      <c r="AH70" s="29" t="s">
        <v>166</v>
      </c>
      <c r="AI70" s="29" t="s">
        <v>222</v>
      </c>
      <c r="AJ70" s="29" t="s">
        <v>101</v>
      </c>
      <c r="AK70" s="30"/>
      <c r="AL70" s="31"/>
    </row>
    <row r="71" spans="1:38" s="2" customFormat="1" ht="25.5" customHeight="1">
      <c r="A71" s="23">
        <v>5</v>
      </c>
      <c r="B71" s="32" t="s">
        <v>127</v>
      </c>
      <c r="C71" s="23" t="s">
        <v>215</v>
      </c>
      <c r="D71" s="23">
        <v>2022</v>
      </c>
      <c r="E71" s="23">
        <v>1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  <c r="K71" s="23">
        <v>1</v>
      </c>
      <c r="L71" s="23">
        <v>1</v>
      </c>
      <c r="M71" s="23">
        <v>1</v>
      </c>
      <c r="N71" s="23">
        <v>1</v>
      </c>
      <c r="O71" s="23">
        <v>1</v>
      </c>
      <c r="P71" s="23">
        <v>1</v>
      </c>
      <c r="Q71" s="23">
        <v>1</v>
      </c>
      <c r="R71" s="23">
        <v>1</v>
      </c>
      <c r="S71" s="23">
        <v>1</v>
      </c>
      <c r="T71" s="23">
        <v>1</v>
      </c>
      <c r="U71" s="23">
        <v>1</v>
      </c>
      <c r="V71" s="23">
        <v>1</v>
      </c>
      <c r="W71" s="23">
        <v>1</v>
      </c>
      <c r="X71" s="23">
        <v>1</v>
      </c>
      <c r="Y71" s="26"/>
      <c r="Z71" s="25"/>
      <c r="AA71" s="24">
        <v>0</v>
      </c>
      <c r="AB71" s="26"/>
      <c r="AC71" s="25"/>
      <c r="AD71" s="27"/>
      <c r="AE71" s="28"/>
      <c r="AF71" s="28"/>
      <c r="AG71" s="28"/>
      <c r="AH71" s="29" t="s">
        <v>166</v>
      </c>
      <c r="AI71" s="29" t="s">
        <v>222</v>
      </c>
      <c r="AJ71" s="29" t="s">
        <v>101</v>
      </c>
      <c r="AK71" s="30"/>
      <c r="AL71" s="31"/>
    </row>
    <row r="72" spans="1:38" s="2" customFormat="1" ht="25.5" customHeight="1">
      <c r="A72" s="23">
        <v>6</v>
      </c>
      <c r="B72" s="32" t="s">
        <v>135</v>
      </c>
      <c r="C72" s="23" t="s">
        <v>215</v>
      </c>
      <c r="D72" s="23">
        <v>2022</v>
      </c>
      <c r="E72" s="23">
        <v>2</v>
      </c>
      <c r="F72" s="23">
        <v>2</v>
      </c>
      <c r="G72" s="23">
        <v>2</v>
      </c>
      <c r="H72" s="23">
        <v>2</v>
      </c>
      <c r="I72" s="23">
        <v>2</v>
      </c>
      <c r="J72" s="23">
        <v>2</v>
      </c>
      <c r="K72" s="23">
        <v>2</v>
      </c>
      <c r="L72" s="23">
        <v>2</v>
      </c>
      <c r="M72" s="23">
        <v>2</v>
      </c>
      <c r="N72" s="23">
        <v>2</v>
      </c>
      <c r="O72" s="23">
        <v>2</v>
      </c>
      <c r="P72" s="23">
        <v>2</v>
      </c>
      <c r="Q72" s="23">
        <v>2</v>
      </c>
      <c r="R72" s="23">
        <v>2</v>
      </c>
      <c r="S72" s="23">
        <v>2</v>
      </c>
      <c r="T72" s="23">
        <v>2</v>
      </c>
      <c r="U72" s="23">
        <v>2</v>
      </c>
      <c r="V72" s="23">
        <v>2</v>
      </c>
      <c r="W72" s="23">
        <v>2</v>
      </c>
      <c r="X72" s="23">
        <v>2</v>
      </c>
      <c r="Y72" s="26"/>
      <c r="Z72" s="25"/>
      <c r="AA72" s="24">
        <v>0</v>
      </c>
      <c r="AB72" s="26"/>
      <c r="AC72" s="25"/>
      <c r="AD72" s="27"/>
      <c r="AE72" s="28"/>
      <c r="AF72" s="294">
        <v>12669000</v>
      </c>
      <c r="AG72" s="295">
        <f>+X72*AF72</f>
        <v>25338000</v>
      </c>
      <c r="AH72" s="29" t="s">
        <v>166</v>
      </c>
      <c r="AI72" s="29" t="s">
        <v>222</v>
      </c>
      <c r="AJ72" s="29" t="s">
        <v>101</v>
      </c>
      <c r="AK72" s="30"/>
      <c r="AL72" s="31"/>
    </row>
    <row r="73" spans="1:38" s="2" customFormat="1" ht="25.5" customHeight="1">
      <c r="A73" s="23">
        <v>7</v>
      </c>
      <c r="B73" s="32" t="s">
        <v>130</v>
      </c>
      <c r="C73" s="23" t="s">
        <v>215</v>
      </c>
      <c r="D73" s="23">
        <v>2022</v>
      </c>
      <c r="E73" s="23">
        <v>2</v>
      </c>
      <c r="F73" s="23">
        <v>2</v>
      </c>
      <c r="G73" s="23">
        <v>2</v>
      </c>
      <c r="H73" s="23">
        <v>2</v>
      </c>
      <c r="I73" s="23">
        <v>2</v>
      </c>
      <c r="J73" s="23">
        <v>2</v>
      </c>
      <c r="K73" s="23">
        <v>2</v>
      </c>
      <c r="L73" s="23">
        <v>2</v>
      </c>
      <c r="M73" s="23">
        <v>2</v>
      </c>
      <c r="N73" s="23">
        <v>2</v>
      </c>
      <c r="O73" s="23">
        <v>2</v>
      </c>
      <c r="P73" s="23">
        <v>2</v>
      </c>
      <c r="Q73" s="23">
        <v>2</v>
      </c>
      <c r="R73" s="23">
        <v>2</v>
      </c>
      <c r="S73" s="23">
        <v>2</v>
      </c>
      <c r="T73" s="23">
        <v>2</v>
      </c>
      <c r="U73" s="23">
        <v>2</v>
      </c>
      <c r="V73" s="23">
        <v>2</v>
      </c>
      <c r="W73" s="23">
        <v>2</v>
      </c>
      <c r="X73" s="23">
        <v>2</v>
      </c>
      <c r="Y73" s="26"/>
      <c r="Z73" s="25"/>
      <c r="AA73" s="24">
        <v>0</v>
      </c>
      <c r="AB73" s="26"/>
      <c r="AC73" s="25"/>
      <c r="AD73" s="27"/>
      <c r="AE73" s="28"/>
      <c r="AF73" s="28"/>
      <c r="AG73" s="28"/>
      <c r="AH73" s="29" t="s">
        <v>166</v>
      </c>
      <c r="AI73" s="29" t="s">
        <v>222</v>
      </c>
      <c r="AJ73" s="29" t="s">
        <v>101</v>
      </c>
      <c r="AK73" s="30"/>
      <c r="AL73" s="31"/>
    </row>
    <row r="74" spans="1:38" s="2" customFormat="1" ht="25.5" customHeight="1">
      <c r="A74" s="23">
        <v>8</v>
      </c>
      <c r="B74" s="33" t="s">
        <v>123</v>
      </c>
      <c r="C74" s="23" t="s">
        <v>216</v>
      </c>
      <c r="D74" s="23">
        <v>2022</v>
      </c>
      <c r="E74" s="23">
        <v>1</v>
      </c>
      <c r="F74" s="23">
        <v>1</v>
      </c>
      <c r="G74" s="23">
        <v>1</v>
      </c>
      <c r="H74" s="23">
        <v>1</v>
      </c>
      <c r="I74" s="23">
        <v>1</v>
      </c>
      <c r="J74" s="23">
        <v>1</v>
      </c>
      <c r="K74" s="23">
        <v>1</v>
      </c>
      <c r="L74" s="23">
        <v>1</v>
      </c>
      <c r="M74" s="23">
        <v>1</v>
      </c>
      <c r="N74" s="23">
        <v>1</v>
      </c>
      <c r="O74" s="23">
        <v>1</v>
      </c>
      <c r="P74" s="23">
        <v>1</v>
      </c>
      <c r="Q74" s="23">
        <v>1</v>
      </c>
      <c r="R74" s="23">
        <v>1</v>
      </c>
      <c r="S74" s="23">
        <v>1</v>
      </c>
      <c r="T74" s="23">
        <v>1</v>
      </c>
      <c r="U74" s="23">
        <v>1</v>
      </c>
      <c r="V74" s="23">
        <v>1</v>
      </c>
      <c r="W74" s="23">
        <v>1</v>
      </c>
      <c r="X74" s="23">
        <v>1</v>
      </c>
      <c r="Y74" s="26"/>
      <c r="Z74" s="25"/>
      <c r="AA74" s="24">
        <v>0</v>
      </c>
      <c r="AB74" s="26"/>
      <c r="AC74" s="25"/>
      <c r="AD74" s="27"/>
      <c r="AE74" s="28"/>
      <c r="AF74" s="28"/>
      <c r="AG74" s="28"/>
      <c r="AH74" s="29" t="s">
        <v>166</v>
      </c>
      <c r="AI74" s="29" t="s">
        <v>222</v>
      </c>
      <c r="AJ74" s="29" t="s">
        <v>101</v>
      </c>
      <c r="AK74" s="30"/>
      <c r="AL74" s="31"/>
    </row>
    <row r="75" spans="1:38" s="2" customFormat="1" ht="25.5" customHeight="1">
      <c r="A75" s="23">
        <v>9</v>
      </c>
      <c r="B75" s="34" t="s">
        <v>124</v>
      </c>
      <c r="C75" s="23" t="s">
        <v>216</v>
      </c>
      <c r="D75" s="23">
        <v>2022</v>
      </c>
      <c r="E75" s="23">
        <v>4</v>
      </c>
      <c r="F75" s="23">
        <v>4</v>
      </c>
      <c r="G75" s="23">
        <v>4</v>
      </c>
      <c r="H75" s="23">
        <v>4</v>
      </c>
      <c r="I75" s="23">
        <v>4</v>
      </c>
      <c r="J75" s="23">
        <v>4</v>
      </c>
      <c r="K75" s="23">
        <v>4</v>
      </c>
      <c r="L75" s="23">
        <v>4</v>
      </c>
      <c r="M75" s="23">
        <v>4</v>
      </c>
      <c r="N75" s="23">
        <v>4</v>
      </c>
      <c r="O75" s="23">
        <v>4</v>
      </c>
      <c r="P75" s="23">
        <v>4</v>
      </c>
      <c r="Q75" s="23">
        <v>4</v>
      </c>
      <c r="R75" s="23">
        <v>4</v>
      </c>
      <c r="S75" s="23">
        <v>4</v>
      </c>
      <c r="T75" s="23">
        <v>4</v>
      </c>
      <c r="U75" s="23">
        <v>4</v>
      </c>
      <c r="V75" s="23">
        <v>4</v>
      </c>
      <c r="W75" s="23">
        <v>4</v>
      </c>
      <c r="X75" s="23">
        <v>4</v>
      </c>
      <c r="Y75" s="26"/>
      <c r="Z75" s="25"/>
      <c r="AA75" s="24">
        <v>0</v>
      </c>
      <c r="AB75" s="26"/>
      <c r="AC75" s="25"/>
      <c r="AD75" s="27"/>
      <c r="AE75" s="28"/>
      <c r="AF75" s="28"/>
      <c r="AG75" s="28"/>
      <c r="AH75" s="29" t="s">
        <v>166</v>
      </c>
      <c r="AI75" s="29" t="s">
        <v>222</v>
      </c>
      <c r="AJ75" s="29" t="s">
        <v>101</v>
      </c>
      <c r="AK75" s="30"/>
      <c r="AL75" s="31"/>
    </row>
    <row r="76" spans="1:38" s="2" customFormat="1" ht="44.25" customHeight="1">
      <c r="A76" s="270" t="s">
        <v>203</v>
      </c>
      <c r="B76" s="139" t="s">
        <v>411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6"/>
      <c r="Z76" s="25"/>
      <c r="AA76" s="24"/>
      <c r="AB76" s="26"/>
      <c r="AC76" s="25"/>
      <c r="AD76" s="27"/>
      <c r="AE76" s="28"/>
      <c r="AF76" s="28"/>
      <c r="AG76" s="28"/>
      <c r="AH76" s="29"/>
      <c r="AI76" s="29"/>
      <c r="AJ76" s="29"/>
      <c r="AK76" s="30"/>
      <c r="AL76" s="31"/>
    </row>
    <row r="77" spans="1:38" s="2" customFormat="1" ht="25.5" customHeight="1">
      <c r="A77" s="271">
        <v>1</v>
      </c>
      <c r="B77" s="272" t="s">
        <v>118</v>
      </c>
      <c r="C77" s="273" t="s">
        <v>215</v>
      </c>
      <c r="D77" s="271">
        <v>2022</v>
      </c>
      <c r="E77" s="271">
        <v>2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71">
        <v>2</v>
      </c>
      <c r="Y77" s="26"/>
      <c r="Z77" s="25"/>
      <c r="AA77" s="24">
        <v>0</v>
      </c>
      <c r="AB77" s="26"/>
      <c r="AC77" s="25"/>
      <c r="AD77" s="27"/>
      <c r="AE77" s="28"/>
      <c r="AF77" s="28"/>
      <c r="AG77" s="28"/>
      <c r="AH77" s="29" t="s">
        <v>166</v>
      </c>
      <c r="AI77" s="29" t="s">
        <v>412</v>
      </c>
      <c r="AJ77" s="29" t="s">
        <v>101</v>
      </c>
      <c r="AK77" s="30"/>
      <c r="AL77" s="31"/>
    </row>
    <row r="78" spans="1:38" s="2" customFormat="1" ht="25.5" customHeight="1">
      <c r="A78" s="271">
        <f t="shared" ref="A78:A85" si="0">A77+1</f>
        <v>2</v>
      </c>
      <c r="B78" s="272" t="s">
        <v>126</v>
      </c>
      <c r="C78" s="273" t="s">
        <v>215</v>
      </c>
      <c r="D78" s="271">
        <v>2022</v>
      </c>
      <c r="E78" s="271">
        <v>1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71">
        <v>1</v>
      </c>
      <c r="Y78" s="26"/>
      <c r="Z78" s="25"/>
      <c r="AA78" s="24">
        <v>0</v>
      </c>
      <c r="AB78" s="26"/>
      <c r="AC78" s="25"/>
      <c r="AD78" s="27"/>
      <c r="AE78" s="28"/>
      <c r="AF78" s="28"/>
      <c r="AG78" s="28"/>
      <c r="AH78" s="29" t="s">
        <v>166</v>
      </c>
      <c r="AI78" s="29" t="s">
        <v>412</v>
      </c>
      <c r="AJ78" s="29" t="s">
        <v>101</v>
      </c>
      <c r="AK78" s="30"/>
      <c r="AL78" s="31"/>
    </row>
    <row r="79" spans="1:38" s="2" customFormat="1" ht="25.5" customHeight="1">
      <c r="A79" s="271">
        <f t="shared" si="0"/>
        <v>3</v>
      </c>
      <c r="B79" s="272" t="s">
        <v>120</v>
      </c>
      <c r="C79" s="273" t="s">
        <v>215</v>
      </c>
      <c r="D79" s="271">
        <v>2022</v>
      </c>
      <c r="E79" s="271">
        <v>3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71">
        <v>3</v>
      </c>
      <c r="Y79" s="26"/>
      <c r="Z79" s="25"/>
      <c r="AA79" s="24">
        <v>0</v>
      </c>
      <c r="AB79" s="26"/>
      <c r="AC79" s="25"/>
      <c r="AD79" s="27"/>
      <c r="AE79" s="28"/>
      <c r="AF79" s="28"/>
      <c r="AG79" s="28"/>
      <c r="AH79" s="29" t="s">
        <v>166</v>
      </c>
      <c r="AI79" s="29" t="s">
        <v>412</v>
      </c>
      <c r="AJ79" s="29" t="s">
        <v>101</v>
      </c>
      <c r="AK79" s="30"/>
      <c r="AL79" s="31"/>
    </row>
    <row r="80" spans="1:38" s="2" customFormat="1" ht="25.5" customHeight="1">
      <c r="A80" s="271">
        <f t="shared" si="0"/>
        <v>4</v>
      </c>
      <c r="B80" s="272" t="s">
        <v>121</v>
      </c>
      <c r="C80" s="273" t="s">
        <v>215</v>
      </c>
      <c r="D80" s="271">
        <v>2022</v>
      </c>
      <c r="E80" s="271">
        <v>1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71">
        <v>1</v>
      </c>
      <c r="Y80" s="26"/>
      <c r="Z80" s="25"/>
      <c r="AA80" s="24">
        <v>0</v>
      </c>
      <c r="AB80" s="26"/>
      <c r="AC80" s="25"/>
      <c r="AD80" s="27"/>
      <c r="AE80" s="28"/>
      <c r="AF80" s="28"/>
      <c r="AG80" s="28"/>
      <c r="AH80" s="29" t="s">
        <v>166</v>
      </c>
      <c r="AI80" s="29" t="s">
        <v>412</v>
      </c>
      <c r="AJ80" s="29" t="s">
        <v>101</v>
      </c>
      <c r="AK80" s="30"/>
      <c r="AL80" s="31"/>
    </row>
    <row r="81" spans="1:38" s="2" customFormat="1" ht="25.5" customHeight="1">
      <c r="A81" s="271">
        <f t="shared" si="0"/>
        <v>5</v>
      </c>
      <c r="B81" s="272" t="s">
        <v>127</v>
      </c>
      <c r="C81" s="273" t="s">
        <v>215</v>
      </c>
      <c r="D81" s="271">
        <v>2022</v>
      </c>
      <c r="E81" s="271">
        <v>1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71">
        <v>1</v>
      </c>
      <c r="Y81" s="26"/>
      <c r="Z81" s="25"/>
      <c r="AA81" s="24">
        <v>0</v>
      </c>
      <c r="AB81" s="26"/>
      <c r="AC81" s="25"/>
      <c r="AD81" s="27"/>
      <c r="AE81" s="28"/>
      <c r="AF81" s="28"/>
      <c r="AG81" s="28"/>
      <c r="AH81" s="29" t="s">
        <v>166</v>
      </c>
      <c r="AI81" s="29" t="s">
        <v>412</v>
      </c>
      <c r="AJ81" s="29" t="s">
        <v>101</v>
      </c>
      <c r="AK81" s="30"/>
      <c r="AL81" s="31"/>
    </row>
    <row r="82" spans="1:38" s="2" customFormat="1" ht="25.5" customHeight="1">
      <c r="A82" s="271">
        <f t="shared" si="0"/>
        <v>6</v>
      </c>
      <c r="B82" s="272" t="s">
        <v>134</v>
      </c>
      <c r="C82" s="273" t="s">
        <v>215</v>
      </c>
      <c r="D82" s="271">
        <v>2022</v>
      </c>
      <c r="E82" s="271">
        <v>1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71">
        <v>1</v>
      </c>
      <c r="Y82" s="26"/>
      <c r="Z82" s="25"/>
      <c r="AA82" s="24">
        <v>0</v>
      </c>
      <c r="AB82" s="26"/>
      <c r="AC82" s="25"/>
      <c r="AD82" s="27"/>
      <c r="AE82" s="28"/>
      <c r="AF82" s="294">
        <v>12669000</v>
      </c>
      <c r="AG82" s="295">
        <f>+X82*AF82</f>
        <v>12669000</v>
      </c>
      <c r="AH82" s="29" t="s">
        <v>166</v>
      </c>
      <c r="AI82" s="29" t="s">
        <v>412</v>
      </c>
      <c r="AJ82" s="29" t="s">
        <v>101</v>
      </c>
      <c r="AK82" s="30"/>
      <c r="AL82" s="31"/>
    </row>
    <row r="83" spans="1:38" s="2" customFormat="1" ht="25.5" customHeight="1">
      <c r="A83" s="271">
        <f t="shared" si="0"/>
        <v>7</v>
      </c>
      <c r="B83" s="274" t="s">
        <v>123</v>
      </c>
      <c r="C83" s="273" t="s">
        <v>216</v>
      </c>
      <c r="D83" s="271">
        <v>2022</v>
      </c>
      <c r="E83" s="271">
        <v>1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71">
        <v>1</v>
      </c>
      <c r="Y83" s="26"/>
      <c r="Z83" s="25"/>
      <c r="AA83" s="24">
        <v>0</v>
      </c>
      <c r="AB83" s="26"/>
      <c r="AC83" s="25"/>
      <c r="AD83" s="27"/>
      <c r="AE83" s="28"/>
      <c r="AF83" s="28"/>
      <c r="AG83" s="28"/>
      <c r="AH83" s="29" t="s">
        <v>166</v>
      </c>
      <c r="AI83" s="29" t="s">
        <v>412</v>
      </c>
      <c r="AJ83" s="29" t="s">
        <v>101</v>
      </c>
      <c r="AK83" s="30"/>
      <c r="AL83" s="31"/>
    </row>
    <row r="84" spans="1:38" s="2" customFormat="1" ht="36" customHeight="1">
      <c r="A84" s="271">
        <f t="shared" si="0"/>
        <v>8</v>
      </c>
      <c r="B84" s="275" t="s">
        <v>124</v>
      </c>
      <c r="C84" s="273" t="s">
        <v>216</v>
      </c>
      <c r="D84" s="271">
        <v>2022</v>
      </c>
      <c r="E84" s="271">
        <v>2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71">
        <v>2</v>
      </c>
      <c r="Y84" s="26"/>
      <c r="Z84" s="25"/>
      <c r="AA84" s="24">
        <v>0</v>
      </c>
      <c r="AB84" s="26"/>
      <c r="AC84" s="25"/>
      <c r="AD84" s="27"/>
      <c r="AE84" s="28"/>
      <c r="AF84" s="28"/>
      <c r="AG84" s="28"/>
      <c r="AH84" s="29" t="s">
        <v>166</v>
      </c>
      <c r="AI84" s="29" t="s">
        <v>412</v>
      </c>
      <c r="AJ84" s="29" t="s">
        <v>101</v>
      </c>
      <c r="AK84" s="30"/>
      <c r="AL84" s="31"/>
    </row>
    <row r="85" spans="1:38" s="2" customFormat="1" ht="25.5" customHeight="1">
      <c r="A85" s="271">
        <f t="shared" si="0"/>
        <v>9</v>
      </c>
      <c r="B85" s="275" t="s">
        <v>413</v>
      </c>
      <c r="C85" s="273" t="s">
        <v>215</v>
      </c>
      <c r="D85" s="271">
        <v>2022</v>
      </c>
      <c r="E85" s="271">
        <v>1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71">
        <v>1</v>
      </c>
      <c r="Y85" s="26"/>
      <c r="Z85" s="25"/>
      <c r="AA85" s="24">
        <v>0</v>
      </c>
      <c r="AB85" s="26"/>
      <c r="AC85" s="25"/>
      <c r="AD85" s="27"/>
      <c r="AE85" s="28"/>
      <c r="AF85" s="28"/>
      <c r="AG85" s="28"/>
      <c r="AH85" s="29" t="s">
        <v>166</v>
      </c>
      <c r="AI85" s="29" t="s">
        <v>412</v>
      </c>
      <c r="AJ85" s="29" t="s">
        <v>101</v>
      </c>
      <c r="AK85" s="30"/>
      <c r="AL85" s="31"/>
    </row>
    <row r="86" spans="1:38" s="2" customFormat="1" ht="26.25" customHeight="1">
      <c r="A86" s="21" t="s">
        <v>204</v>
      </c>
      <c r="B86" s="22" t="s">
        <v>136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6"/>
      <c r="Z86" s="25"/>
      <c r="AA86" s="24"/>
      <c r="AB86" s="26"/>
      <c r="AC86" s="25"/>
      <c r="AD86" s="27"/>
      <c r="AE86" s="28"/>
      <c r="AF86" s="28"/>
      <c r="AG86" s="28"/>
      <c r="AH86" s="29"/>
      <c r="AI86" s="29"/>
      <c r="AJ86" s="29"/>
      <c r="AK86" s="30"/>
      <c r="AL86" s="31"/>
    </row>
    <row r="87" spans="1:38" s="2" customFormat="1" ht="25.5" customHeight="1">
      <c r="A87" s="23">
        <v>1</v>
      </c>
      <c r="B87" s="32" t="s">
        <v>137</v>
      </c>
      <c r="C87" s="23" t="s">
        <v>215</v>
      </c>
      <c r="D87" s="23">
        <v>2022</v>
      </c>
      <c r="E87" s="23">
        <v>3</v>
      </c>
      <c r="F87" s="23">
        <v>3</v>
      </c>
      <c r="G87" s="23">
        <v>3</v>
      </c>
      <c r="H87" s="23">
        <v>3</v>
      </c>
      <c r="I87" s="23">
        <v>3</v>
      </c>
      <c r="J87" s="23">
        <v>3</v>
      </c>
      <c r="K87" s="23">
        <v>3</v>
      </c>
      <c r="L87" s="23">
        <v>3</v>
      </c>
      <c r="M87" s="23">
        <v>3</v>
      </c>
      <c r="N87" s="23">
        <v>3</v>
      </c>
      <c r="O87" s="23">
        <v>3</v>
      </c>
      <c r="P87" s="23">
        <v>3</v>
      </c>
      <c r="Q87" s="23">
        <v>3</v>
      </c>
      <c r="R87" s="23">
        <v>3</v>
      </c>
      <c r="S87" s="23">
        <v>3</v>
      </c>
      <c r="T87" s="23">
        <v>3</v>
      </c>
      <c r="U87" s="23">
        <v>3</v>
      </c>
      <c r="V87" s="23">
        <v>3</v>
      </c>
      <c r="W87" s="23">
        <v>3</v>
      </c>
      <c r="X87" s="23">
        <v>3</v>
      </c>
      <c r="Y87" s="26"/>
      <c r="Z87" s="25"/>
      <c r="AA87" s="24">
        <v>0</v>
      </c>
      <c r="AB87" s="26"/>
      <c r="AC87" s="25"/>
      <c r="AD87" s="27"/>
      <c r="AE87" s="28"/>
      <c r="AF87" s="28"/>
      <c r="AG87" s="28"/>
      <c r="AH87" s="29" t="s">
        <v>166</v>
      </c>
      <c r="AI87" s="29" t="s">
        <v>223</v>
      </c>
      <c r="AJ87" s="29" t="s">
        <v>101</v>
      </c>
      <c r="AK87" s="30"/>
      <c r="AL87" s="31"/>
    </row>
    <row r="88" spans="1:38" s="2" customFormat="1" ht="25.5" customHeight="1">
      <c r="A88" s="23">
        <v>2</v>
      </c>
      <c r="B88" s="32" t="s">
        <v>119</v>
      </c>
      <c r="C88" s="23" t="s">
        <v>215</v>
      </c>
      <c r="D88" s="23">
        <v>2022</v>
      </c>
      <c r="E88" s="23">
        <v>1</v>
      </c>
      <c r="F88" s="23">
        <v>1</v>
      </c>
      <c r="G88" s="23">
        <v>1</v>
      </c>
      <c r="H88" s="23">
        <v>1</v>
      </c>
      <c r="I88" s="23">
        <v>1</v>
      </c>
      <c r="J88" s="23">
        <v>1</v>
      </c>
      <c r="K88" s="23">
        <v>1</v>
      </c>
      <c r="L88" s="23">
        <v>1</v>
      </c>
      <c r="M88" s="23">
        <v>1</v>
      </c>
      <c r="N88" s="23">
        <v>1</v>
      </c>
      <c r="O88" s="23">
        <v>1</v>
      </c>
      <c r="P88" s="23">
        <v>1</v>
      </c>
      <c r="Q88" s="23">
        <v>1</v>
      </c>
      <c r="R88" s="23">
        <v>1</v>
      </c>
      <c r="S88" s="23">
        <v>1</v>
      </c>
      <c r="T88" s="23">
        <v>1</v>
      </c>
      <c r="U88" s="23">
        <v>1</v>
      </c>
      <c r="V88" s="23">
        <v>1</v>
      </c>
      <c r="W88" s="23">
        <v>1</v>
      </c>
      <c r="X88" s="23">
        <v>1</v>
      </c>
      <c r="Y88" s="26"/>
      <c r="Z88" s="25"/>
      <c r="AA88" s="24">
        <v>0</v>
      </c>
      <c r="AB88" s="26"/>
      <c r="AC88" s="25"/>
      <c r="AD88" s="27"/>
      <c r="AE88" s="28"/>
      <c r="AF88" s="28"/>
      <c r="AG88" s="28"/>
      <c r="AH88" s="29" t="s">
        <v>166</v>
      </c>
      <c r="AI88" s="29" t="s">
        <v>223</v>
      </c>
      <c r="AJ88" s="29" t="s">
        <v>101</v>
      </c>
      <c r="AK88" s="30"/>
      <c r="AL88" s="31"/>
    </row>
    <row r="89" spans="1:38" s="2" customFormat="1" ht="25.5" customHeight="1">
      <c r="A89" s="23">
        <v>3</v>
      </c>
      <c r="B89" s="32" t="s">
        <v>120</v>
      </c>
      <c r="C89" s="23" t="s">
        <v>215</v>
      </c>
      <c r="D89" s="23">
        <v>2022</v>
      </c>
      <c r="E89" s="23">
        <v>3</v>
      </c>
      <c r="F89" s="23">
        <v>3</v>
      </c>
      <c r="G89" s="23">
        <v>3</v>
      </c>
      <c r="H89" s="23">
        <v>3</v>
      </c>
      <c r="I89" s="23">
        <v>3</v>
      </c>
      <c r="J89" s="23">
        <v>3</v>
      </c>
      <c r="K89" s="23">
        <v>3</v>
      </c>
      <c r="L89" s="23">
        <v>3</v>
      </c>
      <c r="M89" s="23">
        <v>3</v>
      </c>
      <c r="N89" s="23">
        <v>3</v>
      </c>
      <c r="O89" s="23">
        <v>3</v>
      </c>
      <c r="P89" s="23">
        <v>3</v>
      </c>
      <c r="Q89" s="23">
        <v>3</v>
      </c>
      <c r="R89" s="23">
        <v>3</v>
      </c>
      <c r="S89" s="23">
        <v>3</v>
      </c>
      <c r="T89" s="23">
        <v>3</v>
      </c>
      <c r="U89" s="23">
        <v>3</v>
      </c>
      <c r="V89" s="23">
        <v>3</v>
      </c>
      <c r="W89" s="23">
        <v>3</v>
      </c>
      <c r="X89" s="23">
        <v>3</v>
      </c>
      <c r="Y89" s="26"/>
      <c r="Z89" s="25"/>
      <c r="AA89" s="24">
        <v>0</v>
      </c>
      <c r="AB89" s="26"/>
      <c r="AC89" s="25"/>
      <c r="AD89" s="27"/>
      <c r="AE89" s="28"/>
      <c r="AF89" s="28"/>
      <c r="AG89" s="28"/>
      <c r="AH89" s="29" t="s">
        <v>166</v>
      </c>
      <c r="AI89" s="29" t="s">
        <v>223</v>
      </c>
      <c r="AJ89" s="29" t="s">
        <v>101</v>
      </c>
      <c r="AK89" s="30"/>
      <c r="AL89" s="31"/>
    </row>
    <row r="90" spans="1:38" s="2" customFormat="1" ht="25.5" customHeight="1">
      <c r="A90" s="23">
        <v>4</v>
      </c>
      <c r="B90" s="34" t="s">
        <v>124</v>
      </c>
      <c r="C90" s="23" t="s">
        <v>216</v>
      </c>
      <c r="D90" s="23">
        <v>2022</v>
      </c>
      <c r="E90" s="23">
        <v>2</v>
      </c>
      <c r="F90" s="23">
        <v>2</v>
      </c>
      <c r="G90" s="23">
        <v>2</v>
      </c>
      <c r="H90" s="23">
        <v>2</v>
      </c>
      <c r="I90" s="23">
        <v>2</v>
      </c>
      <c r="J90" s="23">
        <v>2</v>
      </c>
      <c r="K90" s="23">
        <v>2</v>
      </c>
      <c r="L90" s="23">
        <v>2</v>
      </c>
      <c r="M90" s="23">
        <v>2</v>
      </c>
      <c r="N90" s="23">
        <v>2</v>
      </c>
      <c r="O90" s="23">
        <v>2</v>
      </c>
      <c r="P90" s="23">
        <v>2</v>
      </c>
      <c r="Q90" s="23">
        <v>2</v>
      </c>
      <c r="R90" s="23">
        <v>2</v>
      </c>
      <c r="S90" s="23">
        <v>2</v>
      </c>
      <c r="T90" s="23">
        <v>2</v>
      </c>
      <c r="U90" s="23">
        <v>2</v>
      </c>
      <c r="V90" s="23">
        <v>2</v>
      </c>
      <c r="W90" s="23">
        <v>2</v>
      </c>
      <c r="X90" s="23">
        <v>2</v>
      </c>
      <c r="Y90" s="26"/>
      <c r="Z90" s="25"/>
      <c r="AA90" s="24">
        <v>0</v>
      </c>
      <c r="AB90" s="26"/>
      <c r="AC90" s="25"/>
      <c r="AD90" s="27"/>
      <c r="AE90" s="28"/>
      <c r="AF90" s="28"/>
      <c r="AG90" s="28"/>
      <c r="AH90" s="29" t="s">
        <v>166</v>
      </c>
      <c r="AI90" s="29" t="s">
        <v>223</v>
      </c>
      <c r="AJ90" s="29" t="s">
        <v>101</v>
      </c>
      <c r="AK90" s="30"/>
      <c r="AL90" s="31"/>
    </row>
    <row r="91" spans="1:38" s="2" customFormat="1" ht="25.5" customHeight="1">
      <c r="A91" s="23">
        <v>5</v>
      </c>
      <c r="B91" s="32" t="s">
        <v>138</v>
      </c>
      <c r="C91" s="23" t="s">
        <v>216</v>
      </c>
      <c r="D91" s="23">
        <v>2022</v>
      </c>
      <c r="E91" s="23">
        <v>1</v>
      </c>
      <c r="F91" s="23">
        <v>1</v>
      </c>
      <c r="G91" s="23">
        <v>1</v>
      </c>
      <c r="H91" s="23">
        <v>1</v>
      </c>
      <c r="I91" s="23">
        <v>1</v>
      </c>
      <c r="J91" s="23">
        <v>1</v>
      </c>
      <c r="K91" s="23">
        <v>1</v>
      </c>
      <c r="L91" s="23">
        <v>1</v>
      </c>
      <c r="M91" s="23">
        <v>1</v>
      </c>
      <c r="N91" s="23">
        <v>1</v>
      </c>
      <c r="O91" s="23">
        <v>1</v>
      </c>
      <c r="P91" s="23">
        <v>1</v>
      </c>
      <c r="Q91" s="23">
        <v>1</v>
      </c>
      <c r="R91" s="23">
        <v>1</v>
      </c>
      <c r="S91" s="23">
        <v>1</v>
      </c>
      <c r="T91" s="23">
        <v>1</v>
      </c>
      <c r="U91" s="23">
        <v>1</v>
      </c>
      <c r="V91" s="23">
        <v>1</v>
      </c>
      <c r="W91" s="23">
        <v>1</v>
      </c>
      <c r="X91" s="23">
        <v>1</v>
      </c>
      <c r="Y91" s="26"/>
      <c r="Z91" s="25"/>
      <c r="AA91" s="24">
        <v>0</v>
      </c>
      <c r="AB91" s="26"/>
      <c r="AC91" s="25"/>
      <c r="AD91" s="27"/>
      <c r="AE91" s="28"/>
      <c r="AF91" s="28"/>
      <c r="AG91" s="28"/>
      <c r="AH91" s="29" t="s">
        <v>166</v>
      </c>
      <c r="AI91" s="29" t="s">
        <v>223</v>
      </c>
      <c r="AJ91" s="29" t="s">
        <v>101</v>
      </c>
      <c r="AK91" s="30"/>
      <c r="AL91" s="31"/>
    </row>
    <row r="92" spans="1:38" s="2" customFormat="1" ht="25.5" customHeight="1">
      <c r="A92" s="23">
        <v>6</v>
      </c>
      <c r="B92" s="32" t="s">
        <v>139</v>
      </c>
      <c r="C92" s="23" t="s">
        <v>216</v>
      </c>
      <c r="D92" s="23">
        <v>2022</v>
      </c>
      <c r="E92" s="23">
        <v>1</v>
      </c>
      <c r="F92" s="23">
        <v>1</v>
      </c>
      <c r="G92" s="23">
        <v>1</v>
      </c>
      <c r="H92" s="23">
        <v>1</v>
      </c>
      <c r="I92" s="23">
        <v>1</v>
      </c>
      <c r="J92" s="23">
        <v>1</v>
      </c>
      <c r="K92" s="23">
        <v>1</v>
      </c>
      <c r="L92" s="23">
        <v>1</v>
      </c>
      <c r="M92" s="23">
        <v>1</v>
      </c>
      <c r="N92" s="23">
        <v>1</v>
      </c>
      <c r="O92" s="23">
        <v>1</v>
      </c>
      <c r="P92" s="23">
        <v>1</v>
      </c>
      <c r="Q92" s="23">
        <v>1</v>
      </c>
      <c r="R92" s="23">
        <v>1</v>
      </c>
      <c r="S92" s="23">
        <v>1</v>
      </c>
      <c r="T92" s="23">
        <v>1</v>
      </c>
      <c r="U92" s="23">
        <v>1</v>
      </c>
      <c r="V92" s="23">
        <v>1</v>
      </c>
      <c r="W92" s="23">
        <v>1</v>
      </c>
      <c r="X92" s="23">
        <v>1</v>
      </c>
      <c r="Y92" s="26"/>
      <c r="Z92" s="25"/>
      <c r="AA92" s="24">
        <v>0</v>
      </c>
      <c r="AB92" s="26"/>
      <c r="AC92" s="25"/>
      <c r="AD92" s="27"/>
      <c r="AE92" s="28"/>
      <c r="AF92" s="28"/>
      <c r="AG92" s="28"/>
      <c r="AH92" s="29" t="s">
        <v>166</v>
      </c>
      <c r="AI92" s="29" t="s">
        <v>223</v>
      </c>
      <c r="AJ92" s="29" t="s">
        <v>101</v>
      </c>
      <c r="AK92" s="30"/>
      <c r="AL92" s="31"/>
    </row>
    <row r="93" spans="1:38" s="2" customFormat="1" ht="25.5" customHeight="1">
      <c r="A93" s="23">
        <v>7</v>
      </c>
      <c r="B93" s="32" t="s">
        <v>140</v>
      </c>
      <c r="C93" s="23" t="s">
        <v>216</v>
      </c>
      <c r="D93" s="23">
        <v>2022</v>
      </c>
      <c r="E93" s="23">
        <v>1</v>
      </c>
      <c r="F93" s="23">
        <v>1</v>
      </c>
      <c r="G93" s="23">
        <v>1</v>
      </c>
      <c r="H93" s="23">
        <v>1</v>
      </c>
      <c r="I93" s="23">
        <v>1</v>
      </c>
      <c r="J93" s="23">
        <v>1</v>
      </c>
      <c r="K93" s="23">
        <v>1</v>
      </c>
      <c r="L93" s="23">
        <v>1</v>
      </c>
      <c r="M93" s="23">
        <v>1</v>
      </c>
      <c r="N93" s="23">
        <v>1</v>
      </c>
      <c r="O93" s="23">
        <v>1</v>
      </c>
      <c r="P93" s="23">
        <v>1</v>
      </c>
      <c r="Q93" s="23">
        <v>1</v>
      </c>
      <c r="R93" s="23">
        <v>1</v>
      </c>
      <c r="S93" s="23">
        <v>1</v>
      </c>
      <c r="T93" s="23">
        <v>1</v>
      </c>
      <c r="U93" s="23">
        <v>1</v>
      </c>
      <c r="V93" s="23">
        <v>1</v>
      </c>
      <c r="W93" s="23">
        <v>1</v>
      </c>
      <c r="X93" s="23">
        <v>1</v>
      </c>
      <c r="Y93" s="26"/>
      <c r="Z93" s="25"/>
      <c r="AA93" s="24">
        <v>0</v>
      </c>
      <c r="AB93" s="26"/>
      <c r="AC93" s="25"/>
      <c r="AD93" s="27"/>
      <c r="AE93" s="28"/>
      <c r="AF93" s="28"/>
      <c r="AG93" s="28"/>
      <c r="AH93" s="29" t="s">
        <v>166</v>
      </c>
      <c r="AI93" s="29" t="s">
        <v>223</v>
      </c>
      <c r="AJ93" s="29" t="s">
        <v>101</v>
      </c>
      <c r="AK93" s="30"/>
      <c r="AL93" s="31"/>
    </row>
    <row r="94" spans="1:38" s="2" customFormat="1" ht="25.5" customHeight="1">
      <c r="A94" s="23">
        <v>8</v>
      </c>
      <c r="B94" s="32" t="s">
        <v>141</v>
      </c>
      <c r="C94" s="23" t="s">
        <v>216</v>
      </c>
      <c r="D94" s="23">
        <v>2022</v>
      </c>
      <c r="E94" s="23">
        <v>1</v>
      </c>
      <c r="F94" s="23">
        <v>1</v>
      </c>
      <c r="G94" s="23">
        <v>1</v>
      </c>
      <c r="H94" s="23">
        <v>1</v>
      </c>
      <c r="I94" s="23">
        <v>1</v>
      </c>
      <c r="J94" s="23">
        <v>1</v>
      </c>
      <c r="K94" s="23">
        <v>1</v>
      </c>
      <c r="L94" s="23">
        <v>1</v>
      </c>
      <c r="M94" s="23">
        <v>1</v>
      </c>
      <c r="N94" s="23">
        <v>1</v>
      </c>
      <c r="O94" s="23">
        <v>1</v>
      </c>
      <c r="P94" s="23">
        <v>1</v>
      </c>
      <c r="Q94" s="23">
        <v>1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3">
        <v>1</v>
      </c>
      <c r="Y94" s="26"/>
      <c r="Z94" s="25"/>
      <c r="AA94" s="24">
        <v>0</v>
      </c>
      <c r="AB94" s="26"/>
      <c r="AC94" s="25"/>
      <c r="AD94" s="27"/>
      <c r="AE94" s="28"/>
      <c r="AF94" s="28"/>
      <c r="AG94" s="28"/>
      <c r="AH94" s="29" t="s">
        <v>166</v>
      </c>
      <c r="AI94" s="29" t="s">
        <v>223</v>
      </c>
      <c r="AJ94" s="29" t="s">
        <v>101</v>
      </c>
      <c r="AK94" s="30"/>
      <c r="AL94" s="31"/>
    </row>
    <row r="95" spans="1:38" s="2" customFormat="1" ht="25.5" customHeight="1">
      <c r="A95" s="23">
        <v>9</v>
      </c>
      <c r="B95" s="32" t="s">
        <v>142</v>
      </c>
      <c r="C95" s="23" t="s">
        <v>216</v>
      </c>
      <c r="D95" s="23">
        <v>2022</v>
      </c>
      <c r="E95" s="23">
        <v>1</v>
      </c>
      <c r="F95" s="23">
        <v>1</v>
      </c>
      <c r="G95" s="23">
        <v>1</v>
      </c>
      <c r="H95" s="23">
        <v>1</v>
      </c>
      <c r="I95" s="23">
        <v>1</v>
      </c>
      <c r="J95" s="23">
        <v>1</v>
      </c>
      <c r="K95" s="23">
        <v>1</v>
      </c>
      <c r="L95" s="23">
        <v>1</v>
      </c>
      <c r="M95" s="23">
        <v>1</v>
      </c>
      <c r="N95" s="23">
        <v>1</v>
      </c>
      <c r="O95" s="23">
        <v>1</v>
      </c>
      <c r="P95" s="23">
        <v>1</v>
      </c>
      <c r="Q95" s="23">
        <v>1</v>
      </c>
      <c r="R95" s="23">
        <v>1</v>
      </c>
      <c r="S95" s="23">
        <v>1</v>
      </c>
      <c r="T95" s="23">
        <v>1</v>
      </c>
      <c r="U95" s="23">
        <v>1</v>
      </c>
      <c r="V95" s="23">
        <v>1</v>
      </c>
      <c r="W95" s="23">
        <v>1</v>
      </c>
      <c r="X95" s="23">
        <v>1</v>
      </c>
      <c r="Y95" s="26"/>
      <c r="Z95" s="25"/>
      <c r="AA95" s="24">
        <v>0</v>
      </c>
      <c r="AB95" s="26"/>
      <c r="AC95" s="25"/>
      <c r="AD95" s="27"/>
      <c r="AE95" s="28"/>
      <c r="AF95" s="28"/>
      <c r="AG95" s="28"/>
      <c r="AH95" s="29" t="s">
        <v>166</v>
      </c>
      <c r="AI95" s="29" t="s">
        <v>223</v>
      </c>
      <c r="AJ95" s="29" t="s">
        <v>101</v>
      </c>
      <c r="AK95" s="30"/>
      <c r="AL95" s="31"/>
    </row>
    <row r="96" spans="1:38" s="2" customFormat="1" ht="14.25" customHeight="1">
      <c r="A96" s="23"/>
      <c r="B96" s="270" t="s">
        <v>406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6"/>
      <c r="Z96" s="25"/>
      <c r="AA96" s="24"/>
      <c r="AB96" s="26"/>
      <c r="AC96" s="25"/>
      <c r="AD96" s="27"/>
      <c r="AE96" s="28"/>
      <c r="AF96" s="28"/>
      <c r="AG96" s="297">
        <f>SUM(AG22:AG95)</f>
        <v>110370000</v>
      </c>
      <c r="AH96" s="29"/>
      <c r="AI96" s="29"/>
      <c r="AJ96" s="29"/>
      <c r="AK96" s="30"/>
      <c r="AL96" s="31"/>
    </row>
    <row r="97" spans="1:40" s="2" customFormat="1" ht="14.25" customHeight="1">
      <c r="A97" s="23"/>
      <c r="B97" s="270" t="s">
        <v>407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6"/>
      <c r="Z97" s="25"/>
      <c r="AA97" s="24"/>
      <c r="AB97" s="26"/>
      <c r="AC97" s="25"/>
      <c r="AD97" s="27"/>
      <c r="AE97" s="28"/>
      <c r="AF97" s="28"/>
      <c r="AG97" s="297"/>
      <c r="AH97" s="29"/>
      <c r="AI97" s="29"/>
      <c r="AJ97" s="29"/>
      <c r="AK97" s="30"/>
      <c r="AL97" s="31"/>
    </row>
    <row r="98" spans="1:40" s="2" customFormat="1" ht="25.5" customHeight="1">
      <c r="A98" s="21" t="s">
        <v>175</v>
      </c>
      <c r="B98" s="22" t="s">
        <v>113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6"/>
      <c r="Z98" s="25"/>
      <c r="AA98" s="24"/>
      <c r="AB98" s="26"/>
      <c r="AC98" s="25"/>
      <c r="AD98" s="27"/>
      <c r="AE98" s="28"/>
      <c r="AF98" s="28"/>
      <c r="AG98" s="28"/>
      <c r="AH98" s="29"/>
      <c r="AI98" s="29"/>
      <c r="AJ98" s="29"/>
      <c r="AK98" s="30"/>
      <c r="AL98" s="31"/>
    </row>
    <row r="99" spans="1:40" s="2" customFormat="1" ht="25.5" customHeight="1">
      <c r="A99" s="23">
        <v>8</v>
      </c>
      <c r="B99" s="32" t="s">
        <v>129</v>
      </c>
      <c r="C99" s="23" t="s">
        <v>215</v>
      </c>
      <c r="D99" s="23">
        <v>2022</v>
      </c>
      <c r="E99" s="23">
        <v>1</v>
      </c>
      <c r="F99" s="23">
        <v>1</v>
      </c>
      <c r="G99" s="23">
        <v>1</v>
      </c>
      <c r="H99" s="23">
        <v>1</v>
      </c>
      <c r="I99" s="23">
        <v>1</v>
      </c>
      <c r="J99" s="23">
        <v>1</v>
      </c>
      <c r="K99" s="23">
        <v>1</v>
      </c>
      <c r="L99" s="23">
        <v>1</v>
      </c>
      <c r="M99" s="23">
        <v>1</v>
      </c>
      <c r="N99" s="23">
        <v>1</v>
      </c>
      <c r="O99" s="23">
        <v>1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3">
        <v>1</v>
      </c>
      <c r="Y99" s="26"/>
      <c r="Z99" s="25"/>
      <c r="AA99" s="24">
        <v>0</v>
      </c>
      <c r="AB99" s="26"/>
      <c r="AC99" s="25"/>
      <c r="AD99" s="27"/>
      <c r="AE99" s="28"/>
      <c r="AF99" s="294">
        <v>8965000</v>
      </c>
      <c r="AG99" s="294">
        <v>8965000</v>
      </c>
      <c r="AH99" s="29" t="s">
        <v>166</v>
      </c>
      <c r="AI99" s="29" t="s">
        <v>151</v>
      </c>
      <c r="AJ99" s="29" t="s">
        <v>101</v>
      </c>
      <c r="AK99" s="30"/>
      <c r="AL99" s="31"/>
    </row>
    <row r="100" spans="1:40" s="2" customFormat="1" ht="25.5" customHeight="1">
      <c r="A100" s="23">
        <v>9</v>
      </c>
      <c r="B100" s="32" t="s">
        <v>129</v>
      </c>
      <c r="C100" s="23" t="s">
        <v>215</v>
      </c>
      <c r="D100" s="23">
        <v>2022</v>
      </c>
      <c r="E100" s="23">
        <v>1</v>
      </c>
      <c r="F100" s="23">
        <v>1</v>
      </c>
      <c r="G100" s="23">
        <v>1</v>
      </c>
      <c r="H100" s="23">
        <v>1</v>
      </c>
      <c r="I100" s="23">
        <v>1</v>
      </c>
      <c r="J100" s="23">
        <v>1</v>
      </c>
      <c r="K100" s="23">
        <v>1</v>
      </c>
      <c r="L100" s="23">
        <v>1</v>
      </c>
      <c r="M100" s="23">
        <v>1</v>
      </c>
      <c r="N100" s="23">
        <v>1</v>
      </c>
      <c r="O100" s="23">
        <v>1</v>
      </c>
      <c r="P100" s="23">
        <v>1</v>
      </c>
      <c r="Q100" s="23">
        <v>1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3">
        <v>1</v>
      </c>
      <c r="Y100" s="26"/>
      <c r="Z100" s="25"/>
      <c r="AA100" s="24">
        <v>0</v>
      </c>
      <c r="AB100" s="26"/>
      <c r="AC100" s="25"/>
      <c r="AD100" s="27"/>
      <c r="AE100" s="28"/>
      <c r="AF100" s="294">
        <v>8965000</v>
      </c>
      <c r="AG100" s="294">
        <v>8965000</v>
      </c>
      <c r="AH100" s="29" t="s">
        <v>166</v>
      </c>
      <c r="AI100" s="29" t="s">
        <v>151</v>
      </c>
      <c r="AJ100" s="29" t="s">
        <v>101</v>
      </c>
      <c r="AK100" s="30"/>
      <c r="AL100" s="31"/>
    </row>
    <row r="101" spans="1:40" s="6" customFormat="1" ht="16.5" customHeight="1">
      <c r="A101" s="262"/>
      <c r="D101" s="262"/>
      <c r="E101" s="262"/>
      <c r="F101" s="14"/>
      <c r="K101" s="262"/>
      <c r="X101" s="262"/>
      <c r="AA101" s="262"/>
      <c r="AB101" s="15"/>
      <c r="AH101" s="322" t="s">
        <v>414</v>
      </c>
      <c r="AI101" s="322"/>
      <c r="AJ101" s="322"/>
      <c r="AK101" s="322"/>
      <c r="AL101" s="322"/>
    </row>
    <row r="102" spans="1:40" s="6" customFormat="1" ht="16.5" customHeight="1">
      <c r="A102" s="262"/>
      <c r="B102" s="6" t="s">
        <v>95</v>
      </c>
      <c r="C102" s="322" t="s">
        <v>415</v>
      </c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AA102" s="322" t="s">
        <v>92</v>
      </c>
      <c r="AB102" s="322"/>
      <c r="AC102" s="322"/>
      <c r="AD102" s="322"/>
      <c r="AE102" s="322"/>
      <c r="AF102" s="322"/>
      <c r="AG102" s="322"/>
      <c r="AH102" s="322"/>
      <c r="AI102" s="322"/>
      <c r="AJ102" s="322" t="s">
        <v>86</v>
      </c>
      <c r="AK102" s="322"/>
      <c r="AL102" s="322"/>
    </row>
    <row r="103" spans="1:40" s="6" customFormat="1" ht="21" customHeight="1">
      <c r="A103" s="12" t="s">
        <v>96</v>
      </c>
      <c r="B103" s="6" t="s">
        <v>233</v>
      </c>
      <c r="C103" s="1"/>
      <c r="D103" s="262"/>
      <c r="E103" s="262"/>
      <c r="F103" s="14"/>
      <c r="K103" s="262"/>
      <c r="X103" s="262"/>
      <c r="AA103" s="262"/>
      <c r="AB103" s="15"/>
      <c r="AH103" s="262"/>
    </row>
    <row r="104" spans="1:40" s="6" customFormat="1" ht="21" customHeight="1">
      <c r="A104" s="12" t="s">
        <v>96</v>
      </c>
      <c r="B104" s="6" t="s">
        <v>234</v>
      </c>
      <c r="C104" s="1"/>
      <c r="D104" s="262"/>
      <c r="E104" s="262"/>
      <c r="F104" s="14"/>
      <c r="K104" s="262"/>
      <c r="X104" s="262"/>
      <c r="AA104" s="262"/>
      <c r="AB104" s="15"/>
      <c r="AH104" s="262"/>
    </row>
    <row r="105" spans="1:40" s="6" customFormat="1" ht="21" customHeight="1">
      <c r="A105" s="12" t="s">
        <v>96</v>
      </c>
      <c r="B105" s="6" t="s">
        <v>248</v>
      </c>
      <c r="C105" s="1"/>
      <c r="D105" s="262"/>
      <c r="E105" s="262"/>
      <c r="F105" s="14"/>
      <c r="K105" s="262"/>
      <c r="X105" s="262"/>
      <c r="AA105" s="262"/>
      <c r="AB105" s="15"/>
      <c r="AH105" s="262"/>
    </row>
    <row r="106" spans="1:40" s="6" customFormat="1" ht="21" customHeight="1">
      <c r="A106" s="12" t="s">
        <v>96</v>
      </c>
      <c r="B106" s="6" t="s">
        <v>404</v>
      </c>
      <c r="C106" s="322" t="s">
        <v>293</v>
      </c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AA106" s="322" t="s">
        <v>295</v>
      </c>
      <c r="AB106" s="322"/>
      <c r="AC106" s="322"/>
      <c r="AD106" s="322"/>
      <c r="AE106" s="322"/>
      <c r="AF106" s="322"/>
      <c r="AG106" s="322"/>
      <c r="AH106" s="322"/>
      <c r="AI106" s="322"/>
      <c r="AJ106" s="322" t="s">
        <v>245</v>
      </c>
      <c r="AK106" s="322"/>
      <c r="AL106" s="322"/>
    </row>
    <row r="107" spans="1:40" s="6" customFormat="1" ht="22.5" customHeight="1">
      <c r="A107" s="12" t="s">
        <v>96</v>
      </c>
      <c r="B107" s="6" t="s">
        <v>416</v>
      </c>
      <c r="C107" s="1"/>
      <c r="D107" s="262"/>
      <c r="E107" s="262"/>
      <c r="F107" s="14"/>
      <c r="K107" s="262"/>
      <c r="X107" s="262"/>
      <c r="AA107" s="16"/>
      <c r="AH107" s="262"/>
      <c r="AI107" s="262"/>
      <c r="AJ107" s="262"/>
      <c r="AK107" s="262"/>
    </row>
    <row r="108" spans="1:40" ht="16.5" customHeight="1"/>
    <row r="109" spans="1:40" ht="16.5" customHeight="1"/>
    <row r="110" spans="1:40" s="262" customFormat="1" ht="16.5" customHeight="1">
      <c r="B110" s="1"/>
      <c r="C110" s="1"/>
      <c r="D110" s="263"/>
      <c r="E110" s="263"/>
      <c r="F110" s="5"/>
      <c r="G110" s="1"/>
      <c r="H110" s="1"/>
      <c r="I110" s="1"/>
      <c r="J110" s="1"/>
      <c r="K110" s="26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63"/>
      <c r="Y110" s="1"/>
      <c r="Z110" s="1"/>
      <c r="AA110" s="17"/>
      <c r="AB110" s="1"/>
      <c r="AC110" s="1"/>
      <c r="AD110" s="1"/>
      <c r="AE110" s="1"/>
      <c r="AF110" s="1"/>
      <c r="AG110" s="1"/>
      <c r="AH110" s="263"/>
      <c r="AI110" s="1"/>
      <c r="AJ110" s="1"/>
      <c r="AK110" s="1"/>
      <c r="AL110" s="18"/>
      <c r="AM110" s="1"/>
      <c r="AN110" s="1"/>
    </row>
    <row r="111" spans="1:40" s="262" customFormat="1" ht="16.5" customHeight="1">
      <c r="B111" s="1"/>
      <c r="C111" s="1"/>
      <c r="D111" s="263"/>
      <c r="E111" s="263"/>
      <c r="F111" s="5"/>
      <c r="G111" s="1"/>
      <c r="H111" s="1"/>
      <c r="I111" s="1"/>
      <c r="J111" s="1"/>
      <c r="K111" s="26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63"/>
      <c r="Y111" s="1"/>
      <c r="Z111" s="1"/>
      <c r="AA111" s="17"/>
      <c r="AB111" s="1"/>
      <c r="AC111" s="1"/>
      <c r="AD111" s="1"/>
      <c r="AE111" s="1"/>
      <c r="AF111" s="1"/>
      <c r="AG111" s="1"/>
      <c r="AH111" s="263"/>
      <c r="AI111" s="1"/>
      <c r="AJ111" s="1"/>
      <c r="AK111" s="1"/>
      <c r="AL111" s="18"/>
      <c r="AM111" s="1"/>
      <c r="AN111" s="1"/>
    </row>
    <row r="112" spans="1:40" s="262" customFormat="1" ht="16.5" customHeight="1">
      <c r="B112" s="1"/>
      <c r="C112" s="1"/>
      <c r="D112" s="263"/>
      <c r="E112" s="263"/>
      <c r="F112" s="5"/>
      <c r="G112" s="1"/>
      <c r="H112" s="1"/>
      <c r="I112" s="1"/>
      <c r="J112" s="1"/>
      <c r="K112" s="26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63"/>
      <c r="Y112" s="1"/>
      <c r="Z112" s="1"/>
      <c r="AA112" s="17"/>
      <c r="AB112" s="1"/>
      <c r="AC112" s="1"/>
      <c r="AD112" s="1"/>
      <c r="AE112" s="1"/>
      <c r="AF112" s="1"/>
      <c r="AG112" s="1"/>
      <c r="AH112" s="263"/>
      <c r="AI112" s="1"/>
      <c r="AJ112" s="1"/>
      <c r="AK112" s="1"/>
      <c r="AL112" s="18"/>
      <c r="AM112" s="1"/>
      <c r="AN112" s="1"/>
    </row>
    <row r="113" spans="2:40" s="262" customFormat="1" ht="16.5" customHeight="1">
      <c r="B113" s="1"/>
      <c r="C113" s="1"/>
      <c r="D113" s="263"/>
      <c r="E113" s="263"/>
      <c r="F113" s="5"/>
      <c r="G113" s="1"/>
      <c r="H113" s="1"/>
      <c r="I113" s="1"/>
      <c r="J113" s="1"/>
      <c r="K113" s="26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63"/>
      <c r="Y113" s="1"/>
      <c r="Z113" s="1"/>
      <c r="AA113" s="17"/>
      <c r="AB113" s="1"/>
      <c r="AC113" s="1"/>
      <c r="AD113" s="1"/>
      <c r="AE113" s="1"/>
      <c r="AF113" s="1"/>
      <c r="AG113" s="1"/>
      <c r="AH113" s="263"/>
      <c r="AI113" s="1"/>
      <c r="AJ113" s="1"/>
      <c r="AK113" s="1"/>
      <c r="AL113" s="18"/>
      <c r="AM113" s="1"/>
      <c r="AN113" s="1"/>
    </row>
    <row r="114" spans="2:40" s="262" customFormat="1" ht="16.5" customHeight="1">
      <c r="B114" s="1"/>
      <c r="C114" s="1"/>
      <c r="D114" s="263"/>
      <c r="E114" s="263"/>
      <c r="F114" s="5"/>
      <c r="G114" s="1"/>
      <c r="H114" s="1"/>
      <c r="I114" s="1"/>
      <c r="J114" s="1"/>
      <c r="K114" s="26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63"/>
      <c r="Y114" s="1"/>
      <c r="Z114" s="1"/>
      <c r="AA114" s="17"/>
      <c r="AB114" s="1"/>
      <c r="AC114" s="1"/>
      <c r="AD114" s="1"/>
      <c r="AE114" s="1"/>
      <c r="AF114" s="1"/>
      <c r="AG114" s="1"/>
      <c r="AH114" s="263"/>
      <c r="AI114" s="1"/>
      <c r="AJ114" s="1"/>
      <c r="AK114" s="1"/>
      <c r="AL114" s="18"/>
      <c r="AM114" s="1"/>
      <c r="AN114" s="1"/>
    </row>
    <row r="115" spans="2:40" s="262" customFormat="1" ht="16.5" customHeight="1">
      <c r="B115" s="1"/>
      <c r="C115" s="1"/>
      <c r="D115" s="263"/>
      <c r="E115" s="263"/>
      <c r="F115" s="5"/>
      <c r="G115" s="1"/>
      <c r="H115" s="1"/>
      <c r="I115" s="1"/>
      <c r="J115" s="1"/>
      <c r="K115" s="26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63"/>
      <c r="Y115" s="1"/>
      <c r="Z115" s="1"/>
      <c r="AA115" s="17"/>
      <c r="AB115" s="1"/>
      <c r="AC115" s="1"/>
      <c r="AD115" s="1"/>
      <c r="AE115" s="1"/>
      <c r="AF115" s="1"/>
      <c r="AG115" s="1"/>
      <c r="AH115" s="263"/>
      <c r="AI115" s="1"/>
      <c r="AJ115" s="1"/>
      <c r="AK115" s="1"/>
      <c r="AL115" s="18"/>
      <c r="AM115" s="1"/>
      <c r="AN115" s="1"/>
    </row>
    <row r="116" spans="2:40" s="262" customFormat="1" ht="16.5" customHeight="1">
      <c r="B116" s="1"/>
      <c r="C116" s="1"/>
      <c r="D116" s="263"/>
      <c r="E116" s="263"/>
      <c r="F116" s="5"/>
      <c r="G116" s="1"/>
      <c r="H116" s="1"/>
      <c r="I116" s="1"/>
      <c r="J116" s="1"/>
      <c r="K116" s="26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63"/>
      <c r="Y116" s="1"/>
      <c r="Z116" s="1"/>
      <c r="AA116" s="17"/>
      <c r="AB116" s="1"/>
      <c r="AC116" s="1"/>
      <c r="AD116" s="1"/>
      <c r="AE116" s="1"/>
      <c r="AF116" s="1"/>
      <c r="AG116" s="1"/>
      <c r="AH116" s="263"/>
      <c r="AI116" s="1"/>
      <c r="AJ116" s="1"/>
      <c r="AK116" s="1"/>
      <c r="AL116" s="18"/>
      <c r="AM116" s="1"/>
      <c r="AN116" s="1"/>
    </row>
    <row r="117" spans="2:40" s="262" customFormat="1" ht="16.5" customHeight="1">
      <c r="B117" s="1"/>
      <c r="C117" s="1"/>
      <c r="D117" s="263"/>
      <c r="E117" s="263"/>
      <c r="F117" s="5"/>
      <c r="G117" s="1"/>
      <c r="H117" s="1"/>
      <c r="I117" s="1"/>
      <c r="J117" s="1"/>
      <c r="K117" s="26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63"/>
      <c r="Y117" s="1"/>
      <c r="Z117" s="1"/>
      <c r="AA117" s="17"/>
      <c r="AB117" s="1"/>
      <c r="AC117" s="1"/>
      <c r="AD117" s="1"/>
      <c r="AE117" s="1"/>
      <c r="AF117" s="1"/>
      <c r="AG117" s="1"/>
      <c r="AH117" s="263"/>
      <c r="AI117" s="1"/>
      <c r="AJ117" s="1"/>
      <c r="AK117" s="1"/>
      <c r="AL117" s="18"/>
      <c r="AM117" s="1"/>
      <c r="AN117" s="1"/>
    </row>
    <row r="118" spans="2:40" s="262" customFormat="1" ht="16.5" customHeight="1">
      <c r="B118" s="1"/>
      <c r="C118" s="1"/>
      <c r="D118" s="263"/>
      <c r="E118" s="263"/>
      <c r="F118" s="5"/>
      <c r="G118" s="1"/>
      <c r="H118" s="1"/>
      <c r="I118" s="1"/>
      <c r="J118" s="1"/>
      <c r="K118" s="26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63"/>
      <c r="Y118" s="1"/>
      <c r="Z118" s="1"/>
      <c r="AA118" s="17"/>
      <c r="AB118" s="1"/>
      <c r="AC118" s="1"/>
      <c r="AD118" s="1"/>
      <c r="AE118" s="1"/>
      <c r="AF118" s="1"/>
      <c r="AG118" s="1"/>
      <c r="AH118" s="263"/>
      <c r="AI118" s="1"/>
      <c r="AJ118" s="1"/>
      <c r="AK118" s="1"/>
      <c r="AL118" s="18"/>
      <c r="AM118" s="1"/>
      <c r="AN118" s="1"/>
    </row>
    <row r="119" spans="2:40" s="262" customFormat="1" ht="16.5" customHeight="1">
      <c r="B119" s="1"/>
      <c r="C119" s="1"/>
      <c r="D119" s="263"/>
      <c r="E119" s="263"/>
      <c r="F119" s="5"/>
      <c r="G119" s="1"/>
      <c r="H119" s="1"/>
      <c r="I119" s="1"/>
      <c r="J119" s="1"/>
      <c r="K119" s="26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63"/>
      <c r="Y119" s="1"/>
      <c r="Z119" s="1"/>
      <c r="AA119" s="17"/>
      <c r="AB119" s="1"/>
      <c r="AC119" s="1"/>
      <c r="AD119" s="1"/>
      <c r="AE119" s="1"/>
      <c r="AF119" s="1"/>
      <c r="AG119" s="1"/>
      <c r="AH119" s="263"/>
      <c r="AI119" s="1"/>
      <c r="AJ119" s="1"/>
      <c r="AK119" s="1"/>
      <c r="AL119" s="18"/>
      <c r="AM119" s="1"/>
      <c r="AN119" s="1"/>
    </row>
    <row r="120" spans="2:40" s="262" customFormat="1" ht="16.5" customHeight="1">
      <c r="B120" s="1"/>
      <c r="C120" s="1"/>
      <c r="D120" s="263"/>
      <c r="E120" s="263"/>
      <c r="F120" s="5"/>
      <c r="G120" s="1"/>
      <c r="H120" s="1"/>
      <c r="I120" s="1"/>
      <c r="J120" s="1"/>
      <c r="K120" s="26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63"/>
      <c r="Y120" s="1"/>
      <c r="Z120" s="1"/>
      <c r="AA120" s="17"/>
      <c r="AB120" s="1"/>
      <c r="AC120" s="1"/>
      <c r="AD120" s="1"/>
      <c r="AE120" s="1"/>
      <c r="AF120" s="1"/>
      <c r="AG120" s="1"/>
      <c r="AH120" s="263"/>
      <c r="AI120" s="1"/>
      <c r="AJ120" s="1"/>
      <c r="AK120" s="1"/>
      <c r="AL120" s="18"/>
      <c r="AM120" s="1"/>
      <c r="AN120" s="1"/>
    </row>
    <row r="121" spans="2:40" s="262" customFormat="1" ht="16.5" customHeight="1">
      <c r="B121" s="1"/>
      <c r="C121" s="1"/>
      <c r="D121" s="263"/>
      <c r="E121" s="263"/>
      <c r="F121" s="5"/>
      <c r="G121" s="1"/>
      <c r="H121" s="1"/>
      <c r="I121" s="1"/>
      <c r="J121" s="1"/>
      <c r="K121" s="26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63"/>
      <c r="Y121" s="1"/>
      <c r="Z121" s="1"/>
      <c r="AA121" s="17"/>
      <c r="AB121" s="1"/>
      <c r="AC121" s="1"/>
      <c r="AD121" s="1"/>
      <c r="AE121" s="1"/>
      <c r="AF121" s="1"/>
      <c r="AG121" s="1"/>
      <c r="AH121" s="263"/>
      <c r="AI121" s="1"/>
      <c r="AJ121" s="1"/>
      <c r="AK121" s="1"/>
      <c r="AL121" s="18"/>
      <c r="AM121" s="1"/>
      <c r="AN121" s="1"/>
    </row>
    <row r="122" spans="2:40" s="262" customFormat="1" ht="16.5" customHeight="1">
      <c r="B122" s="1"/>
      <c r="C122" s="1"/>
      <c r="D122" s="263"/>
      <c r="E122" s="263"/>
      <c r="F122" s="5"/>
      <c r="G122" s="1"/>
      <c r="H122" s="1"/>
      <c r="I122" s="1"/>
      <c r="J122" s="1"/>
      <c r="K122" s="26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63"/>
      <c r="Y122" s="1"/>
      <c r="Z122" s="1"/>
      <c r="AA122" s="17"/>
      <c r="AB122" s="1"/>
      <c r="AC122" s="1"/>
      <c r="AD122" s="1"/>
      <c r="AE122" s="1"/>
      <c r="AF122" s="1"/>
      <c r="AG122" s="1"/>
      <c r="AH122" s="263"/>
      <c r="AI122" s="1"/>
      <c r="AJ122" s="1"/>
      <c r="AK122" s="1"/>
      <c r="AL122" s="18"/>
      <c r="AM122" s="1"/>
      <c r="AN122" s="1"/>
    </row>
    <row r="123" spans="2:40" s="262" customFormat="1" ht="16.5" customHeight="1">
      <c r="B123" s="1"/>
      <c r="C123" s="1"/>
      <c r="D123" s="263"/>
      <c r="E123" s="263"/>
      <c r="F123" s="5"/>
      <c r="G123" s="1"/>
      <c r="H123" s="1"/>
      <c r="I123" s="1"/>
      <c r="J123" s="1"/>
      <c r="K123" s="26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63"/>
      <c r="Y123" s="1"/>
      <c r="Z123" s="1"/>
      <c r="AA123" s="17"/>
      <c r="AB123" s="1"/>
      <c r="AC123" s="1"/>
      <c r="AD123" s="1"/>
      <c r="AE123" s="1"/>
      <c r="AF123" s="1"/>
      <c r="AG123" s="1"/>
      <c r="AH123" s="263"/>
      <c r="AI123" s="1"/>
      <c r="AJ123" s="1"/>
      <c r="AK123" s="1"/>
      <c r="AL123" s="18"/>
      <c r="AM123" s="1"/>
      <c r="AN123" s="1"/>
    </row>
    <row r="124" spans="2:40" s="262" customFormat="1" ht="16.5" customHeight="1">
      <c r="B124" s="1"/>
      <c r="C124" s="1"/>
      <c r="D124" s="263"/>
      <c r="E124" s="263"/>
      <c r="F124" s="5"/>
      <c r="G124" s="1"/>
      <c r="H124" s="1"/>
      <c r="I124" s="1"/>
      <c r="J124" s="1"/>
      <c r="K124" s="26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63"/>
      <c r="Y124" s="1"/>
      <c r="Z124" s="1"/>
      <c r="AA124" s="17"/>
      <c r="AB124" s="1"/>
      <c r="AC124" s="1"/>
      <c r="AD124" s="1"/>
      <c r="AE124" s="1"/>
      <c r="AF124" s="1"/>
      <c r="AG124" s="1"/>
      <c r="AH124" s="263"/>
      <c r="AI124" s="1"/>
      <c r="AJ124" s="1"/>
      <c r="AK124" s="1"/>
      <c r="AL124" s="18"/>
      <c r="AM124" s="1"/>
      <c r="AN124" s="1"/>
    </row>
    <row r="125" spans="2:40" s="262" customFormat="1" ht="16.5" customHeight="1">
      <c r="B125" s="1"/>
      <c r="C125" s="1"/>
      <c r="D125" s="263"/>
      <c r="E125" s="263"/>
      <c r="F125" s="5"/>
      <c r="G125" s="1"/>
      <c r="H125" s="1"/>
      <c r="I125" s="1"/>
      <c r="J125" s="1"/>
      <c r="K125" s="26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63"/>
      <c r="Y125" s="1"/>
      <c r="Z125" s="1"/>
      <c r="AA125" s="17"/>
      <c r="AB125" s="1"/>
      <c r="AC125" s="1"/>
      <c r="AD125" s="1"/>
      <c r="AE125" s="1"/>
      <c r="AF125" s="1"/>
      <c r="AG125" s="1"/>
      <c r="AH125" s="263"/>
      <c r="AI125" s="1"/>
      <c r="AJ125" s="1"/>
      <c r="AK125" s="1"/>
      <c r="AL125" s="18"/>
      <c r="AM125" s="1"/>
      <c r="AN125" s="1"/>
    </row>
    <row r="126" spans="2:40" s="262" customFormat="1" ht="16.5" customHeight="1">
      <c r="B126" s="1"/>
      <c r="C126" s="1"/>
      <c r="D126" s="263"/>
      <c r="E126" s="263"/>
      <c r="F126" s="5"/>
      <c r="G126" s="1"/>
      <c r="H126" s="1"/>
      <c r="I126" s="1"/>
      <c r="J126" s="1"/>
      <c r="K126" s="26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63"/>
      <c r="Y126" s="1"/>
      <c r="Z126" s="1"/>
      <c r="AA126" s="17"/>
      <c r="AB126" s="1"/>
      <c r="AC126" s="1"/>
      <c r="AD126" s="1"/>
      <c r="AE126" s="1"/>
      <c r="AF126" s="1"/>
      <c r="AG126" s="1"/>
      <c r="AH126" s="263"/>
      <c r="AI126" s="1"/>
      <c r="AJ126" s="1"/>
      <c r="AK126" s="1"/>
      <c r="AL126" s="18"/>
      <c r="AM126" s="1"/>
      <c r="AN126" s="1"/>
    </row>
    <row r="127" spans="2:40" s="262" customFormat="1" ht="16.5" customHeight="1">
      <c r="B127" s="1"/>
      <c r="C127" s="1"/>
      <c r="D127" s="263"/>
      <c r="E127" s="263"/>
      <c r="F127" s="5"/>
      <c r="G127" s="1"/>
      <c r="H127" s="1"/>
      <c r="I127" s="1"/>
      <c r="J127" s="1"/>
      <c r="K127" s="26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63"/>
      <c r="Y127" s="1"/>
      <c r="Z127" s="1"/>
      <c r="AA127" s="17"/>
      <c r="AB127" s="1"/>
      <c r="AC127" s="1"/>
      <c r="AD127" s="1"/>
      <c r="AE127" s="1"/>
      <c r="AF127" s="1"/>
      <c r="AG127" s="1"/>
      <c r="AH127" s="263"/>
      <c r="AI127" s="1"/>
      <c r="AJ127" s="1"/>
      <c r="AK127" s="1"/>
      <c r="AL127" s="18"/>
      <c r="AM127" s="1"/>
      <c r="AN127" s="1"/>
    </row>
    <row r="128" spans="2:40" s="262" customFormat="1" ht="16.5" customHeight="1">
      <c r="B128" s="1"/>
      <c r="C128" s="1"/>
      <c r="D128" s="263"/>
      <c r="E128" s="263"/>
      <c r="F128" s="5"/>
      <c r="G128" s="1"/>
      <c r="H128" s="1"/>
      <c r="I128" s="1"/>
      <c r="J128" s="1"/>
      <c r="K128" s="26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63"/>
      <c r="Y128" s="1"/>
      <c r="Z128" s="1"/>
      <c r="AA128" s="17"/>
      <c r="AB128" s="1"/>
      <c r="AC128" s="1"/>
      <c r="AD128" s="1"/>
      <c r="AE128" s="1"/>
      <c r="AF128" s="1"/>
      <c r="AG128" s="1"/>
      <c r="AH128" s="263"/>
      <c r="AI128" s="1"/>
      <c r="AJ128" s="1"/>
      <c r="AK128" s="1"/>
      <c r="AL128" s="18"/>
      <c r="AM128" s="1"/>
      <c r="AN128" s="1"/>
    </row>
    <row r="129" spans="2:40" s="262" customFormat="1" ht="16.5" customHeight="1">
      <c r="B129" s="1"/>
      <c r="C129" s="1"/>
      <c r="D129" s="263"/>
      <c r="E129" s="263"/>
      <c r="F129" s="5"/>
      <c r="G129" s="1"/>
      <c r="H129" s="1"/>
      <c r="I129" s="1"/>
      <c r="J129" s="1"/>
      <c r="K129" s="26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63"/>
      <c r="Y129" s="1"/>
      <c r="Z129" s="1"/>
      <c r="AA129" s="17"/>
      <c r="AB129" s="1"/>
      <c r="AC129" s="1"/>
      <c r="AD129" s="1"/>
      <c r="AE129" s="1"/>
      <c r="AF129" s="1"/>
      <c r="AG129" s="1"/>
      <c r="AH129" s="263"/>
      <c r="AI129" s="1"/>
      <c r="AJ129" s="1"/>
      <c r="AK129" s="1"/>
      <c r="AL129" s="18"/>
      <c r="AM129" s="1"/>
      <c r="AN129" s="1"/>
    </row>
    <row r="130" spans="2:40" s="262" customFormat="1" ht="16.5" customHeight="1">
      <c r="B130" s="1"/>
      <c r="C130" s="1"/>
      <c r="D130" s="263"/>
      <c r="E130" s="263"/>
      <c r="F130" s="5"/>
      <c r="G130" s="1"/>
      <c r="H130" s="1"/>
      <c r="I130" s="1"/>
      <c r="J130" s="1"/>
      <c r="K130" s="26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63"/>
      <c r="Y130" s="1"/>
      <c r="Z130" s="1"/>
      <c r="AA130" s="17"/>
      <c r="AB130" s="1"/>
      <c r="AC130" s="1"/>
      <c r="AD130" s="1"/>
      <c r="AE130" s="1"/>
      <c r="AF130" s="1"/>
      <c r="AG130" s="1"/>
      <c r="AH130" s="263"/>
      <c r="AI130" s="1"/>
      <c r="AJ130" s="1"/>
      <c r="AK130" s="1"/>
      <c r="AL130" s="18"/>
      <c r="AM130" s="1"/>
      <c r="AN130" s="1"/>
    </row>
    <row r="131" spans="2:40" s="262" customFormat="1" ht="16.5" customHeight="1">
      <c r="B131" s="1"/>
      <c r="C131" s="1"/>
      <c r="D131" s="263"/>
      <c r="E131" s="263"/>
      <c r="F131" s="5"/>
      <c r="G131" s="1"/>
      <c r="H131" s="1"/>
      <c r="I131" s="1"/>
      <c r="J131" s="1"/>
      <c r="K131" s="26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63"/>
      <c r="Y131" s="1"/>
      <c r="Z131" s="1"/>
      <c r="AA131" s="17"/>
      <c r="AB131" s="1"/>
      <c r="AC131" s="1"/>
      <c r="AD131" s="1"/>
      <c r="AE131" s="1"/>
      <c r="AF131" s="1"/>
      <c r="AG131" s="1"/>
      <c r="AH131" s="263"/>
      <c r="AI131" s="1"/>
      <c r="AJ131" s="1"/>
      <c r="AK131" s="1"/>
      <c r="AL131" s="18"/>
      <c r="AM131" s="1"/>
      <c r="AN131" s="1"/>
    </row>
    <row r="132" spans="2:40" s="262" customFormat="1" ht="16.5" customHeight="1">
      <c r="B132" s="1"/>
      <c r="C132" s="1"/>
      <c r="D132" s="263"/>
      <c r="E132" s="263"/>
      <c r="F132" s="5"/>
      <c r="G132" s="1"/>
      <c r="H132" s="1"/>
      <c r="I132" s="1"/>
      <c r="J132" s="1"/>
      <c r="K132" s="26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263"/>
      <c r="Y132" s="1"/>
      <c r="Z132" s="1"/>
      <c r="AA132" s="17"/>
      <c r="AB132" s="1"/>
      <c r="AC132" s="1"/>
      <c r="AD132" s="1"/>
      <c r="AE132" s="1"/>
      <c r="AF132" s="1"/>
      <c r="AG132" s="1"/>
      <c r="AH132" s="263"/>
      <c r="AI132" s="1"/>
      <c r="AJ132" s="1"/>
      <c r="AK132" s="1"/>
      <c r="AL132" s="18"/>
      <c r="AM132" s="1"/>
      <c r="AN132" s="1"/>
    </row>
    <row r="133" spans="2:40" s="262" customFormat="1" ht="16.5" customHeight="1">
      <c r="B133" s="1"/>
      <c r="C133" s="1"/>
      <c r="D133" s="263"/>
      <c r="E133" s="263"/>
      <c r="F133" s="5"/>
      <c r="G133" s="1"/>
      <c r="H133" s="1"/>
      <c r="I133" s="1"/>
      <c r="J133" s="1"/>
      <c r="K133" s="26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63"/>
      <c r="Y133" s="1"/>
      <c r="Z133" s="1"/>
      <c r="AA133" s="17"/>
      <c r="AB133" s="1"/>
      <c r="AC133" s="1"/>
      <c r="AD133" s="1"/>
      <c r="AE133" s="1"/>
      <c r="AF133" s="1"/>
      <c r="AG133" s="1"/>
      <c r="AH133" s="263"/>
      <c r="AI133" s="1"/>
      <c r="AJ133" s="1"/>
      <c r="AK133" s="1"/>
      <c r="AL133" s="18"/>
      <c r="AM133" s="1"/>
      <c r="AN133" s="1"/>
    </row>
    <row r="134" spans="2:40" s="262" customFormat="1" ht="16.5" customHeight="1">
      <c r="B134" s="1"/>
      <c r="C134" s="1"/>
      <c r="D134" s="263"/>
      <c r="E134" s="263"/>
      <c r="F134" s="5"/>
      <c r="G134" s="1"/>
      <c r="H134" s="1"/>
      <c r="I134" s="1"/>
      <c r="J134" s="1"/>
      <c r="K134" s="26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63"/>
      <c r="Y134" s="1"/>
      <c r="Z134" s="1"/>
      <c r="AA134" s="17"/>
      <c r="AB134" s="1"/>
      <c r="AC134" s="1"/>
      <c r="AD134" s="1"/>
      <c r="AE134" s="1"/>
      <c r="AF134" s="1"/>
      <c r="AG134" s="1"/>
      <c r="AH134" s="263"/>
      <c r="AI134" s="1"/>
      <c r="AJ134" s="1"/>
      <c r="AK134" s="1"/>
      <c r="AL134" s="18"/>
      <c r="AM134" s="1"/>
      <c r="AN134" s="1"/>
    </row>
    <row r="135" spans="2:40" s="262" customFormat="1" ht="16.5" customHeight="1">
      <c r="B135" s="1"/>
      <c r="C135" s="1"/>
      <c r="D135" s="263"/>
      <c r="E135" s="263"/>
      <c r="F135" s="5"/>
      <c r="G135" s="1"/>
      <c r="H135" s="1"/>
      <c r="I135" s="1"/>
      <c r="J135" s="1"/>
      <c r="K135" s="26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63"/>
      <c r="Y135" s="1"/>
      <c r="Z135" s="1"/>
      <c r="AA135" s="17"/>
      <c r="AB135" s="1"/>
      <c r="AC135" s="1"/>
      <c r="AD135" s="1"/>
      <c r="AE135" s="1"/>
      <c r="AF135" s="1"/>
      <c r="AG135" s="1"/>
      <c r="AH135" s="263"/>
      <c r="AI135" s="1"/>
      <c r="AJ135" s="1"/>
      <c r="AK135" s="1"/>
      <c r="AL135" s="18"/>
      <c r="AM135" s="1"/>
      <c r="AN135" s="1"/>
    </row>
    <row r="136" spans="2:40" s="262" customFormat="1" ht="16.5" customHeight="1">
      <c r="B136" s="1"/>
      <c r="C136" s="1"/>
      <c r="D136" s="263"/>
      <c r="E136" s="263"/>
      <c r="F136" s="5"/>
      <c r="G136" s="1"/>
      <c r="H136" s="1"/>
      <c r="I136" s="1"/>
      <c r="J136" s="1"/>
      <c r="K136" s="26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63"/>
      <c r="Y136" s="1"/>
      <c r="Z136" s="1"/>
      <c r="AA136" s="17"/>
      <c r="AB136" s="1"/>
      <c r="AC136" s="1"/>
      <c r="AD136" s="1"/>
      <c r="AE136" s="1"/>
      <c r="AF136" s="1"/>
      <c r="AG136" s="1"/>
      <c r="AH136" s="263"/>
      <c r="AI136" s="1"/>
      <c r="AJ136" s="1"/>
      <c r="AK136" s="1"/>
      <c r="AL136" s="18"/>
      <c r="AM136" s="1"/>
      <c r="AN136" s="1"/>
    </row>
    <row r="137" spans="2:40" s="262" customFormat="1" ht="16.5" customHeight="1">
      <c r="B137" s="1"/>
      <c r="C137" s="1"/>
      <c r="D137" s="263"/>
      <c r="E137" s="263"/>
      <c r="F137" s="5"/>
      <c r="G137" s="1"/>
      <c r="H137" s="1"/>
      <c r="I137" s="1"/>
      <c r="J137" s="1"/>
      <c r="K137" s="26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63"/>
      <c r="Y137" s="1"/>
      <c r="Z137" s="1"/>
      <c r="AA137" s="17"/>
      <c r="AB137" s="1"/>
      <c r="AC137" s="1"/>
      <c r="AD137" s="1"/>
      <c r="AE137" s="1"/>
      <c r="AF137" s="1"/>
      <c r="AG137" s="1"/>
      <c r="AH137" s="263"/>
      <c r="AI137" s="1"/>
      <c r="AJ137" s="1"/>
      <c r="AK137" s="1"/>
      <c r="AL137" s="18"/>
      <c r="AM137" s="1"/>
      <c r="AN137" s="1"/>
    </row>
    <row r="138" spans="2:40" s="262" customFormat="1" ht="16.5" customHeight="1">
      <c r="B138" s="1"/>
      <c r="C138" s="1"/>
      <c r="D138" s="263"/>
      <c r="E138" s="263"/>
      <c r="F138" s="5"/>
      <c r="G138" s="1"/>
      <c r="H138" s="1"/>
      <c r="I138" s="1"/>
      <c r="J138" s="1"/>
      <c r="K138" s="26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63"/>
      <c r="Y138" s="1"/>
      <c r="Z138" s="1"/>
      <c r="AA138" s="17"/>
      <c r="AB138" s="1"/>
      <c r="AC138" s="1"/>
      <c r="AD138" s="1"/>
      <c r="AE138" s="1"/>
      <c r="AF138" s="1"/>
      <c r="AG138" s="1"/>
      <c r="AH138" s="263"/>
      <c r="AI138" s="1"/>
      <c r="AJ138" s="1"/>
      <c r="AK138" s="1"/>
      <c r="AL138" s="18"/>
      <c r="AM138" s="1"/>
      <c r="AN138" s="1"/>
    </row>
    <row r="139" spans="2:40" s="262" customFormat="1" ht="16.5" customHeight="1">
      <c r="B139" s="1"/>
      <c r="C139" s="1"/>
      <c r="D139" s="263"/>
      <c r="E139" s="263"/>
      <c r="F139" s="5"/>
      <c r="G139" s="1"/>
      <c r="H139" s="1"/>
      <c r="I139" s="1"/>
      <c r="J139" s="1"/>
      <c r="K139" s="26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263"/>
      <c r="Y139" s="1"/>
      <c r="Z139" s="1"/>
      <c r="AA139" s="17"/>
      <c r="AB139" s="1"/>
      <c r="AC139" s="1"/>
      <c r="AD139" s="1"/>
      <c r="AE139" s="1"/>
      <c r="AF139" s="1"/>
      <c r="AG139" s="1"/>
      <c r="AH139" s="263"/>
      <c r="AI139" s="1"/>
      <c r="AJ139" s="1"/>
      <c r="AK139" s="1"/>
      <c r="AL139" s="18"/>
      <c r="AM139" s="1"/>
      <c r="AN139" s="1"/>
    </row>
    <row r="140" spans="2:40" s="262" customFormat="1" ht="16.5" customHeight="1">
      <c r="B140" s="1"/>
      <c r="C140" s="1"/>
      <c r="D140" s="263"/>
      <c r="E140" s="263"/>
      <c r="F140" s="5"/>
      <c r="G140" s="1"/>
      <c r="H140" s="1"/>
      <c r="I140" s="1"/>
      <c r="J140" s="1"/>
      <c r="K140" s="26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63"/>
      <c r="Y140" s="1"/>
      <c r="Z140" s="1"/>
      <c r="AA140" s="17"/>
      <c r="AB140" s="1"/>
      <c r="AC140" s="1"/>
      <c r="AD140" s="1"/>
      <c r="AE140" s="1"/>
      <c r="AF140" s="1"/>
      <c r="AG140" s="1"/>
      <c r="AH140" s="263"/>
      <c r="AI140" s="1"/>
      <c r="AJ140" s="1"/>
      <c r="AK140" s="1"/>
      <c r="AL140" s="18"/>
      <c r="AM140" s="1"/>
      <c r="AN140" s="1"/>
    </row>
    <row r="141" spans="2:40" s="262" customFormat="1" ht="16.5" customHeight="1">
      <c r="B141" s="1"/>
      <c r="C141" s="1"/>
      <c r="D141" s="263"/>
      <c r="E141" s="263"/>
      <c r="F141" s="5"/>
      <c r="G141" s="1"/>
      <c r="H141" s="1"/>
      <c r="I141" s="1"/>
      <c r="J141" s="1"/>
      <c r="K141" s="26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263"/>
      <c r="Y141" s="1"/>
      <c r="Z141" s="1"/>
      <c r="AA141" s="17"/>
      <c r="AB141" s="1"/>
      <c r="AC141" s="1"/>
      <c r="AD141" s="1"/>
      <c r="AE141" s="1"/>
      <c r="AF141" s="1"/>
      <c r="AG141" s="1"/>
      <c r="AH141" s="263"/>
      <c r="AI141" s="1"/>
      <c r="AJ141" s="1"/>
      <c r="AK141" s="1"/>
      <c r="AL141" s="18"/>
      <c r="AM141" s="1"/>
      <c r="AN141" s="1"/>
    </row>
    <row r="142" spans="2:40" s="262" customFormat="1" ht="16.5" customHeight="1">
      <c r="B142" s="1"/>
      <c r="C142" s="1"/>
      <c r="D142" s="263"/>
      <c r="E142" s="263"/>
      <c r="F142" s="5"/>
      <c r="G142" s="1"/>
      <c r="H142" s="1"/>
      <c r="I142" s="1"/>
      <c r="J142" s="1"/>
      <c r="K142" s="26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63"/>
      <c r="Y142" s="1"/>
      <c r="Z142" s="1"/>
      <c r="AA142" s="17"/>
      <c r="AB142" s="1"/>
      <c r="AC142" s="1"/>
      <c r="AD142" s="1"/>
      <c r="AE142" s="1"/>
      <c r="AF142" s="1"/>
      <c r="AG142" s="1"/>
      <c r="AH142" s="263"/>
      <c r="AI142" s="1"/>
      <c r="AJ142" s="1"/>
      <c r="AK142" s="1"/>
      <c r="AL142" s="18"/>
      <c r="AM142" s="1"/>
      <c r="AN142" s="1"/>
    </row>
    <row r="143" spans="2:40" s="262" customFormat="1" ht="16.5" customHeight="1">
      <c r="B143" s="1"/>
      <c r="C143" s="1"/>
      <c r="D143" s="263"/>
      <c r="E143" s="263"/>
      <c r="F143" s="5"/>
      <c r="G143" s="1"/>
      <c r="H143" s="1"/>
      <c r="I143" s="1"/>
      <c r="J143" s="1"/>
      <c r="K143" s="26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263"/>
      <c r="Y143" s="1"/>
      <c r="Z143" s="1"/>
      <c r="AA143" s="17"/>
      <c r="AB143" s="1"/>
      <c r="AC143" s="1"/>
      <c r="AD143" s="1"/>
      <c r="AE143" s="1"/>
      <c r="AF143" s="1"/>
      <c r="AG143" s="1"/>
      <c r="AH143" s="263"/>
      <c r="AI143" s="1"/>
      <c r="AJ143" s="1"/>
      <c r="AK143" s="1"/>
      <c r="AL143" s="18"/>
      <c r="AM143" s="1"/>
      <c r="AN143" s="1"/>
    </row>
    <row r="144" spans="2:40" s="262" customFormat="1" ht="16.5" customHeight="1">
      <c r="B144" s="1"/>
      <c r="C144" s="1"/>
      <c r="D144" s="263"/>
      <c r="E144" s="263"/>
      <c r="F144" s="5"/>
      <c r="G144" s="1"/>
      <c r="H144" s="1"/>
      <c r="I144" s="1"/>
      <c r="J144" s="1"/>
      <c r="K144" s="26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63"/>
      <c r="Y144" s="1"/>
      <c r="Z144" s="1"/>
      <c r="AA144" s="17"/>
      <c r="AB144" s="1"/>
      <c r="AC144" s="1"/>
      <c r="AD144" s="1"/>
      <c r="AE144" s="1"/>
      <c r="AF144" s="1"/>
      <c r="AG144" s="1"/>
      <c r="AH144" s="263"/>
      <c r="AI144" s="1"/>
      <c r="AJ144" s="1"/>
      <c r="AK144" s="1"/>
      <c r="AL144" s="18"/>
      <c r="AM144" s="1"/>
      <c r="AN144" s="1"/>
    </row>
    <row r="145" spans="2:40" s="262" customFormat="1" ht="16.5" customHeight="1">
      <c r="B145" s="1"/>
      <c r="C145" s="1"/>
      <c r="D145" s="263"/>
      <c r="E145" s="263"/>
      <c r="F145" s="5"/>
      <c r="G145" s="1"/>
      <c r="H145" s="1"/>
      <c r="I145" s="1"/>
      <c r="J145" s="1"/>
      <c r="K145" s="26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63"/>
      <c r="Y145" s="1"/>
      <c r="Z145" s="1"/>
      <c r="AA145" s="17"/>
      <c r="AB145" s="1"/>
      <c r="AC145" s="1"/>
      <c r="AD145" s="1"/>
      <c r="AE145" s="1"/>
      <c r="AF145" s="1"/>
      <c r="AG145" s="1"/>
      <c r="AH145" s="263"/>
      <c r="AI145" s="1"/>
      <c r="AJ145" s="1"/>
      <c r="AK145" s="1"/>
      <c r="AL145" s="18"/>
      <c r="AM145" s="1"/>
      <c r="AN145" s="1"/>
    </row>
    <row r="146" spans="2:40" s="262" customFormat="1" ht="16.5" customHeight="1">
      <c r="B146" s="1"/>
      <c r="C146" s="1"/>
      <c r="D146" s="263"/>
      <c r="E146" s="263"/>
      <c r="F146" s="5"/>
      <c r="G146" s="1"/>
      <c r="H146" s="1"/>
      <c r="I146" s="1"/>
      <c r="J146" s="1"/>
      <c r="K146" s="26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63"/>
      <c r="Y146" s="1"/>
      <c r="Z146" s="1"/>
      <c r="AA146" s="17"/>
      <c r="AB146" s="1"/>
      <c r="AC146" s="1"/>
      <c r="AD146" s="1"/>
      <c r="AE146" s="1"/>
      <c r="AF146" s="1"/>
      <c r="AG146" s="1"/>
      <c r="AH146" s="263"/>
      <c r="AI146" s="1"/>
      <c r="AJ146" s="1"/>
      <c r="AK146" s="1"/>
      <c r="AL146" s="18"/>
      <c r="AM146" s="1"/>
      <c r="AN146" s="1"/>
    </row>
  </sheetData>
  <autoFilter ref="A16:AN107" xr:uid="{B63FEB28-8D84-4F7E-B21C-CA620898A91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0">
    <mergeCell ref="AH101:AL101"/>
    <mergeCell ref="C102:X102"/>
    <mergeCell ref="AA102:AI102"/>
    <mergeCell ref="AJ102:AL102"/>
    <mergeCell ref="C106:X106"/>
    <mergeCell ref="AA106:AI106"/>
    <mergeCell ref="AJ106:AL106"/>
    <mergeCell ref="Z1:AL1"/>
    <mergeCell ref="Z2:AL2"/>
    <mergeCell ref="A3:AL3"/>
    <mergeCell ref="Z4:AL4"/>
    <mergeCell ref="A5:AL5"/>
    <mergeCell ref="A6:AL6"/>
    <mergeCell ref="AL16:AL19"/>
    <mergeCell ref="AC17:AC19"/>
    <mergeCell ref="A16:A19"/>
    <mergeCell ref="B16:B19"/>
    <mergeCell ref="C16:C19"/>
    <mergeCell ref="D16:D19"/>
    <mergeCell ref="E16:P16"/>
    <mergeCell ref="X16:Z16"/>
    <mergeCell ref="G18:G19"/>
    <mergeCell ref="H18:I18"/>
    <mergeCell ref="AH16:AH19"/>
    <mergeCell ref="AI16:AI19"/>
    <mergeCell ref="E17:E19"/>
    <mergeCell ref="F17:F19"/>
    <mergeCell ref="G17:I17"/>
    <mergeCell ref="X17:X19"/>
    <mergeCell ref="Y17:Y19"/>
    <mergeCell ref="Z17:Z19"/>
    <mergeCell ref="AA17:AA19"/>
    <mergeCell ref="AB17:AB19"/>
    <mergeCell ref="AA16:AC16"/>
    <mergeCell ref="AD16:AD19"/>
    <mergeCell ref="AE16:AE19"/>
    <mergeCell ref="AJ16:AJ19"/>
    <mergeCell ref="AK16:AK19"/>
    <mergeCell ref="AF16:AF19"/>
    <mergeCell ref="AG16:AG19"/>
  </mergeCells>
  <printOptions horizontalCentered="1"/>
  <pageMargins left="0" right="0" top="0.36811023599999998" bottom="0.47244094488188998" header="0.196850393700787" footer="0"/>
  <pageSetup paperSize="9" orientation="landscape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86"/>
  <sheetViews>
    <sheetView topLeftCell="A38" zoomScale="85" zoomScaleNormal="85" zoomScaleSheetLayoutView="80" workbookViewId="0">
      <selection activeCell="A41" sqref="A41:XFD41"/>
    </sheetView>
  </sheetViews>
  <sheetFormatPr defaultRowHeight="15.75"/>
  <cols>
    <col min="1" max="1" width="4.85546875" style="262" customWidth="1"/>
    <col min="2" max="2" width="43" style="1" customWidth="1"/>
    <col min="3" max="3" width="8.7109375" style="1" customWidth="1"/>
    <col min="4" max="4" width="8.28515625" style="263" customWidth="1"/>
    <col min="5" max="5" width="7.7109375" style="263" customWidth="1"/>
    <col min="6" max="6" width="11.5703125" style="5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263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28515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8" style="263" customWidth="1"/>
    <col min="25" max="25" width="12" style="1" hidden="1" customWidth="1"/>
    <col min="26" max="26" width="5.5703125" style="1" hidden="1" customWidth="1"/>
    <col min="27" max="27" width="8.7109375" style="1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1" style="1" hidden="1" customWidth="1"/>
    <col min="32" max="32" width="14.28515625" style="1" customWidth="1"/>
    <col min="33" max="33" width="13.7109375" style="1" customWidth="1"/>
    <col min="34" max="34" width="14.42578125" style="263" customWidth="1"/>
    <col min="35" max="35" width="12.85546875" style="1" customWidth="1"/>
    <col min="36" max="37" width="10.5703125" style="1" customWidth="1"/>
    <col min="38" max="38" width="8.85546875" style="18" customWidth="1"/>
    <col min="39" max="16384" width="9.140625" style="1"/>
  </cols>
  <sheetData>
    <row r="1" spans="1:38" ht="15.75" customHeight="1">
      <c r="A1" s="3" t="s">
        <v>40</v>
      </c>
      <c r="B1" s="4"/>
      <c r="C1" s="4"/>
      <c r="H1" s="6"/>
      <c r="I1" s="6"/>
      <c r="J1" s="262" t="s">
        <v>0</v>
      </c>
      <c r="K1" s="6"/>
      <c r="L1" s="6"/>
      <c r="M1" s="6"/>
      <c r="N1" s="6"/>
      <c r="P1" s="262"/>
      <c r="Q1" s="262"/>
      <c r="R1" s="262"/>
      <c r="S1" s="262"/>
      <c r="T1" s="262"/>
      <c r="U1" s="262"/>
      <c r="V1" s="262"/>
      <c r="W1" s="262"/>
      <c r="Z1" s="322" t="s">
        <v>0</v>
      </c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" customHeight="1">
      <c r="A2" s="7" t="s">
        <v>41</v>
      </c>
      <c r="K2" s="1"/>
      <c r="O2" s="8"/>
      <c r="P2" s="8"/>
      <c r="Q2" s="8"/>
      <c r="R2" s="8"/>
      <c r="S2" s="8"/>
      <c r="T2" s="8"/>
      <c r="U2" s="8"/>
      <c r="V2" s="8"/>
      <c r="W2" s="8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</row>
    <row r="3" spans="1:38" ht="22.5" hidden="1" customHeight="1">
      <c r="A3" s="322" t="s">
        <v>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</row>
    <row r="4" spans="1:38" ht="15" customHeight="1"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</row>
    <row r="5" spans="1:38" ht="20.25" customHeight="1">
      <c r="A5" s="322" t="s">
        <v>296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</row>
    <row r="6" spans="1:38" ht="20.25" customHeight="1">
      <c r="A6" s="322" t="s">
        <v>225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</row>
    <row r="7" spans="1:38" ht="7.5" customHeight="1"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91"/>
      <c r="AG7" s="291"/>
      <c r="AH7" s="262"/>
      <c r="AI7" s="262"/>
      <c r="AJ7" s="262"/>
      <c r="AK7" s="262"/>
      <c r="AL7" s="262"/>
    </row>
    <row r="8" spans="1:38" ht="18" customHeight="1">
      <c r="A8" s="4" t="s">
        <v>417</v>
      </c>
      <c r="B8" s="263"/>
      <c r="C8" s="263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9"/>
      <c r="AB8" s="262"/>
      <c r="AC8" s="262"/>
      <c r="AD8" s="262"/>
      <c r="AE8" s="262"/>
      <c r="AF8" s="291"/>
      <c r="AG8" s="291"/>
      <c r="AH8" s="262"/>
      <c r="AL8" s="1"/>
    </row>
    <row r="9" spans="1:38" ht="15" customHeight="1">
      <c r="A9" s="10" t="s">
        <v>243</v>
      </c>
      <c r="B9" s="263"/>
      <c r="D9" s="263" t="s">
        <v>244</v>
      </c>
      <c r="E9" s="262"/>
      <c r="F9" s="1"/>
      <c r="H9" s="10"/>
      <c r="I9" s="262"/>
      <c r="K9" s="10" t="s">
        <v>2</v>
      </c>
      <c r="L9" s="262"/>
      <c r="M9" s="11"/>
      <c r="S9" s="10"/>
      <c r="T9" s="12"/>
      <c r="W9" s="9"/>
      <c r="X9" s="262"/>
      <c r="Z9" s="262"/>
      <c r="AA9" s="262"/>
      <c r="AB9" s="10"/>
      <c r="AI9" s="10" t="s">
        <v>86</v>
      </c>
      <c r="AL9" s="1"/>
    </row>
    <row r="10" spans="1:38" ht="15" customHeight="1">
      <c r="A10" s="10" t="s">
        <v>252</v>
      </c>
      <c r="B10" s="263"/>
      <c r="D10" s="263" t="s">
        <v>92</v>
      </c>
      <c r="F10" s="1"/>
      <c r="H10" s="10"/>
      <c r="I10" s="262"/>
      <c r="K10" s="10"/>
      <c r="L10" s="262"/>
      <c r="M10" s="11"/>
      <c r="S10" s="10"/>
      <c r="T10" s="12"/>
      <c r="W10" s="9"/>
      <c r="X10" s="262"/>
      <c r="Z10" s="262"/>
      <c r="AA10" s="262"/>
      <c r="AB10" s="10"/>
      <c r="AI10" s="1" t="s">
        <v>87</v>
      </c>
      <c r="AL10" s="1"/>
    </row>
    <row r="11" spans="1:38" ht="15" customHeight="1">
      <c r="A11" s="10" t="s">
        <v>88</v>
      </c>
      <c r="B11" s="263"/>
      <c r="D11" s="263" t="s">
        <v>89</v>
      </c>
      <c r="E11" s="262"/>
      <c r="F11" s="1"/>
      <c r="H11" s="10"/>
      <c r="I11" s="262"/>
      <c r="K11" s="10" t="s">
        <v>3</v>
      </c>
      <c r="L11" s="262"/>
      <c r="M11" s="11"/>
      <c r="S11" s="10"/>
      <c r="T11" s="12"/>
      <c r="W11" s="9"/>
      <c r="X11" s="262"/>
      <c r="Z11" s="262"/>
      <c r="AA11" s="262"/>
      <c r="AB11" s="10"/>
      <c r="AI11" s="1" t="s">
        <v>90</v>
      </c>
      <c r="AL11" s="1"/>
    </row>
    <row r="12" spans="1:38" ht="15" customHeight="1">
      <c r="A12" s="10" t="s">
        <v>251</v>
      </c>
      <c r="B12" s="263"/>
      <c r="D12" s="263" t="s">
        <v>93</v>
      </c>
      <c r="E12" s="1"/>
      <c r="F12" s="1"/>
      <c r="K12" s="1"/>
      <c r="X12" s="1"/>
      <c r="AA12" s="1"/>
      <c r="AI12" s="1" t="s">
        <v>94</v>
      </c>
      <c r="AL12" s="1"/>
    </row>
    <row r="13" spans="1:38" ht="15" customHeight="1">
      <c r="A13" s="10" t="s">
        <v>91</v>
      </c>
      <c r="E13" s="1"/>
      <c r="F13" s="1"/>
      <c r="K13" s="1"/>
      <c r="X13" s="1"/>
      <c r="AA13" s="1"/>
      <c r="AL13" s="1"/>
    </row>
    <row r="14" spans="1:38" ht="15.75" customHeight="1">
      <c r="A14" s="10" t="s">
        <v>4</v>
      </c>
      <c r="AA14" s="13"/>
      <c r="AL14" s="1"/>
    </row>
    <row r="15" spans="1:38" ht="12.75" customHeight="1">
      <c r="AA15" s="13"/>
      <c r="AL15" s="1"/>
    </row>
    <row r="16" spans="1:38" ht="51" customHeight="1">
      <c r="A16" s="342" t="s">
        <v>5</v>
      </c>
      <c r="B16" s="355" t="s">
        <v>6</v>
      </c>
      <c r="C16" s="342" t="s">
        <v>217</v>
      </c>
      <c r="D16" s="342" t="s">
        <v>8</v>
      </c>
      <c r="E16" s="350" t="s">
        <v>42</v>
      </c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276"/>
      <c r="R16" s="276"/>
      <c r="S16" s="276"/>
      <c r="T16" s="276"/>
      <c r="U16" s="276"/>
      <c r="V16" s="276"/>
      <c r="W16" s="277"/>
      <c r="X16" s="349" t="s">
        <v>43</v>
      </c>
      <c r="Y16" s="348"/>
      <c r="Z16" s="348"/>
      <c r="AA16" s="349" t="s">
        <v>44</v>
      </c>
      <c r="AB16" s="348"/>
      <c r="AC16" s="348"/>
      <c r="AD16" s="350" t="s">
        <v>9</v>
      </c>
      <c r="AE16" s="350" t="s">
        <v>10</v>
      </c>
      <c r="AF16" s="333" t="s">
        <v>277</v>
      </c>
      <c r="AG16" s="333" t="s">
        <v>278</v>
      </c>
      <c r="AH16" s="350" t="s">
        <v>11</v>
      </c>
      <c r="AI16" s="350" t="s">
        <v>12</v>
      </c>
      <c r="AJ16" s="350" t="s">
        <v>97</v>
      </c>
      <c r="AK16" s="342" t="s">
        <v>46</v>
      </c>
      <c r="AL16" s="350" t="s">
        <v>47</v>
      </c>
    </row>
    <row r="17" spans="1:38" ht="14.25" customHeight="1">
      <c r="A17" s="353"/>
      <c r="B17" s="355"/>
      <c r="C17" s="353"/>
      <c r="D17" s="343"/>
      <c r="E17" s="342" t="s">
        <v>45</v>
      </c>
      <c r="F17" s="345" t="s">
        <v>13</v>
      </c>
      <c r="G17" s="348" t="s">
        <v>14</v>
      </c>
      <c r="H17" s="348"/>
      <c r="I17" s="348"/>
      <c r="J17" s="277" t="s">
        <v>15</v>
      </c>
      <c r="K17" s="276" t="s">
        <v>16</v>
      </c>
      <c r="L17" s="277"/>
      <c r="M17" s="277" t="s">
        <v>15</v>
      </c>
      <c r="N17" s="277" t="s">
        <v>15</v>
      </c>
      <c r="O17" s="277" t="s">
        <v>15</v>
      </c>
      <c r="P17" s="277" t="s">
        <v>17</v>
      </c>
      <c r="Q17" s="277" t="s">
        <v>17</v>
      </c>
      <c r="R17" s="277" t="s">
        <v>17</v>
      </c>
      <c r="S17" s="277" t="s">
        <v>17</v>
      </c>
      <c r="T17" s="277" t="s">
        <v>17</v>
      </c>
      <c r="U17" s="277" t="s">
        <v>17</v>
      </c>
      <c r="V17" s="277" t="s">
        <v>18</v>
      </c>
      <c r="W17" s="277"/>
      <c r="X17" s="342" t="s">
        <v>45</v>
      </c>
      <c r="Y17" s="345" t="s">
        <v>19</v>
      </c>
      <c r="Z17" s="345" t="s">
        <v>20</v>
      </c>
      <c r="AA17" s="342" t="s">
        <v>45</v>
      </c>
      <c r="AB17" s="345" t="s">
        <v>19</v>
      </c>
      <c r="AC17" s="345" t="s">
        <v>21</v>
      </c>
      <c r="AD17" s="350"/>
      <c r="AE17" s="350"/>
      <c r="AF17" s="334"/>
      <c r="AG17" s="334"/>
      <c r="AH17" s="351"/>
      <c r="AI17" s="352"/>
      <c r="AJ17" s="355"/>
      <c r="AK17" s="353"/>
      <c r="AL17" s="352"/>
    </row>
    <row r="18" spans="1:38" ht="14.25" customHeight="1">
      <c r="A18" s="353"/>
      <c r="B18" s="355"/>
      <c r="C18" s="353"/>
      <c r="D18" s="343"/>
      <c r="E18" s="343"/>
      <c r="F18" s="346"/>
      <c r="G18" s="345" t="s">
        <v>22</v>
      </c>
      <c r="H18" s="348" t="s">
        <v>23</v>
      </c>
      <c r="I18" s="348"/>
      <c r="J18" s="277" t="s">
        <v>24</v>
      </c>
      <c r="K18" s="276" t="s">
        <v>25</v>
      </c>
      <c r="L18" s="277" t="s">
        <v>26</v>
      </c>
      <c r="M18" s="277" t="s">
        <v>24</v>
      </c>
      <c r="N18" s="277" t="s">
        <v>24</v>
      </c>
      <c r="O18" s="277" t="s">
        <v>24</v>
      </c>
      <c r="P18" s="277" t="s">
        <v>27</v>
      </c>
      <c r="Q18" s="277" t="s">
        <v>27</v>
      </c>
      <c r="R18" s="277" t="s">
        <v>27</v>
      </c>
      <c r="S18" s="277" t="s">
        <v>27</v>
      </c>
      <c r="T18" s="277" t="s">
        <v>27</v>
      </c>
      <c r="U18" s="277" t="s">
        <v>27</v>
      </c>
      <c r="V18" s="277" t="s">
        <v>24</v>
      </c>
      <c r="W18" s="277" t="s">
        <v>28</v>
      </c>
      <c r="X18" s="343"/>
      <c r="Y18" s="346"/>
      <c r="Z18" s="346"/>
      <c r="AA18" s="343"/>
      <c r="AB18" s="346"/>
      <c r="AC18" s="346"/>
      <c r="AD18" s="350"/>
      <c r="AE18" s="350"/>
      <c r="AF18" s="334"/>
      <c r="AG18" s="334"/>
      <c r="AH18" s="351"/>
      <c r="AI18" s="352"/>
      <c r="AJ18" s="355"/>
      <c r="AK18" s="353"/>
      <c r="AL18" s="352"/>
    </row>
    <row r="19" spans="1:38" ht="14.25" customHeight="1">
      <c r="A19" s="354"/>
      <c r="B19" s="355"/>
      <c r="C19" s="354"/>
      <c r="D19" s="344"/>
      <c r="E19" s="344"/>
      <c r="F19" s="347"/>
      <c r="G19" s="356"/>
      <c r="H19" s="278" t="s">
        <v>29</v>
      </c>
      <c r="I19" s="279" t="s">
        <v>30</v>
      </c>
      <c r="J19" s="277" t="s">
        <v>31</v>
      </c>
      <c r="K19" s="276" t="s">
        <v>32</v>
      </c>
      <c r="L19" s="277" t="s">
        <v>33</v>
      </c>
      <c r="M19" s="277" t="s">
        <v>31</v>
      </c>
      <c r="N19" s="277" t="s">
        <v>34</v>
      </c>
      <c r="O19" s="277" t="s">
        <v>34</v>
      </c>
      <c r="P19" s="277" t="s">
        <v>34</v>
      </c>
      <c r="Q19" s="277" t="s">
        <v>34</v>
      </c>
      <c r="R19" s="277" t="s">
        <v>34</v>
      </c>
      <c r="S19" s="277" t="s">
        <v>34</v>
      </c>
      <c r="T19" s="277" t="s">
        <v>34</v>
      </c>
      <c r="U19" s="277" t="s">
        <v>34</v>
      </c>
      <c r="V19" s="277" t="s">
        <v>34</v>
      </c>
      <c r="W19" s="277" t="s">
        <v>35</v>
      </c>
      <c r="X19" s="344"/>
      <c r="Y19" s="347"/>
      <c r="Z19" s="347"/>
      <c r="AA19" s="344"/>
      <c r="AB19" s="347"/>
      <c r="AC19" s="347"/>
      <c r="AD19" s="350"/>
      <c r="AE19" s="350"/>
      <c r="AF19" s="335"/>
      <c r="AG19" s="335"/>
      <c r="AH19" s="351"/>
      <c r="AI19" s="352"/>
      <c r="AJ19" s="355"/>
      <c r="AK19" s="354"/>
      <c r="AL19" s="352"/>
    </row>
    <row r="20" spans="1:38" s="2" customFormat="1" ht="29.25" customHeight="1">
      <c r="A20" s="276" t="s">
        <v>36</v>
      </c>
      <c r="B20" s="276" t="s">
        <v>37</v>
      </c>
      <c r="C20" s="276" t="s">
        <v>38</v>
      </c>
      <c r="D20" s="276" t="s">
        <v>39</v>
      </c>
      <c r="E20" s="276">
        <v>1</v>
      </c>
      <c r="F20" s="277">
        <v>2</v>
      </c>
      <c r="G20" s="280">
        <v>3</v>
      </c>
      <c r="H20" s="280">
        <v>4</v>
      </c>
      <c r="I20" s="277">
        <v>5</v>
      </c>
      <c r="J20" s="280">
        <v>7</v>
      </c>
      <c r="K20" s="277">
        <v>8</v>
      </c>
      <c r="L20" s="280">
        <v>9</v>
      </c>
      <c r="M20" s="277">
        <v>10</v>
      </c>
      <c r="N20" s="277"/>
      <c r="O20" s="280">
        <v>6</v>
      </c>
      <c r="P20" s="280"/>
      <c r="Q20" s="280"/>
      <c r="R20" s="280"/>
      <c r="S20" s="280"/>
      <c r="T20" s="280"/>
      <c r="U20" s="280"/>
      <c r="V20" s="280"/>
      <c r="W20" s="280">
        <v>5</v>
      </c>
      <c r="X20" s="276">
        <v>2</v>
      </c>
      <c r="Y20" s="277">
        <v>7</v>
      </c>
      <c r="Z20" s="277">
        <v>8</v>
      </c>
      <c r="AA20" s="277">
        <v>3</v>
      </c>
      <c r="AB20" s="276">
        <v>10</v>
      </c>
      <c r="AC20" s="280">
        <v>11</v>
      </c>
      <c r="AD20" s="276"/>
      <c r="AE20" s="276"/>
      <c r="AF20" s="293"/>
      <c r="AG20" s="293"/>
      <c r="AH20" s="276">
        <v>4</v>
      </c>
      <c r="AI20" s="276">
        <v>5</v>
      </c>
      <c r="AJ20" s="276">
        <v>6</v>
      </c>
      <c r="AK20" s="276">
        <v>7</v>
      </c>
      <c r="AL20" s="276">
        <v>8</v>
      </c>
    </row>
    <row r="21" spans="1:38" s="2" customFormat="1" ht="25.5" customHeight="1">
      <c r="A21" s="276" t="s">
        <v>152</v>
      </c>
      <c r="B21" s="281" t="s">
        <v>116</v>
      </c>
      <c r="C21" s="282"/>
      <c r="D21" s="282"/>
      <c r="E21" s="283"/>
      <c r="F21" s="284"/>
      <c r="G21" s="284"/>
      <c r="H21" s="284"/>
      <c r="I21" s="285"/>
      <c r="J21" s="284"/>
      <c r="K21" s="284"/>
      <c r="L21" s="284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3"/>
      <c r="Y21" s="285"/>
      <c r="Z21" s="284"/>
      <c r="AA21" s="283"/>
      <c r="AB21" s="285"/>
      <c r="AC21" s="284"/>
      <c r="AD21" s="286"/>
      <c r="AE21" s="282"/>
      <c r="AF21" s="282"/>
      <c r="AG21" s="282"/>
      <c r="AH21" s="287"/>
      <c r="AI21" s="287"/>
      <c r="AJ21" s="287"/>
      <c r="AK21" s="288"/>
      <c r="AL21" s="289"/>
    </row>
    <row r="22" spans="1:38" s="2" customFormat="1" ht="25.5" customHeight="1">
      <c r="A22" s="287">
        <v>1</v>
      </c>
      <c r="B22" s="282" t="s">
        <v>143</v>
      </c>
      <c r="C22" s="287" t="s">
        <v>215</v>
      </c>
      <c r="D22" s="287">
        <v>2022</v>
      </c>
      <c r="E22" s="287">
        <v>14</v>
      </c>
      <c r="F22" s="287">
        <v>14</v>
      </c>
      <c r="G22" s="287">
        <v>14</v>
      </c>
      <c r="H22" s="287">
        <v>14</v>
      </c>
      <c r="I22" s="287">
        <v>14</v>
      </c>
      <c r="J22" s="287">
        <v>14</v>
      </c>
      <c r="K22" s="287">
        <v>14</v>
      </c>
      <c r="L22" s="287">
        <v>14</v>
      </c>
      <c r="M22" s="287">
        <v>14</v>
      </c>
      <c r="N22" s="287">
        <v>14</v>
      </c>
      <c r="O22" s="287">
        <v>14</v>
      </c>
      <c r="P22" s="287">
        <v>14</v>
      </c>
      <c r="Q22" s="287">
        <v>14</v>
      </c>
      <c r="R22" s="287">
        <v>14</v>
      </c>
      <c r="S22" s="287">
        <v>14</v>
      </c>
      <c r="T22" s="287">
        <v>14</v>
      </c>
      <c r="U22" s="287">
        <v>14</v>
      </c>
      <c r="V22" s="287">
        <v>14</v>
      </c>
      <c r="W22" s="287">
        <v>14</v>
      </c>
      <c r="X22" s="287">
        <v>14</v>
      </c>
      <c r="Y22" s="285"/>
      <c r="Z22" s="284"/>
      <c r="AA22" s="283">
        <v>0</v>
      </c>
      <c r="AB22" s="285"/>
      <c r="AC22" s="284"/>
      <c r="AD22" s="286"/>
      <c r="AE22" s="282"/>
      <c r="AF22" s="282"/>
      <c r="AG22" s="282"/>
      <c r="AH22" s="287" t="s">
        <v>166</v>
      </c>
      <c r="AI22" s="287" t="s">
        <v>156</v>
      </c>
      <c r="AJ22" s="287" t="s">
        <v>101</v>
      </c>
      <c r="AK22" s="288"/>
      <c r="AL22" s="289"/>
    </row>
    <row r="23" spans="1:38" s="2" customFormat="1" ht="25.5" customHeight="1">
      <c r="A23" s="287">
        <f t="shared" ref="A23:A40" si="0">A22+1</f>
        <v>2</v>
      </c>
      <c r="B23" s="282" t="s">
        <v>144</v>
      </c>
      <c r="C23" s="287" t="s">
        <v>215</v>
      </c>
      <c r="D23" s="287">
        <v>2022</v>
      </c>
      <c r="E23" s="287">
        <v>1</v>
      </c>
      <c r="F23" s="287">
        <v>1</v>
      </c>
      <c r="G23" s="287">
        <v>1</v>
      </c>
      <c r="H23" s="287">
        <v>1</v>
      </c>
      <c r="I23" s="287">
        <v>1</v>
      </c>
      <c r="J23" s="287">
        <v>1</v>
      </c>
      <c r="K23" s="287">
        <v>1</v>
      </c>
      <c r="L23" s="287">
        <v>1</v>
      </c>
      <c r="M23" s="287">
        <v>1</v>
      </c>
      <c r="N23" s="287">
        <v>1</v>
      </c>
      <c r="O23" s="287">
        <v>1</v>
      </c>
      <c r="P23" s="287">
        <v>1</v>
      </c>
      <c r="Q23" s="287">
        <v>1</v>
      </c>
      <c r="R23" s="287">
        <v>1</v>
      </c>
      <c r="S23" s="287">
        <v>1</v>
      </c>
      <c r="T23" s="287">
        <v>1</v>
      </c>
      <c r="U23" s="287">
        <v>1</v>
      </c>
      <c r="V23" s="287">
        <v>1</v>
      </c>
      <c r="W23" s="287">
        <v>1</v>
      </c>
      <c r="X23" s="287">
        <v>1</v>
      </c>
      <c r="Y23" s="285"/>
      <c r="Z23" s="284"/>
      <c r="AA23" s="283">
        <v>0</v>
      </c>
      <c r="AB23" s="285"/>
      <c r="AC23" s="284"/>
      <c r="AD23" s="286"/>
      <c r="AE23" s="282"/>
      <c r="AF23" s="282"/>
      <c r="AG23" s="282"/>
      <c r="AH23" s="287" t="s">
        <v>166</v>
      </c>
      <c r="AI23" s="287" t="s">
        <v>156</v>
      </c>
      <c r="AJ23" s="287" t="s">
        <v>101</v>
      </c>
      <c r="AK23" s="288"/>
      <c r="AL23" s="289"/>
    </row>
    <row r="24" spans="1:38" s="2" customFormat="1" ht="25.5" customHeight="1">
      <c r="A24" s="287">
        <f t="shared" si="0"/>
        <v>3</v>
      </c>
      <c r="B24" s="282" t="s">
        <v>120</v>
      </c>
      <c r="C24" s="287" t="s">
        <v>215</v>
      </c>
      <c r="D24" s="287">
        <v>2022</v>
      </c>
      <c r="E24" s="287">
        <v>8</v>
      </c>
      <c r="F24" s="287">
        <v>8</v>
      </c>
      <c r="G24" s="287">
        <v>8</v>
      </c>
      <c r="H24" s="287">
        <v>8</v>
      </c>
      <c r="I24" s="287">
        <v>8</v>
      </c>
      <c r="J24" s="287">
        <v>8</v>
      </c>
      <c r="K24" s="287">
        <v>8</v>
      </c>
      <c r="L24" s="287">
        <v>8</v>
      </c>
      <c r="M24" s="287">
        <v>8</v>
      </c>
      <c r="N24" s="287">
        <v>8</v>
      </c>
      <c r="O24" s="287">
        <v>8</v>
      </c>
      <c r="P24" s="287">
        <v>8</v>
      </c>
      <c r="Q24" s="287">
        <v>8</v>
      </c>
      <c r="R24" s="287">
        <v>8</v>
      </c>
      <c r="S24" s="287">
        <v>8</v>
      </c>
      <c r="T24" s="287">
        <v>8</v>
      </c>
      <c r="U24" s="287">
        <v>8</v>
      </c>
      <c r="V24" s="287">
        <v>8</v>
      </c>
      <c r="W24" s="287">
        <v>8</v>
      </c>
      <c r="X24" s="287">
        <v>8</v>
      </c>
      <c r="Y24" s="285"/>
      <c r="Z24" s="284"/>
      <c r="AA24" s="283">
        <v>0</v>
      </c>
      <c r="AB24" s="285"/>
      <c r="AC24" s="284"/>
      <c r="AD24" s="286"/>
      <c r="AE24" s="282"/>
      <c r="AF24" s="282"/>
      <c r="AG24" s="282"/>
      <c r="AH24" s="287" t="s">
        <v>166</v>
      </c>
      <c r="AI24" s="287" t="s">
        <v>156</v>
      </c>
      <c r="AJ24" s="287" t="s">
        <v>101</v>
      </c>
      <c r="AK24" s="288"/>
      <c r="AL24" s="289"/>
    </row>
    <row r="25" spans="1:38" s="2" customFormat="1" ht="25.5" customHeight="1">
      <c r="A25" s="287">
        <f t="shared" si="0"/>
        <v>4</v>
      </c>
      <c r="B25" s="282" t="s">
        <v>121</v>
      </c>
      <c r="C25" s="287" t="s">
        <v>215</v>
      </c>
      <c r="D25" s="287">
        <v>2022</v>
      </c>
      <c r="E25" s="287">
        <v>1</v>
      </c>
      <c r="F25" s="287">
        <v>1</v>
      </c>
      <c r="G25" s="287">
        <v>1</v>
      </c>
      <c r="H25" s="287">
        <v>1</v>
      </c>
      <c r="I25" s="287">
        <v>1</v>
      </c>
      <c r="J25" s="287">
        <v>1</v>
      </c>
      <c r="K25" s="287">
        <v>1</v>
      </c>
      <c r="L25" s="287">
        <v>1</v>
      </c>
      <c r="M25" s="287">
        <v>1</v>
      </c>
      <c r="N25" s="287">
        <v>1</v>
      </c>
      <c r="O25" s="287">
        <v>1</v>
      </c>
      <c r="P25" s="287">
        <v>1</v>
      </c>
      <c r="Q25" s="287">
        <v>1</v>
      </c>
      <c r="R25" s="287">
        <v>1</v>
      </c>
      <c r="S25" s="287">
        <v>1</v>
      </c>
      <c r="T25" s="287">
        <v>1</v>
      </c>
      <c r="U25" s="287">
        <v>1</v>
      </c>
      <c r="V25" s="287">
        <v>1</v>
      </c>
      <c r="W25" s="287">
        <v>1</v>
      </c>
      <c r="X25" s="287">
        <v>1</v>
      </c>
      <c r="Y25" s="285"/>
      <c r="Z25" s="284"/>
      <c r="AA25" s="283">
        <v>0</v>
      </c>
      <c r="AB25" s="285"/>
      <c r="AC25" s="284"/>
      <c r="AD25" s="286"/>
      <c r="AE25" s="282"/>
      <c r="AF25" s="282"/>
      <c r="AG25" s="282"/>
      <c r="AH25" s="287" t="s">
        <v>166</v>
      </c>
      <c r="AI25" s="287" t="s">
        <v>156</v>
      </c>
      <c r="AJ25" s="287" t="s">
        <v>101</v>
      </c>
      <c r="AK25" s="288"/>
      <c r="AL25" s="289"/>
    </row>
    <row r="26" spans="1:38" s="2" customFormat="1" ht="25.5" customHeight="1">
      <c r="A26" s="287">
        <f t="shared" si="0"/>
        <v>5</v>
      </c>
      <c r="B26" s="282" t="s">
        <v>123</v>
      </c>
      <c r="C26" s="287" t="s">
        <v>216</v>
      </c>
      <c r="D26" s="287">
        <v>2022</v>
      </c>
      <c r="E26" s="287">
        <v>1</v>
      </c>
      <c r="F26" s="287">
        <v>1</v>
      </c>
      <c r="G26" s="287">
        <v>1</v>
      </c>
      <c r="H26" s="287">
        <v>1</v>
      </c>
      <c r="I26" s="287">
        <v>1</v>
      </c>
      <c r="J26" s="287">
        <v>1</v>
      </c>
      <c r="K26" s="287">
        <v>1</v>
      </c>
      <c r="L26" s="287">
        <v>1</v>
      </c>
      <c r="M26" s="287">
        <v>1</v>
      </c>
      <c r="N26" s="287">
        <v>1</v>
      </c>
      <c r="O26" s="287">
        <v>1</v>
      </c>
      <c r="P26" s="287">
        <v>1</v>
      </c>
      <c r="Q26" s="287">
        <v>1</v>
      </c>
      <c r="R26" s="287">
        <v>1</v>
      </c>
      <c r="S26" s="287">
        <v>1</v>
      </c>
      <c r="T26" s="287">
        <v>1</v>
      </c>
      <c r="U26" s="287">
        <v>1</v>
      </c>
      <c r="V26" s="287">
        <v>1</v>
      </c>
      <c r="W26" s="287">
        <v>1</v>
      </c>
      <c r="X26" s="287">
        <v>1</v>
      </c>
      <c r="Y26" s="285"/>
      <c r="Z26" s="284"/>
      <c r="AA26" s="283">
        <v>0</v>
      </c>
      <c r="AB26" s="285"/>
      <c r="AC26" s="284"/>
      <c r="AD26" s="286"/>
      <c r="AE26" s="282"/>
      <c r="AF26" s="282"/>
      <c r="AG26" s="282"/>
      <c r="AH26" s="287" t="s">
        <v>166</v>
      </c>
      <c r="AI26" s="287" t="s">
        <v>156</v>
      </c>
      <c r="AJ26" s="287" t="s">
        <v>101</v>
      </c>
      <c r="AK26" s="288"/>
      <c r="AL26" s="289"/>
    </row>
    <row r="27" spans="1:38" s="2" customFormat="1" ht="25.5" customHeight="1">
      <c r="A27" s="287">
        <f t="shared" si="0"/>
        <v>6</v>
      </c>
      <c r="B27" s="290" t="s">
        <v>145</v>
      </c>
      <c r="C27" s="287" t="s">
        <v>216</v>
      </c>
      <c r="D27" s="287">
        <v>2022</v>
      </c>
      <c r="E27" s="287">
        <v>6</v>
      </c>
      <c r="F27" s="287">
        <v>6</v>
      </c>
      <c r="G27" s="287">
        <v>6</v>
      </c>
      <c r="H27" s="287">
        <v>6</v>
      </c>
      <c r="I27" s="287">
        <v>6</v>
      </c>
      <c r="J27" s="287">
        <v>6</v>
      </c>
      <c r="K27" s="287">
        <v>6</v>
      </c>
      <c r="L27" s="287">
        <v>6</v>
      </c>
      <c r="M27" s="287">
        <v>6</v>
      </c>
      <c r="N27" s="287">
        <v>6</v>
      </c>
      <c r="O27" s="287">
        <v>6</v>
      </c>
      <c r="P27" s="287">
        <v>6</v>
      </c>
      <c r="Q27" s="287">
        <v>6</v>
      </c>
      <c r="R27" s="287">
        <v>6</v>
      </c>
      <c r="S27" s="287">
        <v>6</v>
      </c>
      <c r="T27" s="287">
        <v>6</v>
      </c>
      <c r="U27" s="287">
        <v>6</v>
      </c>
      <c r="V27" s="287">
        <v>6</v>
      </c>
      <c r="W27" s="287">
        <v>6</v>
      </c>
      <c r="X27" s="287">
        <v>6</v>
      </c>
      <c r="Y27" s="285"/>
      <c r="Z27" s="284"/>
      <c r="AA27" s="283">
        <v>0</v>
      </c>
      <c r="AB27" s="285"/>
      <c r="AC27" s="284"/>
      <c r="AD27" s="286"/>
      <c r="AE27" s="282"/>
      <c r="AF27" s="282"/>
      <c r="AG27" s="282"/>
      <c r="AH27" s="287" t="s">
        <v>166</v>
      </c>
      <c r="AI27" s="287" t="s">
        <v>156</v>
      </c>
      <c r="AJ27" s="287" t="s">
        <v>101</v>
      </c>
      <c r="AK27" s="288"/>
      <c r="AL27" s="289"/>
    </row>
    <row r="28" spans="1:38" s="2" customFormat="1" ht="25.5" customHeight="1">
      <c r="A28" s="287">
        <f t="shared" si="0"/>
        <v>7</v>
      </c>
      <c r="B28" s="282" t="s">
        <v>125</v>
      </c>
      <c r="C28" s="287" t="s">
        <v>215</v>
      </c>
      <c r="D28" s="287">
        <v>2022</v>
      </c>
      <c r="E28" s="287">
        <v>3</v>
      </c>
      <c r="F28" s="287">
        <v>3</v>
      </c>
      <c r="G28" s="287">
        <v>3</v>
      </c>
      <c r="H28" s="287">
        <v>3</v>
      </c>
      <c r="I28" s="287">
        <v>3</v>
      </c>
      <c r="J28" s="287">
        <v>3</v>
      </c>
      <c r="K28" s="287">
        <v>3</v>
      </c>
      <c r="L28" s="287">
        <v>3</v>
      </c>
      <c r="M28" s="287">
        <v>3</v>
      </c>
      <c r="N28" s="287">
        <v>3</v>
      </c>
      <c r="O28" s="287">
        <v>3</v>
      </c>
      <c r="P28" s="287">
        <v>3</v>
      </c>
      <c r="Q28" s="287">
        <v>3</v>
      </c>
      <c r="R28" s="287">
        <v>3</v>
      </c>
      <c r="S28" s="287">
        <v>3</v>
      </c>
      <c r="T28" s="287">
        <v>3</v>
      </c>
      <c r="U28" s="287">
        <v>3</v>
      </c>
      <c r="V28" s="287">
        <v>3</v>
      </c>
      <c r="W28" s="287">
        <v>3</v>
      </c>
      <c r="X28" s="287">
        <v>3</v>
      </c>
      <c r="Y28" s="285"/>
      <c r="Z28" s="284"/>
      <c r="AA28" s="283">
        <v>0</v>
      </c>
      <c r="AB28" s="285"/>
      <c r="AC28" s="284"/>
      <c r="AD28" s="286"/>
      <c r="AE28" s="282"/>
      <c r="AF28" s="294">
        <v>15675000</v>
      </c>
      <c r="AG28" s="296">
        <f>+X28*AF28</f>
        <v>47025000</v>
      </c>
      <c r="AH28" s="287" t="s">
        <v>166</v>
      </c>
      <c r="AI28" s="287" t="s">
        <v>156</v>
      </c>
      <c r="AJ28" s="287" t="s">
        <v>101</v>
      </c>
      <c r="AK28" s="288"/>
      <c r="AL28" s="289"/>
    </row>
    <row r="29" spans="1:38" s="2" customFormat="1" ht="25.5" customHeight="1">
      <c r="A29" s="287">
        <f t="shared" si="0"/>
        <v>8</v>
      </c>
      <c r="B29" s="282" t="s">
        <v>130</v>
      </c>
      <c r="C29" s="287" t="s">
        <v>215</v>
      </c>
      <c r="D29" s="287">
        <v>2022</v>
      </c>
      <c r="E29" s="287">
        <v>6</v>
      </c>
      <c r="F29" s="287">
        <v>6</v>
      </c>
      <c r="G29" s="287">
        <v>6</v>
      </c>
      <c r="H29" s="287">
        <v>6</v>
      </c>
      <c r="I29" s="287">
        <v>6</v>
      </c>
      <c r="J29" s="287">
        <v>6</v>
      </c>
      <c r="K29" s="287">
        <v>6</v>
      </c>
      <c r="L29" s="287">
        <v>6</v>
      </c>
      <c r="M29" s="287">
        <v>6</v>
      </c>
      <c r="N29" s="287">
        <v>6</v>
      </c>
      <c r="O29" s="287">
        <v>6</v>
      </c>
      <c r="P29" s="287">
        <v>6</v>
      </c>
      <c r="Q29" s="287">
        <v>6</v>
      </c>
      <c r="R29" s="287">
        <v>6</v>
      </c>
      <c r="S29" s="287">
        <v>6</v>
      </c>
      <c r="T29" s="287">
        <v>6</v>
      </c>
      <c r="U29" s="287">
        <v>6</v>
      </c>
      <c r="V29" s="287">
        <v>6</v>
      </c>
      <c r="W29" s="287">
        <v>6</v>
      </c>
      <c r="X29" s="287">
        <v>6</v>
      </c>
      <c r="Y29" s="285"/>
      <c r="Z29" s="284"/>
      <c r="AA29" s="283">
        <v>0</v>
      </c>
      <c r="AB29" s="285"/>
      <c r="AC29" s="284"/>
      <c r="AD29" s="286"/>
      <c r="AE29" s="282"/>
      <c r="AF29" s="282"/>
      <c r="AG29" s="282"/>
      <c r="AH29" s="287" t="s">
        <v>166</v>
      </c>
      <c r="AI29" s="287" t="s">
        <v>156</v>
      </c>
      <c r="AJ29" s="287" t="s">
        <v>101</v>
      </c>
      <c r="AK29" s="288"/>
      <c r="AL29" s="289"/>
    </row>
    <row r="30" spans="1:38" s="2" customFormat="1" ht="25.5" customHeight="1">
      <c r="A30" s="287">
        <f t="shared" si="0"/>
        <v>9</v>
      </c>
      <c r="B30" s="282" t="s">
        <v>146</v>
      </c>
      <c r="C30" s="287" t="s">
        <v>215</v>
      </c>
      <c r="D30" s="287">
        <v>2022</v>
      </c>
      <c r="E30" s="287">
        <v>1</v>
      </c>
      <c r="F30" s="287">
        <v>1</v>
      </c>
      <c r="G30" s="287">
        <v>1</v>
      </c>
      <c r="H30" s="287">
        <v>1</v>
      </c>
      <c r="I30" s="287">
        <v>1</v>
      </c>
      <c r="J30" s="287">
        <v>1</v>
      </c>
      <c r="K30" s="287">
        <v>1</v>
      </c>
      <c r="L30" s="287">
        <v>1</v>
      </c>
      <c r="M30" s="287">
        <v>1</v>
      </c>
      <c r="N30" s="287">
        <v>1</v>
      </c>
      <c r="O30" s="287">
        <v>1</v>
      </c>
      <c r="P30" s="287">
        <v>1</v>
      </c>
      <c r="Q30" s="287">
        <v>1</v>
      </c>
      <c r="R30" s="287">
        <v>1</v>
      </c>
      <c r="S30" s="287">
        <v>1</v>
      </c>
      <c r="T30" s="287">
        <v>1</v>
      </c>
      <c r="U30" s="287">
        <v>1</v>
      </c>
      <c r="V30" s="287">
        <v>1</v>
      </c>
      <c r="W30" s="287">
        <v>1</v>
      </c>
      <c r="X30" s="287">
        <v>1</v>
      </c>
      <c r="Y30" s="285"/>
      <c r="Z30" s="284"/>
      <c r="AA30" s="283">
        <v>0</v>
      </c>
      <c r="AB30" s="285"/>
      <c r="AC30" s="284"/>
      <c r="AD30" s="286"/>
      <c r="AE30" s="282"/>
      <c r="AF30" s="282"/>
      <c r="AG30" s="282"/>
      <c r="AH30" s="287" t="s">
        <v>166</v>
      </c>
      <c r="AI30" s="287" t="s">
        <v>156</v>
      </c>
      <c r="AJ30" s="287" t="s">
        <v>101</v>
      </c>
      <c r="AK30" s="288"/>
      <c r="AL30" s="289"/>
    </row>
    <row r="31" spans="1:38" s="2" customFormat="1" ht="25.5" customHeight="1">
      <c r="A31" s="276" t="s">
        <v>187</v>
      </c>
      <c r="B31" s="281" t="s">
        <v>418</v>
      </c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5"/>
      <c r="Z31" s="284"/>
      <c r="AA31" s="283"/>
      <c r="AB31" s="285"/>
      <c r="AC31" s="284"/>
      <c r="AD31" s="286"/>
      <c r="AE31" s="282"/>
      <c r="AF31" s="282"/>
      <c r="AG31" s="282"/>
      <c r="AH31" s="287"/>
      <c r="AI31" s="287"/>
      <c r="AJ31" s="287"/>
      <c r="AK31" s="288"/>
      <c r="AL31" s="289"/>
    </row>
    <row r="32" spans="1:38" s="2" customFormat="1" ht="25.5" customHeight="1">
      <c r="A32" s="287">
        <v>1</v>
      </c>
      <c r="B32" s="282" t="s">
        <v>148</v>
      </c>
      <c r="C32" s="287" t="s">
        <v>215</v>
      </c>
      <c r="D32" s="287">
        <v>2022</v>
      </c>
      <c r="E32" s="287">
        <v>10</v>
      </c>
      <c r="F32" s="287">
        <v>10</v>
      </c>
      <c r="G32" s="287">
        <v>10</v>
      </c>
      <c r="H32" s="287">
        <v>10</v>
      </c>
      <c r="I32" s="287">
        <v>10</v>
      </c>
      <c r="J32" s="287">
        <v>10</v>
      </c>
      <c r="K32" s="287">
        <v>10</v>
      </c>
      <c r="L32" s="287">
        <v>10</v>
      </c>
      <c r="M32" s="287">
        <v>10</v>
      </c>
      <c r="N32" s="287">
        <v>10</v>
      </c>
      <c r="O32" s="287">
        <v>10</v>
      </c>
      <c r="P32" s="287">
        <v>10</v>
      </c>
      <c r="Q32" s="287">
        <v>10</v>
      </c>
      <c r="R32" s="287">
        <v>10</v>
      </c>
      <c r="S32" s="287">
        <v>10</v>
      </c>
      <c r="T32" s="287">
        <v>10</v>
      </c>
      <c r="U32" s="287">
        <v>10</v>
      </c>
      <c r="V32" s="287">
        <v>10</v>
      </c>
      <c r="W32" s="287">
        <v>10</v>
      </c>
      <c r="X32" s="287">
        <v>10</v>
      </c>
      <c r="Y32" s="285"/>
      <c r="Z32" s="284"/>
      <c r="AA32" s="283">
        <v>0</v>
      </c>
      <c r="AB32" s="285"/>
      <c r="AC32" s="284"/>
      <c r="AD32" s="286"/>
      <c r="AE32" s="282"/>
      <c r="AF32" s="282"/>
      <c r="AG32" s="282"/>
      <c r="AH32" s="287" t="s">
        <v>166</v>
      </c>
      <c r="AI32" s="287" t="s">
        <v>227</v>
      </c>
      <c r="AJ32" s="287" t="s">
        <v>101</v>
      </c>
      <c r="AK32" s="288"/>
      <c r="AL32" s="289"/>
    </row>
    <row r="33" spans="1:38" s="2" customFormat="1" ht="25.5" customHeight="1">
      <c r="A33" s="287">
        <f t="shared" si="0"/>
        <v>2</v>
      </c>
      <c r="B33" s="282" t="s">
        <v>149</v>
      </c>
      <c r="C33" s="287" t="s">
        <v>215</v>
      </c>
      <c r="D33" s="287">
        <v>2022</v>
      </c>
      <c r="E33" s="287">
        <v>1</v>
      </c>
      <c r="F33" s="287">
        <v>1</v>
      </c>
      <c r="G33" s="287">
        <v>1</v>
      </c>
      <c r="H33" s="287">
        <v>1</v>
      </c>
      <c r="I33" s="287">
        <v>1</v>
      </c>
      <c r="J33" s="287">
        <v>1</v>
      </c>
      <c r="K33" s="287">
        <v>1</v>
      </c>
      <c r="L33" s="287">
        <v>1</v>
      </c>
      <c r="M33" s="287">
        <v>1</v>
      </c>
      <c r="N33" s="287">
        <v>1</v>
      </c>
      <c r="O33" s="287">
        <v>1</v>
      </c>
      <c r="P33" s="287">
        <v>1</v>
      </c>
      <c r="Q33" s="287">
        <v>1</v>
      </c>
      <c r="R33" s="287">
        <v>1</v>
      </c>
      <c r="S33" s="287">
        <v>1</v>
      </c>
      <c r="T33" s="287">
        <v>1</v>
      </c>
      <c r="U33" s="287">
        <v>1</v>
      </c>
      <c r="V33" s="287">
        <v>1</v>
      </c>
      <c r="W33" s="287">
        <v>1</v>
      </c>
      <c r="X33" s="287">
        <v>1</v>
      </c>
      <c r="Y33" s="285"/>
      <c r="Z33" s="284"/>
      <c r="AA33" s="283">
        <v>0</v>
      </c>
      <c r="AB33" s="285"/>
      <c r="AC33" s="284"/>
      <c r="AD33" s="286"/>
      <c r="AE33" s="282"/>
      <c r="AF33" s="282"/>
      <c r="AG33" s="282"/>
      <c r="AH33" s="287" t="s">
        <v>166</v>
      </c>
      <c r="AI33" s="287" t="s">
        <v>227</v>
      </c>
      <c r="AJ33" s="287" t="s">
        <v>101</v>
      </c>
      <c r="AK33" s="288"/>
      <c r="AL33" s="289"/>
    </row>
    <row r="34" spans="1:38" s="2" customFormat="1" ht="25.5" customHeight="1">
      <c r="A34" s="287">
        <f t="shared" si="0"/>
        <v>3</v>
      </c>
      <c r="B34" s="282" t="s">
        <v>120</v>
      </c>
      <c r="C34" s="287" t="s">
        <v>215</v>
      </c>
      <c r="D34" s="287">
        <v>2022</v>
      </c>
      <c r="E34" s="287">
        <v>7</v>
      </c>
      <c r="F34" s="287">
        <v>7</v>
      </c>
      <c r="G34" s="287">
        <v>7</v>
      </c>
      <c r="H34" s="287">
        <v>7</v>
      </c>
      <c r="I34" s="287">
        <v>7</v>
      </c>
      <c r="J34" s="287">
        <v>7</v>
      </c>
      <c r="K34" s="287">
        <v>7</v>
      </c>
      <c r="L34" s="287">
        <v>7</v>
      </c>
      <c r="M34" s="287">
        <v>7</v>
      </c>
      <c r="N34" s="287">
        <v>7</v>
      </c>
      <c r="O34" s="287">
        <v>7</v>
      </c>
      <c r="P34" s="287">
        <v>7</v>
      </c>
      <c r="Q34" s="287">
        <v>7</v>
      </c>
      <c r="R34" s="287">
        <v>7</v>
      </c>
      <c r="S34" s="287">
        <v>7</v>
      </c>
      <c r="T34" s="287">
        <v>7</v>
      </c>
      <c r="U34" s="287">
        <v>7</v>
      </c>
      <c r="V34" s="287">
        <v>7</v>
      </c>
      <c r="W34" s="287">
        <v>7</v>
      </c>
      <c r="X34" s="287">
        <v>7</v>
      </c>
      <c r="Y34" s="285"/>
      <c r="Z34" s="284"/>
      <c r="AA34" s="283">
        <v>0</v>
      </c>
      <c r="AB34" s="285"/>
      <c r="AC34" s="284"/>
      <c r="AD34" s="286"/>
      <c r="AE34" s="282"/>
      <c r="AF34" s="282"/>
      <c r="AG34" s="282"/>
      <c r="AH34" s="287" t="s">
        <v>166</v>
      </c>
      <c r="AI34" s="287" t="s">
        <v>227</v>
      </c>
      <c r="AJ34" s="287" t="s">
        <v>101</v>
      </c>
      <c r="AK34" s="288"/>
      <c r="AL34" s="289"/>
    </row>
    <row r="35" spans="1:38" s="2" customFormat="1" ht="25.5" customHeight="1">
      <c r="A35" s="287">
        <f t="shared" si="0"/>
        <v>4</v>
      </c>
      <c r="B35" s="282" t="s">
        <v>121</v>
      </c>
      <c r="C35" s="287" t="s">
        <v>215</v>
      </c>
      <c r="D35" s="287">
        <v>2022</v>
      </c>
      <c r="E35" s="287">
        <v>1</v>
      </c>
      <c r="F35" s="287">
        <v>1</v>
      </c>
      <c r="G35" s="287">
        <v>1</v>
      </c>
      <c r="H35" s="287">
        <v>1</v>
      </c>
      <c r="I35" s="287">
        <v>1</v>
      </c>
      <c r="J35" s="287">
        <v>1</v>
      </c>
      <c r="K35" s="287">
        <v>1</v>
      </c>
      <c r="L35" s="287">
        <v>1</v>
      </c>
      <c r="M35" s="287">
        <v>1</v>
      </c>
      <c r="N35" s="287">
        <v>1</v>
      </c>
      <c r="O35" s="287">
        <v>1</v>
      </c>
      <c r="P35" s="287">
        <v>1</v>
      </c>
      <c r="Q35" s="287">
        <v>1</v>
      </c>
      <c r="R35" s="287">
        <v>1</v>
      </c>
      <c r="S35" s="287">
        <v>1</v>
      </c>
      <c r="T35" s="287">
        <v>1</v>
      </c>
      <c r="U35" s="287">
        <v>1</v>
      </c>
      <c r="V35" s="287">
        <v>1</v>
      </c>
      <c r="W35" s="287">
        <v>1</v>
      </c>
      <c r="X35" s="287">
        <v>1</v>
      </c>
      <c r="Y35" s="285"/>
      <c r="Z35" s="284"/>
      <c r="AA35" s="283">
        <v>0</v>
      </c>
      <c r="AB35" s="285"/>
      <c r="AC35" s="284"/>
      <c r="AD35" s="286"/>
      <c r="AE35" s="282"/>
      <c r="AF35" s="282"/>
      <c r="AG35" s="282"/>
      <c r="AH35" s="287" t="s">
        <v>166</v>
      </c>
      <c r="AI35" s="287" t="s">
        <v>227</v>
      </c>
      <c r="AJ35" s="287" t="s">
        <v>101</v>
      </c>
      <c r="AK35" s="288"/>
      <c r="AL35" s="289"/>
    </row>
    <row r="36" spans="1:38" s="2" customFormat="1" ht="25.5" customHeight="1">
      <c r="A36" s="287">
        <f t="shared" si="0"/>
        <v>5</v>
      </c>
      <c r="B36" s="282" t="s">
        <v>123</v>
      </c>
      <c r="C36" s="287" t="s">
        <v>216</v>
      </c>
      <c r="D36" s="287">
        <v>2022</v>
      </c>
      <c r="E36" s="287">
        <v>1</v>
      </c>
      <c r="F36" s="287">
        <v>1</v>
      </c>
      <c r="G36" s="287">
        <v>1</v>
      </c>
      <c r="H36" s="287">
        <v>1</v>
      </c>
      <c r="I36" s="287">
        <v>1</v>
      </c>
      <c r="J36" s="287">
        <v>1</v>
      </c>
      <c r="K36" s="287">
        <v>1</v>
      </c>
      <c r="L36" s="287">
        <v>1</v>
      </c>
      <c r="M36" s="287">
        <v>1</v>
      </c>
      <c r="N36" s="287">
        <v>1</v>
      </c>
      <c r="O36" s="287">
        <v>1</v>
      </c>
      <c r="P36" s="287">
        <v>1</v>
      </c>
      <c r="Q36" s="287">
        <v>1</v>
      </c>
      <c r="R36" s="287">
        <v>1</v>
      </c>
      <c r="S36" s="287">
        <v>1</v>
      </c>
      <c r="T36" s="287">
        <v>1</v>
      </c>
      <c r="U36" s="287">
        <v>1</v>
      </c>
      <c r="V36" s="287">
        <v>1</v>
      </c>
      <c r="W36" s="287">
        <v>1</v>
      </c>
      <c r="X36" s="287">
        <v>1</v>
      </c>
      <c r="Y36" s="285"/>
      <c r="Z36" s="284"/>
      <c r="AA36" s="283">
        <v>0</v>
      </c>
      <c r="AB36" s="285"/>
      <c r="AC36" s="284"/>
      <c r="AD36" s="286"/>
      <c r="AE36" s="282"/>
      <c r="AF36" s="282"/>
      <c r="AG36" s="282"/>
      <c r="AH36" s="287" t="s">
        <v>166</v>
      </c>
      <c r="AI36" s="287" t="s">
        <v>227</v>
      </c>
      <c r="AJ36" s="287" t="s">
        <v>101</v>
      </c>
      <c r="AK36" s="288"/>
      <c r="AL36" s="289"/>
    </row>
    <row r="37" spans="1:38" s="2" customFormat="1" ht="25.5" customHeight="1">
      <c r="A37" s="287">
        <f t="shared" si="0"/>
        <v>6</v>
      </c>
      <c r="B37" s="290" t="s">
        <v>145</v>
      </c>
      <c r="C37" s="287" t="s">
        <v>216</v>
      </c>
      <c r="D37" s="287">
        <v>2022</v>
      </c>
      <c r="E37" s="287">
        <v>6</v>
      </c>
      <c r="F37" s="287">
        <v>6</v>
      </c>
      <c r="G37" s="287">
        <v>6</v>
      </c>
      <c r="H37" s="287">
        <v>6</v>
      </c>
      <c r="I37" s="287">
        <v>6</v>
      </c>
      <c r="J37" s="287">
        <v>6</v>
      </c>
      <c r="K37" s="287">
        <v>6</v>
      </c>
      <c r="L37" s="287">
        <v>6</v>
      </c>
      <c r="M37" s="287">
        <v>6</v>
      </c>
      <c r="N37" s="287">
        <v>6</v>
      </c>
      <c r="O37" s="287">
        <v>6</v>
      </c>
      <c r="P37" s="287">
        <v>6</v>
      </c>
      <c r="Q37" s="287">
        <v>6</v>
      </c>
      <c r="R37" s="287">
        <v>6</v>
      </c>
      <c r="S37" s="287">
        <v>6</v>
      </c>
      <c r="T37" s="287">
        <v>6</v>
      </c>
      <c r="U37" s="287">
        <v>6</v>
      </c>
      <c r="V37" s="287">
        <v>6</v>
      </c>
      <c r="W37" s="287">
        <v>6</v>
      </c>
      <c r="X37" s="287">
        <v>6</v>
      </c>
      <c r="Y37" s="285"/>
      <c r="Z37" s="284"/>
      <c r="AA37" s="283">
        <v>0</v>
      </c>
      <c r="AB37" s="285"/>
      <c r="AC37" s="284"/>
      <c r="AD37" s="286"/>
      <c r="AE37" s="282"/>
      <c r="AF37" s="282"/>
      <c r="AG37" s="282"/>
      <c r="AH37" s="287" t="s">
        <v>166</v>
      </c>
      <c r="AI37" s="287" t="s">
        <v>227</v>
      </c>
      <c r="AJ37" s="287" t="s">
        <v>101</v>
      </c>
      <c r="AK37" s="288"/>
      <c r="AL37" s="289"/>
    </row>
    <row r="38" spans="1:38" s="2" customFormat="1" ht="25.5" customHeight="1">
      <c r="A38" s="287">
        <f t="shared" si="0"/>
        <v>7</v>
      </c>
      <c r="B38" s="282" t="s">
        <v>125</v>
      </c>
      <c r="C38" s="287" t="s">
        <v>215</v>
      </c>
      <c r="D38" s="287">
        <v>2022</v>
      </c>
      <c r="E38" s="287">
        <v>2</v>
      </c>
      <c r="F38" s="287">
        <v>2</v>
      </c>
      <c r="G38" s="287">
        <v>2</v>
      </c>
      <c r="H38" s="287">
        <v>2</v>
      </c>
      <c r="I38" s="287">
        <v>2</v>
      </c>
      <c r="J38" s="287">
        <v>2</v>
      </c>
      <c r="K38" s="287">
        <v>2</v>
      </c>
      <c r="L38" s="287">
        <v>2</v>
      </c>
      <c r="M38" s="287">
        <v>2</v>
      </c>
      <c r="N38" s="287">
        <v>2</v>
      </c>
      <c r="O38" s="287">
        <v>2</v>
      </c>
      <c r="P38" s="287">
        <v>2</v>
      </c>
      <c r="Q38" s="287">
        <v>2</v>
      </c>
      <c r="R38" s="287">
        <v>2</v>
      </c>
      <c r="S38" s="287">
        <v>2</v>
      </c>
      <c r="T38" s="287">
        <v>2</v>
      </c>
      <c r="U38" s="287">
        <v>2</v>
      </c>
      <c r="V38" s="287">
        <v>2</v>
      </c>
      <c r="W38" s="287">
        <v>2</v>
      </c>
      <c r="X38" s="287">
        <v>2</v>
      </c>
      <c r="Y38" s="285"/>
      <c r="Z38" s="284"/>
      <c r="AA38" s="283">
        <v>0</v>
      </c>
      <c r="AB38" s="285"/>
      <c r="AC38" s="284"/>
      <c r="AD38" s="286"/>
      <c r="AE38" s="282"/>
      <c r="AF38" s="294">
        <v>15675000</v>
      </c>
      <c r="AG38" s="296">
        <f>+X38*AF38</f>
        <v>31350000</v>
      </c>
      <c r="AH38" s="287" t="s">
        <v>166</v>
      </c>
      <c r="AI38" s="287" t="s">
        <v>227</v>
      </c>
      <c r="AJ38" s="287" t="s">
        <v>101</v>
      </c>
      <c r="AK38" s="288"/>
      <c r="AL38" s="289"/>
    </row>
    <row r="39" spans="1:38" s="2" customFormat="1" ht="25.5" customHeight="1">
      <c r="A39" s="287">
        <f t="shared" si="0"/>
        <v>8</v>
      </c>
      <c r="B39" s="282" t="s">
        <v>135</v>
      </c>
      <c r="C39" s="287" t="s">
        <v>215</v>
      </c>
      <c r="D39" s="287">
        <v>2022</v>
      </c>
      <c r="E39" s="287">
        <v>1</v>
      </c>
      <c r="F39" s="287">
        <v>1</v>
      </c>
      <c r="G39" s="287">
        <v>1</v>
      </c>
      <c r="H39" s="287">
        <v>1</v>
      </c>
      <c r="I39" s="287">
        <v>1</v>
      </c>
      <c r="J39" s="287">
        <v>1</v>
      </c>
      <c r="K39" s="287">
        <v>1</v>
      </c>
      <c r="L39" s="287">
        <v>1</v>
      </c>
      <c r="M39" s="287">
        <v>1</v>
      </c>
      <c r="N39" s="287">
        <v>1</v>
      </c>
      <c r="O39" s="287">
        <v>1</v>
      </c>
      <c r="P39" s="287">
        <v>1</v>
      </c>
      <c r="Q39" s="287">
        <v>1</v>
      </c>
      <c r="R39" s="287">
        <v>1</v>
      </c>
      <c r="S39" s="287">
        <v>1</v>
      </c>
      <c r="T39" s="287">
        <v>1</v>
      </c>
      <c r="U39" s="287">
        <v>1</v>
      </c>
      <c r="V39" s="287">
        <v>1</v>
      </c>
      <c r="W39" s="287">
        <v>1</v>
      </c>
      <c r="X39" s="287">
        <v>1</v>
      </c>
      <c r="Y39" s="285"/>
      <c r="Z39" s="284"/>
      <c r="AA39" s="283">
        <v>0</v>
      </c>
      <c r="AB39" s="285"/>
      <c r="AC39" s="284"/>
      <c r="AD39" s="286"/>
      <c r="AE39" s="282"/>
      <c r="AF39" s="282"/>
      <c r="AG39" s="282"/>
      <c r="AH39" s="287" t="s">
        <v>166</v>
      </c>
      <c r="AI39" s="287" t="s">
        <v>227</v>
      </c>
      <c r="AJ39" s="287" t="s">
        <v>101</v>
      </c>
      <c r="AK39" s="288"/>
      <c r="AL39" s="289"/>
    </row>
    <row r="40" spans="1:38" s="2" customFormat="1" ht="25.5" customHeight="1">
      <c r="A40" s="287">
        <f t="shared" si="0"/>
        <v>9</v>
      </c>
      <c r="B40" s="282" t="s">
        <v>147</v>
      </c>
      <c r="C40" s="287" t="s">
        <v>215</v>
      </c>
      <c r="D40" s="287">
        <v>2022</v>
      </c>
      <c r="E40" s="287">
        <v>1</v>
      </c>
      <c r="F40" s="287">
        <v>1</v>
      </c>
      <c r="G40" s="287">
        <v>1</v>
      </c>
      <c r="H40" s="287">
        <v>1</v>
      </c>
      <c r="I40" s="287">
        <v>1</v>
      </c>
      <c r="J40" s="287">
        <v>1</v>
      </c>
      <c r="K40" s="287">
        <v>1</v>
      </c>
      <c r="L40" s="287">
        <v>1</v>
      </c>
      <c r="M40" s="287">
        <v>1</v>
      </c>
      <c r="N40" s="287">
        <v>1</v>
      </c>
      <c r="O40" s="287">
        <v>1</v>
      </c>
      <c r="P40" s="287">
        <v>1</v>
      </c>
      <c r="Q40" s="287">
        <v>1</v>
      </c>
      <c r="R40" s="287">
        <v>1</v>
      </c>
      <c r="S40" s="287">
        <v>1</v>
      </c>
      <c r="T40" s="287">
        <v>1</v>
      </c>
      <c r="U40" s="287">
        <v>1</v>
      </c>
      <c r="V40" s="287">
        <v>1</v>
      </c>
      <c r="W40" s="287">
        <v>1</v>
      </c>
      <c r="X40" s="287">
        <v>1</v>
      </c>
      <c r="Y40" s="285"/>
      <c r="Z40" s="284"/>
      <c r="AA40" s="283">
        <v>0</v>
      </c>
      <c r="AB40" s="285"/>
      <c r="AC40" s="284"/>
      <c r="AD40" s="286"/>
      <c r="AE40" s="282"/>
      <c r="AF40" s="282"/>
      <c r="AG40" s="282"/>
      <c r="AH40" s="287" t="s">
        <v>166</v>
      </c>
      <c r="AI40" s="287" t="s">
        <v>227</v>
      </c>
      <c r="AJ40" s="287" t="s">
        <v>101</v>
      </c>
      <c r="AK40" s="288"/>
      <c r="AL40" s="289"/>
    </row>
    <row r="41" spans="1:38" s="2" customFormat="1" ht="14.25" customHeight="1">
      <c r="A41" s="23"/>
      <c r="B41" s="270" t="s">
        <v>406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6"/>
      <c r="Z41" s="25"/>
      <c r="AA41" s="24"/>
      <c r="AB41" s="26"/>
      <c r="AC41" s="25"/>
      <c r="AD41" s="27"/>
      <c r="AE41" s="28"/>
      <c r="AF41" s="28"/>
      <c r="AG41" s="297">
        <f>SUM(AG20:AG40)</f>
        <v>78375000</v>
      </c>
      <c r="AH41" s="29"/>
      <c r="AI41" s="29"/>
      <c r="AJ41" s="29"/>
      <c r="AK41" s="30"/>
      <c r="AL41" s="31"/>
    </row>
    <row r="42" spans="1:38" s="6" customFormat="1" ht="16.5" customHeight="1">
      <c r="A42" s="262"/>
      <c r="D42" s="262"/>
      <c r="E42" s="262"/>
      <c r="F42" s="14"/>
      <c r="K42" s="262"/>
      <c r="X42" s="262"/>
      <c r="AA42" s="262"/>
      <c r="AB42" s="15"/>
      <c r="AH42" s="322" t="s">
        <v>419</v>
      </c>
      <c r="AI42" s="322"/>
      <c r="AJ42" s="322"/>
      <c r="AK42" s="322"/>
      <c r="AL42" s="322"/>
    </row>
    <row r="43" spans="1:38" s="6" customFormat="1" ht="16.5" customHeight="1">
      <c r="A43" s="262"/>
      <c r="B43" s="6" t="s">
        <v>95</v>
      </c>
      <c r="C43" s="322" t="s">
        <v>415</v>
      </c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AA43" s="322" t="s">
        <v>92</v>
      </c>
      <c r="AB43" s="322"/>
      <c r="AC43" s="322"/>
      <c r="AD43" s="322"/>
      <c r="AE43" s="322"/>
      <c r="AF43" s="322"/>
      <c r="AG43" s="322"/>
      <c r="AH43" s="322"/>
      <c r="AI43" s="322"/>
      <c r="AJ43" s="322" t="s">
        <v>86</v>
      </c>
      <c r="AK43" s="322"/>
      <c r="AL43" s="322"/>
    </row>
    <row r="44" spans="1:38" s="6" customFormat="1" ht="21" customHeight="1">
      <c r="A44" s="12" t="s">
        <v>96</v>
      </c>
      <c r="B44" s="6" t="s">
        <v>233</v>
      </c>
      <c r="C44" s="1"/>
      <c r="D44" s="262"/>
      <c r="E44" s="262"/>
      <c r="F44" s="14"/>
      <c r="K44" s="262"/>
      <c r="X44" s="262"/>
      <c r="AA44" s="262"/>
      <c r="AB44" s="15"/>
      <c r="AH44" s="262"/>
    </row>
    <row r="45" spans="1:38" s="6" customFormat="1" ht="21" customHeight="1">
      <c r="A45" s="12" t="s">
        <v>96</v>
      </c>
      <c r="B45" s="6" t="s">
        <v>234</v>
      </c>
      <c r="C45" s="1"/>
      <c r="D45" s="262"/>
      <c r="E45" s="262"/>
      <c r="F45" s="14"/>
      <c r="K45" s="262"/>
      <c r="X45" s="262"/>
      <c r="AA45" s="262"/>
      <c r="AB45" s="15"/>
      <c r="AH45" s="262"/>
    </row>
    <row r="46" spans="1:38" s="6" customFormat="1" ht="21" customHeight="1">
      <c r="A46" s="12" t="s">
        <v>96</v>
      </c>
      <c r="B46" s="6" t="s">
        <v>248</v>
      </c>
      <c r="C46" s="1"/>
      <c r="D46" s="262"/>
      <c r="E46" s="262"/>
      <c r="F46" s="14"/>
      <c r="K46" s="262"/>
      <c r="X46" s="262"/>
      <c r="AA46" s="262"/>
      <c r="AB46" s="15"/>
      <c r="AH46" s="262"/>
    </row>
    <row r="47" spans="1:38" s="6" customFormat="1" ht="21" customHeight="1">
      <c r="A47" s="12" t="s">
        <v>96</v>
      </c>
      <c r="B47" s="6" t="s">
        <v>404</v>
      </c>
      <c r="C47" s="322" t="s">
        <v>293</v>
      </c>
      <c r="D47" s="322"/>
      <c r="E47" s="322"/>
      <c r="F47" s="322"/>
      <c r="G47" s="322"/>
      <c r="H47" s="322"/>
      <c r="I47" s="322"/>
      <c r="J47" s="322"/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AA47" s="322" t="s">
        <v>295</v>
      </c>
      <c r="AB47" s="322"/>
      <c r="AC47" s="322"/>
      <c r="AD47" s="322"/>
      <c r="AE47" s="322"/>
      <c r="AF47" s="322"/>
      <c r="AG47" s="322"/>
      <c r="AH47" s="322"/>
      <c r="AI47" s="322"/>
      <c r="AJ47" s="322" t="s">
        <v>245</v>
      </c>
      <c r="AK47" s="322"/>
      <c r="AL47" s="322"/>
    </row>
    <row r="48" spans="1:38" ht="23.25" customHeight="1">
      <c r="A48" s="12" t="s">
        <v>96</v>
      </c>
      <c r="B48" s="6" t="s">
        <v>420</v>
      </c>
    </row>
    <row r="49" spans="2:40" ht="16.5" customHeight="1"/>
    <row r="50" spans="2:40" s="262" customFormat="1" ht="16.5" customHeight="1">
      <c r="B50" s="1"/>
      <c r="C50" s="1"/>
      <c r="D50" s="263"/>
      <c r="E50" s="263"/>
      <c r="F50" s="5"/>
      <c r="G50" s="1"/>
      <c r="H50" s="1"/>
      <c r="I50" s="1"/>
      <c r="J50" s="1"/>
      <c r="K50" s="26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63"/>
      <c r="Y50" s="1"/>
      <c r="Z50" s="1"/>
      <c r="AA50" s="17"/>
      <c r="AB50" s="1"/>
      <c r="AC50" s="1"/>
      <c r="AD50" s="1"/>
      <c r="AE50" s="1"/>
      <c r="AF50" s="1"/>
      <c r="AG50" s="1"/>
      <c r="AH50" s="263"/>
      <c r="AI50" s="1"/>
      <c r="AJ50" s="1"/>
      <c r="AK50" s="1"/>
      <c r="AL50" s="18"/>
      <c r="AM50" s="1"/>
      <c r="AN50" s="1"/>
    </row>
    <row r="51" spans="2:40" s="262" customFormat="1" ht="16.5" customHeight="1">
      <c r="B51" s="1"/>
      <c r="C51" s="1"/>
      <c r="D51" s="263"/>
      <c r="E51" s="263"/>
      <c r="F51" s="5"/>
      <c r="G51" s="1"/>
      <c r="H51" s="1"/>
      <c r="I51" s="1"/>
      <c r="J51" s="1"/>
      <c r="K51" s="26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63"/>
      <c r="Y51" s="1"/>
      <c r="Z51" s="1"/>
      <c r="AA51" s="17"/>
      <c r="AB51" s="1"/>
      <c r="AC51" s="1"/>
      <c r="AD51" s="1"/>
      <c r="AE51" s="1"/>
      <c r="AF51" s="1"/>
      <c r="AG51" s="1"/>
      <c r="AH51" s="263"/>
      <c r="AI51" s="1"/>
      <c r="AJ51" s="1"/>
      <c r="AK51" s="1"/>
      <c r="AL51" s="18"/>
      <c r="AM51" s="1"/>
      <c r="AN51" s="1"/>
    </row>
    <row r="52" spans="2:40" s="262" customFormat="1" ht="16.5" customHeight="1">
      <c r="B52" s="1"/>
      <c r="C52" s="1"/>
      <c r="D52" s="263"/>
      <c r="E52" s="263"/>
      <c r="F52" s="5"/>
      <c r="G52" s="1"/>
      <c r="H52" s="1"/>
      <c r="I52" s="1"/>
      <c r="J52" s="1"/>
      <c r="K52" s="26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63"/>
      <c r="Y52" s="1"/>
      <c r="Z52" s="1"/>
      <c r="AA52" s="17"/>
      <c r="AB52" s="1"/>
      <c r="AC52" s="1"/>
      <c r="AD52" s="1"/>
      <c r="AE52" s="1"/>
      <c r="AF52" s="1"/>
      <c r="AG52" s="1"/>
      <c r="AH52" s="263"/>
      <c r="AI52" s="1"/>
      <c r="AJ52" s="1"/>
      <c r="AK52" s="1"/>
      <c r="AL52" s="18"/>
      <c r="AM52" s="1"/>
      <c r="AN52" s="1"/>
    </row>
    <row r="53" spans="2:40" s="262" customFormat="1" ht="16.5" customHeight="1">
      <c r="B53" s="1"/>
      <c r="C53" s="1"/>
      <c r="D53" s="263"/>
      <c r="E53" s="263"/>
      <c r="F53" s="5"/>
      <c r="G53" s="1"/>
      <c r="H53" s="1"/>
      <c r="I53" s="1"/>
      <c r="J53" s="1"/>
      <c r="K53" s="26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63"/>
      <c r="Y53" s="1"/>
      <c r="Z53" s="1"/>
      <c r="AA53" s="17"/>
      <c r="AB53" s="1"/>
      <c r="AC53" s="1"/>
      <c r="AD53" s="1"/>
      <c r="AE53" s="1"/>
      <c r="AF53" s="1"/>
      <c r="AG53" s="1"/>
      <c r="AH53" s="263"/>
      <c r="AI53" s="1"/>
      <c r="AJ53" s="1"/>
      <c r="AK53" s="1"/>
      <c r="AL53" s="18"/>
      <c r="AM53" s="1"/>
      <c r="AN53" s="1"/>
    </row>
    <row r="54" spans="2:40" s="262" customFormat="1" ht="16.5" customHeight="1">
      <c r="B54" s="1"/>
      <c r="C54" s="1"/>
      <c r="D54" s="263"/>
      <c r="E54" s="263"/>
      <c r="F54" s="5"/>
      <c r="G54" s="1"/>
      <c r="H54" s="1"/>
      <c r="I54" s="1"/>
      <c r="J54" s="1"/>
      <c r="K54" s="26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63"/>
      <c r="Y54" s="1"/>
      <c r="Z54" s="1"/>
      <c r="AA54" s="17"/>
      <c r="AB54" s="1"/>
      <c r="AC54" s="1"/>
      <c r="AD54" s="1"/>
      <c r="AE54" s="1"/>
      <c r="AF54" s="1"/>
      <c r="AG54" s="1"/>
      <c r="AH54" s="263"/>
      <c r="AI54" s="1"/>
      <c r="AJ54" s="1"/>
      <c r="AK54" s="1"/>
      <c r="AL54" s="18"/>
      <c r="AM54" s="1"/>
      <c r="AN54" s="1"/>
    </row>
    <row r="55" spans="2:40" s="262" customFormat="1" ht="16.5" customHeight="1">
      <c r="B55" s="1"/>
      <c r="C55" s="1"/>
      <c r="D55" s="263"/>
      <c r="E55" s="263"/>
      <c r="F55" s="5"/>
      <c r="G55" s="1"/>
      <c r="H55" s="1"/>
      <c r="I55" s="1"/>
      <c r="J55" s="1"/>
      <c r="K55" s="26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63"/>
      <c r="Y55" s="1"/>
      <c r="Z55" s="1"/>
      <c r="AA55" s="17"/>
      <c r="AB55" s="1"/>
      <c r="AC55" s="1"/>
      <c r="AD55" s="1"/>
      <c r="AE55" s="1"/>
      <c r="AF55" s="1"/>
      <c r="AG55" s="1"/>
      <c r="AH55" s="263"/>
      <c r="AI55" s="1"/>
      <c r="AJ55" s="1"/>
      <c r="AK55" s="1"/>
      <c r="AL55" s="18"/>
      <c r="AM55" s="1"/>
      <c r="AN55" s="1"/>
    </row>
    <row r="56" spans="2:40" s="262" customFormat="1" ht="16.5" customHeight="1">
      <c r="B56" s="1"/>
      <c r="C56" s="1"/>
      <c r="D56" s="263"/>
      <c r="E56" s="263"/>
      <c r="F56" s="5"/>
      <c r="G56" s="1"/>
      <c r="H56" s="1"/>
      <c r="I56" s="1"/>
      <c r="J56" s="1"/>
      <c r="K56" s="26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63"/>
      <c r="Y56" s="1"/>
      <c r="Z56" s="1"/>
      <c r="AA56" s="17"/>
      <c r="AB56" s="1"/>
      <c r="AC56" s="1"/>
      <c r="AD56" s="1"/>
      <c r="AE56" s="1"/>
      <c r="AF56" s="1"/>
      <c r="AG56" s="1"/>
      <c r="AH56" s="263"/>
      <c r="AI56" s="1"/>
      <c r="AJ56" s="1"/>
      <c r="AK56" s="1"/>
      <c r="AL56" s="18"/>
      <c r="AM56" s="1"/>
      <c r="AN56" s="1"/>
    </row>
    <row r="57" spans="2:40" s="262" customFormat="1" ht="16.5" customHeight="1">
      <c r="B57" s="1"/>
      <c r="C57" s="1"/>
      <c r="D57" s="263"/>
      <c r="E57" s="263"/>
      <c r="F57" s="5"/>
      <c r="G57" s="1"/>
      <c r="H57" s="1"/>
      <c r="I57" s="1"/>
      <c r="J57" s="1"/>
      <c r="K57" s="26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63"/>
      <c r="Y57" s="1"/>
      <c r="Z57" s="1"/>
      <c r="AA57" s="17"/>
      <c r="AB57" s="1"/>
      <c r="AC57" s="1"/>
      <c r="AD57" s="1"/>
      <c r="AE57" s="1"/>
      <c r="AF57" s="1"/>
      <c r="AG57" s="1"/>
      <c r="AH57" s="263"/>
      <c r="AI57" s="1"/>
      <c r="AJ57" s="1"/>
      <c r="AK57" s="1"/>
      <c r="AL57" s="18"/>
      <c r="AM57" s="1"/>
      <c r="AN57" s="1"/>
    </row>
    <row r="58" spans="2:40" s="262" customFormat="1" ht="16.5" customHeight="1">
      <c r="B58" s="1"/>
      <c r="C58" s="1"/>
      <c r="D58" s="263"/>
      <c r="E58" s="263"/>
      <c r="F58" s="5"/>
      <c r="G58" s="1"/>
      <c r="H58" s="1"/>
      <c r="I58" s="1"/>
      <c r="J58" s="1"/>
      <c r="K58" s="26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63"/>
      <c r="Y58" s="1"/>
      <c r="Z58" s="1"/>
      <c r="AA58" s="17"/>
      <c r="AB58" s="1"/>
      <c r="AC58" s="1"/>
      <c r="AD58" s="1"/>
      <c r="AE58" s="1"/>
      <c r="AF58" s="1"/>
      <c r="AG58" s="1"/>
      <c r="AH58" s="263"/>
      <c r="AI58" s="1"/>
      <c r="AJ58" s="1"/>
      <c r="AK58" s="1"/>
      <c r="AL58" s="18"/>
      <c r="AM58" s="1"/>
      <c r="AN58" s="1"/>
    </row>
    <row r="59" spans="2:40" s="262" customFormat="1" ht="16.5" customHeight="1">
      <c r="B59" s="1"/>
      <c r="C59" s="1"/>
      <c r="D59" s="263"/>
      <c r="E59" s="263"/>
      <c r="F59" s="5"/>
      <c r="G59" s="1"/>
      <c r="H59" s="1"/>
      <c r="I59" s="1"/>
      <c r="J59" s="1"/>
      <c r="K59" s="26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63"/>
      <c r="Y59" s="1"/>
      <c r="Z59" s="1"/>
      <c r="AA59" s="17"/>
      <c r="AB59" s="1"/>
      <c r="AC59" s="1"/>
      <c r="AD59" s="1"/>
      <c r="AE59" s="1"/>
      <c r="AF59" s="1"/>
      <c r="AG59" s="1"/>
      <c r="AH59" s="263"/>
      <c r="AI59" s="1"/>
      <c r="AJ59" s="1"/>
      <c r="AK59" s="1"/>
      <c r="AL59" s="18"/>
      <c r="AM59" s="1"/>
      <c r="AN59" s="1"/>
    </row>
    <row r="60" spans="2:40" s="262" customFormat="1" ht="16.5" customHeight="1">
      <c r="B60" s="1"/>
      <c r="C60" s="1"/>
      <c r="D60" s="263"/>
      <c r="E60" s="263"/>
      <c r="F60" s="5"/>
      <c r="G60" s="1"/>
      <c r="H60" s="1"/>
      <c r="I60" s="1"/>
      <c r="J60" s="1"/>
      <c r="K60" s="26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63"/>
      <c r="Y60" s="1"/>
      <c r="Z60" s="1"/>
      <c r="AA60" s="17"/>
      <c r="AB60" s="1"/>
      <c r="AC60" s="1"/>
      <c r="AD60" s="1"/>
      <c r="AE60" s="1"/>
      <c r="AF60" s="1"/>
      <c r="AG60" s="1"/>
      <c r="AH60" s="263"/>
      <c r="AI60" s="1"/>
      <c r="AJ60" s="1"/>
      <c r="AK60" s="1"/>
      <c r="AL60" s="18"/>
      <c r="AM60" s="1"/>
      <c r="AN60" s="1"/>
    </row>
    <row r="61" spans="2:40" s="262" customFormat="1" ht="16.5" customHeight="1">
      <c r="B61" s="1"/>
      <c r="C61" s="1"/>
      <c r="D61" s="263"/>
      <c r="E61" s="263"/>
      <c r="F61" s="5"/>
      <c r="G61" s="1"/>
      <c r="H61" s="1"/>
      <c r="I61" s="1"/>
      <c r="J61" s="1"/>
      <c r="K61" s="26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63"/>
      <c r="Y61" s="1"/>
      <c r="Z61" s="1"/>
      <c r="AA61" s="17"/>
      <c r="AB61" s="1"/>
      <c r="AC61" s="1"/>
      <c r="AD61" s="1"/>
      <c r="AE61" s="1"/>
      <c r="AF61" s="1"/>
      <c r="AG61" s="1"/>
      <c r="AH61" s="263"/>
      <c r="AI61" s="1"/>
      <c r="AJ61" s="1"/>
      <c r="AK61" s="1"/>
      <c r="AL61" s="18"/>
      <c r="AM61" s="1"/>
      <c r="AN61" s="1"/>
    </row>
    <row r="62" spans="2:40" s="262" customFormat="1" ht="16.5" customHeight="1">
      <c r="B62" s="1"/>
      <c r="C62" s="1"/>
      <c r="D62" s="263"/>
      <c r="E62" s="263"/>
      <c r="F62" s="5"/>
      <c r="G62" s="1"/>
      <c r="H62" s="1"/>
      <c r="I62" s="1"/>
      <c r="J62" s="1"/>
      <c r="K62" s="26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63"/>
      <c r="Y62" s="1"/>
      <c r="Z62" s="1"/>
      <c r="AA62" s="17"/>
      <c r="AB62" s="1"/>
      <c r="AC62" s="1"/>
      <c r="AD62" s="1"/>
      <c r="AE62" s="1"/>
      <c r="AF62" s="1"/>
      <c r="AG62" s="1"/>
      <c r="AH62" s="263"/>
      <c r="AI62" s="1"/>
      <c r="AJ62" s="1"/>
      <c r="AK62" s="1"/>
      <c r="AL62" s="18"/>
      <c r="AM62" s="1"/>
      <c r="AN62" s="1"/>
    </row>
    <row r="63" spans="2:40" s="262" customFormat="1" ht="16.5" customHeight="1">
      <c r="B63" s="1"/>
      <c r="C63" s="1"/>
      <c r="D63" s="263"/>
      <c r="E63" s="263"/>
      <c r="F63" s="5"/>
      <c r="G63" s="1"/>
      <c r="H63" s="1"/>
      <c r="I63" s="1"/>
      <c r="J63" s="1"/>
      <c r="K63" s="26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63"/>
      <c r="Y63" s="1"/>
      <c r="Z63" s="1"/>
      <c r="AA63" s="17"/>
      <c r="AB63" s="1"/>
      <c r="AC63" s="1"/>
      <c r="AD63" s="1"/>
      <c r="AE63" s="1"/>
      <c r="AF63" s="1"/>
      <c r="AG63" s="1"/>
      <c r="AH63" s="263"/>
      <c r="AI63" s="1"/>
      <c r="AJ63" s="1"/>
      <c r="AK63" s="1"/>
      <c r="AL63" s="18"/>
      <c r="AM63" s="1"/>
      <c r="AN63" s="1"/>
    </row>
    <row r="64" spans="2:40" s="262" customFormat="1" ht="16.5" customHeight="1">
      <c r="B64" s="1"/>
      <c r="C64" s="1"/>
      <c r="D64" s="263"/>
      <c r="E64" s="263"/>
      <c r="F64" s="5"/>
      <c r="G64" s="1"/>
      <c r="H64" s="1"/>
      <c r="I64" s="1"/>
      <c r="J64" s="1"/>
      <c r="K64" s="26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63"/>
      <c r="Y64" s="1"/>
      <c r="Z64" s="1"/>
      <c r="AA64" s="17"/>
      <c r="AB64" s="1"/>
      <c r="AC64" s="1"/>
      <c r="AD64" s="1"/>
      <c r="AE64" s="1"/>
      <c r="AF64" s="1"/>
      <c r="AG64" s="1"/>
      <c r="AH64" s="263"/>
      <c r="AI64" s="1"/>
      <c r="AJ64" s="1"/>
      <c r="AK64" s="1"/>
      <c r="AL64" s="18"/>
      <c r="AM64" s="1"/>
      <c r="AN64" s="1"/>
    </row>
    <row r="65" spans="2:40" s="262" customFormat="1" ht="16.5" customHeight="1">
      <c r="B65" s="1"/>
      <c r="C65" s="1"/>
      <c r="D65" s="263"/>
      <c r="E65" s="263"/>
      <c r="F65" s="5"/>
      <c r="G65" s="1"/>
      <c r="H65" s="1"/>
      <c r="I65" s="1"/>
      <c r="J65" s="1"/>
      <c r="K65" s="26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63"/>
      <c r="Y65" s="1"/>
      <c r="Z65" s="1"/>
      <c r="AA65" s="17"/>
      <c r="AB65" s="1"/>
      <c r="AC65" s="1"/>
      <c r="AD65" s="1"/>
      <c r="AE65" s="1"/>
      <c r="AF65" s="1"/>
      <c r="AG65" s="1"/>
      <c r="AH65" s="263"/>
      <c r="AI65" s="1"/>
      <c r="AJ65" s="1"/>
      <c r="AK65" s="1"/>
      <c r="AL65" s="18"/>
      <c r="AM65" s="1"/>
      <c r="AN65" s="1"/>
    </row>
    <row r="66" spans="2:40" s="262" customFormat="1" ht="16.5" customHeight="1">
      <c r="B66" s="1"/>
      <c r="C66" s="1"/>
      <c r="D66" s="263"/>
      <c r="E66" s="263"/>
      <c r="F66" s="5"/>
      <c r="G66" s="1"/>
      <c r="H66" s="1"/>
      <c r="I66" s="1"/>
      <c r="J66" s="1"/>
      <c r="K66" s="26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63"/>
      <c r="Y66" s="1"/>
      <c r="Z66" s="1"/>
      <c r="AA66" s="17"/>
      <c r="AB66" s="1"/>
      <c r="AC66" s="1"/>
      <c r="AD66" s="1"/>
      <c r="AE66" s="1"/>
      <c r="AF66" s="1"/>
      <c r="AG66" s="1"/>
      <c r="AH66" s="263"/>
      <c r="AI66" s="1"/>
      <c r="AJ66" s="1"/>
      <c r="AK66" s="1"/>
      <c r="AL66" s="18"/>
      <c r="AM66" s="1"/>
      <c r="AN66" s="1"/>
    </row>
    <row r="67" spans="2:40" s="262" customFormat="1" ht="16.5" customHeight="1">
      <c r="B67" s="1"/>
      <c r="C67" s="1"/>
      <c r="D67" s="263"/>
      <c r="E67" s="263"/>
      <c r="F67" s="5"/>
      <c r="G67" s="1"/>
      <c r="H67" s="1"/>
      <c r="I67" s="1"/>
      <c r="J67" s="1"/>
      <c r="K67" s="26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63"/>
      <c r="Y67" s="1"/>
      <c r="Z67" s="1"/>
      <c r="AA67" s="17"/>
      <c r="AB67" s="1"/>
      <c r="AC67" s="1"/>
      <c r="AD67" s="1"/>
      <c r="AE67" s="1"/>
      <c r="AF67" s="1"/>
      <c r="AG67" s="1"/>
      <c r="AH67" s="263"/>
      <c r="AI67" s="1"/>
      <c r="AJ67" s="1"/>
      <c r="AK67" s="1"/>
      <c r="AL67" s="18"/>
      <c r="AM67" s="1"/>
      <c r="AN67" s="1"/>
    </row>
    <row r="68" spans="2:40" s="262" customFormat="1" ht="16.5" customHeight="1">
      <c r="B68" s="1"/>
      <c r="C68" s="1"/>
      <c r="D68" s="263"/>
      <c r="E68" s="263"/>
      <c r="F68" s="5"/>
      <c r="G68" s="1"/>
      <c r="H68" s="1"/>
      <c r="I68" s="1"/>
      <c r="J68" s="1"/>
      <c r="K68" s="26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63"/>
      <c r="Y68" s="1"/>
      <c r="Z68" s="1"/>
      <c r="AA68" s="17"/>
      <c r="AB68" s="1"/>
      <c r="AC68" s="1"/>
      <c r="AD68" s="1"/>
      <c r="AE68" s="1"/>
      <c r="AF68" s="1"/>
      <c r="AG68" s="1"/>
      <c r="AH68" s="263"/>
      <c r="AI68" s="1"/>
      <c r="AJ68" s="1"/>
      <c r="AK68" s="1"/>
      <c r="AL68" s="18"/>
      <c r="AM68" s="1"/>
      <c r="AN68" s="1"/>
    </row>
    <row r="69" spans="2:40" s="262" customFormat="1" ht="16.5" customHeight="1">
      <c r="B69" s="1"/>
      <c r="C69" s="1"/>
      <c r="D69" s="263"/>
      <c r="E69" s="263"/>
      <c r="F69" s="5"/>
      <c r="G69" s="1"/>
      <c r="H69" s="1"/>
      <c r="I69" s="1"/>
      <c r="J69" s="1"/>
      <c r="K69" s="26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63"/>
      <c r="Y69" s="1"/>
      <c r="Z69" s="1"/>
      <c r="AA69" s="17"/>
      <c r="AB69" s="1"/>
      <c r="AC69" s="1"/>
      <c r="AD69" s="1"/>
      <c r="AE69" s="1"/>
      <c r="AF69" s="1"/>
      <c r="AG69" s="1"/>
      <c r="AH69" s="263"/>
      <c r="AI69" s="1"/>
      <c r="AJ69" s="1"/>
      <c r="AK69" s="1"/>
      <c r="AL69" s="18"/>
      <c r="AM69" s="1"/>
      <c r="AN69" s="1"/>
    </row>
    <row r="70" spans="2:40" s="262" customFormat="1" ht="16.5" customHeight="1">
      <c r="B70" s="1"/>
      <c r="C70" s="1"/>
      <c r="D70" s="263"/>
      <c r="E70" s="263"/>
      <c r="F70" s="5"/>
      <c r="G70" s="1"/>
      <c r="H70" s="1"/>
      <c r="I70" s="1"/>
      <c r="J70" s="1"/>
      <c r="K70" s="26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63"/>
      <c r="Y70" s="1"/>
      <c r="Z70" s="1"/>
      <c r="AA70" s="17"/>
      <c r="AB70" s="1"/>
      <c r="AC70" s="1"/>
      <c r="AD70" s="1"/>
      <c r="AE70" s="1"/>
      <c r="AF70" s="1"/>
      <c r="AG70" s="1"/>
      <c r="AH70" s="263"/>
      <c r="AI70" s="1"/>
      <c r="AJ70" s="1"/>
      <c r="AK70" s="1"/>
      <c r="AL70" s="18"/>
      <c r="AM70" s="1"/>
      <c r="AN70" s="1"/>
    </row>
    <row r="71" spans="2:40" s="262" customFormat="1" ht="16.5" customHeight="1">
      <c r="B71" s="1"/>
      <c r="C71" s="1"/>
      <c r="D71" s="263"/>
      <c r="E71" s="263"/>
      <c r="F71" s="5"/>
      <c r="G71" s="1"/>
      <c r="H71" s="1"/>
      <c r="I71" s="1"/>
      <c r="J71" s="1"/>
      <c r="K71" s="26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63"/>
      <c r="Y71" s="1"/>
      <c r="Z71" s="1"/>
      <c r="AA71" s="17"/>
      <c r="AB71" s="1"/>
      <c r="AC71" s="1"/>
      <c r="AD71" s="1"/>
      <c r="AE71" s="1"/>
      <c r="AF71" s="1"/>
      <c r="AG71" s="1"/>
      <c r="AH71" s="263"/>
      <c r="AI71" s="1"/>
      <c r="AJ71" s="1"/>
      <c r="AK71" s="1"/>
      <c r="AL71" s="18"/>
      <c r="AM71" s="1"/>
      <c r="AN71" s="1"/>
    </row>
    <row r="72" spans="2:40" s="262" customFormat="1" ht="16.5" customHeight="1">
      <c r="B72" s="1"/>
      <c r="C72" s="1"/>
      <c r="D72" s="263"/>
      <c r="E72" s="263"/>
      <c r="F72" s="5"/>
      <c r="G72" s="1"/>
      <c r="H72" s="1"/>
      <c r="I72" s="1"/>
      <c r="J72" s="1"/>
      <c r="K72" s="26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63"/>
      <c r="Y72" s="1"/>
      <c r="Z72" s="1"/>
      <c r="AA72" s="17"/>
      <c r="AB72" s="1"/>
      <c r="AC72" s="1"/>
      <c r="AD72" s="1"/>
      <c r="AE72" s="1"/>
      <c r="AF72" s="1"/>
      <c r="AG72" s="1"/>
      <c r="AH72" s="263"/>
      <c r="AI72" s="1"/>
      <c r="AJ72" s="1"/>
      <c r="AK72" s="1"/>
      <c r="AL72" s="18"/>
      <c r="AM72" s="1"/>
      <c r="AN72" s="1"/>
    </row>
    <row r="73" spans="2:40" s="262" customFormat="1" ht="16.5" customHeight="1">
      <c r="B73" s="1"/>
      <c r="C73" s="1"/>
      <c r="D73" s="263"/>
      <c r="E73" s="263"/>
      <c r="F73" s="5"/>
      <c r="G73" s="1"/>
      <c r="H73" s="1"/>
      <c r="I73" s="1"/>
      <c r="J73" s="1"/>
      <c r="K73" s="26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63"/>
      <c r="Y73" s="1"/>
      <c r="Z73" s="1"/>
      <c r="AA73" s="17"/>
      <c r="AB73" s="1"/>
      <c r="AC73" s="1"/>
      <c r="AD73" s="1"/>
      <c r="AE73" s="1"/>
      <c r="AF73" s="1"/>
      <c r="AG73" s="1"/>
      <c r="AH73" s="263"/>
      <c r="AI73" s="1"/>
      <c r="AJ73" s="1"/>
      <c r="AK73" s="1"/>
      <c r="AL73" s="18"/>
      <c r="AM73" s="1"/>
      <c r="AN73" s="1"/>
    </row>
    <row r="74" spans="2:40" s="262" customFormat="1" ht="16.5" customHeight="1">
      <c r="B74" s="1"/>
      <c r="C74" s="1"/>
      <c r="D74" s="263"/>
      <c r="E74" s="263"/>
      <c r="F74" s="5"/>
      <c r="G74" s="1"/>
      <c r="H74" s="1"/>
      <c r="I74" s="1"/>
      <c r="J74" s="1"/>
      <c r="K74" s="26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63"/>
      <c r="Y74" s="1"/>
      <c r="Z74" s="1"/>
      <c r="AA74" s="17"/>
      <c r="AB74" s="1"/>
      <c r="AC74" s="1"/>
      <c r="AD74" s="1"/>
      <c r="AE74" s="1"/>
      <c r="AF74" s="1"/>
      <c r="AG74" s="1"/>
      <c r="AH74" s="263"/>
      <c r="AI74" s="1"/>
      <c r="AJ74" s="1"/>
      <c r="AK74" s="1"/>
      <c r="AL74" s="18"/>
      <c r="AM74" s="1"/>
      <c r="AN74" s="1"/>
    </row>
    <row r="75" spans="2:40" s="262" customFormat="1" ht="16.5" customHeight="1">
      <c r="B75" s="1"/>
      <c r="C75" s="1"/>
      <c r="D75" s="263"/>
      <c r="E75" s="263"/>
      <c r="F75" s="5"/>
      <c r="G75" s="1"/>
      <c r="H75" s="1"/>
      <c r="I75" s="1"/>
      <c r="J75" s="1"/>
      <c r="K75" s="26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63"/>
      <c r="Y75" s="1"/>
      <c r="Z75" s="1"/>
      <c r="AA75" s="17"/>
      <c r="AB75" s="1"/>
      <c r="AC75" s="1"/>
      <c r="AD75" s="1"/>
      <c r="AE75" s="1"/>
      <c r="AF75" s="1"/>
      <c r="AG75" s="1"/>
      <c r="AH75" s="263"/>
      <c r="AI75" s="1"/>
      <c r="AJ75" s="1"/>
      <c r="AK75" s="1"/>
      <c r="AL75" s="18"/>
      <c r="AM75" s="1"/>
      <c r="AN75" s="1"/>
    </row>
    <row r="76" spans="2:40" s="262" customFormat="1" ht="16.5" customHeight="1">
      <c r="B76" s="1"/>
      <c r="C76" s="1"/>
      <c r="D76" s="263"/>
      <c r="E76" s="263"/>
      <c r="F76" s="5"/>
      <c r="G76" s="1"/>
      <c r="H76" s="1"/>
      <c r="I76" s="1"/>
      <c r="J76" s="1"/>
      <c r="K76" s="26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63"/>
      <c r="Y76" s="1"/>
      <c r="Z76" s="1"/>
      <c r="AA76" s="17"/>
      <c r="AB76" s="1"/>
      <c r="AC76" s="1"/>
      <c r="AD76" s="1"/>
      <c r="AE76" s="1"/>
      <c r="AF76" s="1"/>
      <c r="AG76" s="1"/>
      <c r="AH76" s="263"/>
      <c r="AI76" s="1"/>
      <c r="AJ76" s="1"/>
      <c r="AK76" s="1"/>
      <c r="AL76" s="18"/>
      <c r="AM76" s="1"/>
      <c r="AN76" s="1"/>
    </row>
    <row r="77" spans="2:40" s="262" customFormat="1" ht="16.5" customHeight="1">
      <c r="B77" s="1"/>
      <c r="C77" s="1"/>
      <c r="D77" s="263"/>
      <c r="E77" s="263"/>
      <c r="F77" s="5"/>
      <c r="G77" s="1"/>
      <c r="H77" s="1"/>
      <c r="I77" s="1"/>
      <c r="J77" s="1"/>
      <c r="K77" s="26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63"/>
      <c r="Y77" s="1"/>
      <c r="Z77" s="1"/>
      <c r="AA77" s="17"/>
      <c r="AB77" s="1"/>
      <c r="AC77" s="1"/>
      <c r="AD77" s="1"/>
      <c r="AE77" s="1"/>
      <c r="AF77" s="1"/>
      <c r="AG77" s="1"/>
      <c r="AH77" s="263"/>
      <c r="AI77" s="1"/>
      <c r="AJ77" s="1"/>
      <c r="AK77" s="1"/>
      <c r="AL77" s="18"/>
      <c r="AM77" s="1"/>
      <c r="AN77" s="1"/>
    </row>
    <row r="78" spans="2:40" s="262" customFormat="1" ht="16.5" customHeight="1">
      <c r="B78" s="1"/>
      <c r="C78" s="1"/>
      <c r="D78" s="263"/>
      <c r="E78" s="263"/>
      <c r="F78" s="5"/>
      <c r="G78" s="1"/>
      <c r="H78" s="1"/>
      <c r="I78" s="1"/>
      <c r="J78" s="1"/>
      <c r="K78" s="26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63"/>
      <c r="Y78" s="1"/>
      <c r="Z78" s="1"/>
      <c r="AA78" s="17"/>
      <c r="AB78" s="1"/>
      <c r="AC78" s="1"/>
      <c r="AD78" s="1"/>
      <c r="AE78" s="1"/>
      <c r="AF78" s="1"/>
      <c r="AG78" s="1"/>
      <c r="AH78" s="263"/>
      <c r="AI78" s="1"/>
      <c r="AJ78" s="1"/>
      <c r="AK78" s="1"/>
      <c r="AL78" s="18"/>
      <c r="AM78" s="1"/>
      <c r="AN78" s="1"/>
    </row>
    <row r="79" spans="2:40" s="262" customFormat="1" ht="16.5" customHeight="1">
      <c r="B79" s="1"/>
      <c r="C79" s="1"/>
      <c r="D79" s="263"/>
      <c r="E79" s="263"/>
      <c r="F79" s="5"/>
      <c r="G79" s="1"/>
      <c r="H79" s="1"/>
      <c r="I79" s="1"/>
      <c r="J79" s="1"/>
      <c r="K79" s="26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63"/>
      <c r="Y79" s="1"/>
      <c r="Z79" s="1"/>
      <c r="AA79" s="17"/>
      <c r="AB79" s="1"/>
      <c r="AC79" s="1"/>
      <c r="AD79" s="1"/>
      <c r="AE79" s="1"/>
      <c r="AF79" s="1"/>
      <c r="AG79" s="1"/>
      <c r="AH79" s="263"/>
      <c r="AI79" s="1"/>
      <c r="AJ79" s="1"/>
      <c r="AK79" s="1"/>
      <c r="AL79" s="18"/>
      <c r="AM79" s="1"/>
      <c r="AN79" s="1"/>
    </row>
    <row r="80" spans="2:40" s="262" customFormat="1" ht="16.5" customHeight="1">
      <c r="B80" s="1"/>
      <c r="C80" s="1"/>
      <c r="D80" s="263"/>
      <c r="E80" s="263"/>
      <c r="F80" s="5"/>
      <c r="G80" s="1"/>
      <c r="H80" s="1"/>
      <c r="I80" s="1"/>
      <c r="J80" s="1"/>
      <c r="K80" s="26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63"/>
      <c r="Y80" s="1"/>
      <c r="Z80" s="1"/>
      <c r="AA80" s="17"/>
      <c r="AB80" s="1"/>
      <c r="AC80" s="1"/>
      <c r="AD80" s="1"/>
      <c r="AE80" s="1"/>
      <c r="AF80" s="1"/>
      <c r="AG80" s="1"/>
      <c r="AH80" s="263"/>
      <c r="AI80" s="1"/>
      <c r="AJ80" s="1"/>
      <c r="AK80" s="1"/>
      <c r="AL80" s="18"/>
      <c r="AM80" s="1"/>
      <c r="AN80" s="1"/>
    </row>
    <row r="81" spans="2:40" s="262" customFormat="1" ht="16.5" customHeight="1">
      <c r="B81" s="1"/>
      <c r="C81" s="1"/>
      <c r="D81" s="263"/>
      <c r="E81" s="263"/>
      <c r="F81" s="5"/>
      <c r="G81" s="1"/>
      <c r="H81" s="1"/>
      <c r="I81" s="1"/>
      <c r="J81" s="1"/>
      <c r="K81" s="26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63"/>
      <c r="Y81" s="1"/>
      <c r="Z81" s="1"/>
      <c r="AA81" s="17"/>
      <c r="AB81" s="1"/>
      <c r="AC81" s="1"/>
      <c r="AD81" s="1"/>
      <c r="AE81" s="1"/>
      <c r="AF81" s="1"/>
      <c r="AG81" s="1"/>
      <c r="AH81" s="263"/>
      <c r="AI81" s="1"/>
      <c r="AJ81" s="1"/>
      <c r="AK81" s="1"/>
      <c r="AL81" s="18"/>
      <c r="AM81" s="1"/>
      <c r="AN81" s="1"/>
    </row>
    <row r="82" spans="2:40" s="262" customFormat="1" ht="16.5" customHeight="1">
      <c r="B82" s="1"/>
      <c r="C82" s="1"/>
      <c r="D82" s="263"/>
      <c r="E82" s="263"/>
      <c r="F82" s="5"/>
      <c r="G82" s="1"/>
      <c r="H82" s="1"/>
      <c r="I82" s="1"/>
      <c r="J82" s="1"/>
      <c r="K82" s="26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63"/>
      <c r="Y82" s="1"/>
      <c r="Z82" s="1"/>
      <c r="AA82" s="17"/>
      <c r="AB82" s="1"/>
      <c r="AC82" s="1"/>
      <c r="AD82" s="1"/>
      <c r="AE82" s="1"/>
      <c r="AF82" s="1"/>
      <c r="AG82" s="1"/>
      <c r="AH82" s="263"/>
      <c r="AI82" s="1"/>
      <c r="AJ82" s="1"/>
      <c r="AK82" s="1"/>
      <c r="AL82" s="18"/>
      <c r="AM82" s="1"/>
      <c r="AN82" s="1"/>
    </row>
    <row r="83" spans="2:40" s="262" customFormat="1" ht="16.5" customHeight="1">
      <c r="B83" s="1"/>
      <c r="C83" s="1"/>
      <c r="D83" s="263"/>
      <c r="E83" s="263"/>
      <c r="F83" s="5"/>
      <c r="G83" s="1"/>
      <c r="H83" s="1"/>
      <c r="I83" s="1"/>
      <c r="J83" s="1"/>
      <c r="K83" s="26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63"/>
      <c r="Y83" s="1"/>
      <c r="Z83" s="1"/>
      <c r="AA83" s="17"/>
      <c r="AB83" s="1"/>
      <c r="AC83" s="1"/>
      <c r="AD83" s="1"/>
      <c r="AE83" s="1"/>
      <c r="AF83" s="1"/>
      <c r="AG83" s="1"/>
      <c r="AH83" s="263"/>
      <c r="AI83" s="1"/>
      <c r="AJ83" s="1"/>
      <c r="AK83" s="1"/>
      <c r="AL83" s="18"/>
      <c r="AM83" s="1"/>
      <c r="AN83" s="1"/>
    </row>
    <row r="84" spans="2:40" s="262" customFormat="1" ht="16.5" customHeight="1">
      <c r="B84" s="1"/>
      <c r="C84" s="1"/>
      <c r="D84" s="263"/>
      <c r="E84" s="263"/>
      <c r="F84" s="5"/>
      <c r="G84" s="1"/>
      <c r="H84" s="1"/>
      <c r="I84" s="1"/>
      <c r="J84" s="1"/>
      <c r="K84" s="26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63"/>
      <c r="Y84" s="1"/>
      <c r="Z84" s="1"/>
      <c r="AA84" s="17"/>
      <c r="AB84" s="1"/>
      <c r="AC84" s="1"/>
      <c r="AD84" s="1"/>
      <c r="AE84" s="1"/>
      <c r="AF84" s="1"/>
      <c r="AG84" s="1"/>
      <c r="AH84" s="263"/>
      <c r="AI84" s="1"/>
      <c r="AJ84" s="1"/>
      <c r="AK84" s="1"/>
      <c r="AL84" s="18"/>
      <c r="AM84" s="1"/>
      <c r="AN84" s="1"/>
    </row>
    <row r="85" spans="2:40" s="262" customFormat="1" ht="16.5" customHeight="1">
      <c r="B85" s="1"/>
      <c r="C85" s="1"/>
      <c r="D85" s="263"/>
      <c r="E85" s="263"/>
      <c r="F85" s="5"/>
      <c r="G85" s="1"/>
      <c r="H85" s="1"/>
      <c r="I85" s="1"/>
      <c r="J85" s="1"/>
      <c r="K85" s="26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63"/>
      <c r="Y85" s="1"/>
      <c r="Z85" s="1"/>
      <c r="AA85" s="17"/>
      <c r="AB85" s="1"/>
      <c r="AC85" s="1"/>
      <c r="AD85" s="1"/>
      <c r="AE85" s="1"/>
      <c r="AF85" s="1"/>
      <c r="AG85" s="1"/>
      <c r="AH85" s="263"/>
      <c r="AI85" s="1"/>
      <c r="AJ85" s="1"/>
      <c r="AK85" s="1"/>
      <c r="AL85" s="18"/>
      <c r="AM85" s="1"/>
      <c r="AN85" s="1"/>
    </row>
    <row r="86" spans="2:40" s="262" customFormat="1" ht="16.5" customHeight="1">
      <c r="B86" s="1"/>
      <c r="C86" s="1"/>
      <c r="D86" s="263"/>
      <c r="E86" s="263"/>
      <c r="F86" s="5"/>
      <c r="G86" s="1"/>
      <c r="H86" s="1"/>
      <c r="I86" s="1"/>
      <c r="J86" s="1"/>
      <c r="K86" s="26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63"/>
      <c r="Y86" s="1"/>
      <c r="Z86" s="1"/>
      <c r="AA86" s="17"/>
      <c r="AB86" s="1"/>
      <c r="AC86" s="1"/>
      <c r="AD86" s="1"/>
      <c r="AE86" s="1"/>
      <c r="AF86" s="1"/>
      <c r="AG86" s="1"/>
      <c r="AH86" s="263"/>
      <c r="AI86" s="1"/>
      <c r="AJ86" s="1"/>
      <c r="AK86" s="1"/>
      <c r="AL86" s="18"/>
      <c r="AM86" s="1"/>
      <c r="AN86" s="1"/>
    </row>
  </sheetData>
  <autoFilter ref="A16:AN48" xr:uid="{8FD063E6-C768-4E5C-89FA-9AA13B7103D1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0">
    <mergeCell ref="AJ47:AL47"/>
    <mergeCell ref="A16:A19"/>
    <mergeCell ref="B16:B19"/>
    <mergeCell ref="C16:C19"/>
    <mergeCell ref="D16:D19"/>
    <mergeCell ref="E16:P16"/>
    <mergeCell ref="G18:G19"/>
    <mergeCell ref="H18:I18"/>
    <mergeCell ref="AJ16:AJ19"/>
    <mergeCell ref="AK16:AK19"/>
    <mergeCell ref="AL16:AL19"/>
    <mergeCell ref="AC17:AC19"/>
    <mergeCell ref="X16:Z16"/>
    <mergeCell ref="AH42:AL42"/>
    <mergeCell ref="AA43:AI43"/>
    <mergeCell ref="AJ43:AL43"/>
    <mergeCell ref="A6:AL6"/>
    <mergeCell ref="Y17:Y19"/>
    <mergeCell ref="Z17:Z19"/>
    <mergeCell ref="AA17:AA19"/>
    <mergeCell ref="AB17:AB19"/>
    <mergeCell ref="AA16:AC16"/>
    <mergeCell ref="AD16:AD19"/>
    <mergeCell ref="AE16:AE19"/>
    <mergeCell ref="AH16:AH19"/>
    <mergeCell ref="AI16:AI19"/>
    <mergeCell ref="AF16:AF19"/>
    <mergeCell ref="AG16:AG19"/>
    <mergeCell ref="Z1:AL1"/>
    <mergeCell ref="Z2:AL2"/>
    <mergeCell ref="A3:AL3"/>
    <mergeCell ref="Z4:AL4"/>
    <mergeCell ref="A5:AL5"/>
    <mergeCell ref="AA47:AI47"/>
    <mergeCell ref="C47:X47"/>
    <mergeCell ref="E17:E19"/>
    <mergeCell ref="F17:F19"/>
    <mergeCell ref="G17:I17"/>
    <mergeCell ref="X17:X19"/>
    <mergeCell ref="C43:X43"/>
  </mergeCells>
  <printOptions horizontalCentered="1"/>
  <pageMargins left="0" right="0" top="0.61811023600000004" bottom="0.47244094488188998" header="0.196850393700787" footer="0"/>
  <pageSetup paperSize="9" orientation="landscape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4"/>
  <sheetViews>
    <sheetView topLeftCell="A34" zoomScale="85" zoomScaleNormal="85" zoomScaleSheetLayoutView="80" workbookViewId="0">
      <selection activeCell="AM38" sqref="AM38"/>
    </sheetView>
  </sheetViews>
  <sheetFormatPr defaultRowHeight="15.75"/>
  <cols>
    <col min="1" max="1" width="4.85546875" style="262" customWidth="1"/>
    <col min="2" max="2" width="42.28515625" style="1" customWidth="1"/>
    <col min="3" max="3" width="8.42578125" style="1" customWidth="1"/>
    <col min="4" max="4" width="8.42578125" style="263" customWidth="1"/>
    <col min="5" max="5" width="7.5703125" style="263" customWidth="1"/>
    <col min="6" max="6" width="11.5703125" style="5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263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28515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7.140625" style="263" customWidth="1"/>
    <col min="25" max="25" width="12" style="1" hidden="1" customWidth="1"/>
    <col min="26" max="26" width="5.5703125" style="1" hidden="1" customWidth="1"/>
    <col min="27" max="27" width="7.42578125" style="1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1" style="1" hidden="1" customWidth="1"/>
    <col min="32" max="32" width="15.28515625" style="1" customWidth="1"/>
    <col min="33" max="33" width="14" style="1" customWidth="1"/>
    <col min="34" max="34" width="13" style="263" customWidth="1"/>
    <col min="35" max="35" width="14.42578125" style="1" customWidth="1"/>
    <col min="36" max="36" width="10.42578125" style="1" customWidth="1"/>
    <col min="37" max="37" width="10.85546875" style="1" customWidth="1"/>
    <col min="38" max="38" width="12.85546875" style="18" customWidth="1"/>
    <col min="39" max="39" width="18.28515625" style="1" customWidth="1"/>
    <col min="40" max="16384" width="9.140625" style="1"/>
  </cols>
  <sheetData>
    <row r="1" spans="1:38" ht="15.75" customHeight="1">
      <c r="A1" s="3" t="s">
        <v>40</v>
      </c>
      <c r="B1" s="4"/>
      <c r="C1" s="4"/>
      <c r="H1" s="6"/>
      <c r="I1" s="6"/>
      <c r="J1" s="262" t="s">
        <v>0</v>
      </c>
      <c r="K1" s="6"/>
      <c r="L1" s="6"/>
      <c r="M1" s="6"/>
      <c r="N1" s="6"/>
      <c r="P1" s="262"/>
      <c r="Q1" s="262"/>
      <c r="R1" s="262"/>
      <c r="S1" s="262"/>
      <c r="T1" s="262"/>
      <c r="U1" s="262"/>
      <c r="V1" s="262"/>
      <c r="W1" s="262"/>
      <c r="Z1" s="322" t="s">
        <v>0</v>
      </c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" customHeight="1">
      <c r="A2" s="7" t="s">
        <v>41</v>
      </c>
      <c r="K2" s="1"/>
      <c r="O2" s="8"/>
      <c r="P2" s="8"/>
      <c r="Q2" s="8"/>
      <c r="R2" s="8"/>
      <c r="S2" s="8"/>
      <c r="T2" s="8"/>
      <c r="U2" s="8"/>
      <c r="V2" s="8"/>
      <c r="W2" s="8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</row>
    <row r="3" spans="1:38" ht="22.5" hidden="1" customHeight="1">
      <c r="A3" s="322" t="s">
        <v>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</row>
    <row r="4" spans="1:38" ht="15" customHeight="1"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</row>
    <row r="5" spans="1:38" ht="20.25" customHeight="1">
      <c r="A5" s="322" t="s">
        <v>296</v>
      </c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</row>
    <row r="6" spans="1:38" ht="20.25" customHeight="1">
      <c r="A6" s="322" t="s">
        <v>228</v>
      </c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</row>
    <row r="7" spans="1:38" ht="7.5" customHeight="1"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91"/>
      <c r="AG7" s="291"/>
      <c r="AH7" s="262"/>
      <c r="AI7" s="262"/>
      <c r="AJ7" s="262"/>
      <c r="AK7" s="262"/>
      <c r="AL7" s="262"/>
    </row>
    <row r="8" spans="1:38" ht="18" customHeight="1">
      <c r="A8" s="4" t="s">
        <v>421</v>
      </c>
      <c r="B8" s="263"/>
      <c r="C8" s="263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9"/>
      <c r="AB8" s="262"/>
      <c r="AC8" s="262"/>
      <c r="AD8" s="262"/>
      <c r="AE8" s="262"/>
      <c r="AF8" s="291"/>
      <c r="AG8" s="291"/>
      <c r="AH8" s="262"/>
      <c r="AL8" s="1"/>
    </row>
    <row r="9" spans="1:38" ht="15" customHeight="1">
      <c r="A9" s="10" t="s">
        <v>243</v>
      </c>
      <c r="B9" s="263"/>
      <c r="D9" s="263" t="s">
        <v>244</v>
      </c>
      <c r="E9" s="262"/>
      <c r="F9" s="1"/>
      <c r="H9" s="10"/>
      <c r="I9" s="262"/>
      <c r="K9" s="10" t="s">
        <v>2</v>
      </c>
      <c r="L9" s="262"/>
      <c r="M9" s="11"/>
      <c r="S9" s="10"/>
      <c r="T9" s="12"/>
      <c r="W9" s="9"/>
      <c r="X9" s="262"/>
      <c r="Z9" s="262"/>
      <c r="AA9" s="262"/>
      <c r="AB9" s="10"/>
      <c r="AI9" s="10" t="s">
        <v>86</v>
      </c>
      <c r="AL9" s="1"/>
    </row>
    <row r="10" spans="1:38" ht="15" customHeight="1">
      <c r="A10" s="10" t="s">
        <v>252</v>
      </c>
      <c r="B10" s="263"/>
      <c r="D10" s="263" t="s">
        <v>92</v>
      </c>
      <c r="F10" s="1"/>
      <c r="H10" s="10"/>
      <c r="I10" s="262"/>
      <c r="K10" s="10"/>
      <c r="L10" s="262"/>
      <c r="M10" s="11"/>
      <c r="S10" s="10"/>
      <c r="T10" s="12"/>
      <c r="W10" s="9"/>
      <c r="X10" s="262"/>
      <c r="Z10" s="262"/>
      <c r="AA10" s="262"/>
      <c r="AB10" s="10"/>
      <c r="AI10" s="1" t="s">
        <v>87</v>
      </c>
      <c r="AL10" s="1"/>
    </row>
    <row r="11" spans="1:38" ht="15" customHeight="1">
      <c r="A11" s="10" t="s">
        <v>88</v>
      </c>
      <c r="B11" s="263"/>
      <c r="D11" s="263" t="s">
        <v>89</v>
      </c>
      <c r="E11" s="262"/>
      <c r="F11" s="1"/>
      <c r="H11" s="10"/>
      <c r="I11" s="262"/>
      <c r="K11" s="10" t="s">
        <v>3</v>
      </c>
      <c r="L11" s="262"/>
      <c r="M11" s="11"/>
      <c r="S11" s="10"/>
      <c r="T11" s="12"/>
      <c r="W11" s="9"/>
      <c r="X11" s="262"/>
      <c r="Z11" s="262"/>
      <c r="AA11" s="262"/>
      <c r="AB11" s="10"/>
      <c r="AI11" s="1" t="s">
        <v>90</v>
      </c>
      <c r="AL11" s="1"/>
    </row>
    <row r="12" spans="1:38" ht="15" customHeight="1">
      <c r="A12" s="10" t="s">
        <v>251</v>
      </c>
      <c r="B12" s="263"/>
      <c r="C12" s="313" t="s">
        <v>422</v>
      </c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AA12" s="1"/>
      <c r="AI12" s="1" t="s">
        <v>94</v>
      </c>
      <c r="AL12" s="1"/>
    </row>
    <row r="13" spans="1:38" ht="15" customHeight="1">
      <c r="A13" s="10" t="s">
        <v>91</v>
      </c>
      <c r="E13" s="1"/>
      <c r="F13" s="1"/>
      <c r="K13" s="1"/>
      <c r="X13" s="1"/>
      <c r="AA13" s="1"/>
      <c r="AL13" s="1"/>
    </row>
    <row r="14" spans="1:38" ht="15.75" customHeight="1">
      <c r="A14" s="10" t="s">
        <v>4</v>
      </c>
      <c r="AA14" s="13"/>
      <c r="AL14" s="1"/>
    </row>
    <row r="15" spans="1:38" ht="12.75" customHeight="1">
      <c r="AA15" s="13"/>
      <c r="AL15" s="1"/>
    </row>
    <row r="16" spans="1:38" ht="42.75" customHeight="1">
      <c r="A16" s="330" t="s">
        <v>5</v>
      </c>
      <c r="B16" s="329" t="s">
        <v>6</v>
      </c>
      <c r="C16" s="330" t="s">
        <v>217</v>
      </c>
      <c r="D16" s="330" t="s">
        <v>8</v>
      </c>
      <c r="E16" s="328" t="s">
        <v>42</v>
      </c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265"/>
      <c r="R16" s="265"/>
      <c r="S16" s="265"/>
      <c r="T16" s="265"/>
      <c r="U16" s="265"/>
      <c r="V16" s="265"/>
      <c r="W16" s="269"/>
      <c r="X16" s="326" t="s">
        <v>43</v>
      </c>
      <c r="Y16" s="327"/>
      <c r="Z16" s="327"/>
      <c r="AA16" s="326" t="s">
        <v>44</v>
      </c>
      <c r="AB16" s="327"/>
      <c r="AC16" s="327"/>
      <c r="AD16" s="328" t="s">
        <v>9</v>
      </c>
      <c r="AE16" s="328" t="s">
        <v>10</v>
      </c>
      <c r="AF16" s="333" t="s">
        <v>277</v>
      </c>
      <c r="AG16" s="333" t="s">
        <v>278</v>
      </c>
      <c r="AH16" s="328" t="s">
        <v>11</v>
      </c>
      <c r="AI16" s="328" t="s">
        <v>12</v>
      </c>
      <c r="AJ16" s="328" t="s">
        <v>97</v>
      </c>
      <c r="AK16" s="330" t="s">
        <v>46</v>
      </c>
      <c r="AL16" s="328" t="s">
        <v>47</v>
      </c>
    </row>
    <row r="17" spans="1:38" ht="33.75" customHeight="1">
      <c r="A17" s="331"/>
      <c r="B17" s="329"/>
      <c r="C17" s="331"/>
      <c r="D17" s="336"/>
      <c r="E17" s="267" t="s">
        <v>45</v>
      </c>
      <c r="F17" s="266" t="s">
        <v>13</v>
      </c>
      <c r="G17" s="327" t="s">
        <v>14</v>
      </c>
      <c r="H17" s="327"/>
      <c r="I17" s="327"/>
      <c r="J17" s="269" t="s">
        <v>15</v>
      </c>
      <c r="K17" s="265" t="s">
        <v>16</v>
      </c>
      <c r="L17" s="269"/>
      <c r="M17" s="269" t="s">
        <v>15</v>
      </c>
      <c r="N17" s="269" t="s">
        <v>15</v>
      </c>
      <c r="O17" s="269" t="s">
        <v>15</v>
      </c>
      <c r="P17" s="269" t="s">
        <v>17</v>
      </c>
      <c r="Q17" s="269" t="s">
        <v>17</v>
      </c>
      <c r="R17" s="269" t="s">
        <v>17</v>
      </c>
      <c r="S17" s="269" t="s">
        <v>17</v>
      </c>
      <c r="T17" s="269" t="s">
        <v>17</v>
      </c>
      <c r="U17" s="269" t="s">
        <v>17</v>
      </c>
      <c r="V17" s="269" t="s">
        <v>18</v>
      </c>
      <c r="W17" s="269"/>
      <c r="X17" s="267" t="s">
        <v>45</v>
      </c>
      <c r="Y17" s="266" t="s">
        <v>19</v>
      </c>
      <c r="Z17" s="266" t="s">
        <v>20</v>
      </c>
      <c r="AA17" s="267" t="s">
        <v>45</v>
      </c>
      <c r="AB17" s="266" t="s">
        <v>19</v>
      </c>
      <c r="AC17" s="266" t="s">
        <v>21</v>
      </c>
      <c r="AD17" s="328"/>
      <c r="AE17" s="328"/>
      <c r="AF17" s="335"/>
      <c r="AG17" s="335"/>
      <c r="AH17" s="341"/>
      <c r="AI17" s="340"/>
      <c r="AJ17" s="329"/>
      <c r="AK17" s="331"/>
      <c r="AL17" s="340"/>
    </row>
    <row r="18" spans="1:38" s="2" customFormat="1" ht="27" customHeight="1">
      <c r="A18" s="265" t="s">
        <v>36</v>
      </c>
      <c r="B18" s="265" t="s">
        <v>37</v>
      </c>
      <c r="C18" s="265" t="s">
        <v>38</v>
      </c>
      <c r="D18" s="265" t="s">
        <v>39</v>
      </c>
      <c r="E18" s="265">
        <v>1</v>
      </c>
      <c r="F18" s="269">
        <v>2</v>
      </c>
      <c r="G18" s="20">
        <v>3</v>
      </c>
      <c r="H18" s="20">
        <v>4</v>
      </c>
      <c r="I18" s="269">
        <v>5</v>
      </c>
      <c r="J18" s="20">
        <v>7</v>
      </c>
      <c r="K18" s="269">
        <v>8</v>
      </c>
      <c r="L18" s="20">
        <v>9</v>
      </c>
      <c r="M18" s="269">
        <v>10</v>
      </c>
      <c r="N18" s="269"/>
      <c r="O18" s="20">
        <v>6</v>
      </c>
      <c r="P18" s="20"/>
      <c r="Q18" s="20"/>
      <c r="R18" s="20"/>
      <c r="S18" s="20"/>
      <c r="T18" s="20"/>
      <c r="U18" s="20"/>
      <c r="V18" s="20"/>
      <c r="W18" s="20">
        <v>5</v>
      </c>
      <c r="X18" s="265">
        <v>2</v>
      </c>
      <c r="Y18" s="269">
        <v>7</v>
      </c>
      <c r="Z18" s="269">
        <v>8</v>
      </c>
      <c r="AA18" s="269">
        <v>3</v>
      </c>
      <c r="AB18" s="265">
        <v>10</v>
      </c>
      <c r="AC18" s="20">
        <v>11</v>
      </c>
      <c r="AD18" s="265"/>
      <c r="AE18" s="265"/>
      <c r="AF18" s="292"/>
      <c r="AG18" s="292"/>
      <c r="AH18" s="265">
        <v>4</v>
      </c>
      <c r="AI18" s="265">
        <v>5</v>
      </c>
      <c r="AJ18" s="265">
        <v>6</v>
      </c>
      <c r="AK18" s="265">
        <v>7</v>
      </c>
      <c r="AL18" s="265">
        <v>8</v>
      </c>
    </row>
    <row r="19" spans="1:38" s="2" customFormat="1" ht="35.25" customHeight="1">
      <c r="A19" s="265" t="s">
        <v>152</v>
      </c>
      <c r="B19" s="357" t="s">
        <v>229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  <c r="AA19" s="358"/>
      <c r="AB19" s="358"/>
      <c r="AC19" s="358"/>
      <c r="AD19" s="358"/>
      <c r="AE19" s="358"/>
      <c r="AF19" s="358"/>
      <c r="AG19" s="358"/>
      <c r="AH19" s="359"/>
      <c r="AI19" s="29"/>
      <c r="AJ19" s="29"/>
      <c r="AK19" s="30"/>
      <c r="AL19" s="31"/>
    </row>
    <row r="20" spans="1:38" s="2" customFormat="1" ht="35.25" customHeight="1">
      <c r="A20" s="29">
        <v>1</v>
      </c>
      <c r="B20" s="28" t="s">
        <v>226</v>
      </c>
      <c r="C20" s="29" t="s">
        <v>215</v>
      </c>
      <c r="D20" s="29">
        <v>2022</v>
      </c>
      <c r="E20" s="29">
        <v>10</v>
      </c>
      <c r="F20" s="29">
        <v>10</v>
      </c>
      <c r="G20" s="29">
        <v>10</v>
      </c>
      <c r="H20" s="29">
        <v>10</v>
      </c>
      <c r="I20" s="29">
        <v>10</v>
      </c>
      <c r="J20" s="29">
        <v>10</v>
      </c>
      <c r="K20" s="29">
        <v>10</v>
      </c>
      <c r="L20" s="29">
        <v>10</v>
      </c>
      <c r="M20" s="29">
        <v>10</v>
      </c>
      <c r="N20" s="29">
        <v>10</v>
      </c>
      <c r="O20" s="29">
        <v>10</v>
      </c>
      <c r="P20" s="29">
        <v>10</v>
      </c>
      <c r="Q20" s="29">
        <v>10</v>
      </c>
      <c r="R20" s="29">
        <v>10</v>
      </c>
      <c r="S20" s="29">
        <v>10</v>
      </c>
      <c r="T20" s="29">
        <v>10</v>
      </c>
      <c r="U20" s="29">
        <v>10</v>
      </c>
      <c r="V20" s="29">
        <v>10</v>
      </c>
      <c r="W20" s="29">
        <v>10</v>
      </c>
      <c r="X20" s="29">
        <v>10</v>
      </c>
      <c r="Y20" s="26"/>
      <c r="Z20" s="25"/>
      <c r="AA20" s="24">
        <v>0</v>
      </c>
      <c r="AB20" s="26"/>
      <c r="AC20" s="25"/>
      <c r="AD20" s="27"/>
      <c r="AE20" s="28"/>
      <c r="AF20" s="28"/>
      <c r="AG20" s="28"/>
      <c r="AH20" s="29" t="s">
        <v>166</v>
      </c>
      <c r="AI20" s="29" t="s">
        <v>231</v>
      </c>
      <c r="AJ20" s="29" t="s">
        <v>101</v>
      </c>
      <c r="AK20" s="30"/>
      <c r="AL20" s="31"/>
    </row>
    <row r="21" spans="1:38" s="2" customFormat="1" ht="35.25" customHeight="1">
      <c r="A21" s="29">
        <f t="shared" ref="A21:A37" si="0">A20+1</f>
        <v>2</v>
      </c>
      <c r="B21" s="28" t="s">
        <v>149</v>
      </c>
      <c r="C21" s="29" t="s">
        <v>215</v>
      </c>
      <c r="D21" s="29">
        <v>2022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6"/>
      <c r="Z21" s="25"/>
      <c r="AA21" s="24">
        <v>0</v>
      </c>
      <c r="AB21" s="26"/>
      <c r="AC21" s="25"/>
      <c r="AD21" s="27"/>
      <c r="AE21" s="28"/>
      <c r="AF21" s="28"/>
      <c r="AG21" s="28"/>
      <c r="AH21" s="29" t="s">
        <v>166</v>
      </c>
      <c r="AI21" s="29" t="s">
        <v>231</v>
      </c>
      <c r="AJ21" s="29" t="s">
        <v>101</v>
      </c>
      <c r="AK21" s="30"/>
      <c r="AL21" s="31"/>
    </row>
    <row r="22" spans="1:38" s="2" customFormat="1" ht="35.25" customHeight="1">
      <c r="A22" s="29">
        <f t="shared" si="0"/>
        <v>3</v>
      </c>
      <c r="B22" s="28" t="s">
        <v>120</v>
      </c>
      <c r="C22" s="29" t="s">
        <v>215</v>
      </c>
      <c r="D22" s="29">
        <v>2022</v>
      </c>
      <c r="E22" s="29">
        <v>6</v>
      </c>
      <c r="F22" s="29">
        <v>6</v>
      </c>
      <c r="G22" s="29">
        <v>6</v>
      </c>
      <c r="H22" s="29">
        <v>6</v>
      </c>
      <c r="I22" s="29">
        <v>6</v>
      </c>
      <c r="J22" s="29">
        <v>6</v>
      </c>
      <c r="K22" s="29">
        <v>6</v>
      </c>
      <c r="L22" s="29">
        <v>6</v>
      </c>
      <c r="M22" s="29">
        <v>6</v>
      </c>
      <c r="N22" s="29">
        <v>6</v>
      </c>
      <c r="O22" s="29">
        <v>6</v>
      </c>
      <c r="P22" s="29">
        <v>6</v>
      </c>
      <c r="Q22" s="29">
        <v>6</v>
      </c>
      <c r="R22" s="29">
        <v>6</v>
      </c>
      <c r="S22" s="29">
        <v>6</v>
      </c>
      <c r="T22" s="29">
        <v>6</v>
      </c>
      <c r="U22" s="29">
        <v>6</v>
      </c>
      <c r="V22" s="29">
        <v>6</v>
      </c>
      <c r="W22" s="29">
        <v>6</v>
      </c>
      <c r="X22" s="29">
        <v>6</v>
      </c>
      <c r="Y22" s="26"/>
      <c r="Z22" s="25"/>
      <c r="AA22" s="24">
        <v>0</v>
      </c>
      <c r="AB22" s="26"/>
      <c r="AC22" s="25"/>
      <c r="AD22" s="27"/>
      <c r="AE22" s="28"/>
      <c r="AF22" s="28"/>
      <c r="AG22" s="28"/>
      <c r="AH22" s="29" t="s">
        <v>166</v>
      </c>
      <c r="AI22" s="29" t="s">
        <v>231</v>
      </c>
      <c r="AJ22" s="29" t="s">
        <v>101</v>
      </c>
      <c r="AK22" s="30"/>
      <c r="AL22" s="31"/>
    </row>
    <row r="23" spans="1:38" s="2" customFormat="1" ht="35.25" customHeight="1">
      <c r="A23" s="29">
        <f t="shared" si="0"/>
        <v>4</v>
      </c>
      <c r="B23" s="28" t="s">
        <v>121</v>
      </c>
      <c r="C23" s="29" t="s">
        <v>215</v>
      </c>
      <c r="D23" s="29">
        <v>2022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6"/>
      <c r="Z23" s="25"/>
      <c r="AA23" s="24">
        <v>0</v>
      </c>
      <c r="AB23" s="26"/>
      <c r="AC23" s="25"/>
      <c r="AD23" s="27"/>
      <c r="AE23" s="28"/>
      <c r="AF23" s="28"/>
      <c r="AG23" s="28"/>
      <c r="AH23" s="29" t="s">
        <v>166</v>
      </c>
      <c r="AI23" s="29" t="s">
        <v>231</v>
      </c>
      <c r="AJ23" s="29" t="s">
        <v>101</v>
      </c>
      <c r="AK23" s="30"/>
      <c r="AL23" s="31"/>
    </row>
    <row r="24" spans="1:38" s="2" customFormat="1" ht="35.25" customHeight="1">
      <c r="A24" s="29">
        <f t="shared" si="0"/>
        <v>5</v>
      </c>
      <c r="B24" s="28" t="s">
        <v>123</v>
      </c>
      <c r="C24" s="29" t="s">
        <v>216</v>
      </c>
      <c r="D24" s="29">
        <v>2022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6"/>
      <c r="Z24" s="25"/>
      <c r="AA24" s="24">
        <v>0</v>
      </c>
      <c r="AB24" s="26"/>
      <c r="AC24" s="25"/>
      <c r="AD24" s="27"/>
      <c r="AE24" s="28"/>
      <c r="AF24" s="28"/>
      <c r="AG24" s="28"/>
      <c r="AH24" s="29" t="s">
        <v>166</v>
      </c>
      <c r="AI24" s="29" t="s">
        <v>231</v>
      </c>
      <c r="AJ24" s="29" t="s">
        <v>101</v>
      </c>
      <c r="AK24" s="30"/>
      <c r="AL24" s="31"/>
    </row>
    <row r="25" spans="1:38" s="2" customFormat="1" ht="35.25" customHeight="1">
      <c r="A25" s="29">
        <f t="shared" si="0"/>
        <v>6</v>
      </c>
      <c r="B25" s="34" t="s">
        <v>124</v>
      </c>
      <c r="C25" s="29" t="s">
        <v>216</v>
      </c>
      <c r="D25" s="29">
        <v>2022</v>
      </c>
      <c r="E25" s="29">
        <v>6</v>
      </c>
      <c r="F25" s="29">
        <v>6</v>
      </c>
      <c r="G25" s="29">
        <v>6</v>
      </c>
      <c r="H25" s="29">
        <v>6</v>
      </c>
      <c r="I25" s="29">
        <v>6</v>
      </c>
      <c r="J25" s="29">
        <v>6</v>
      </c>
      <c r="K25" s="29">
        <v>6</v>
      </c>
      <c r="L25" s="29">
        <v>6</v>
      </c>
      <c r="M25" s="29">
        <v>6</v>
      </c>
      <c r="N25" s="29">
        <v>6</v>
      </c>
      <c r="O25" s="29">
        <v>6</v>
      </c>
      <c r="P25" s="29">
        <v>6</v>
      </c>
      <c r="Q25" s="29">
        <v>6</v>
      </c>
      <c r="R25" s="29">
        <v>6</v>
      </c>
      <c r="S25" s="29">
        <v>6</v>
      </c>
      <c r="T25" s="29">
        <v>6</v>
      </c>
      <c r="U25" s="29">
        <v>6</v>
      </c>
      <c r="V25" s="29">
        <v>6</v>
      </c>
      <c r="W25" s="29">
        <v>6</v>
      </c>
      <c r="X25" s="29">
        <v>6</v>
      </c>
      <c r="Y25" s="26"/>
      <c r="Z25" s="25"/>
      <c r="AA25" s="24">
        <v>0</v>
      </c>
      <c r="AB25" s="26"/>
      <c r="AC25" s="25"/>
      <c r="AD25" s="27"/>
      <c r="AE25" s="28"/>
      <c r="AF25" s="28"/>
      <c r="AG25" s="28"/>
      <c r="AH25" s="29" t="s">
        <v>166</v>
      </c>
      <c r="AI25" s="29" t="s">
        <v>231</v>
      </c>
      <c r="AJ25" s="29" t="s">
        <v>101</v>
      </c>
      <c r="AK25" s="30"/>
      <c r="AL25" s="31"/>
    </row>
    <row r="26" spans="1:38" s="2" customFormat="1" ht="35.25" customHeight="1">
      <c r="A26" s="29">
        <f t="shared" si="0"/>
        <v>7</v>
      </c>
      <c r="B26" s="28" t="s">
        <v>125</v>
      </c>
      <c r="C26" s="29" t="s">
        <v>215</v>
      </c>
      <c r="D26" s="29">
        <v>2022</v>
      </c>
      <c r="E26" s="29">
        <v>3</v>
      </c>
      <c r="F26" s="29">
        <v>3</v>
      </c>
      <c r="G26" s="29">
        <v>3</v>
      </c>
      <c r="H26" s="29">
        <v>3</v>
      </c>
      <c r="I26" s="29">
        <v>3</v>
      </c>
      <c r="J26" s="29">
        <v>3</v>
      </c>
      <c r="K26" s="29">
        <v>3</v>
      </c>
      <c r="L26" s="29">
        <v>3</v>
      </c>
      <c r="M26" s="29">
        <v>3</v>
      </c>
      <c r="N26" s="29">
        <v>3</v>
      </c>
      <c r="O26" s="29">
        <v>3</v>
      </c>
      <c r="P26" s="29">
        <v>3</v>
      </c>
      <c r="Q26" s="29">
        <v>3</v>
      </c>
      <c r="R26" s="29">
        <v>3</v>
      </c>
      <c r="S26" s="29">
        <v>3</v>
      </c>
      <c r="T26" s="29">
        <v>3</v>
      </c>
      <c r="U26" s="29">
        <v>3</v>
      </c>
      <c r="V26" s="29">
        <v>3</v>
      </c>
      <c r="W26" s="29">
        <v>3</v>
      </c>
      <c r="X26" s="29">
        <v>3</v>
      </c>
      <c r="Y26" s="26"/>
      <c r="Z26" s="25"/>
      <c r="AA26" s="24">
        <v>0</v>
      </c>
      <c r="AB26" s="26"/>
      <c r="AC26" s="25"/>
      <c r="AD26" s="27"/>
      <c r="AE26" s="28"/>
      <c r="AF26" s="294">
        <v>15675000</v>
      </c>
      <c r="AG26" s="295">
        <f>+X26*AF26</f>
        <v>47025000</v>
      </c>
      <c r="AH26" s="29" t="s">
        <v>166</v>
      </c>
      <c r="AI26" s="29" t="s">
        <v>231</v>
      </c>
      <c r="AJ26" s="29" t="s">
        <v>101</v>
      </c>
      <c r="AK26" s="30"/>
      <c r="AL26" s="31"/>
    </row>
    <row r="27" spans="1:38" s="2" customFormat="1" ht="35.25" customHeight="1">
      <c r="A27" s="29">
        <f t="shared" si="0"/>
        <v>8</v>
      </c>
      <c r="B27" s="28" t="s">
        <v>130</v>
      </c>
      <c r="C27" s="29" t="s">
        <v>215</v>
      </c>
      <c r="D27" s="29">
        <v>2022</v>
      </c>
      <c r="E27" s="29">
        <v>3</v>
      </c>
      <c r="F27" s="29">
        <v>3</v>
      </c>
      <c r="G27" s="29">
        <v>3</v>
      </c>
      <c r="H27" s="29">
        <v>3</v>
      </c>
      <c r="I27" s="29">
        <v>3</v>
      </c>
      <c r="J27" s="29">
        <v>3</v>
      </c>
      <c r="K27" s="29">
        <v>3</v>
      </c>
      <c r="L27" s="29">
        <v>3</v>
      </c>
      <c r="M27" s="29">
        <v>3</v>
      </c>
      <c r="N27" s="29">
        <v>3</v>
      </c>
      <c r="O27" s="29">
        <v>3</v>
      </c>
      <c r="P27" s="29">
        <v>3</v>
      </c>
      <c r="Q27" s="29">
        <v>3</v>
      </c>
      <c r="R27" s="29">
        <v>3</v>
      </c>
      <c r="S27" s="29">
        <v>3</v>
      </c>
      <c r="T27" s="29">
        <v>3</v>
      </c>
      <c r="U27" s="29">
        <v>3</v>
      </c>
      <c r="V27" s="29">
        <v>3</v>
      </c>
      <c r="W27" s="29">
        <v>3</v>
      </c>
      <c r="X27" s="29">
        <v>3</v>
      </c>
      <c r="Y27" s="26"/>
      <c r="Z27" s="25"/>
      <c r="AA27" s="24">
        <v>0</v>
      </c>
      <c r="AB27" s="26"/>
      <c r="AC27" s="25"/>
      <c r="AD27" s="27"/>
      <c r="AE27" s="28"/>
      <c r="AF27" s="28"/>
      <c r="AG27" s="28"/>
      <c r="AH27" s="29" t="s">
        <v>166</v>
      </c>
      <c r="AI27" s="29" t="s">
        <v>231</v>
      </c>
      <c r="AJ27" s="29" t="s">
        <v>101</v>
      </c>
      <c r="AK27" s="30"/>
      <c r="AL27" s="31"/>
    </row>
    <row r="28" spans="1:38" s="2" customFormat="1" ht="35.25" customHeight="1">
      <c r="A28" s="29">
        <f t="shared" si="0"/>
        <v>9</v>
      </c>
      <c r="B28" s="28" t="s">
        <v>146</v>
      </c>
      <c r="C28" s="29" t="s">
        <v>215</v>
      </c>
      <c r="D28" s="29">
        <v>2022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6"/>
      <c r="Z28" s="25"/>
      <c r="AA28" s="24">
        <v>0</v>
      </c>
      <c r="AB28" s="26"/>
      <c r="AC28" s="25"/>
      <c r="AD28" s="27"/>
      <c r="AE28" s="28"/>
      <c r="AF28" s="28"/>
      <c r="AG28" s="28"/>
      <c r="AH28" s="29" t="s">
        <v>166</v>
      </c>
      <c r="AI28" s="29" t="s">
        <v>231</v>
      </c>
      <c r="AJ28" s="29" t="s">
        <v>101</v>
      </c>
      <c r="AK28" s="30"/>
      <c r="AL28" s="31"/>
    </row>
    <row r="29" spans="1:38" s="2" customFormat="1" ht="35.25" customHeight="1">
      <c r="A29" s="265" t="s">
        <v>168</v>
      </c>
      <c r="B29" s="357" t="s">
        <v>230</v>
      </c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9"/>
      <c r="AL29" s="31"/>
    </row>
    <row r="30" spans="1:38" s="2" customFormat="1" ht="35.25" customHeight="1">
      <c r="A30" s="29">
        <v>1</v>
      </c>
      <c r="B30" s="28" t="s">
        <v>132</v>
      </c>
      <c r="C30" s="29" t="s">
        <v>215</v>
      </c>
      <c r="D30" s="29">
        <v>2022</v>
      </c>
      <c r="E30" s="29">
        <v>20</v>
      </c>
      <c r="F30" s="29">
        <v>20</v>
      </c>
      <c r="G30" s="29">
        <v>20</v>
      </c>
      <c r="H30" s="29">
        <v>20</v>
      </c>
      <c r="I30" s="29">
        <v>20</v>
      </c>
      <c r="J30" s="29">
        <v>20</v>
      </c>
      <c r="K30" s="29">
        <v>20</v>
      </c>
      <c r="L30" s="29">
        <v>20</v>
      </c>
      <c r="M30" s="29">
        <v>20</v>
      </c>
      <c r="N30" s="29">
        <v>20</v>
      </c>
      <c r="O30" s="29">
        <v>20</v>
      </c>
      <c r="P30" s="29">
        <v>20</v>
      </c>
      <c r="Q30" s="29">
        <v>20</v>
      </c>
      <c r="R30" s="29">
        <v>20</v>
      </c>
      <c r="S30" s="29">
        <v>20</v>
      </c>
      <c r="T30" s="29">
        <v>20</v>
      </c>
      <c r="U30" s="29">
        <v>20</v>
      </c>
      <c r="V30" s="29">
        <v>20</v>
      </c>
      <c r="W30" s="29">
        <v>20</v>
      </c>
      <c r="X30" s="29">
        <v>20</v>
      </c>
      <c r="Y30" s="26"/>
      <c r="Z30" s="25"/>
      <c r="AA30" s="24">
        <v>0</v>
      </c>
      <c r="AB30" s="26"/>
      <c r="AC30" s="25"/>
      <c r="AD30" s="27"/>
      <c r="AE30" s="28"/>
      <c r="AF30" s="28"/>
      <c r="AG30" s="28"/>
      <c r="AH30" s="29" t="s">
        <v>166</v>
      </c>
      <c r="AI30" s="29" t="s">
        <v>231</v>
      </c>
      <c r="AJ30" s="29" t="s">
        <v>101</v>
      </c>
      <c r="AK30" s="30"/>
      <c r="AL30" s="31"/>
    </row>
    <row r="31" spans="1:38" s="2" customFormat="1" ht="35.25" customHeight="1">
      <c r="A31" s="29">
        <f t="shared" si="0"/>
        <v>2</v>
      </c>
      <c r="B31" s="28" t="s">
        <v>149</v>
      </c>
      <c r="C31" s="29" t="s">
        <v>215</v>
      </c>
      <c r="D31" s="29">
        <v>2022</v>
      </c>
      <c r="E31" s="29">
        <v>1</v>
      </c>
      <c r="F31" s="29">
        <v>1</v>
      </c>
      <c r="G31" s="29">
        <v>1</v>
      </c>
      <c r="H31" s="29">
        <v>1</v>
      </c>
      <c r="I31" s="29">
        <v>1</v>
      </c>
      <c r="J31" s="29">
        <v>1</v>
      </c>
      <c r="K31" s="29">
        <v>1</v>
      </c>
      <c r="L31" s="29">
        <v>1</v>
      </c>
      <c r="M31" s="29">
        <v>1</v>
      </c>
      <c r="N31" s="29">
        <v>1</v>
      </c>
      <c r="O31" s="29">
        <v>1</v>
      </c>
      <c r="P31" s="29">
        <v>1</v>
      </c>
      <c r="Q31" s="29">
        <v>1</v>
      </c>
      <c r="R31" s="29">
        <v>1</v>
      </c>
      <c r="S31" s="29">
        <v>1</v>
      </c>
      <c r="T31" s="29">
        <v>1</v>
      </c>
      <c r="U31" s="29">
        <v>1</v>
      </c>
      <c r="V31" s="29">
        <v>1</v>
      </c>
      <c r="W31" s="29">
        <v>1</v>
      </c>
      <c r="X31" s="29">
        <v>1</v>
      </c>
      <c r="Y31" s="26"/>
      <c r="Z31" s="25"/>
      <c r="AA31" s="24">
        <v>0</v>
      </c>
      <c r="AB31" s="26"/>
      <c r="AC31" s="25"/>
      <c r="AD31" s="27"/>
      <c r="AE31" s="28"/>
      <c r="AF31" s="28"/>
      <c r="AG31" s="28"/>
      <c r="AH31" s="29" t="s">
        <v>166</v>
      </c>
      <c r="AI31" s="29" t="s">
        <v>231</v>
      </c>
      <c r="AJ31" s="29" t="s">
        <v>101</v>
      </c>
      <c r="AK31" s="30"/>
      <c r="AL31" s="31"/>
    </row>
    <row r="32" spans="1:38" s="2" customFormat="1" ht="35.25" customHeight="1">
      <c r="A32" s="29">
        <f t="shared" si="0"/>
        <v>3</v>
      </c>
      <c r="B32" s="28" t="s">
        <v>120</v>
      </c>
      <c r="C32" s="29" t="s">
        <v>215</v>
      </c>
      <c r="D32" s="29">
        <v>2022</v>
      </c>
      <c r="E32" s="29">
        <v>5</v>
      </c>
      <c r="F32" s="29">
        <v>5</v>
      </c>
      <c r="G32" s="29">
        <v>5</v>
      </c>
      <c r="H32" s="29">
        <v>5</v>
      </c>
      <c r="I32" s="29">
        <v>5</v>
      </c>
      <c r="J32" s="29">
        <v>5</v>
      </c>
      <c r="K32" s="29">
        <v>5</v>
      </c>
      <c r="L32" s="29">
        <v>5</v>
      </c>
      <c r="M32" s="29">
        <v>5</v>
      </c>
      <c r="N32" s="29">
        <v>5</v>
      </c>
      <c r="O32" s="29">
        <v>5</v>
      </c>
      <c r="P32" s="29">
        <v>5</v>
      </c>
      <c r="Q32" s="29">
        <v>5</v>
      </c>
      <c r="R32" s="29">
        <v>5</v>
      </c>
      <c r="S32" s="29">
        <v>5</v>
      </c>
      <c r="T32" s="29">
        <v>5</v>
      </c>
      <c r="U32" s="29">
        <v>5</v>
      </c>
      <c r="V32" s="29">
        <v>5</v>
      </c>
      <c r="W32" s="29">
        <v>5</v>
      </c>
      <c r="X32" s="29">
        <v>5</v>
      </c>
      <c r="Y32" s="26"/>
      <c r="Z32" s="25"/>
      <c r="AA32" s="24">
        <v>0</v>
      </c>
      <c r="AB32" s="26"/>
      <c r="AC32" s="25"/>
      <c r="AD32" s="27"/>
      <c r="AE32" s="28"/>
      <c r="AF32" s="28"/>
      <c r="AG32" s="28"/>
      <c r="AH32" s="29" t="s">
        <v>166</v>
      </c>
      <c r="AI32" s="29" t="s">
        <v>231</v>
      </c>
      <c r="AJ32" s="29" t="s">
        <v>101</v>
      </c>
      <c r="AK32" s="30"/>
      <c r="AL32" s="31"/>
    </row>
    <row r="33" spans="1:40" s="2" customFormat="1" ht="35.25" customHeight="1">
      <c r="A33" s="29">
        <f t="shared" si="0"/>
        <v>4</v>
      </c>
      <c r="B33" s="28" t="s">
        <v>121</v>
      </c>
      <c r="C33" s="29" t="s">
        <v>215</v>
      </c>
      <c r="D33" s="29">
        <v>2022</v>
      </c>
      <c r="E33" s="29">
        <v>1</v>
      </c>
      <c r="F33" s="29">
        <v>1</v>
      </c>
      <c r="G33" s="29">
        <v>1</v>
      </c>
      <c r="H33" s="29">
        <v>1</v>
      </c>
      <c r="I33" s="29">
        <v>1</v>
      </c>
      <c r="J33" s="29">
        <v>1</v>
      </c>
      <c r="K33" s="29">
        <v>1</v>
      </c>
      <c r="L33" s="29">
        <v>1</v>
      </c>
      <c r="M33" s="29">
        <v>1</v>
      </c>
      <c r="N33" s="29">
        <v>1</v>
      </c>
      <c r="O33" s="29">
        <v>1</v>
      </c>
      <c r="P33" s="29">
        <v>1</v>
      </c>
      <c r="Q33" s="29">
        <v>1</v>
      </c>
      <c r="R33" s="29">
        <v>1</v>
      </c>
      <c r="S33" s="29">
        <v>1</v>
      </c>
      <c r="T33" s="29">
        <v>1</v>
      </c>
      <c r="U33" s="29">
        <v>1</v>
      </c>
      <c r="V33" s="29">
        <v>1</v>
      </c>
      <c r="W33" s="29">
        <v>1</v>
      </c>
      <c r="X33" s="29">
        <v>1</v>
      </c>
      <c r="Y33" s="26"/>
      <c r="Z33" s="25"/>
      <c r="AA33" s="24">
        <v>0</v>
      </c>
      <c r="AB33" s="26"/>
      <c r="AC33" s="25"/>
      <c r="AD33" s="27"/>
      <c r="AE33" s="28"/>
      <c r="AF33" s="28"/>
      <c r="AG33" s="28"/>
      <c r="AH33" s="29" t="s">
        <v>166</v>
      </c>
      <c r="AI33" s="29" t="s">
        <v>231</v>
      </c>
      <c r="AJ33" s="29" t="s">
        <v>101</v>
      </c>
      <c r="AK33" s="30"/>
      <c r="AL33" s="31"/>
    </row>
    <row r="34" spans="1:40" s="2" customFormat="1" ht="35.25" customHeight="1">
      <c r="A34" s="29">
        <f t="shared" si="0"/>
        <v>5</v>
      </c>
      <c r="B34" s="28" t="s">
        <v>123</v>
      </c>
      <c r="C34" s="29" t="s">
        <v>216</v>
      </c>
      <c r="D34" s="29">
        <v>2022</v>
      </c>
      <c r="E34" s="29">
        <v>1</v>
      </c>
      <c r="F34" s="29">
        <v>1</v>
      </c>
      <c r="G34" s="29">
        <v>1</v>
      </c>
      <c r="H34" s="29">
        <v>1</v>
      </c>
      <c r="I34" s="29">
        <v>1</v>
      </c>
      <c r="J34" s="29">
        <v>1</v>
      </c>
      <c r="K34" s="29">
        <v>1</v>
      </c>
      <c r="L34" s="29">
        <v>1</v>
      </c>
      <c r="M34" s="29">
        <v>1</v>
      </c>
      <c r="N34" s="29">
        <v>1</v>
      </c>
      <c r="O34" s="29">
        <v>1</v>
      </c>
      <c r="P34" s="29">
        <v>1</v>
      </c>
      <c r="Q34" s="29">
        <v>1</v>
      </c>
      <c r="R34" s="29">
        <v>1</v>
      </c>
      <c r="S34" s="29">
        <v>1</v>
      </c>
      <c r="T34" s="29">
        <v>1</v>
      </c>
      <c r="U34" s="29">
        <v>1</v>
      </c>
      <c r="V34" s="29">
        <v>1</v>
      </c>
      <c r="W34" s="29">
        <v>1</v>
      </c>
      <c r="X34" s="29">
        <v>1</v>
      </c>
      <c r="Y34" s="26"/>
      <c r="Z34" s="25"/>
      <c r="AA34" s="24">
        <v>0</v>
      </c>
      <c r="AB34" s="26"/>
      <c r="AC34" s="25"/>
      <c r="AD34" s="27"/>
      <c r="AE34" s="28"/>
      <c r="AF34" s="28"/>
      <c r="AG34" s="28"/>
      <c r="AH34" s="29" t="s">
        <v>166</v>
      </c>
      <c r="AI34" s="29" t="s">
        <v>231</v>
      </c>
      <c r="AJ34" s="29" t="s">
        <v>101</v>
      </c>
      <c r="AK34" s="30"/>
      <c r="AL34" s="31"/>
    </row>
    <row r="35" spans="1:40" s="2" customFormat="1" ht="35.25" customHeight="1">
      <c r="A35" s="29">
        <f t="shared" si="0"/>
        <v>6</v>
      </c>
      <c r="B35" s="34" t="s">
        <v>124</v>
      </c>
      <c r="C35" s="29" t="s">
        <v>216</v>
      </c>
      <c r="D35" s="29">
        <v>2022</v>
      </c>
      <c r="E35" s="29">
        <v>6</v>
      </c>
      <c r="F35" s="29">
        <v>6</v>
      </c>
      <c r="G35" s="29">
        <v>6</v>
      </c>
      <c r="H35" s="29">
        <v>6</v>
      </c>
      <c r="I35" s="29">
        <v>6</v>
      </c>
      <c r="J35" s="29">
        <v>6</v>
      </c>
      <c r="K35" s="29">
        <v>6</v>
      </c>
      <c r="L35" s="29">
        <v>6</v>
      </c>
      <c r="M35" s="29">
        <v>6</v>
      </c>
      <c r="N35" s="29">
        <v>6</v>
      </c>
      <c r="O35" s="29">
        <v>6</v>
      </c>
      <c r="P35" s="29">
        <v>6</v>
      </c>
      <c r="Q35" s="29">
        <v>6</v>
      </c>
      <c r="R35" s="29">
        <v>6</v>
      </c>
      <c r="S35" s="29">
        <v>6</v>
      </c>
      <c r="T35" s="29">
        <v>6</v>
      </c>
      <c r="U35" s="29">
        <v>6</v>
      </c>
      <c r="V35" s="29">
        <v>6</v>
      </c>
      <c r="W35" s="29">
        <v>6</v>
      </c>
      <c r="X35" s="29">
        <v>6</v>
      </c>
      <c r="Y35" s="26"/>
      <c r="Z35" s="25"/>
      <c r="AA35" s="24">
        <v>0</v>
      </c>
      <c r="AB35" s="26"/>
      <c r="AC35" s="25"/>
      <c r="AD35" s="27"/>
      <c r="AE35" s="28"/>
      <c r="AF35" s="28"/>
      <c r="AG35" s="28"/>
      <c r="AH35" s="29" t="s">
        <v>166</v>
      </c>
      <c r="AI35" s="29" t="s">
        <v>231</v>
      </c>
      <c r="AJ35" s="29" t="s">
        <v>101</v>
      </c>
      <c r="AK35" s="30"/>
      <c r="AL35" s="31"/>
    </row>
    <row r="36" spans="1:40" s="2" customFormat="1" ht="35.25" customHeight="1">
      <c r="A36" s="29">
        <f t="shared" si="0"/>
        <v>7</v>
      </c>
      <c r="B36" s="28" t="s">
        <v>125</v>
      </c>
      <c r="C36" s="29" t="s">
        <v>215</v>
      </c>
      <c r="D36" s="29">
        <v>2022</v>
      </c>
      <c r="E36" s="29">
        <v>2</v>
      </c>
      <c r="F36" s="29">
        <v>2</v>
      </c>
      <c r="G36" s="29">
        <v>2</v>
      </c>
      <c r="H36" s="29">
        <v>2</v>
      </c>
      <c r="I36" s="29">
        <v>2</v>
      </c>
      <c r="J36" s="29">
        <v>2</v>
      </c>
      <c r="K36" s="29">
        <v>2</v>
      </c>
      <c r="L36" s="29">
        <v>2</v>
      </c>
      <c r="M36" s="29">
        <v>2</v>
      </c>
      <c r="N36" s="29">
        <v>2</v>
      </c>
      <c r="O36" s="29">
        <v>2</v>
      </c>
      <c r="P36" s="29">
        <v>2</v>
      </c>
      <c r="Q36" s="29">
        <v>2</v>
      </c>
      <c r="R36" s="29">
        <v>2</v>
      </c>
      <c r="S36" s="29">
        <v>2</v>
      </c>
      <c r="T36" s="29">
        <v>2</v>
      </c>
      <c r="U36" s="29">
        <v>2</v>
      </c>
      <c r="V36" s="29">
        <v>2</v>
      </c>
      <c r="W36" s="29">
        <v>2</v>
      </c>
      <c r="X36" s="29">
        <v>2</v>
      </c>
      <c r="Y36" s="26"/>
      <c r="Z36" s="25"/>
      <c r="AA36" s="24">
        <v>0</v>
      </c>
      <c r="AB36" s="26"/>
      <c r="AC36" s="25"/>
      <c r="AD36" s="27"/>
      <c r="AE36" s="28"/>
      <c r="AF36" s="294">
        <v>15675000</v>
      </c>
      <c r="AG36" s="295">
        <f>+X36*AF36</f>
        <v>31350000</v>
      </c>
      <c r="AH36" s="29" t="s">
        <v>166</v>
      </c>
      <c r="AI36" s="29" t="s">
        <v>231</v>
      </c>
      <c r="AJ36" s="29" t="s">
        <v>101</v>
      </c>
      <c r="AK36" s="30"/>
      <c r="AL36" s="31"/>
    </row>
    <row r="37" spans="1:40" s="2" customFormat="1" ht="35.25" customHeight="1">
      <c r="A37" s="29">
        <f t="shared" si="0"/>
        <v>8</v>
      </c>
      <c r="B37" s="28" t="s">
        <v>147</v>
      </c>
      <c r="C37" s="29" t="s">
        <v>215</v>
      </c>
      <c r="D37" s="29">
        <v>2022</v>
      </c>
      <c r="E37" s="29">
        <v>1</v>
      </c>
      <c r="F37" s="29">
        <v>1</v>
      </c>
      <c r="G37" s="29">
        <v>1</v>
      </c>
      <c r="H37" s="29">
        <v>1</v>
      </c>
      <c r="I37" s="29">
        <v>1</v>
      </c>
      <c r="J37" s="29">
        <v>1</v>
      </c>
      <c r="K37" s="29">
        <v>1</v>
      </c>
      <c r="L37" s="29">
        <v>1</v>
      </c>
      <c r="M37" s="29">
        <v>1</v>
      </c>
      <c r="N37" s="29">
        <v>1</v>
      </c>
      <c r="O37" s="29">
        <v>1</v>
      </c>
      <c r="P37" s="29">
        <v>1</v>
      </c>
      <c r="Q37" s="29">
        <v>1</v>
      </c>
      <c r="R37" s="29">
        <v>1</v>
      </c>
      <c r="S37" s="29">
        <v>1</v>
      </c>
      <c r="T37" s="29">
        <v>1</v>
      </c>
      <c r="U37" s="29">
        <v>1</v>
      </c>
      <c r="V37" s="29">
        <v>1</v>
      </c>
      <c r="W37" s="29">
        <v>1</v>
      </c>
      <c r="X37" s="29">
        <v>1</v>
      </c>
      <c r="Y37" s="26"/>
      <c r="Z37" s="25"/>
      <c r="AA37" s="24">
        <v>0</v>
      </c>
      <c r="AB37" s="26"/>
      <c r="AC37" s="25"/>
      <c r="AD37" s="27"/>
      <c r="AE37" s="28"/>
      <c r="AF37" s="28"/>
      <c r="AG37" s="28"/>
      <c r="AH37" s="29" t="s">
        <v>166</v>
      </c>
      <c r="AI37" s="29" t="s">
        <v>231</v>
      </c>
      <c r="AJ37" s="29" t="s">
        <v>101</v>
      </c>
      <c r="AK37" s="30"/>
      <c r="AL37" s="31"/>
    </row>
    <row r="38" spans="1:40" s="2" customFormat="1" ht="14.25" customHeight="1">
      <c r="A38" s="23"/>
      <c r="B38" s="270" t="s">
        <v>406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6"/>
      <c r="Z38" s="25"/>
      <c r="AA38" s="24"/>
      <c r="AB38" s="26"/>
      <c r="AC38" s="25"/>
      <c r="AD38" s="27"/>
      <c r="AE38" s="28"/>
      <c r="AF38" s="28"/>
      <c r="AG38" s="297">
        <f>SUM(AG17:AG37)</f>
        <v>78375000</v>
      </c>
      <c r="AH38" s="29"/>
      <c r="AI38" s="29"/>
      <c r="AJ38" s="29"/>
      <c r="AK38" s="30"/>
      <c r="AL38" s="31"/>
      <c r="AM38" s="298">
        <f>+AG38+'2022 DUOC TB DIEN t5'!AG41+'2022 DUOC TB DIEN t1 '!AG96</f>
        <v>267120000</v>
      </c>
    </row>
    <row r="39" spans="1:40" s="6" customFormat="1" ht="16.5" customHeight="1">
      <c r="A39" s="262"/>
      <c r="D39" s="262"/>
      <c r="E39" s="262"/>
      <c r="F39" s="14"/>
      <c r="K39" s="262"/>
      <c r="X39" s="262"/>
      <c r="AA39" s="262"/>
      <c r="AB39" s="15"/>
      <c r="AH39" s="322" t="s">
        <v>423</v>
      </c>
      <c r="AI39" s="322"/>
      <c r="AJ39" s="322"/>
      <c r="AK39" s="322"/>
      <c r="AL39" s="322"/>
    </row>
    <row r="40" spans="1:40" s="6" customFormat="1" ht="16.5" customHeight="1">
      <c r="A40" s="262"/>
      <c r="B40" s="6" t="s">
        <v>95</v>
      </c>
      <c r="C40" s="322" t="s">
        <v>409</v>
      </c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AA40" s="322" t="s">
        <v>92</v>
      </c>
      <c r="AB40" s="322"/>
      <c r="AC40" s="322"/>
      <c r="AD40" s="322"/>
      <c r="AE40" s="322"/>
      <c r="AF40" s="322"/>
      <c r="AG40" s="322"/>
      <c r="AH40" s="322"/>
      <c r="AI40" s="322"/>
      <c r="AJ40" s="322" t="s">
        <v>86</v>
      </c>
      <c r="AK40" s="322"/>
      <c r="AL40" s="322"/>
    </row>
    <row r="41" spans="1:40" s="6" customFormat="1" ht="25.5" customHeight="1">
      <c r="A41" s="12" t="s">
        <v>96</v>
      </c>
      <c r="B41" s="6" t="s">
        <v>233</v>
      </c>
      <c r="C41" s="1"/>
      <c r="D41" s="262"/>
      <c r="E41" s="262"/>
      <c r="F41" s="14"/>
      <c r="K41" s="262"/>
      <c r="X41" s="262"/>
      <c r="AA41" s="262"/>
      <c r="AB41" s="15"/>
      <c r="AH41" s="262"/>
    </row>
    <row r="42" spans="1:40" s="6" customFormat="1" ht="25.5" customHeight="1">
      <c r="A42" s="12" t="s">
        <v>96</v>
      </c>
      <c r="B42" s="6" t="s">
        <v>234</v>
      </c>
      <c r="C42" s="1"/>
      <c r="D42" s="262"/>
      <c r="E42" s="262"/>
      <c r="F42" s="14"/>
      <c r="K42" s="262"/>
      <c r="X42" s="262"/>
      <c r="AA42" s="262"/>
      <c r="AB42" s="15"/>
      <c r="AH42" s="262"/>
    </row>
    <row r="43" spans="1:40" s="6" customFormat="1" ht="25.5" customHeight="1">
      <c r="A43" s="12" t="s">
        <v>96</v>
      </c>
      <c r="B43" s="6" t="s">
        <v>248</v>
      </c>
      <c r="C43" s="1"/>
      <c r="D43" s="262"/>
      <c r="E43" s="262"/>
      <c r="F43" s="14"/>
      <c r="K43" s="262"/>
      <c r="X43" s="262"/>
      <c r="AA43" s="262"/>
      <c r="AB43" s="15"/>
      <c r="AH43" s="262"/>
    </row>
    <row r="44" spans="1:40" s="6" customFormat="1" ht="25.5" customHeight="1">
      <c r="A44" s="12" t="s">
        <v>96</v>
      </c>
      <c r="B44" s="6" t="s">
        <v>404</v>
      </c>
      <c r="C44" s="322" t="s">
        <v>293</v>
      </c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AA44" s="322" t="s">
        <v>295</v>
      </c>
      <c r="AB44" s="322"/>
      <c r="AC44" s="322"/>
      <c r="AD44" s="322"/>
      <c r="AE44" s="322"/>
      <c r="AF44" s="322"/>
      <c r="AG44" s="322"/>
      <c r="AH44" s="322"/>
      <c r="AI44" s="322"/>
      <c r="AJ44" s="322" t="s">
        <v>245</v>
      </c>
      <c r="AK44" s="322"/>
      <c r="AL44" s="322"/>
    </row>
    <row r="45" spans="1:40" s="6" customFormat="1" ht="23.25" customHeight="1">
      <c r="A45" s="40" t="s">
        <v>96</v>
      </c>
      <c r="B45" s="6" t="s">
        <v>420</v>
      </c>
      <c r="C45" s="1"/>
      <c r="D45" s="262"/>
      <c r="E45" s="262"/>
      <c r="F45" s="14"/>
      <c r="K45" s="262"/>
      <c r="X45" s="262"/>
      <c r="AA45" s="16"/>
      <c r="AH45" s="262"/>
      <c r="AI45" s="262"/>
      <c r="AJ45" s="262"/>
      <c r="AK45" s="262"/>
    </row>
    <row r="46" spans="1:40" ht="16.5" customHeight="1"/>
    <row r="47" spans="1:40" ht="16.5" customHeight="1"/>
    <row r="48" spans="1:40" s="262" customFormat="1" ht="16.5" customHeight="1">
      <c r="B48" s="1"/>
      <c r="C48" s="1"/>
      <c r="D48" s="263"/>
      <c r="E48" s="263"/>
      <c r="F48" s="5"/>
      <c r="G48" s="1"/>
      <c r="H48" s="1"/>
      <c r="I48" s="1"/>
      <c r="J48" s="1"/>
      <c r="K48" s="26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63"/>
      <c r="Y48" s="1"/>
      <c r="Z48" s="1"/>
      <c r="AA48" s="17"/>
      <c r="AB48" s="1"/>
      <c r="AC48" s="1"/>
      <c r="AD48" s="1"/>
      <c r="AE48" s="1"/>
      <c r="AF48" s="1"/>
      <c r="AG48" s="1"/>
      <c r="AH48" s="263"/>
      <c r="AI48" s="1"/>
      <c r="AJ48" s="1"/>
      <c r="AK48" s="1"/>
      <c r="AL48" s="18"/>
      <c r="AM48" s="1"/>
      <c r="AN48" s="1"/>
    </row>
    <row r="49" spans="2:40" s="262" customFormat="1" ht="16.5" customHeight="1">
      <c r="B49" s="1"/>
      <c r="C49" s="1"/>
      <c r="D49" s="263"/>
      <c r="E49" s="263"/>
      <c r="F49" s="5"/>
      <c r="G49" s="1"/>
      <c r="H49" s="1"/>
      <c r="I49" s="1"/>
      <c r="J49" s="1"/>
      <c r="K49" s="26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63"/>
      <c r="Y49" s="1"/>
      <c r="Z49" s="1"/>
      <c r="AA49" s="17"/>
      <c r="AB49" s="1"/>
      <c r="AC49" s="1"/>
      <c r="AD49" s="1"/>
      <c r="AE49" s="1"/>
      <c r="AF49" s="1"/>
      <c r="AG49" s="1"/>
      <c r="AH49" s="263"/>
      <c r="AI49" s="1"/>
      <c r="AJ49" s="1"/>
      <c r="AK49" s="1"/>
      <c r="AL49" s="18"/>
      <c r="AM49" s="1"/>
      <c r="AN49" s="1"/>
    </row>
    <row r="50" spans="2:40" s="262" customFormat="1" ht="16.5" customHeight="1">
      <c r="B50" s="1"/>
      <c r="C50" s="1"/>
      <c r="D50" s="263"/>
      <c r="E50" s="263"/>
      <c r="F50" s="5"/>
      <c r="G50" s="1"/>
      <c r="H50" s="1"/>
      <c r="I50" s="1"/>
      <c r="J50" s="1"/>
      <c r="K50" s="26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63"/>
      <c r="Y50" s="1"/>
      <c r="Z50" s="1"/>
      <c r="AA50" s="17"/>
      <c r="AB50" s="1"/>
      <c r="AC50" s="1"/>
      <c r="AD50" s="1"/>
      <c r="AE50" s="1"/>
      <c r="AF50" s="1"/>
      <c r="AG50" s="1"/>
      <c r="AH50" s="263"/>
      <c r="AI50" s="1"/>
      <c r="AJ50" s="1"/>
      <c r="AK50" s="1"/>
      <c r="AL50" s="18"/>
      <c r="AM50" s="1"/>
      <c r="AN50" s="1"/>
    </row>
    <row r="51" spans="2:40" s="262" customFormat="1" ht="16.5" customHeight="1">
      <c r="B51" s="1"/>
      <c r="C51" s="1"/>
      <c r="D51" s="263"/>
      <c r="E51" s="263"/>
      <c r="F51" s="5"/>
      <c r="G51" s="1"/>
      <c r="H51" s="1"/>
      <c r="I51" s="1"/>
      <c r="J51" s="1"/>
      <c r="K51" s="26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63"/>
      <c r="Y51" s="1"/>
      <c r="Z51" s="1"/>
      <c r="AA51" s="17"/>
      <c r="AB51" s="1"/>
      <c r="AC51" s="1"/>
      <c r="AD51" s="1"/>
      <c r="AE51" s="1"/>
      <c r="AF51" s="1"/>
      <c r="AG51" s="1"/>
      <c r="AH51" s="263"/>
      <c r="AI51" s="1"/>
      <c r="AJ51" s="1"/>
      <c r="AK51" s="1"/>
      <c r="AL51" s="18"/>
      <c r="AM51" s="1"/>
      <c r="AN51" s="1"/>
    </row>
    <row r="52" spans="2:40" s="262" customFormat="1" ht="16.5" customHeight="1">
      <c r="B52" s="1"/>
      <c r="C52" s="1"/>
      <c r="D52" s="263"/>
      <c r="E52" s="263"/>
      <c r="F52" s="5"/>
      <c r="G52" s="1"/>
      <c r="H52" s="1"/>
      <c r="I52" s="1"/>
      <c r="J52" s="1"/>
      <c r="K52" s="26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63"/>
      <c r="Y52" s="1"/>
      <c r="Z52" s="1"/>
      <c r="AA52" s="17"/>
      <c r="AB52" s="1"/>
      <c r="AC52" s="1"/>
      <c r="AD52" s="1"/>
      <c r="AE52" s="1"/>
      <c r="AF52" s="1"/>
      <c r="AG52" s="1"/>
      <c r="AH52" s="263"/>
      <c r="AI52" s="1"/>
      <c r="AJ52" s="1"/>
      <c r="AK52" s="1"/>
      <c r="AL52" s="18"/>
      <c r="AM52" s="1"/>
      <c r="AN52" s="1"/>
    </row>
    <row r="53" spans="2:40" s="262" customFormat="1" ht="16.5" customHeight="1">
      <c r="B53" s="1"/>
      <c r="C53" s="1"/>
      <c r="D53" s="263"/>
      <c r="E53" s="263"/>
      <c r="F53" s="5"/>
      <c r="G53" s="1"/>
      <c r="H53" s="1"/>
      <c r="I53" s="1"/>
      <c r="J53" s="1"/>
      <c r="K53" s="26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63"/>
      <c r="Y53" s="1"/>
      <c r="Z53" s="1"/>
      <c r="AA53" s="17"/>
      <c r="AB53" s="1"/>
      <c r="AC53" s="1"/>
      <c r="AD53" s="1"/>
      <c r="AE53" s="1"/>
      <c r="AF53" s="1"/>
      <c r="AG53" s="1"/>
      <c r="AH53" s="263"/>
      <c r="AI53" s="1"/>
      <c r="AJ53" s="1"/>
      <c r="AK53" s="1"/>
      <c r="AL53" s="18"/>
      <c r="AM53" s="1"/>
      <c r="AN53" s="1"/>
    </row>
    <row r="54" spans="2:40" s="262" customFormat="1" ht="16.5" customHeight="1">
      <c r="B54" s="1"/>
      <c r="C54" s="1"/>
      <c r="D54" s="263"/>
      <c r="E54" s="263"/>
      <c r="F54" s="5"/>
      <c r="G54" s="1"/>
      <c r="H54" s="1"/>
      <c r="I54" s="1"/>
      <c r="J54" s="1"/>
      <c r="K54" s="26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63"/>
      <c r="Y54" s="1"/>
      <c r="Z54" s="1"/>
      <c r="AA54" s="17"/>
      <c r="AB54" s="1"/>
      <c r="AC54" s="1"/>
      <c r="AD54" s="1"/>
      <c r="AE54" s="1"/>
      <c r="AF54" s="1"/>
      <c r="AG54" s="1"/>
      <c r="AH54" s="263"/>
      <c r="AI54" s="1"/>
      <c r="AJ54" s="1"/>
      <c r="AK54" s="1"/>
      <c r="AL54" s="18"/>
      <c r="AM54" s="1"/>
      <c r="AN54" s="1"/>
    </row>
    <row r="55" spans="2:40" s="262" customFormat="1" ht="16.5" customHeight="1">
      <c r="B55" s="1"/>
      <c r="C55" s="1"/>
      <c r="D55" s="263"/>
      <c r="E55" s="263"/>
      <c r="F55" s="5"/>
      <c r="G55" s="1"/>
      <c r="H55" s="1"/>
      <c r="I55" s="1"/>
      <c r="J55" s="1"/>
      <c r="K55" s="26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63"/>
      <c r="Y55" s="1"/>
      <c r="Z55" s="1"/>
      <c r="AA55" s="17"/>
      <c r="AB55" s="1"/>
      <c r="AC55" s="1"/>
      <c r="AD55" s="1"/>
      <c r="AE55" s="1"/>
      <c r="AF55" s="1"/>
      <c r="AG55" s="1"/>
      <c r="AH55" s="263"/>
      <c r="AI55" s="1"/>
      <c r="AJ55" s="1"/>
      <c r="AK55" s="1"/>
      <c r="AL55" s="18"/>
      <c r="AM55" s="1"/>
      <c r="AN55" s="1"/>
    </row>
    <row r="56" spans="2:40" s="262" customFormat="1" ht="16.5" customHeight="1">
      <c r="B56" s="1"/>
      <c r="C56" s="1"/>
      <c r="D56" s="263"/>
      <c r="E56" s="263"/>
      <c r="F56" s="5"/>
      <c r="G56" s="1"/>
      <c r="H56" s="1"/>
      <c r="I56" s="1"/>
      <c r="J56" s="1"/>
      <c r="K56" s="26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63"/>
      <c r="Y56" s="1"/>
      <c r="Z56" s="1"/>
      <c r="AA56" s="17"/>
      <c r="AB56" s="1"/>
      <c r="AC56" s="1"/>
      <c r="AD56" s="1"/>
      <c r="AE56" s="1"/>
      <c r="AF56" s="1"/>
      <c r="AG56" s="1"/>
      <c r="AH56" s="263"/>
      <c r="AI56" s="1"/>
      <c r="AJ56" s="1"/>
      <c r="AK56" s="1"/>
      <c r="AL56" s="18"/>
      <c r="AM56" s="1"/>
      <c r="AN56" s="1"/>
    </row>
    <row r="57" spans="2:40" s="262" customFormat="1" ht="16.5" customHeight="1">
      <c r="B57" s="1"/>
      <c r="C57" s="1"/>
      <c r="D57" s="263"/>
      <c r="E57" s="263"/>
      <c r="F57" s="5"/>
      <c r="G57" s="1"/>
      <c r="H57" s="1"/>
      <c r="I57" s="1"/>
      <c r="J57" s="1"/>
      <c r="K57" s="26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63"/>
      <c r="Y57" s="1"/>
      <c r="Z57" s="1"/>
      <c r="AA57" s="17"/>
      <c r="AB57" s="1"/>
      <c r="AC57" s="1"/>
      <c r="AD57" s="1"/>
      <c r="AE57" s="1"/>
      <c r="AF57" s="1"/>
      <c r="AG57" s="1"/>
      <c r="AH57" s="263"/>
      <c r="AI57" s="1"/>
      <c r="AJ57" s="1"/>
      <c r="AK57" s="1"/>
      <c r="AL57" s="18"/>
      <c r="AM57" s="1"/>
      <c r="AN57" s="1"/>
    </row>
    <row r="58" spans="2:40" s="262" customFormat="1" ht="16.5" customHeight="1">
      <c r="B58" s="1"/>
      <c r="C58" s="1"/>
      <c r="D58" s="263"/>
      <c r="E58" s="263"/>
      <c r="F58" s="5"/>
      <c r="G58" s="1"/>
      <c r="H58" s="1"/>
      <c r="I58" s="1"/>
      <c r="J58" s="1"/>
      <c r="K58" s="26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63"/>
      <c r="Y58" s="1"/>
      <c r="Z58" s="1"/>
      <c r="AA58" s="17"/>
      <c r="AB58" s="1"/>
      <c r="AC58" s="1"/>
      <c r="AD58" s="1"/>
      <c r="AE58" s="1"/>
      <c r="AF58" s="1"/>
      <c r="AG58" s="1"/>
      <c r="AH58" s="263"/>
      <c r="AI58" s="1"/>
      <c r="AJ58" s="1"/>
      <c r="AK58" s="1"/>
      <c r="AL58" s="18"/>
      <c r="AM58" s="1"/>
      <c r="AN58" s="1"/>
    </row>
    <row r="59" spans="2:40" s="262" customFormat="1" ht="16.5" customHeight="1">
      <c r="B59" s="1"/>
      <c r="C59" s="1"/>
      <c r="D59" s="263"/>
      <c r="E59" s="263"/>
      <c r="F59" s="5"/>
      <c r="G59" s="1"/>
      <c r="H59" s="1"/>
      <c r="I59" s="1"/>
      <c r="J59" s="1"/>
      <c r="K59" s="26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63"/>
      <c r="Y59" s="1"/>
      <c r="Z59" s="1"/>
      <c r="AA59" s="17"/>
      <c r="AB59" s="1"/>
      <c r="AC59" s="1"/>
      <c r="AD59" s="1"/>
      <c r="AE59" s="1"/>
      <c r="AF59" s="1"/>
      <c r="AG59" s="1"/>
      <c r="AH59" s="263"/>
      <c r="AI59" s="1"/>
      <c r="AJ59" s="1"/>
      <c r="AK59" s="1"/>
      <c r="AL59" s="18"/>
      <c r="AM59" s="1"/>
      <c r="AN59" s="1"/>
    </row>
    <row r="60" spans="2:40" s="262" customFormat="1" ht="16.5" customHeight="1">
      <c r="B60" s="1"/>
      <c r="C60" s="1"/>
      <c r="D60" s="263"/>
      <c r="E60" s="263"/>
      <c r="F60" s="5"/>
      <c r="G60" s="1"/>
      <c r="H60" s="1"/>
      <c r="I60" s="1"/>
      <c r="J60" s="1"/>
      <c r="K60" s="26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63"/>
      <c r="Y60" s="1"/>
      <c r="Z60" s="1"/>
      <c r="AA60" s="17"/>
      <c r="AB60" s="1"/>
      <c r="AC60" s="1"/>
      <c r="AD60" s="1"/>
      <c r="AE60" s="1"/>
      <c r="AF60" s="1"/>
      <c r="AG60" s="1"/>
      <c r="AH60" s="263"/>
      <c r="AI60" s="1"/>
      <c r="AJ60" s="1"/>
      <c r="AK60" s="1"/>
      <c r="AL60" s="18"/>
      <c r="AM60" s="1"/>
      <c r="AN60" s="1"/>
    </row>
    <row r="61" spans="2:40" s="262" customFormat="1" ht="16.5" customHeight="1">
      <c r="B61" s="1"/>
      <c r="C61" s="1"/>
      <c r="D61" s="263"/>
      <c r="E61" s="263"/>
      <c r="F61" s="5"/>
      <c r="G61" s="1"/>
      <c r="H61" s="1"/>
      <c r="I61" s="1"/>
      <c r="J61" s="1"/>
      <c r="K61" s="26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63"/>
      <c r="Y61" s="1"/>
      <c r="Z61" s="1"/>
      <c r="AA61" s="17"/>
      <c r="AB61" s="1"/>
      <c r="AC61" s="1"/>
      <c r="AD61" s="1"/>
      <c r="AE61" s="1"/>
      <c r="AF61" s="1"/>
      <c r="AG61" s="1"/>
      <c r="AH61" s="263"/>
      <c r="AI61" s="1"/>
      <c r="AJ61" s="1"/>
      <c r="AK61" s="1"/>
      <c r="AL61" s="18"/>
      <c r="AM61" s="1"/>
      <c r="AN61" s="1"/>
    </row>
    <row r="62" spans="2:40" s="262" customFormat="1" ht="16.5" customHeight="1">
      <c r="B62" s="1"/>
      <c r="C62" s="1"/>
      <c r="D62" s="263"/>
      <c r="E62" s="263"/>
      <c r="F62" s="5"/>
      <c r="G62" s="1"/>
      <c r="H62" s="1"/>
      <c r="I62" s="1"/>
      <c r="J62" s="1"/>
      <c r="K62" s="26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63"/>
      <c r="Y62" s="1"/>
      <c r="Z62" s="1"/>
      <c r="AA62" s="17"/>
      <c r="AB62" s="1"/>
      <c r="AC62" s="1"/>
      <c r="AD62" s="1"/>
      <c r="AE62" s="1"/>
      <c r="AF62" s="1"/>
      <c r="AG62" s="1"/>
      <c r="AH62" s="263"/>
      <c r="AI62" s="1"/>
      <c r="AJ62" s="1"/>
      <c r="AK62" s="1"/>
      <c r="AL62" s="18"/>
      <c r="AM62" s="1"/>
      <c r="AN62" s="1"/>
    </row>
    <row r="63" spans="2:40" s="262" customFormat="1" ht="16.5" customHeight="1">
      <c r="B63" s="1"/>
      <c r="C63" s="1"/>
      <c r="D63" s="263"/>
      <c r="E63" s="263"/>
      <c r="F63" s="5"/>
      <c r="G63" s="1"/>
      <c r="H63" s="1"/>
      <c r="I63" s="1"/>
      <c r="J63" s="1"/>
      <c r="K63" s="26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63"/>
      <c r="Y63" s="1"/>
      <c r="Z63" s="1"/>
      <c r="AA63" s="17"/>
      <c r="AB63" s="1"/>
      <c r="AC63" s="1"/>
      <c r="AD63" s="1"/>
      <c r="AE63" s="1"/>
      <c r="AF63" s="1"/>
      <c r="AG63" s="1"/>
      <c r="AH63" s="263"/>
      <c r="AI63" s="1"/>
      <c r="AJ63" s="1"/>
      <c r="AK63" s="1"/>
      <c r="AL63" s="18"/>
      <c r="AM63" s="1"/>
      <c r="AN63" s="1"/>
    </row>
    <row r="64" spans="2:40" s="262" customFormat="1" ht="16.5" customHeight="1">
      <c r="B64" s="1"/>
      <c r="C64" s="1"/>
      <c r="D64" s="263"/>
      <c r="E64" s="263"/>
      <c r="F64" s="5"/>
      <c r="G64" s="1"/>
      <c r="H64" s="1"/>
      <c r="I64" s="1"/>
      <c r="J64" s="1"/>
      <c r="K64" s="26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63"/>
      <c r="Y64" s="1"/>
      <c r="Z64" s="1"/>
      <c r="AA64" s="17"/>
      <c r="AB64" s="1"/>
      <c r="AC64" s="1"/>
      <c r="AD64" s="1"/>
      <c r="AE64" s="1"/>
      <c r="AF64" s="1"/>
      <c r="AG64" s="1"/>
      <c r="AH64" s="263"/>
      <c r="AI64" s="1"/>
      <c r="AJ64" s="1"/>
      <c r="AK64" s="1"/>
      <c r="AL64" s="18"/>
      <c r="AM64" s="1"/>
      <c r="AN64" s="1"/>
    </row>
    <row r="65" spans="2:40" s="262" customFormat="1" ht="16.5" customHeight="1">
      <c r="B65" s="1"/>
      <c r="C65" s="1"/>
      <c r="D65" s="263"/>
      <c r="E65" s="263"/>
      <c r="F65" s="5"/>
      <c r="G65" s="1"/>
      <c r="H65" s="1"/>
      <c r="I65" s="1"/>
      <c r="J65" s="1"/>
      <c r="K65" s="26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63"/>
      <c r="Y65" s="1"/>
      <c r="Z65" s="1"/>
      <c r="AA65" s="17"/>
      <c r="AB65" s="1"/>
      <c r="AC65" s="1"/>
      <c r="AD65" s="1"/>
      <c r="AE65" s="1"/>
      <c r="AF65" s="1"/>
      <c r="AG65" s="1"/>
      <c r="AH65" s="263"/>
      <c r="AI65" s="1"/>
      <c r="AJ65" s="1"/>
      <c r="AK65" s="1"/>
      <c r="AL65" s="18"/>
      <c r="AM65" s="1"/>
      <c r="AN65" s="1"/>
    </row>
    <row r="66" spans="2:40" s="262" customFormat="1" ht="16.5" customHeight="1">
      <c r="B66" s="1"/>
      <c r="C66" s="1"/>
      <c r="D66" s="263"/>
      <c r="E66" s="263"/>
      <c r="F66" s="5"/>
      <c r="G66" s="1"/>
      <c r="H66" s="1"/>
      <c r="I66" s="1"/>
      <c r="J66" s="1"/>
      <c r="K66" s="26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63"/>
      <c r="Y66" s="1"/>
      <c r="Z66" s="1"/>
      <c r="AA66" s="17"/>
      <c r="AB66" s="1"/>
      <c r="AC66" s="1"/>
      <c r="AD66" s="1"/>
      <c r="AE66" s="1"/>
      <c r="AF66" s="1"/>
      <c r="AG66" s="1"/>
      <c r="AH66" s="263"/>
      <c r="AI66" s="1"/>
      <c r="AJ66" s="1"/>
      <c r="AK66" s="1"/>
      <c r="AL66" s="18"/>
      <c r="AM66" s="1"/>
      <c r="AN66" s="1"/>
    </row>
    <row r="67" spans="2:40" s="262" customFormat="1" ht="16.5" customHeight="1">
      <c r="B67" s="1"/>
      <c r="C67" s="1"/>
      <c r="D67" s="263"/>
      <c r="E67" s="263"/>
      <c r="F67" s="5"/>
      <c r="G67" s="1"/>
      <c r="H67" s="1"/>
      <c r="I67" s="1"/>
      <c r="J67" s="1"/>
      <c r="K67" s="26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63"/>
      <c r="Y67" s="1"/>
      <c r="Z67" s="1"/>
      <c r="AA67" s="17"/>
      <c r="AB67" s="1"/>
      <c r="AC67" s="1"/>
      <c r="AD67" s="1"/>
      <c r="AE67" s="1"/>
      <c r="AF67" s="1"/>
      <c r="AG67" s="1"/>
      <c r="AH67" s="263"/>
      <c r="AI67" s="1"/>
      <c r="AJ67" s="1"/>
      <c r="AK67" s="1"/>
      <c r="AL67" s="18"/>
      <c r="AM67" s="1"/>
      <c r="AN67" s="1"/>
    </row>
    <row r="68" spans="2:40" s="262" customFormat="1" ht="16.5" customHeight="1">
      <c r="B68" s="1"/>
      <c r="C68" s="1"/>
      <c r="D68" s="263"/>
      <c r="E68" s="263"/>
      <c r="F68" s="5"/>
      <c r="G68" s="1"/>
      <c r="H68" s="1"/>
      <c r="I68" s="1"/>
      <c r="J68" s="1"/>
      <c r="K68" s="26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63"/>
      <c r="Y68" s="1"/>
      <c r="Z68" s="1"/>
      <c r="AA68" s="17"/>
      <c r="AB68" s="1"/>
      <c r="AC68" s="1"/>
      <c r="AD68" s="1"/>
      <c r="AE68" s="1"/>
      <c r="AF68" s="1"/>
      <c r="AG68" s="1"/>
      <c r="AH68" s="263"/>
      <c r="AI68" s="1"/>
      <c r="AJ68" s="1"/>
      <c r="AK68" s="1"/>
      <c r="AL68" s="18"/>
      <c r="AM68" s="1"/>
      <c r="AN68" s="1"/>
    </row>
    <row r="69" spans="2:40" s="262" customFormat="1" ht="16.5" customHeight="1">
      <c r="B69" s="1"/>
      <c r="C69" s="1"/>
      <c r="D69" s="263"/>
      <c r="E69" s="263"/>
      <c r="F69" s="5"/>
      <c r="G69" s="1"/>
      <c r="H69" s="1"/>
      <c r="I69" s="1"/>
      <c r="J69" s="1"/>
      <c r="K69" s="26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63"/>
      <c r="Y69" s="1"/>
      <c r="Z69" s="1"/>
      <c r="AA69" s="17"/>
      <c r="AB69" s="1"/>
      <c r="AC69" s="1"/>
      <c r="AD69" s="1"/>
      <c r="AE69" s="1"/>
      <c r="AF69" s="1"/>
      <c r="AG69" s="1"/>
      <c r="AH69" s="263"/>
      <c r="AI69" s="1"/>
      <c r="AJ69" s="1"/>
      <c r="AK69" s="1"/>
      <c r="AL69" s="18"/>
      <c r="AM69" s="1"/>
      <c r="AN69" s="1"/>
    </row>
    <row r="70" spans="2:40" s="262" customFormat="1" ht="16.5" customHeight="1">
      <c r="B70" s="1"/>
      <c r="C70" s="1"/>
      <c r="D70" s="263"/>
      <c r="E70" s="263"/>
      <c r="F70" s="5"/>
      <c r="G70" s="1"/>
      <c r="H70" s="1"/>
      <c r="I70" s="1"/>
      <c r="J70" s="1"/>
      <c r="K70" s="26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63"/>
      <c r="Y70" s="1"/>
      <c r="Z70" s="1"/>
      <c r="AA70" s="17"/>
      <c r="AB70" s="1"/>
      <c r="AC70" s="1"/>
      <c r="AD70" s="1"/>
      <c r="AE70" s="1"/>
      <c r="AF70" s="1"/>
      <c r="AG70" s="1"/>
      <c r="AH70" s="263"/>
      <c r="AI70" s="1"/>
      <c r="AJ70" s="1"/>
      <c r="AK70" s="1"/>
      <c r="AL70" s="18"/>
      <c r="AM70" s="1"/>
      <c r="AN70" s="1"/>
    </row>
    <row r="71" spans="2:40" s="262" customFormat="1" ht="16.5" customHeight="1">
      <c r="B71" s="1"/>
      <c r="C71" s="1"/>
      <c r="D71" s="263"/>
      <c r="E71" s="263"/>
      <c r="F71" s="5"/>
      <c r="G71" s="1"/>
      <c r="H71" s="1"/>
      <c r="I71" s="1"/>
      <c r="J71" s="1"/>
      <c r="K71" s="26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63"/>
      <c r="Y71" s="1"/>
      <c r="Z71" s="1"/>
      <c r="AA71" s="17"/>
      <c r="AB71" s="1"/>
      <c r="AC71" s="1"/>
      <c r="AD71" s="1"/>
      <c r="AE71" s="1"/>
      <c r="AF71" s="1"/>
      <c r="AG71" s="1"/>
      <c r="AH71" s="263"/>
      <c r="AI71" s="1"/>
      <c r="AJ71" s="1"/>
      <c r="AK71" s="1"/>
      <c r="AL71" s="18"/>
      <c r="AM71" s="1"/>
      <c r="AN71" s="1"/>
    </row>
    <row r="72" spans="2:40" s="262" customFormat="1" ht="16.5" customHeight="1">
      <c r="B72" s="1"/>
      <c r="C72" s="1"/>
      <c r="D72" s="263"/>
      <c r="E72" s="263"/>
      <c r="F72" s="5"/>
      <c r="G72" s="1"/>
      <c r="H72" s="1"/>
      <c r="I72" s="1"/>
      <c r="J72" s="1"/>
      <c r="K72" s="26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63"/>
      <c r="Y72" s="1"/>
      <c r="Z72" s="1"/>
      <c r="AA72" s="17"/>
      <c r="AB72" s="1"/>
      <c r="AC72" s="1"/>
      <c r="AD72" s="1"/>
      <c r="AE72" s="1"/>
      <c r="AF72" s="1"/>
      <c r="AG72" s="1"/>
      <c r="AH72" s="263"/>
      <c r="AI72" s="1"/>
      <c r="AJ72" s="1"/>
      <c r="AK72" s="1"/>
      <c r="AL72" s="18"/>
      <c r="AM72" s="1"/>
      <c r="AN72" s="1"/>
    </row>
    <row r="73" spans="2:40" s="262" customFormat="1" ht="16.5" customHeight="1">
      <c r="B73" s="1"/>
      <c r="C73" s="1"/>
      <c r="D73" s="263"/>
      <c r="E73" s="263"/>
      <c r="F73" s="5"/>
      <c r="G73" s="1"/>
      <c r="H73" s="1"/>
      <c r="I73" s="1"/>
      <c r="J73" s="1"/>
      <c r="K73" s="26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63"/>
      <c r="Y73" s="1"/>
      <c r="Z73" s="1"/>
      <c r="AA73" s="17"/>
      <c r="AB73" s="1"/>
      <c r="AC73" s="1"/>
      <c r="AD73" s="1"/>
      <c r="AE73" s="1"/>
      <c r="AF73" s="1"/>
      <c r="AG73" s="1"/>
      <c r="AH73" s="263"/>
      <c r="AI73" s="1"/>
      <c r="AJ73" s="1"/>
      <c r="AK73" s="1"/>
      <c r="AL73" s="18"/>
      <c r="AM73" s="1"/>
      <c r="AN73" s="1"/>
    </row>
    <row r="74" spans="2:40" s="262" customFormat="1" ht="16.5" customHeight="1">
      <c r="B74" s="1"/>
      <c r="C74" s="1"/>
      <c r="D74" s="263"/>
      <c r="E74" s="263"/>
      <c r="F74" s="5"/>
      <c r="G74" s="1"/>
      <c r="H74" s="1"/>
      <c r="I74" s="1"/>
      <c r="J74" s="1"/>
      <c r="K74" s="26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63"/>
      <c r="Y74" s="1"/>
      <c r="Z74" s="1"/>
      <c r="AA74" s="17"/>
      <c r="AB74" s="1"/>
      <c r="AC74" s="1"/>
      <c r="AD74" s="1"/>
      <c r="AE74" s="1"/>
      <c r="AF74" s="1"/>
      <c r="AG74" s="1"/>
      <c r="AH74" s="263"/>
      <c r="AI74" s="1"/>
      <c r="AJ74" s="1"/>
      <c r="AK74" s="1"/>
      <c r="AL74" s="18"/>
      <c r="AM74" s="1"/>
      <c r="AN74" s="1"/>
    </row>
    <row r="75" spans="2:40" s="262" customFormat="1" ht="16.5" customHeight="1">
      <c r="B75" s="1"/>
      <c r="C75" s="1"/>
      <c r="D75" s="263"/>
      <c r="E75" s="263"/>
      <c r="F75" s="5"/>
      <c r="G75" s="1"/>
      <c r="H75" s="1"/>
      <c r="I75" s="1"/>
      <c r="J75" s="1"/>
      <c r="K75" s="26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63"/>
      <c r="Y75" s="1"/>
      <c r="Z75" s="1"/>
      <c r="AA75" s="17"/>
      <c r="AB75" s="1"/>
      <c r="AC75" s="1"/>
      <c r="AD75" s="1"/>
      <c r="AE75" s="1"/>
      <c r="AF75" s="1"/>
      <c r="AG75" s="1"/>
      <c r="AH75" s="263"/>
      <c r="AI75" s="1"/>
      <c r="AJ75" s="1"/>
      <c r="AK75" s="1"/>
      <c r="AL75" s="18"/>
      <c r="AM75" s="1"/>
      <c r="AN75" s="1"/>
    </row>
    <row r="76" spans="2:40" s="262" customFormat="1" ht="16.5" customHeight="1">
      <c r="B76" s="1"/>
      <c r="C76" s="1"/>
      <c r="D76" s="263"/>
      <c r="E76" s="263"/>
      <c r="F76" s="5"/>
      <c r="G76" s="1"/>
      <c r="H76" s="1"/>
      <c r="I76" s="1"/>
      <c r="J76" s="1"/>
      <c r="K76" s="26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63"/>
      <c r="Y76" s="1"/>
      <c r="Z76" s="1"/>
      <c r="AA76" s="17"/>
      <c r="AB76" s="1"/>
      <c r="AC76" s="1"/>
      <c r="AD76" s="1"/>
      <c r="AE76" s="1"/>
      <c r="AF76" s="1"/>
      <c r="AG76" s="1"/>
      <c r="AH76" s="263"/>
      <c r="AI76" s="1"/>
      <c r="AJ76" s="1"/>
      <c r="AK76" s="1"/>
      <c r="AL76" s="18"/>
      <c r="AM76" s="1"/>
      <c r="AN76" s="1"/>
    </row>
    <row r="77" spans="2:40" s="262" customFormat="1" ht="16.5" customHeight="1">
      <c r="B77" s="1"/>
      <c r="C77" s="1"/>
      <c r="D77" s="263"/>
      <c r="E77" s="263"/>
      <c r="F77" s="5"/>
      <c r="G77" s="1"/>
      <c r="H77" s="1"/>
      <c r="I77" s="1"/>
      <c r="J77" s="1"/>
      <c r="K77" s="26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63"/>
      <c r="Y77" s="1"/>
      <c r="Z77" s="1"/>
      <c r="AA77" s="17"/>
      <c r="AB77" s="1"/>
      <c r="AC77" s="1"/>
      <c r="AD77" s="1"/>
      <c r="AE77" s="1"/>
      <c r="AF77" s="1"/>
      <c r="AG77" s="1"/>
      <c r="AH77" s="263"/>
      <c r="AI77" s="1"/>
      <c r="AJ77" s="1"/>
      <c r="AK77" s="1"/>
      <c r="AL77" s="18"/>
      <c r="AM77" s="1"/>
      <c r="AN77" s="1"/>
    </row>
    <row r="78" spans="2:40" s="262" customFormat="1" ht="16.5" customHeight="1">
      <c r="B78" s="1"/>
      <c r="C78" s="1"/>
      <c r="D78" s="263"/>
      <c r="E78" s="263"/>
      <c r="F78" s="5"/>
      <c r="G78" s="1"/>
      <c r="H78" s="1"/>
      <c r="I78" s="1"/>
      <c r="J78" s="1"/>
      <c r="K78" s="26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63"/>
      <c r="Y78" s="1"/>
      <c r="Z78" s="1"/>
      <c r="AA78" s="17"/>
      <c r="AB78" s="1"/>
      <c r="AC78" s="1"/>
      <c r="AD78" s="1"/>
      <c r="AE78" s="1"/>
      <c r="AF78" s="1"/>
      <c r="AG78" s="1"/>
      <c r="AH78" s="263"/>
      <c r="AI78" s="1"/>
      <c r="AJ78" s="1"/>
      <c r="AK78" s="1"/>
      <c r="AL78" s="18"/>
      <c r="AM78" s="1"/>
      <c r="AN78" s="1"/>
    </row>
    <row r="79" spans="2:40" s="262" customFormat="1" ht="16.5" customHeight="1">
      <c r="B79" s="1"/>
      <c r="C79" s="1"/>
      <c r="D79" s="263"/>
      <c r="E79" s="263"/>
      <c r="F79" s="5"/>
      <c r="G79" s="1"/>
      <c r="H79" s="1"/>
      <c r="I79" s="1"/>
      <c r="J79" s="1"/>
      <c r="K79" s="26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63"/>
      <c r="Y79" s="1"/>
      <c r="Z79" s="1"/>
      <c r="AA79" s="17"/>
      <c r="AB79" s="1"/>
      <c r="AC79" s="1"/>
      <c r="AD79" s="1"/>
      <c r="AE79" s="1"/>
      <c r="AF79" s="1"/>
      <c r="AG79" s="1"/>
      <c r="AH79" s="263"/>
      <c r="AI79" s="1"/>
      <c r="AJ79" s="1"/>
      <c r="AK79" s="1"/>
      <c r="AL79" s="18"/>
      <c r="AM79" s="1"/>
      <c r="AN79" s="1"/>
    </row>
    <row r="80" spans="2:40" s="262" customFormat="1" ht="16.5" customHeight="1">
      <c r="B80" s="1"/>
      <c r="C80" s="1"/>
      <c r="D80" s="263"/>
      <c r="E80" s="263"/>
      <c r="F80" s="5"/>
      <c r="G80" s="1"/>
      <c r="H80" s="1"/>
      <c r="I80" s="1"/>
      <c r="J80" s="1"/>
      <c r="K80" s="26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63"/>
      <c r="Y80" s="1"/>
      <c r="Z80" s="1"/>
      <c r="AA80" s="17"/>
      <c r="AB80" s="1"/>
      <c r="AC80" s="1"/>
      <c r="AD80" s="1"/>
      <c r="AE80" s="1"/>
      <c r="AF80" s="1"/>
      <c r="AG80" s="1"/>
      <c r="AH80" s="263"/>
      <c r="AI80" s="1"/>
      <c r="AJ80" s="1"/>
      <c r="AK80" s="1"/>
      <c r="AL80" s="18"/>
      <c r="AM80" s="1"/>
      <c r="AN80" s="1"/>
    </row>
    <row r="81" spans="2:40" s="262" customFormat="1" ht="16.5" customHeight="1">
      <c r="B81" s="1"/>
      <c r="C81" s="1"/>
      <c r="D81" s="263"/>
      <c r="E81" s="263"/>
      <c r="F81" s="5"/>
      <c r="G81" s="1"/>
      <c r="H81" s="1"/>
      <c r="I81" s="1"/>
      <c r="J81" s="1"/>
      <c r="K81" s="26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63"/>
      <c r="Y81" s="1"/>
      <c r="Z81" s="1"/>
      <c r="AA81" s="17"/>
      <c r="AB81" s="1"/>
      <c r="AC81" s="1"/>
      <c r="AD81" s="1"/>
      <c r="AE81" s="1"/>
      <c r="AF81" s="1"/>
      <c r="AG81" s="1"/>
      <c r="AH81" s="263"/>
      <c r="AI81" s="1"/>
      <c r="AJ81" s="1"/>
      <c r="AK81" s="1"/>
      <c r="AL81" s="18"/>
      <c r="AM81" s="1"/>
      <c r="AN81" s="1"/>
    </row>
    <row r="82" spans="2:40" s="262" customFormat="1" ht="16.5" customHeight="1">
      <c r="B82" s="1"/>
      <c r="C82" s="1"/>
      <c r="D82" s="263"/>
      <c r="E82" s="263"/>
      <c r="F82" s="5"/>
      <c r="G82" s="1"/>
      <c r="H82" s="1"/>
      <c r="I82" s="1"/>
      <c r="J82" s="1"/>
      <c r="K82" s="26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63"/>
      <c r="Y82" s="1"/>
      <c r="Z82" s="1"/>
      <c r="AA82" s="17"/>
      <c r="AB82" s="1"/>
      <c r="AC82" s="1"/>
      <c r="AD82" s="1"/>
      <c r="AE82" s="1"/>
      <c r="AF82" s="1"/>
      <c r="AG82" s="1"/>
      <c r="AH82" s="263"/>
      <c r="AI82" s="1"/>
      <c r="AJ82" s="1"/>
      <c r="AK82" s="1"/>
      <c r="AL82" s="18"/>
      <c r="AM82" s="1"/>
      <c r="AN82" s="1"/>
    </row>
    <row r="83" spans="2:40" s="262" customFormat="1" ht="16.5" customHeight="1">
      <c r="B83" s="1"/>
      <c r="C83" s="1"/>
      <c r="D83" s="263"/>
      <c r="E83" s="263"/>
      <c r="F83" s="5"/>
      <c r="G83" s="1"/>
      <c r="H83" s="1"/>
      <c r="I83" s="1"/>
      <c r="J83" s="1"/>
      <c r="K83" s="26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63"/>
      <c r="Y83" s="1"/>
      <c r="Z83" s="1"/>
      <c r="AA83" s="17"/>
      <c r="AB83" s="1"/>
      <c r="AC83" s="1"/>
      <c r="AD83" s="1"/>
      <c r="AE83" s="1"/>
      <c r="AF83" s="1"/>
      <c r="AG83" s="1"/>
      <c r="AH83" s="263"/>
      <c r="AI83" s="1"/>
      <c r="AJ83" s="1"/>
      <c r="AK83" s="1"/>
      <c r="AL83" s="18"/>
      <c r="AM83" s="1"/>
      <c r="AN83" s="1"/>
    </row>
    <row r="84" spans="2:40" s="262" customFormat="1" ht="16.5" customHeight="1">
      <c r="B84" s="1"/>
      <c r="C84" s="1"/>
      <c r="D84" s="263"/>
      <c r="E84" s="263"/>
      <c r="F84" s="5"/>
      <c r="G84" s="1"/>
      <c r="H84" s="1"/>
      <c r="I84" s="1"/>
      <c r="J84" s="1"/>
      <c r="K84" s="26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63"/>
      <c r="Y84" s="1"/>
      <c r="Z84" s="1"/>
      <c r="AA84" s="17"/>
      <c r="AB84" s="1"/>
      <c r="AC84" s="1"/>
      <c r="AD84" s="1"/>
      <c r="AE84" s="1"/>
      <c r="AF84" s="1"/>
      <c r="AG84" s="1"/>
      <c r="AH84" s="263"/>
      <c r="AI84" s="1"/>
      <c r="AJ84" s="1"/>
      <c r="AK84" s="1"/>
      <c r="AL84" s="18"/>
      <c r="AM84" s="1"/>
      <c r="AN84" s="1"/>
    </row>
  </sheetData>
  <autoFilter ref="A16:AN45" xr:uid="{CA1FC3A4-03AF-4D96-8D68-BC86DBEAACA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33">
    <mergeCell ref="B19:AH19"/>
    <mergeCell ref="B29:AK29"/>
    <mergeCell ref="AH39:AL39"/>
    <mergeCell ref="AA40:AI40"/>
    <mergeCell ref="AJ40:AL40"/>
    <mergeCell ref="AL16:AL17"/>
    <mergeCell ref="X16:Z16"/>
    <mergeCell ref="AH16:AH17"/>
    <mergeCell ref="AI16:AI17"/>
    <mergeCell ref="Z1:AL1"/>
    <mergeCell ref="Z2:AL2"/>
    <mergeCell ref="A3:AL3"/>
    <mergeCell ref="Z4:AL4"/>
    <mergeCell ref="A5:AL5"/>
    <mergeCell ref="C12:X12"/>
    <mergeCell ref="AF16:AF17"/>
    <mergeCell ref="AG16:AG17"/>
    <mergeCell ref="C44:X44"/>
    <mergeCell ref="C40:X40"/>
    <mergeCell ref="AA44:AI44"/>
    <mergeCell ref="AJ44:AL44"/>
    <mergeCell ref="A6:AL6"/>
    <mergeCell ref="A16:A17"/>
    <mergeCell ref="B16:B17"/>
    <mergeCell ref="C16:C17"/>
    <mergeCell ref="D16:D17"/>
    <mergeCell ref="E16:P16"/>
    <mergeCell ref="G17:I17"/>
    <mergeCell ref="AA16:AC16"/>
    <mergeCell ref="AD16:AD17"/>
    <mergeCell ref="AE16:AE17"/>
    <mergeCell ref="AJ16:AJ17"/>
    <mergeCell ref="AK16:AK17"/>
  </mergeCells>
  <printOptions horizontalCentered="1"/>
  <pageMargins left="0" right="0" top="0.36811023599999998" bottom="0.47244094488188998" header="0.196850393700787" footer="0"/>
  <pageSetup paperSize="9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2022 DUOC TBVP</vt:lpstr>
      <vt:lpstr>2022 DUOC TB DIEN t1 </vt:lpstr>
      <vt:lpstr>2022 DUOC TB DIEN t5</vt:lpstr>
      <vt:lpstr>2022 DUOC TB DIEN t6</vt:lpstr>
      <vt:lpstr>'2022 DUOC TBVP'!Print_Area</vt:lpstr>
      <vt:lpstr>'2022 DUOC TB DIEN t1 '!Print_Titles</vt:lpstr>
      <vt:lpstr>'2022 DUOC TB DIEN t5'!Print_Titles</vt:lpstr>
      <vt:lpstr>'2022 DUOC TB DIEN t6'!Print_Titles</vt:lpstr>
      <vt:lpstr>'2022 DUOC TBVP'!Print_Titles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2026-05-06T03:09:35Z</cp:lastPrinted>
  <dcterms:created xsi:type="dcterms:W3CDTF">2019-01-08T07:18:38Z</dcterms:created>
  <dcterms:modified xsi:type="dcterms:W3CDTF">2026-06-17T02:04:35Z</dcterms:modified>
</cp:coreProperties>
</file>