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8FAD18A1-99F5-41A3-8CAA-863546C610EE}" xr6:coauthVersionLast="36" xr6:coauthVersionMax="47" xr10:uidLastSave="{00000000-0000-0000-0000-000000000000}"/>
  <bookViews>
    <workbookView xWindow="-120" yWindow="-120" windowWidth="19800" windowHeight="11760" firstSheet="1" activeTab="2" xr2:uid="{00000000-000D-0000-FFFF-FFFF00000000}"/>
  </bookViews>
  <sheets>
    <sheet name="Kangatang" sheetId="28" state="veryHidden" r:id="rId1"/>
    <sheet name="1.Dinh dương 2022 (TB VP)" sheetId="27" r:id="rId2"/>
    <sheet name="2.Dinh duong 2022 (TB Điện)" sheetId="30" r:id="rId3"/>
    <sheet name="Sheet1" sheetId="26" r:id="rId4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'1.Dinh dương 2022 (TB VP)'!$B$17:$AM$34</definedName>
    <definedName name="_xlnm._FilterDatabase" localSheetId="2" hidden="1">'2.Dinh duong 2022 (TB Điện)'!$B$17:$AM$30</definedName>
    <definedName name="_xlnm.Print_Titles" localSheetId="1">'1.Dinh dương 2022 (TB VP)'!$17:$21</definedName>
    <definedName name="_xlnm.Print_Titles" localSheetId="2">'2.Dinh duong 2022 (TB Điện)'!$17:$21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H31" i="30" l="1"/>
  <c r="AH29" i="30"/>
  <c r="AH26" i="27" l="1"/>
  <c r="AH27" i="27" l="1"/>
  <c r="AH24" i="27" l="1"/>
  <c r="AH55" i="27" s="1"/>
</calcChain>
</file>

<file path=xl/sharedStrings.xml><?xml version="1.0" encoding="utf-8"?>
<sst xmlns="http://schemas.openxmlformats.org/spreadsheetml/2006/main" count="553" uniqueCount="183">
  <si>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</si>
  <si>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</si>
  <si>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</si>
  <si>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</si>
  <si>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</si>
  <si>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</si>
  <si>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</si>
  <si>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</si>
  <si>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</si>
  <si>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</si>
  <si>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</si>
  <si>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</si>
  <si>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</si>
  <si>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</si>
  <si>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</si>
  <si>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</si>
  <si>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</si>
  <si>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</si>
  <si>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</si>
  <si>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</si>
  <si>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</si>
  <si>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</si>
  <si>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</si>
  <si>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</si>
  <si>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</si>
  <si>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</si>
  <si>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</si>
  <si>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</si>
  <si>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</si>
  <si>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</si>
  <si>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</si>
  <si>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</si>
  <si>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</si>
  <si>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</si>
  <si>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</si>
  <si>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</si>
  <si>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</si>
  <si>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</si>
  <si>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</si>
  <si>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</si>
  <si>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</si>
  <si>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</si>
  <si>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</si>
  <si>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</si>
  <si>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</si>
  <si>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</si>
  <si>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</si>
  <si>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tài sản mới chuyển đến</t>
  </si>
  <si>
    <t xml:space="preserve">Ghi chú
</t>
  </si>
  <si>
    <t>Ghế nệm xoay</t>
  </si>
  <si>
    <t>Tủ tài liệu gỗ ép nhiều ngăn</t>
  </si>
  <si>
    <t>Bàn làm việc Meca 1,4m</t>
  </si>
  <si>
    <t>Máy điều hòa 1 mảnh General</t>
  </si>
  <si>
    <t>Bàn tròn</t>
  </si>
  <si>
    <t>Ghế nệm có tựa</t>
  </si>
  <si>
    <t>Bộ tủ 3 màu</t>
  </si>
  <si>
    <t>Kệ đựng tờ rơi inox</t>
  </si>
  <si>
    <t>Ghế nhựa có tựa</t>
  </si>
  <si>
    <t>Tủ tường nhiều ngăn</t>
  </si>
  <si>
    <t>Quạt đứng Assia</t>
  </si>
  <si>
    <t>Ghế nhựa</t>
  </si>
  <si>
    <t>P. PGĐ (BS Quang)</t>
  </si>
  <si>
    <t>K. Dinh dưỡng</t>
  </si>
  <si>
    <t>P. Tư vấn</t>
  </si>
  <si>
    <t>đang SD</t>
  </si>
  <si>
    <t>Phòng 2 - KHTC TT CSSKSS</t>
  </si>
  <si>
    <t>P. BS Quang</t>
  </si>
  <si>
    <t>Không tốt</t>
  </si>
  <si>
    <t>HỎNG</t>
  </si>
  <si>
    <t>Ghế gỗ có tựa lưng</t>
  </si>
  <si>
    <t>- Hôm nay, ngày      tháng     năm 2019, tại Trung tâm Kiểm soát bệnh tât TP Đà Nẵng chúng tôi gồm:</t>
  </si>
  <si>
    <t>Giám đốc</t>
  </si>
  <si>
    <t>Chủ tịch hội đồng</t>
  </si>
  <si>
    <t>2. Ông. Nguyễn Thanh Huỳnh</t>
  </si>
  <si>
    <t>Trưởng phòng TC - KT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</si>
  <si>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</si>
  <si>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</si>
  <si>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</si>
  <si>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</si>
  <si>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</si>
  <si>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</si>
  <si>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Ngô Văn Quang</t>
  </si>
  <si>
    <t>4. Ông. Ngô Văn Quang</t>
  </si>
  <si>
    <t>Thành viên tổ kiểm kê</t>
  </si>
  <si>
    <t>-</t>
  </si>
  <si>
    <t>Nguyễn Thanh Huỳnh</t>
  </si>
  <si>
    <t>Trưởng khoa Dinh dưỡng</t>
  </si>
  <si>
    <t>Bàn tiếp khách chữ nhật</t>
  </si>
  <si>
    <t>Máy điều hòa 01 mảnh Nationnal</t>
  </si>
  <si>
    <t>Đề nghị thanh lý</t>
  </si>
  <si>
    <t>Hỏng 1 cái</t>
  </si>
  <si>
    <t>TÀI SẢN ĐÃ THANH LÝ THEO QUYẾT ĐỊNH 325/QĐ-TTKSBT NGÀY 14/6/2021</t>
  </si>
  <si>
    <t>Đèn led panel 45w vuông 0,6x0,6 m</t>
  </si>
  <si>
    <t>bộ</t>
  </si>
  <si>
    <t>Công tắc 3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</si>
  <si>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</si>
  <si>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</si>
  <si>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</si>
  <si>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</si>
  <si>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</si>
  <si>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Điều hòa cassette 4 hướng 36.000 Btu/h + remote</t>
  </si>
  <si>
    <t>Miệng gió 600x150 + OBD</t>
  </si>
  <si>
    <t>Đơn vị tính</t>
  </si>
  <si>
    <t>Phòng LV</t>
  </si>
  <si>
    <t>2022</t>
  </si>
  <si>
    <t>I</t>
  </si>
  <si>
    <t>II</t>
  </si>
  <si>
    <t>Bàn làm việc - BLV15-1
-Kích thước: (1.500x750x760)mm.
- Gỗ công nghiệp phủ melamine có hộc liền.</t>
  </si>
  <si>
    <t>Bàn làm việc - BLV1809-1
-Kích thước: (1.800x900x760)mm.
-Gỗ công nghiệp phun PU</t>
  </si>
  <si>
    <t>Ghế làm việc
-Kích thước: (550x530x865/990)mm.
- Khung nhựa, đệm tựa bọc vải tay nhựa.</t>
  </si>
  <si>
    <t>Tủ đựng dụng cụ
-Kích thước: (1.000x450x1.830)mm.
- Khung sắt sơn tĩnh điện khoang trên có 03 khoang, có 02 đợt di động. Khung cánh kính mở</t>
  </si>
  <si>
    <t>TDC 77,78</t>
  </si>
  <si>
    <t>06 PCT</t>
  </si>
  <si>
    <t>PKĐK T2</t>
  </si>
  <si>
    <t xml:space="preserve">TBVP KHOA DINH DƯỠNG </t>
  </si>
  <si>
    <t>PHÒNG LÀM VIỆC TẦNG 6</t>
  </si>
  <si>
    <t>THIẾT BỊ ĐIỆN KHOA DINH DƯỠNG</t>
  </si>
  <si>
    <t>Tiếp nhận năm 2022</t>
  </si>
  <si>
    <t>Trần Liên………………………………</t>
  </si>
  <si>
    <t>Lưu Thị Mận………………………….</t>
  </si>
  <si>
    <t>Trần Quốc Việt……………………….</t>
  </si>
  <si>
    <t>Đặng Thị Tuyến………………………</t>
  </si>
  <si>
    <t>TÀI SẢN ĐẶT TẠI PKĐK TẦNG 2</t>
  </si>
  <si>
    <t>1. Ông. Nguyễn Đại Vĩnh</t>
  </si>
  <si>
    <t>Đặt tại Phòng theo dõi sau tiêm - Tầng 1</t>
  </si>
  <si>
    <t>Nguyễn Đại Vĩnh</t>
  </si>
  <si>
    <t>Phòng làm việc  - (T6.2)</t>
  </si>
  <si>
    <t>BIÊN BẢN KIỂM KÊ TÀI SẢN CỐ ĐỊNH NĂM 2025</t>
  </si>
  <si>
    <t>- Hôm nay, ngày 06  tháng 6  năm 2025, tại Trung tâm Kiểm soát bệnh tật, chúng tôi gồm:</t>
  </si>
  <si>
    <t>Lê Thị Bích Trâm………………………</t>
  </si>
  <si>
    <t>Đà Nẵng, ngày  06  tháng   6    năm 2025</t>
  </si>
  <si>
    <t>+1</t>
  </si>
  <si>
    <t>BLV 143-148, 106</t>
  </si>
  <si>
    <t>BLV 106 Khoa Dược tầng 1 chuyển lên</t>
  </si>
  <si>
    <t>-1</t>
  </si>
  <si>
    <t>GLV 235-241, 158</t>
  </si>
  <si>
    <t>GLV 158 Khoa Dược tầng 1 chuyển lên</t>
  </si>
  <si>
    <t>BLV1809/20</t>
  </si>
  <si>
    <t>BLV1809/21 chuyển Khoa dược Tầng 5</t>
  </si>
  <si>
    <t>CƠ SỞ 1</t>
  </si>
  <si>
    <t>CƠ SỞ 2</t>
  </si>
  <si>
    <t>Bàn làm việc 2016: HP1200SHL</t>
  </si>
  <si>
    <t>161-HIV/17</t>
  </si>
  <si>
    <t>162-HIV/17</t>
  </si>
  <si>
    <t>163-HIV/17</t>
  </si>
  <si>
    <t>164-HIV/17</t>
  </si>
  <si>
    <t>165-HIV/17</t>
  </si>
  <si>
    <t>Tủ đựng file 2016: MSP : GS3.Việt Nam</t>
  </si>
  <si>
    <t>167-HIV/17</t>
  </si>
  <si>
    <t>Tủ tài liệu 2016: TU09K3G</t>
  </si>
  <si>
    <t>168-HIV/17</t>
  </si>
  <si>
    <t>169-HIV/17</t>
  </si>
  <si>
    <t>Ghế gấp phòng họp GM (Xuân Hòa 083)</t>
  </si>
  <si>
    <t>46-HIV/15</t>
  </si>
  <si>
    <t>47-HIV/15</t>
  </si>
  <si>
    <t>48-HIV/15</t>
  </si>
  <si>
    <t>Ghế xếp Inox da (màu đà)</t>
  </si>
  <si>
    <t>1/YTDP</t>
  </si>
  <si>
    <t>Quạt đứng ASIA</t>
  </si>
  <si>
    <t>2/YTDP</t>
  </si>
  <si>
    <t>hỏng</t>
  </si>
  <si>
    <t>CS2</t>
  </si>
  <si>
    <t>15 THĐ</t>
  </si>
  <si>
    <t>Đơn giá</t>
  </si>
  <si>
    <t>Thành tiền</t>
  </si>
  <si>
    <t>Bàn làm việc gỗ ép</t>
  </si>
  <si>
    <t>4/YTDP</t>
  </si>
  <si>
    <t>0</t>
  </si>
  <si>
    <t>2/PSSKK</t>
  </si>
  <si>
    <t>Quạt đứng Asia</t>
  </si>
  <si>
    <t>26/DD/2021</t>
  </si>
  <si>
    <t>Bàn làm việc gỗ (0,60 x 12,0)m</t>
  </si>
  <si>
    <t>03/CDC/2024</t>
  </si>
  <si>
    <t>Đà Nẵng, ngày   tháng  01 năm 2026</t>
  </si>
  <si>
    <t>Hồ Phú Quảng</t>
  </si>
  <si>
    <t>Nguyễn Thị Hà Vy………………………</t>
  </si>
  <si>
    <t>- Hôm nay, ngày      tháng  01  năm 2026, tại Trung tâm Kiểm soát bệnh tật, chúng tôi gồm:</t>
  </si>
  <si>
    <t>2. Ông. Hồ Phú Quảng</t>
  </si>
  <si>
    <t>4. Ông.</t>
  </si>
  <si>
    <t>Chuyển ra CS1 - P.KHNV</t>
  </si>
  <si>
    <t>Cơ sở 1</t>
  </si>
  <si>
    <t>TỔNG CỘNG</t>
  </si>
  <si>
    <t xml:space="preserve">Đơn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</si>
</sst>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0.0%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_(* #,##0_);_(* \(#,##0\);_(* &quot;-&quot;??_);_(@_)"/>
    <numFmt numFmtId="175" formatCode="_-* #,##0&quot; &quot;_ _-;\-* #,##0&quot; &quot;_ _-;_-* &quot;-&quot;??&quot; &quot;_ _-;_-@_-"/>
  </numFmts>
  <fonts count="24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8"/>
      <color indexed="8"/>
      <name val="Arial"/>
      <family val="2"/>
    </font>
    <font>
      <b/>
      <sz val="12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2" fillId="0" borderId="0"/>
    <xf numFmtId="0" fontId="12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0" borderId="0"/>
    <xf numFmtId="0" fontId="19" fillId="0" borderId="0" applyAlignment="0">
      <alignment vertical="top" wrapText="1"/>
      <protection locked="0"/>
    </xf>
    <xf numFmtId="0" fontId="22" fillId="0" borderId="0" applyNumberFormat="0" applyFill="0" applyBorder="0" applyAlignment="0" applyProtection="0">
      <alignment vertical="top"/>
    </xf>
    <xf numFmtId="164" fontId="2" fillId="0" borderId="0" applyFont="0" applyFill="0" applyBorder="0" applyAlignment="0" applyProtection="0"/>
    <xf numFmtId="0" fontId="1" fillId="0" borderId="0"/>
  </cellStyleXfs>
  <cellXfs count="177">
    <xf numFmtId="0" fontId="0" fillId="0" borderId="0" xfId="0"/>
    <xf numFmtId="3" fontId="10" fillId="2" borderId="1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3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right" vertical="center"/>
    </xf>
    <xf numFmtId="0" fontId="11" fillId="2" borderId="0" xfId="0" applyFont="1" applyFill="1"/>
    <xf numFmtId="0" fontId="13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right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quotePrefix="1" applyFont="1" applyFill="1"/>
    <xf numFmtId="0" fontId="14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165" fontId="13" fillId="2" borderId="0" xfId="7" applyNumberFormat="1" applyFont="1" applyFill="1" applyAlignment="1">
      <alignment horizontal="center"/>
    </xf>
    <xf numFmtId="0" fontId="16" fillId="2" borderId="0" xfId="0" applyFont="1" applyFill="1"/>
    <xf numFmtId="165" fontId="11" fillId="2" borderId="0" xfId="7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166" fontId="13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3" fontId="13" fillId="2" borderId="1" xfId="0" applyNumberFormat="1" applyFont="1" applyFill="1" applyBorder="1" applyAlignment="1">
      <alignment horizontal="left" vertical="center"/>
    </xf>
    <xf numFmtId="166" fontId="13" fillId="2" borderId="1" xfId="0" applyNumberFormat="1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167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/>
    <xf numFmtId="9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vertical="center"/>
    </xf>
    <xf numFmtId="3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vertical="center" wrapText="1"/>
    </xf>
    <xf numFmtId="3" fontId="13" fillId="2" borderId="0" xfId="0" applyNumberFormat="1" applyFont="1" applyFill="1" applyAlignment="1">
      <alignment horizontal="right"/>
    </xf>
    <xf numFmtId="165" fontId="13" fillId="2" borderId="0" xfId="7" applyNumberFormat="1" applyFont="1" applyFill="1" applyBorder="1"/>
    <xf numFmtId="165" fontId="11" fillId="2" borderId="0" xfId="7" applyNumberFormat="1" applyFont="1" applyFill="1" applyAlignment="1">
      <alignment horizontal="center"/>
    </xf>
    <xf numFmtId="0" fontId="11" fillId="2" borderId="3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left" vertical="center"/>
    </xf>
    <xf numFmtId="167" fontId="11" fillId="2" borderId="1" xfId="16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left" vertical="center"/>
    </xf>
    <xf numFmtId="3" fontId="11" fillId="2" borderId="1" xfId="0" quotePrefix="1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left" vertical="center" wrapText="1"/>
    </xf>
    <xf numFmtId="0" fontId="18" fillId="2" borderId="0" xfId="0" applyFont="1" applyFill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left" vertical="center"/>
    </xf>
    <xf numFmtId="3" fontId="10" fillId="2" borderId="1" xfId="7" applyNumberFormat="1" applyFont="1" applyFill="1" applyBorder="1" applyAlignment="1">
      <alignment horizontal="center" vertical="center"/>
    </xf>
    <xf numFmtId="167" fontId="10" fillId="2" borderId="1" xfId="16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/>
    </xf>
    <xf numFmtId="3" fontId="10" fillId="2" borderId="1" xfId="7" quotePrefix="1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right" vertical="center"/>
    </xf>
    <xf numFmtId="167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  <xf numFmtId="49" fontId="11" fillId="2" borderId="0" xfId="0" applyNumberFormat="1" applyFont="1" applyFill="1" applyAlignment="1">
      <alignment horizontal="center"/>
    </xf>
    <xf numFmtId="49" fontId="15" fillId="2" borderId="0" xfId="0" applyNumberFormat="1" applyFont="1" applyFill="1" applyAlignment="1">
      <alignment horizontal="center"/>
    </xf>
    <xf numFmtId="49" fontId="11" fillId="2" borderId="0" xfId="0" applyNumberFormat="1" applyFont="1" applyFill="1" applyAlignment="1">
      <alignment horizontal="left"/>
    </xf>
    <xf numFmtId="49" fontId="11" fillId="2" borderId="0" xfId="0" applyNumberFormat="1" applyFont="1" applyFill="1"/>
    <xf numFmtId="49" fontId="11" fillId="2" borderId="0" xfId="7" applyNumberFormat="1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11" fillId="2" borderId="1" xfId="7" applyNumberFormat="1" applyFont="1" applyFill="1" applyBorder="1" applyAlignment="1">
      <alignment horizontal="center" vertical="center"/>
    </xf>
    <xf numFmtId="49" fontId="11" fillId="2" borderId="1" xfId="7" quotePrefix="1" applyNumberFormat="1" applyFont="1" applyFill="1" applyBorder="1" applyAlignment="1">
      <alignment horizontal="center" vertical="center"/>
    </xf>
    <xf numFmtId="49" fontId="13" fillId="2" borderId="1" xfId="7" applyNumberFormat="1" applyFont="1" applyFill="1" applyBorder="1"/>
    <xf numFmtId="49" fontId="11" fillId="2" borderId="0" xfId="7" applyNumberFormat="1" applyFont="1" applyFill="1" applyBorder="1" applyAlignment="1">
      <alignment horizontal="center" vertical="center"/>
    </xf>
    <xf numFmtId="49" fontId="13" fillId="2" borderId="0" xfId="7" applyNumberFormat="1" applyFont="1" applyFill="1" applyBorder="1"/>
    <xf numFmtId="49" fontId="11" fillId="2" borderId="0" xfId="7" applyNumberFormat="1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wrapText="1"/>
    </xf>
    <xf numFmtId="3" fontId="11" fillId="2" borderId="0" xfId="0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center"/>
    </xf>
    <xf numFmtId="3" fontId="11" fillId="2" borderId="0" xfId="0" applyNumberFormat="1" applyFont="1" applyFill="1"/>
    <xf numFmtId="3" fontId="13" fillId="2" borderId="1" xfId="0" applyNumberFormat="1" applyFont="1" applyFill="1" applyBorder="1"/>
    <xf numFmtId="3" fontId="13" fillId="2" borderId="0" xfId="0" applyNumberFormat="1" applyFont="1" applyFill="1"/>
    <xf numFmtId="3" fontId="13" fillId="2" borderId="0" xfId="0" applyNumberFormat="1" applyFont="1" applyFill="1" applyAlignment="1">
      <alignment horizontal="center"/>
    </xf>
    <xf numFmtId="0" fontId="11" fillId="2" borderId="4" xfId="0" applyFont="1" applyFill="1" applyBorder="1" applyAlignment="1">
      <alignment vertical="center"/>
    </xf>
    <xf numFmtId="174" fontId="11" fillId="2" borderId="1" xfId="7" applyNumberFormat="1" applyFont="1" applyFill="1" applyBorder="1" applyAlignment="1">
      <alignment horizontal="right" vertical="center" wrapText="1"/>
    </xf>
    <xf numFmtId="174" fontId="11" fillId="2" borderId="1" xfId="29" applyNumberFormat="1" applyFont="1" applyFill="1" applyBorder="1" applyAlignment="1" applyProtection="1">
      <alignment horizontal="center" vertical="center" wrapText="1"/>
    </xf>
    <xf numFmtId="0" fontId="20" fillId="2" borderId="1" xfId="15" applyFont="1" applyFill="1" applyBorder="1" applyAlignment="1">
      <alignment horizontal="left" vertical="center" wrapText="1"/>
    </xf>
    <xf numFmtId="0" fontId="20" fillId="2" borderId="1" xfId="15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3" borderId="1" xfId="30" applyFont="1" applyFill="1" applyBorder="1" applyAlignment="1" applyProtection="1">
      <alignment horizontal="center" vertical="center" wrapText="1" shrinkToFit="1"/>
      <protection locked="0"/>
    </xf>
    <xf numFmtId="0" fontId="21" fillId="2" borderId="1" xfId="0" applyFont="1" applyFill="1" applyBorder="1" applyAlignment="1">
      <alignment horizontal="left" vertical="center"/>
    </xf>
    <xf numFmtId="3" fontId="21" fillId="2" borderId="1" xfId="0" applyNumberFormat="1" applyFont="1" applyFill="1" applyBorder="1" applyAlignment="1">
      <alignment horizontal="right" vertical="center"/>
    </xf>
    <xf numFmtId="3" fontId="21" fillId="2" borderId="1" xfId="0" applyNumberFormat="1" applyFont="1" applyFill="1" applyBorder="1" applyAlignment="1">
      <alignment vertical="center"/>
    </xf>
    <xf numFmtId="3" fontId="21" fillId="2" borderId="1" xfId="0" applyNumberFormat="1" applyFont="1" applyFill="1" applyBorder="1" applyAlignment="1">
      <alignment horizontal="center" vertical="center"/>
    </xf>
    <xf numFmtId="49" fontId="21" fillId="2" borderId="1" xfId="31" applyNumberFormat="1" applyFont="1" applyFill="1" applyBorder="1" applyAlignment="1">
      <alignment vertical="center"/>
    </xf>
    <xf numFmtId="9" fontId="21" fillId="2" borderId="1" xfId="0" applyNumberFormat="1" applyFont="1" applyFill="1" applyBorder="1" applyAlignment="1">
      <alignment horizontal="right" vertical="center"/>
    </xf>
    <xf numFmtId="0" fontId="21" fillId="2" borderId="1" xfId="0" applyFont="1" applyFill="1" applyBorder="1" applyAlignment="1">
      <alignment vertical="center"/>
    </xf>
    <xf numFmtId="3" fontId="17" fillId="2" borderId="1" xfId="0" applyNumberFormat="1" applyFont="1" applyFill="1" applyBorder="1" applyAlignment="1">
      <alignment horizontal="center" vertical="center"/>
    </xf>
    <xf numFmtId="175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21" fillId="2" borderId="1" xfId="32" applyFont="1" applyFill="1" applyBorder="1" applyAlignment="1">
      <alignment vertical="center" wrapText="1"/>
    </xf>
    <xf numFmtId="0" fontId="11" fillId="2" borderId="0" xfId="0" quotePrefix="1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/>
    <xf numFmtId="3" fontId="1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174" fontId="11" fillId="2" borderId="1" xfId="7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74" fontId="11" fillId="2" borderId="1" xfId="7" applyNumberFormat="1" applyFont="1" applyFill="1" applyBorder="1" applyAlignment="1">
      <alignment horizontal="center" vertical="center"/>
    </xf>
    <xf numFmtId="174" fontId="19" fillId="0" borderId="1" xfId="7" applyNumberFormat="1" applyFont="1" applyFill="1" applyBorder="1" applyAlignment="1">
      <alignment vertical="center"/>
    </xf>
    <xf numFmtId="174" fontId="11" fillId="2" borderId="1" xfId="0" applyNumberFormat="1" applyFont="1" applyFill="1" applyBorder="1" applyAlignment="1">
      <alignment vertical="center"/>
    </xf>
    <xf numFmtId="174" fontId="13" fillId="2" borderId="1" xfId="7" applyNumberFormat="1" applyFont="1" applyFill="1" applyBorder="1" applyAlignment="1">
      <alignment horizontal="center" wrapText="1"/>
    </xf>
    <xf numFmtId="174" fontId="13" fillId="2" borderId="1" xfId="7" applyNumberFormat="1" applyFont="1" applyFill="1" applyBorder="1" applyAlignment="1">
      <alignment wrapText="1"/>
    </xf>
    <xf numFmtId="174" fontId="13" fillId="2" borderId="0" xfId="7" applyNumberFormat="1" applyFont="1" applyFill="1" applyAlignment="1">
      <alignment wrapText="1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3" fontId="13" fillId="2" borderId="5" xfId="0" applyNumberFormat="1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0" fontId="11" fillId="2" borderId="0" xfId="0" quotePrefix="1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</cellXfs>
  <cellStyles count="33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10" xfId="9" xr:uid="{00000000-0005-0000-0000-000008000000}"/>
    <cellStyle name="Comma 2 2" xfId="31" xr:uid="{A3E12DBF-D0D5-4DA4-9CFD-1067C1422557}"/>
    <cellStyle name="Comma0" xfId="10" xr:uid="{00000000-0005-0000-0000-000009000000}"/>
    <cellStyle name="Currency0" xfId="11" xr:uid="{00000000-0005-0000-0000-00000A000000}"/>
    <cellStyle name="Date" xfId="12" xr:uid="{00000000-0005-0000-0000-00000B000000}"/>
    <cellStyle name="Fixed" xfId="13" xr:uid="{00000000-0005-0000-0000-00000C000000}"/>
    <cellStyle name="Normal" xfId="0" builtinId="0"/>
    <cellStyle name="Normal - Style1" xfId="14" xr:uid="{00000000-0005-0000-0000-00000E000000}"/>
    <cellStyle name="Normal 2" xfId="15" xr:uid="{00000000-0005-0000-0000-00000F000000}"/>
    <cellStyle name="Normal 3 2" xfId="32" xr:uid="{A9C9C81A-209C-43CE-8381-20E4DDB844A9}"/>
    <cellStyle name="Normal 5 2" xfId="30" xr:uid="{6CE656E1-112C-44AC-8A87-2C541DA1FF70}"/>
    <cellStyle name="Normal 8 3" xfId="29" xr:uid="{F01A5049-B2D6-48B7-B24F-27B147068F8D}"/>
    <cellStyle name="Percent" xfId="16" builtinId="5"/>
    <cellStyle name="Percent 2" xfId="17" xr:uid="{00000000-0005-0000-0000-000011000000}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N100"/>
  <sheetViews>
    <sheetView topLeftCell="A13" zoomScale="86" zoomScaleNormal="86" zoomScaleSheetLayoutView="102" workbookViewId="0">
      <selection activeCell="AH22" sqref="AH22"/>
    </sheetView>
  </sheetViews>
  <sheetFormatPr defaultRowHeight="15.75"/>
  <cols>
    <col min="1" max="1" width="4.28515625" style="10" customWidth="1"/>
    <col min="2" max="2" width="7.28515625" style="124" customWidth="1"/>
    <col min="3" max="3" width="36.42578125" style="10" customWidth="1"/>
    <col min="4" max="4" width="16" style="10" customWidth="1"/>
    <col min="5" max="5" width="7.42578125" style="10" customWidth="1"/>
    <col min="6" max="6" width="7.5703125" style="124" customWidth="1"/>
    <col min="7" max="7" width="11.5703125" style="14" hidden="1" customWidth="1"/>
    <col min="8" max="8" width="12.140625" style="10" hidden="1" customWidth="1"/>
    <col min="9" max="9" width="11.28515625" style="10" hidden="1" customWidth="1"/>
    <col min="10" max="10" width="12.42578125" style="10" hidden="1" customWidth="1"/>
    <col min="11" max="11" width="10.140625" style="10" hidden="1" customWidth="1"/>
    <col min="12" max="12" width="12.5703125" style="124" hidden="1" customWidth="1"/>
    <col min="13" max="13" width="10.85546875" style="10" hidden="1" customWidth="1"/>
    <col min="14" max="15" width="9.28515625" style="10" hidden="1" customWidth="1"/>
    <col min="16" max="16" width="10" style="10" hidden="1" customWidth="1"/>
    <col min="17" max="17" width="9.5703125" style="10" hidden="1" customWidth="1"/>
    <col min="18" max="18" width="9.42578125" style="10" hidden="1" customWidth="1"/>
    <col min="19" max="19" width="9" style="10" hidden="1" customWidth="1"/>
    <col min="20" max="20" width="11.28515625" style="10" hidden="1" customWidth="1"/>
    <col min="21" max="21" width="11.5703125" style="10" hidden="1" customWidth="1"/>
    <col min="22" max="23" width="10.5703125" style="10" hidden="1" customWidth="1"/>
    <col min="24" max="24" width="0.140625" style="10" hidden="1" customWidth="1"/>
    <col min="25" max="25" width="7.5703125" style="124" customWidth="1"/>
    <col min="26" max="26" width="12" style="10" hidden="1" customWidth="1"/>
    <col min="27" max="27" width="5.5703125" style="10" hidden="1" customWidth="1"/>
    <col min="28" max="28" width="7.42578125" style="90" customWidth="1"/>
    <col min="29" max="29" width="6.140625" style="10" hidden="1" customWidth="1"/>
    <col min="30" max="30" width="5.5703125" style="10" hidden="1" customWidth="1"/>
    <col min="31" max="31" width="6.42578125" style="10" hidden="1" customWidth="1"/>
    <col min="32" max="32" width="5.5703125" style="10" hidden="1" customWidth="1"/>
    <col min="33" max="33" width="13" style="98" customWidth="1"/>
    <col min="34" max="34" width="13.28515625" style="98" customWidth="1"/>
    <col min="35" max="35" width="14.42578125" style="10" customWidth="1"/>
    <col min="36" max="36" width="11.5703125" style="10" customWidth="1"/>
    <col min="37" max="37" width="10.42578125" style="124" customWidth="1"/>
    <col min="38" max="38" width="9.85546875" style="10" customWidth="1"/>
    <col min="39" max="39" width="13.5703125" style="93" customWidth="1"/>
    <col min="40" max="16384" width="9.140625" style="10"/>
  </cols>
  <sheetData>
    <row r="1" spans="1:39" ht="15.75" customHeight="1">
      <c r="B1" s="11" t="s">
        <v>41</v>
      </c>
      <c r="C1" s="121"/>
      <c r="D1" s="121"/>
      <c r="I1" s="15"/>
      <c r="J1" s="15"/>
      <c r="K1" s="123" t="s">
        <v>0</v>
      </c>
      <c r="L1" s="15"/>
      <c r="M1" s="15"/>
      <c r="N1" s="15"/>
      <c r="O1" s="15"/>
      <c r="Q1" s="123"/>
      <c r="R1" s="123"/>
      <c r="S1" s="123"/>
      <c r="T1" s="123"/>
      <c r="U1" s="123"/>
      <c r="V1" s="123"/>
      <c r="W1" s="123"/>
      <c r="X1" s="123"/>
      <c r="AA1" s="146" t="s">
        <v>0</v>
      </c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 ht="15" customHeight="1">
      <c r="B2" s="17" t="s">
        <v>42</v>
      </c>
      <c r="L2" s="10"/>
      <c r="P2" s="18"/>
      <c r="Q2" s="18"/>
      <c r="R2" s="18"/>
      <c r="S2" s="18"/>
      <c r="T2" s="18"/>
      <c r="U2" s="18"/>
      <c r="V2" s="18"/>
      <c r="W2" s="18"/>
      <c r="X2" s="18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</row>
    <row r="3" spans="1:39" ht="22.5" hidden="1" customHeight="1">
      <c r="B3" s="146" t="s">
        <v>1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</row>
    <row r="4" spans="1:39" ht="15" customHeight="1"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</row>
    <row r="5" spans="1:39" ht="15" customHeight="1"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4"/>
      <c r="AB5" s="78"/>
      <c r="AC5" s="124"/>
      <c r="AD5" s="124"/>
      <c r="AE5" s="124"/>
      <c r="AF5" s="124"/>
      <c r="AG5" s="96"/>
      <c r="AH5" s="96"/>
      <c r="AI5" s="124"/>
      <c r="AJ5" s="124"/>
      <c r="AL5" s="124"/>
      <c r="AM5" s="91"/>
    </row>
    <row r="6" spans="1:39" ht="20.25" customHeight="1">
      <c r="B6" s="172" t="s">
        <v>127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</row>
    <row r="7" spans="1:39" ht="16.5" customHeight="1">
      <c r="B7" s="172" t="s">
        <v>114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</row>
    <row r="8" spans="1:39" ht="16.5" customHeight="1"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79"/>
      <c r="AC8" s="125"/>
      <c r="AD8" s="125"/>
      <c r="AE8" s="125"/>
      <c r="AF8" s="125"/>
      <c r="AG8" s="97"/>
      <c r="AH8" s="97"/>
      <c r="AI8" s="125"/>
      <c r="AJ8" s="125"/>
      <c r="AK8" s="125"/>
      <c r="AL8" s="125"/>
      <c r="AM8" s="92"/>
    </row>
    <row r="9" spans="1:39" ht="15" customHeight="1">
      <c r="A9" s="121" t="s">
        <v>70</v>
      </c>
      <c r="B9" s="169" t="s">
        <v>176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</row>
    <row r="10" spans="1:39" ht="15" customHeight="1">
      <c r="A10" s="122" t="s">
        <v>123</v>
      </c>
      <c r="D10" s="10" t="s">
        <v>71</v>
      </c>
      <c r="E10" s="123"/>
      <c r="F10" s="10"/>
      <c r="G10" s="10"/>
      <c r="H10" s="122"/>
      <c r="I10" s="123"/>
      <c r="K10" s="122" t="s">
        <v>2</v>
      </c>
      <c r="L10" s="123"/>
      <c r="M10" s="20"/>
      <c r="S10" s="122"/>
      <c r="T10" s="21"/>
      <c r="W10" s="22"/>
      <c r="X10" s="123"/>
      <c r="Y10" s="10"/>
      <c r="Z10" s="123"/>
      <c r="AA10" s="123"/>
      <c r="AB10" s="80"/>
      <c r="AI10" s="122" t="s">
        <v>72</v>
      </c>
      <c r="AL10" s="23"/>
    </row>
    <row r="11" spans="1:39" ht="15" customHeight="1">
      <c r="A11" s="122" t="s">
        <v>177</v>
      </c>
      <c r="D11" s="10" t="s">
        <v>74</v>
      </c>
      <c r="E11" s="124"/>
      <c r="F11" s="10"/>
      <c r="G11" s="10"/>
      <c r="H11" s="122"/>
      <c r="I11" s="123"/>
      <c r="K11" s="122"/>
      <c r="L11" s="123"/>
      <c r="M11" s="20"/>
      <c r="S11" s="122"/>
      <c r="T11" s="21"/>
      <c r="W11" s="22"/>
      <c r="X11" s="123"/>
      <c r="Y11" s="10"/>
      <c r="Z11" s="123"/>
      <c r="AA11" s="123"/>
      <c r="AB11" s="80"/>
      <c r="AI11" s="10" t="s">
        <v>75</v>
      </c>
      <c r="AL11" s="23"/>
    </row>
    <row r="12" spans="1:39" ht="15" customHeight="1">
      <c r="A12" s="122" t="s">
        <v>76</v>
      </c>
      <c r="D12" s="10" t="s">
        <v>77</v>
      </c>
      <c r="E12" s="123"/>
      <c r="F12" s="10"/>
      <c r="G12" s="10"/>
      <c r="H12" s="122"/>
      <c r="I12" s="123"/>
      <c r="K12" s="122" t="s">
        <v>3</v>
      </c>
      <c r="L12" s="123"/>
      <c r="M12" s="20"/>
      <c r="S12" s="122"/>
      <c r="T12" s="21"/>
      <c r="W12" s="22"/>
      <c r="X12" s="123"/>
      <c r="Y12" s="10"/>
      <c r="Z12" s="123"/>
      <c r="AA12" s="123"/>
      <c r="AB12" s="80"/>
      <c r="AI12" s="10" t="s">
        <v>78</v>
      </c>
      <c r="AL12" s="23"/>
    </row>
    <row r="13" spans="1:39" ht="15" customHeight="1">
      <c r="A13" s="122" t="s">
        <v>178</v>
      </c>
      <c r="B13" s="10"/>
      <c r="D13" s="10" t="s">
        <v>86</v>
      </c>
      <c r="F13" s="10"/>
      <c r="G13" s="10"/>
      <c r="L13" s="10"/>
      <c r="Y13" s="10"/>
      <c r="AB13" s="81"/>
      <c r="AI13" s="10" t="s">
        <v>79</v>
      </c>
    </row>
    <row r="14" spans="1:39" ht="15" customHeight="1">
      <c r="A14" s="122" t="s">
        <v>80</v>
      </c>
      <c r="B14" s="10"/>
      <c r="F14" s="10"/>
      <c r="G14" s="10"/>
      <c r="L14" s="10"/>
      <c r="Y14" s="10"/>
      <c r="AB14" s="81"/>
    </row>
    <row r="15" spans="1:39" ht="15.75" customHeight="1">
      <c r="A15" s="122" t="s">
        <v>4</v>
      </c>
      <c r="B15" s="10"/>
      <c r="E15" s="124"/>
      <c r="F15" s="14"/>
      <c r="G15" s="10"/>
      <c r="K15" s="124"/>
      <c r="L15" s="10"/>
      <c r="X15" s="124"/>
      <c r="Y15" s="10"/>
      <c r="AA15" s="24"/>
      <c r="AB15" s="81"/>
      <c r="AL15" s="23"/>
    </row>
    <row r="16" spans="1:39" ht="3" customHeight="1">
      <c r="AB16" s="82"/>
    </row>
    <row r="17" spans="1:39" ht="44.25" customHeight="1">
      <c r="A17" s="162" t="s">
        <v>5</v>
      </c>
      <c r="B17" s="147" t="s">
        <v>5</v>
      </c>
      <c r="C17" s="158" t="s">
        <v>6</v>
      </c>
      <c r="D17" s="149" t="s">
        <v>7</v>
      </c>
      <c r="E17" s="149" t="s">
        <v>8</v>
      </c>
      <c r="F17" s="147" t="s">
        <v>43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27"/>
      <c r="S17" s="127"/>
      <c r="T17" s="127"/>
      <c r="U17" s="127"/>
      <c r="V17" s="127"/>
      <c r="W17" s="127"/>
      <c r="X17" s="128"/>
      <c r="Y17" s="156" t="s">
        <v>44</v>
      </c>
      <c r="Z17" s="155"/>
      <c r="AA17" s="155"/>
      <c r="AB17" s="156" t="s">
        <v>45</v>
      </c>
      <c r="AC17" s="155"/>
      <c r="AD17" s="155"/>
      <c r="AE17" s="147" t="s">
        <v>9</v>
      </c>
      <c r="AF17" s="147" t="s">
        <v>10</v>
      </c>
      <c r="AG17" s="152" t="s">
        <v>163</v>
      </c>
      <c r="AH17" s="152" t="s">
        <v>164</v>
      </c>
      <c r="AI17" s="147" t="s">
        <v>11</v>
      </c>
      <c r="AJ17" s="147" t="s">
        <v>12</v>
      </c>
      <c r="AK17" s="147" t="s">
        <v>13</v>
      </c>
      <c r="AL17" s="149" t="s">
        <v>47</v>
      </c>
      <c r="AM17" s="147" t="s">
        <v>48</v>
      </c>
    </row>
    <row r="18" spans="1:39" ht="42.75" customHeight="1">
      <c r="A18" s="163"/>
      <c r="B18" s="158"/>
      <c r="C18" s="158"/>
      <c r="D18" s="164"/>
      <c r="E18" s="150"/>
      <c r="F18" s="149" t="s">
        <v>46</v>
      </c>
      <c r="G18" s="152" t="s">
        <v>14</v>
      </c>
      <c r="H18" s="155" t="s">
        <v>15</v>
      </c>
      <c r="I18" s="155"/>
      <c r="J18" s="155"/>
      <c r="K18" s="128" t="s">
        <v>16</v>
      </c>
      <c r="L18" s="127" t="s">
        <v>17</v>
      </c>
      <c r="M18" s="128"/>
      <c r="N18" s="128" t="s">
        <v>16</v>
      </c>
      <c r="O18" s="128" t="s">
        <v>16</v>
      </c>
      <c r="P18" s="128" t="s">
        <v>16</v>
      </c>
      <c r="Q18" s="128" t="s">
        <v>18</v>
      </c>
      <c r="R18" s="128" t="s">
        <v>18</v>
      </c>
      <c r="S18" s="128" t="s">
        <v>18</v>
      </c>
      <c r="T18" s="128" t="s">
        <v>18</v>
      </c>
      <c r="U18" s="128" t="s">
        <v>18</v>
      </c>
      <c r="V18" s="128" t="s">
        <v>18</v>
      </c>
      <c r="W18" s="128" t="s">
        <v>19</v>
      </c>
      <c r="X18" s="128"/>
      <c r="Y18" s="149" t="s">
        <v>46</v>
      </c>
      <c r="Z18" s="152" t="s">
        <v>20</v>
      </c>
      <c r="AA18" s="152" t="s">
        <v>21</v>
      </c>
      <c r="AB18" s="166" t="s">
        <v>46</v>
      </c>
      <c r="AC18" s="152" t="s">
        <v>20</v>
      </c>
      <c r="AD18" s="152" t="s">
        <v>22</v>
      </c>
      <c r="AE18" s="147"/>
      <c r="AF18" s="147"/>
      <c r="AG18" s="159"/>
      <c r="AH18" s="159"/>
      <c r="AI18" s="157"/>
      <c r="AJ18" s="157"/>
      <c r="AK18" s="158"/>
      <c r="AL18" s="164"/>
      <c r="AM18" s="148"/>
    </row>
    <row r="19" spans="1:39" ht="5.25" hidden="1" customHeight="1">
      <c r="A19" s="163"/>
      <c r="B19" s="158"/>
      <c r="C19" s="158"/>
      <c r="D19" s="164"/>
      <c r="E19" s="150"/>
      <c r="F19" s="150"/>
      <c r="G19" s="153"/>
      <c r="H19" s="152" t="s">
        <v>23</v>
      </c>
      <c r="I19" s="155" t="s">
        <v>24</v>
      </c>
      <c r="J19" s="155"/>
      <c r="K19" s="128" t="s">
        <v>25</v>
      </c>
      <c r="L19" s="127" t="s">
        <v>26</v>
      </c>
      <c r="M19" s="128" t="s">
        <v>27</v>
      </c>
      <c r="N19" s="128" t="s">
        <v>25</v>
      </c>
      <c r="O19" s="128" t="s">
        <v>25</v>
      </c>
      <c r="P19" s="128" t="s">
        <v>25</v>
      </c>
      <c r="Q19" s="128" t="s">
        <v>28</v>
      </c>
      <c r="R19" s="128" t="s">
        <v>28</v>
      </c>
      <c r="S19" s="128" t="s">
        <v>28</v>
      </c>
      <c r="T19" s="128" t="s">
        <v>28</v>
      </c>
      <c r="U19" s="128" t="s">
        <v>28</v>
      </c>
      <c r="V19" s="128" t="s">
        <v>28</v>
      </c>
      <c r="W19" s="128" t="s">
        <v>25</v>
      </c>
      <c r="X19" s="128" t="s">
        <v>29</v>
      </c>
      <c r="Y19" s="150"/>
      <c r="Z19" s="153"/>
      <c r="AA19" s="153"/>
      <c r="AB19" s="167"/>
      <c r="AC19" s="153"/>
      <c r="AD19" s="153"/>
      <c r="AE19" s="147"/>
      <c r="AF19" s="147"/>
      <c r="AG19" s="130"/>
      <c r="AH19" s="130"/>
      <c r="AI19" s="157"/>
      <c r="AJ19" s="157"/>
      <c r="AK19" s="158"/>
      <c r="AL19" s="164"/>
      <c r="AM19" s="148"/>
    </row>
    <row r="20" spans="1:39" ht="2.25" hidden="1" customHeight="1">
      <c r="A20" s="163"/>
      <c r="B20" s="158"/>
      <c r="C20" s="158"/>
      <c r="D20" s="165"/>
      <c r="E20" s="151"/>
      <c r="F20" s="151"/>
      <c r="G20" s="154"/>
      <c r="H20" s="159"/>
      <c r="I20" s="28" t="s">
        <v>30</v>
      </c>
      <c r="J20" s="130" t="s">
        <v>31</v>
      </c>
      <c r="K20" s="128" t="s">
        <v>32</v>
      </c>
      <c r="L20" s="127" t="s">
        <v>33</v>
      </c>
      <c r="M20" s="128" t="s">
        <v>34</v>
      </c>
      <c r="N20" s="128" t="s">
        <v>32</v>
      </c>
      <c r="O20" s="128" t="s">
        <v>35</v>
      </c>
      <c r="P20" s="128" t="s">
        <v>35</v>
      </c>
      <c r="Q20" s="128" t="s">
        <v>35</v>
      </c>
      <c r="R20" s="128" t="s">
        <v>35</v>
      </c>
      <c r="S20" s="128" t="s">
        <v>35</v>
      </c>
      <c r="T20" s="128" t="s">
        <v>35</v>
      </c>
      <c r="U20" s="128" t="s">
        <v>35</v>
      </c>
      <c r="V20" s="128" t="s">
        <v>35</v>
      </c>
      <c r="W20" s="128" t="s">
        <v>35</v>
      </c>
      <c r="X20" s="128" t="s">
        <v>36</v>
      </c>
      <c r="Y20" s="151"/>
      <c r="Z20" s="154"/>
      <c r="AA20" s="154"/>
      <c r="AB20" s="168"/>
      <c r="AC20" s="154"/>
      <c r="AD20" s="154"/>
      <c r="AE20" s="147"/>
      <c r="AF20" s="147"/>
      <c r="AG20" s="130"/>
      <c r="AH20" s="130"/>
      <c r="AI20" s="157"/>
      <c r="AJ20" s="157"/>
      <c r="AK20" s="158"/>
      <c r="AL20" s="165"/>
      <c r="AM20" s="148"/>
    </row>
    <row r="21" spans="1:39" s="31" customFormat="1" ht="27" customHeight="1">
      <c r="A21" s="29"/>
      <c r="B21" s="127" t="s">
        <v>37</v>
      </c>
      <c r="C21" s="127" t="s">
        <v>38</v>
      </c>
      <c r="D21" s="127" t="s">
        <v>39</v>
      </c>
      <c r="E21" s="127" t="s">
        <v>40</v>
      </c>
      <c r="F21" s="127">
        <v>1</v>
      </c>
      <c r="G21" s="128">
        <v>2</v>
      </c>
      <c r="H21" s="30">
        <v>3</v>
      </c>
      <c r="I21" s="30">
        <v>4</v>
      </c>
      <c r="J21" s="128">
        <v>5</v>
      </c>
      <c r="K21" s="30">
        <v>7</v>
      </c>
      <c r="L21" s="128">
        <v>8</v>
      </c>
      <c r="M21" s="30">
        <v>9</v>
      </c>
      <c r="N21" s="128">
        <v>10</v>
      </c>
      <c r="O21" s="128"/>
      <c r="P21" s="30">
        <v>6</v>
      </c>
      <c r="Q21" s="30"/>
      <c r="R21" s="30"/>
      <c r="S21" s="30"/>
      <c r="T21" s="30"/>
      <c r="U21" s="30"/>
      <c r="V21" s="30"/>
      <c r="W21" s="30"/>
      <c r="X21" s="30">
        <v>5</v>
      </c>
      <c r="Y21" s="127">
        <v>2</v>
      </c>
      <c r="Z21" s="128">
        <v>7</v>
      </c>
      <c r="AA21" s="128">
        <v>8</v>
      </c>
      <c r="AB21" s="83">
        <v>3</v>
      </c>
      <c r="AC21" s="127">
        <v>10</v>
      </c>
      <c r="AD21" s="30">
        <v>11</v>
      </c>
      <c r="AE21" s="127"/>
      <c r="AF21" s="127"/>
      <c r="AG21" s="128"/>
      <c r="AH21" s="128"/>
      <c r="AI21" s="127">
        <v>4</v>
      </c>
      <c r="AJ21" s="127">
        <v>5</v>
      </c>
      <c r="AK21" s="127">
        <v>6</v>
      </c>
      <c r="AL21" s="127">
        <v>7</v>
      </c>
      <c r="AM21" s="126">
        <v>8</v>
      </c>
    </row>
    <row r="22" spans="1:39" s="31" customFormat="1" ht="27" customHeight="1">
      <c r="A22" s="29"/>
      <c r="B22" s="32" t="s">
        <v>37</v>
      </c>
      <c r="C22" s="127" t="s">
        <v>139</v>
      </c>
      <c r="D22" s="127"/>
      <c r="E22" s="127"/>
      <c r="F22" s="127"/>
      <c r="G22" s="128"/>
      <c r="H22" s="30"/>
      <c r="I22" s="30"/>
      <c r="J22" s="128"/>
      <c r="K22" s="30"/>
      <c r="L22" s="128"/>
      <c r="M22" s="30"/>
      <c r="N22" s="128"/>
      <c r="O22" s="128"/>
      <c r="P22" s="30"/>
      <c r="Q22" s="30"/>
      <c r="R22" s="30"/>
      <c r="S22" s="30"/>
      <c r="T22" s="30"/>
      <c r="U22" s="30"/>
      <c r="V22" s="30"/>
      <c r="W22" s="30"/>
      <c r="X22" s="30"/>
      <c r="Y22" s="127"/>
      <c r="Z22" s="128"/>
      <c r="AA22" s="128"/>
      <c r="AB22" s="83"/>
      <c r="AC22" s="127"/>
      <c r="AD22" s="30"/>
      <c r="AE22" s="127"/>
      <c r="AF22" s="127"/>
      <c r="AG22" s="128"/>
      <c r="AH22" s="128"/>
      <c r="AI22" s="127"/>
      <c r="AJ22" s="127"/>
      <c r="AK22" s="127"/>
      <c r="AL22" s="127"/>
      <c r="AM22" s="126"/>
    </row>
    <row r="23" spans="1:39" s="31" customFormat="1" ht="21.75" customHeight="1">
      <c r="A23" s="29"/>
      <c r="B23" s="32" t="s">
        <v>105</v>
      </c>
      <c r="C23" s="33" t="s">
        <v>115</v>
      </c>
      <c r="D23" s="33"/>
      <c r="E23" s="33"/>
      <c r="F23" s="33"/>
      <c r="G23" s="34"/>
      <c r="H23" s="35"/>
      <c r="I23" s="35"/>
      <c r="J23" s="34"/>
      <c r="K23" s="35"/>
      <c r="L23" s="34"/>
      <c r="M23" s="35"/>
      <c r="N23" s="34"/>
      <c r="O23" s="34"/>
      <c r="P23" s="35"/>
      <c r="Q23" s="35"/>
      <c r="R23" s="35"/>
      <c r="S23" s="35"/>
      <c r="T23" s="35"/>
      <c r="U23" s="35"/>
      <c r="V23" s="35"/>
      <c r="W23" s="35"/>
      <c r="X23" s="35"/>
      <c r="Y23" s="33"/>
      <c r="Z23" s="34"/>
      <c r="AA23" s="34"/>
      <c r="AB23" s="84"/>
      <c r="AC23" s="33"/>
      <c r="AD23" s="35"/>
      <c r="AE23" s="33"/>
      <c r="AF23" s="33"/>
      <c r="AG23" s="34"/>
      <c r="AH23" s="34"/>
      <c r="AI23" s="33"/>
      <c r="AJ23" s="33"/>
      <c r="AK23" s="33"/>
      <c r="AL23" s="33"/>
      <c r="AM23" s="94"/>
    </row>
    <row r="24" spans="1:39" s="31" customFormat="1" ht="69.75" customHeight="1">
      <c r="B24" s="36">
        <v>1</v>
      </c>
      <c r="C24" s="37" t="s">
        <v>107</v>
      </c>
      <c r="D24" s="131" t="s">
        <v>132</v>
      </c>
      <c r="E24" s="132">
        <v>2022</v>
      </c>
      <c r="F24" s="132">
        <v>6</v>
      </c>
      <c r="G24" s="9"/>
      <c r="H24" s="9"/>
      <c r="I24" s="7"/>
      <c r="J24" s="7"/>
      <c r="K24" s="7"/>
      <c r="L24" s="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32">
        <v>7</v>
      </c>
      <c r="Z24" s="7"/>
      <c r="AA24" s="9"/>
      <c r="AB24" s="85" t="s">
        <v>131</v>
      </c>
      <c r="AC24" s="7"/>
      <c r="AD24" s="7"/>
      <c r="AE24" s="38"/>
      <c r="AF24" s="29"/>
      <c r="AG24" s="104">
        <v>2500000</v>
      </c>
      <c r="AH24" s="7">
        <f>+Y24*AG24</f>
        <v>17500000</v>
      </c>
      <c r="AI24" s="7" t="s">
        <v>62</v>
      </c>
      <c r="AJ24" s="8" t="s">
        <v>103</v>
      </c>
      <c r="AK24" s="8" t="s">
        <v>64</v>
      </c>
      <c r="AL24" s="39"/>
      <c r="AM24" s="42" t="s">
        <v>133</v>
      </c>
    </row>
    <row r="25" spans="1:39" s="31" customFormat="1" ht="71.25" customHeight="1">
      <c r="B25" s="132">
        <v>2</v>
      </c>
      <c r="C25" s="37" t="s">
        <v>108</v>
      </c>
      <c r="D25" s="132" t="s">
        <v>137</v>
      </c>
      <c r="E25" s="132">
        <v>2022</v>
      </c>
      <c r="F25" s="132">
        <v>2</v>
      </c>
      <c r="G25" s="9"/>
      <c r="H25" s="9"/>
      <c r="I25" s="7"/>
      <c r="J25" s="7"/>
      <c r="K25" s="7"/>
      <c r="L25" s="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32">
        <v>1</v>
      </c>
      <c r="Z25" s="7"/>
      <c r="AA25" s="9"/>
      <c r="AB25" s="86" t="s">
        <v>134</v>
      </c>
      <c r="AC25" s="7"/>
      <c r="AD25" s="7"/>
      <c r="AE25" s="38"/>
      <c r="AF25" s="29"/>
      <c r="AG25" s="104">
        <v>7900000</v>
      </c>
      <c r="AH25" s="104">
        <v>7900000</v>
      </c>
      <c r="AI25" s="7" t="s">
        <v>62</v>
      </c>
      <c r="AJ25" s="8" t="s">
        <v>103</v>
      </c>
      <c r="AK25" s="8" t="s">
        <v>64</v>
      </c>
      <c r="AM25" s="131" t="s">
        <v>138</v>
      </c>
    </row>
    <row r="26" spans="1:39" s="31" customFormat="1" ht="68.25" customHeight="1">
      <c r="B26" s="36">
        <v>3</v>
      </c>
      <c r="C26" s="37" t="s">
        <v>109</v>
      </c>
      <c r="D26" s="131" t="s">
        <v>135</v>
      </c>
      <c r="E26" s="132">
        <v>2022</v>
      </c>
      <c r="F26" s="132">
        <v>7</v>
      </c>
      <c r="G26" s="9"/>
      <c r="H26" s="9"/>
      <c r="I26" s="7"/>
      <c r="J26" s="7"/>
      <c r="K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32">
        <v>8</v>
      </c>
      <c r="Z26" s="7"/>
      <c r="AA26" s="9"/>
      <c r="AB26" s="85" t="s">
        <v>131</v>
      </c>
      <c r="AC26" s="7"/>
      <c r="AD26" s="7"/>
      <c r="AE26" s="38"/>
      <c r="AF26" s="29"/>
      <c r="AG26" s="7">
        <v>660000</v>
      </c>
      <c r="AH26" s="7">
        <f>+Y26*AG26</f>
        <v>5280000</v>
      </c>
      <c r="AI26" s="7" t="s">
        <v>62</v>
      </c>
      <c r="AJ26" s="8" t="s">
        <v>103</v>
      </c>
      <c r="AK26" s="8" t="s">
        <v>64</v>
      </c>
      <c r="AL26" s="39"/>
      <c r="AM26" s="42" t="s">
        <v>136</v>
      </c>
    </row>
    <row r="27" spans="1:39" s="31" customFormat="1" ht="81" customHeight="1">
      <c r="B27" s="132">
        <v>4</v>
      </c>
      <c r="C27" s="37" t="s">
        <v>110</v>
      </c>
      <c r="D27" s="131" t="s">
        <v>111</v>
      </c>
      <c r="E27" s="132">
        <v>2022</v>
      </c>
      <c r="F27" s="132">
        <v>2</v>
      </c>
      <c r="G27" s="9"/>
      <c r="H27" s="9"/>
      <c r="I27" s="7"/>
      <c r="J27" s="7"/>
      <c r="K27" s="7"/>
      <c r="L27" s="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32">
        <v>2</v>
      </c>
      <c r="Z27" s="7"/>
      <c r="AA27" s="9"/>
      <c r="AB27" s="85">
        <v>0</v>
      </c>
      <c r="AC27" s="7"/>
      <c r="AD27" s="7"/>
      <c r="AE27" s="38"/>
      <c r="AF27" s="29"/>
      <c r="AG27" s="104">
        <v>3280000</v>
      </c>
      <c r="AH27" s="7">
        <f>+Y27*AG27</f>
        <v>6560000</v>
      </c>
      <c r="AI27" s="7" t="s">
        <v>62</v>
      </c>
      <c r="AJ27" s="8" t="s">
        <v>103</v>
      </c>
      <c r="AK27" s="8" t="s">
        <v>64</v>
      </c>
      <c r="AL27" s="39"/>
      <c r="AM27" s="42"/>
    </row>
    <row r="28" spans="1:39" s="31" customFormat="1" ht="25.5" customHeight="1">
      <c r="A28" s="29"/>
      <c r="B28" s="36">
        <v>5</v>
      </c>
      <c r="C28" s="29" t="s">
        <v>49</v>
      </c>
      <c r="D28" s="132"/>
      <c r="E28" s="29"/>
      <c r="F28" s="132">
        <v>1</v>
      </c>
      <c r="G28" s="7"/>
      <c r="H28" s="7"/>
      <c r="I28" s="7"/>
      <c r="J28" s="7"/>
      <c r="K28" s="7"/>
      <c r="L28" s="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32">
        <v>1</v>
      </c>
      <c r="Z28" s="7"/>
      <c r="AA28" s="7"/>
      <c r="AB28" s="85">
        <v>0</v>
      </c>
      <c r="AC28" s="7"/>
      <c r="AD28" s="7"/>
      <c r="AE28" s="40"/>
      <c r="AF28" s="29"/>
      <c r="AG28" s="7"/>
      <c r="AH28" s="7"/>
      <c r="AI28" s="7" t="s">
        <v>62</v>
      </c>
      <c r="AJ28" s="8" t="s">
        <v>103</v>
      </c>
      <c r="AK28" s="8" t="s">
        <v>64</v>
      </c>
      <c r="AL28" s="41" t="s">
        <v>112</v>
      </c>
      <c r="AM28" s="42"/>
    </row>
    <row r="29" spans="1:39" s="31" customFormat="1" ht="25.5" customHeight="1">
      <c r="A29" s="29"/>
      <c r="B29" s="132">
        <v>6</v>
      </c>
      <c r="C29" s="29" t="s">
        <v>60</v>
      </c>
      <c r="D29" s="132"/>
      <c r="E29" s="132"/>
      <c r="F29" s="132">
        <v>4</v>
      </c>
      <c r="G29" s="9"/>
      <c r="H29" s="9"/>
      <c r="I29" s="7"/>
      <c r="J29" s="7"/>
      <c r="K29" s="7"/>
      <c r="L29" s="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32">
        <v>4</v>
      </c>
      <c r="Z29" s="7"/>
      <c r="AA29" s="9"/>
      <c r="AB29" s="85">
        <v>0</v>
      </c>
      <c r="AC29" s="7"/>
      <c r="AD29" s="7"/>
      <c r="AE29" s="38"/>
      <c r="AF29" s="29"/>
      <c r="AG29" s="7"/>
      <c r="AH29" s="7"/>
      <c r="AI29" s="7" t="s">
        <v>62</v>
      </c>
      <c r="AJ29" s="8" t="s">
        <v>103</v>
      </c>
      <c r="AK29" s="8" t="s">
        <v>64</v>
      </c>
      <c r="AL29" s="41" t="s">
        <v>112</v>
      </c>
      <c r="AM29" s="42"/>
    </row>
    <row r="30" spans="1:39" s="31" customFormat="1" ht="25.5" customHeight="1">
      <c r="A30" s="29"/>
      <c r="B30" s="36">
        <v>7</v>
      </c>
      <c r="C30" s="29" t="s">
        <v>53</v>
      </c>
      <c r="D30" s="132"/>
      <c r="E30" s="132"/>
      <c r="F30" s="132">
        <v>1</v>
      </c>
      <c r="G30" s="9"/>
      <c r="H30" s="9"/>
      <c r="I30" s="7"/>
      <c r="J30" s="7"/>
      <c r="K30" s="7"/>
      <c r="L30" s="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32">
        <v>1</v>
      </c>
      <c r="Z30" s="7"/>
      <c r="AA30" s="9"/>
      <c r="AB30" s="85">
        <v>0</v>
      </c>
      <c r="AC30" s="7"/>
      <c r="AD30" s="7"/>
      <c r="AE30" s="38"/>
      <c r="AF30" s="29"/>
      <c r="AG30" s="7"/>
      <c r="AH30" s="7"/>
      <c r="AI30" s="7" t="s">
        <v>62</v>
      </c>
      <c r="AJ30" s="8" t="s">
        <v>103</v>
      </c>
      <c r="AK30" s="8" t="s">
        <v>64</v>
      </c>
      <c r="AL30" s="41" t="s">
        <v>112</v>
      </c>
      <c r="AM30" s="42"/>
    </row>
    <row r="31" spans="1:39" s="31" customFormat="1" ht="25.5" customHeight="1">
      <c r="A31" s="29"/>
      <c r="B31" s="132">
        <v>8</v>
      </c>
      <c r="C31" s="29" t="s">
        <v>54</v>
      </c>
      <c r="D31" s="132"/>
      <c r="E31" s="132"/>
      <c r="F31" s="132">
        <v>2</v>
      </c>
      <c r="G31" s="9"/>
      <c r="H31" s="9"/>
      <c r="I31" s="7"/>
      <c r="J31" s="7"/>
      <c r="K31" s="7"/>
      <c r="L31" s="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32">
        <v>2</v>
      </c>
      <c r="Z31" s="7"/>
      <c r="AA31" s="9"/>
      <c r="AB31" s="85">
        <v>0</v>
      </c>
      <c r="AC31" s="7"/>
      <c r="AD31" s="7"/>
      <c r="AE31" s="38"/>
      <c r="AF31" s="29"/>
      <c r="AG31" s="7"/>
      <c r="AH31" s="7"/>
      <c r="AI31" s="7" t="s">
        <v>62</v>
      </c>
      <c r="AJ31" s="8" t="s">
        <v>103</v>
      </c>
      <c r="AK31" s="8" t="s">
        <v>64</v>
      </c>
      <c r="AL31" s="41" t="s">
        <v>112</v>
      </c>
      <c r="AM31" s="42"/>
    </row>
    <row r="32" spans="1:39" s="31" customFormat="1" ht="25.5" customHeight="1">
      <c r="A32" s="29"/>
      <c r="B32" s="36">
        <v>9</v>
      </c>
      <c r="C32" s="29" t="s">
        <v>59</v>
      </c>
      <c r="D32" s="132"/>
      <c r="E32" s="132"/>
      <c r="F32" s="132">
        <v>1</v>
      </c>
      <c r="G32" s="9"/>
      <c r="H32" s="9"/>
      <c r="I32" s="7"/>
      <c r="J32" s="7"/>
      <c r="K32" s="7"/>
      <c r="L32" s="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32">
        <v>1</v>
      </c>
      <c r="Z32" s="7"/>
      <c r="AA32" s="9"/>
      <c r="AB32" s="85">
        <v>0</v>
      </c>
      <c r="AC32" s="7"/>
      <c r="AD32" s="7"/>
      <c r="AE32" s="38"/>
      <c r="AF32" s="29"/>
      <c r="AG32" s="7"/>
      <c r="AH32" s="7"/>
      <c r="AI32" s="7" t="s">
        <v>62</v>
      </c>
      <c r="AJ32" s="8" t="s">
        <v>103</v>
      </c>
      <c r="AK32" s="8" t="s">
        <v>64</v>
      </c>
      <c r="AL32" s="41" t="s">
        <v>112</v>
      </c>
      <c r="AM32" s="42"/>
    </row>
    <row r="33" spans="1:39" s="31" customFormat="1" ht="25.5" customHeight="1">
      <c r="A33" s="29"/>
      <c r="B33" s="132">
        <v>10</v>
      </c>
      <c r="C33" s="29" t="s">
        <v>57</v>
      </c>
      <c r="D33" s="132"/>
      <c r="E33" s="132"/>
      <c r="F33" s="132">
        <v>4</v>
      </c>
      <c r="G33" s="9"/>
      <c r="H33" s="9"/>
      <c r="I33" s="7"/>
      <c r="J33" s="7"/>
      <c r="K33" s="7"/>
      <c r="L33" s="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32">
        <v>4</v>
      </c>
      <c r="Z33" s="7"/>
      <c r="AA33" s="9"/>
      <c r="AB33" s="85">
        <v>0</v>
      </c>
      <c r="AC33" s="7"/>
      <c r="AD33" s="7"/>
      <c r="AE33" s="38"/>
      <c r="AF33" s="29"/>
      <c r="AG33" s="7"/>
      <c r="AH33" s="7"/>
      <c r="AI33" s="7" t="s">
        <v>62</v>
      </c>
      <c r="AJ33" s="8" t="s">
        <v>103</v>
      </c>
      <c r="AK33" s="8" t="s">
        <v>64</v>
      </c>
      <c r="AL33" s="41" t="s">
        <v>112</v>
      </c>
      <c r="AM33" s="42"/>
    </row>
    <row r="34" spans="1:39" s="31" customFormat="1" ht="25.5" customHeight="1">
      <c r="A34" s="102"/>
      <c r="B34" s="132">
        <v>11</v>
      </c>
      <c r="C34" s="29" t="s">
        <v>87</v>
      </c>
      <c r="D34" s="132"/>
      <c r="E34" s="132"/>
      <c r="F34" s="132">
        <v>1</v>
      </c>
      <c r="G34" s="9"/>
      <c r="H34" s="9"/>
      <c r="I34" s="7"/>
      <c r="J34" s="7"/>
      <c r="K34" s="7"/>
      <c r="L34" s="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32">
        <v>1</v>
      </c>
      <c r="Z34" s="7"/>
      <c r="AA34" s="9"/>
      <c r="AB34" s="85">
        <v>0</v>
      </c>
      <c r="AC34" s="7"/>
      <c r="AD34" s="7"/>
      <c r="AE34" s="38"/>
      <c r="AF34" s="29"/>
      <c r="AG34" s="7"/>
      <c r="AH34" s="7"/>
      <c r="AI34" s="7" t="s">
        <v>62</v>
      </c>
      <c r="AJ34" s="8" t="s">
        <v>103</v>
      </c>
      <c r="AK34" s="8" t="s">
        <v>64</v>
      </c>
      <c r="AL34" s="41" t="s">
        <v>112</v>
      </c>
      <c r="AM34" s="42"/>
    </row>
    <row r="35" spans="1:39" s="15" customFormat="1" ht="27" customHeight="1">
      <c r="A35" s="123"/>
      <c r="B35" s="127" t="s">
        <v>106</v>
      </c>
      <c r="C35" s="43" t="s">
        <v>122</v>
      </c>
      <c r="D35" s="129"/>
      <c r="E35" s="134"/>
      <c r="F35" s="44"/>
      <c r="G35" s="129"/>
      <c r="H35" s="129"/>
      <c r="I35" s="129"/>
      <c r="J35" s="129"/>
      <c r="K35" s="134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34"/>
      <c r="Y35" s="129"/>
      <c r="Z35" s="129"/>
      <c r="AA35" s="134"/>
      <c r="AB35" s="87"/>
      <c r="AC35" s="129"/>
      <c r="AD35" s="129"/>
      <c r="AE35" s="129"/>
      <c r="AF35" s="129"/>
      <c r="AG35" s="99"/>
      <c r="AH35" s="99"/>
      <c r="AI35" s="129"/>
      <c r="AJ35" s="160"/>
      <c r="AK35" s="160"/>
      <c r="AL35" s="160"/>
      <c r="AM35" s="133"/>
    </row>
    <row r="36" spans="1:39" s="31" customFormat="1" ht="63.75" customHeight="1">
      <c r="A36" s="29"/>
      <c r="B36" s="132">
        <v>1</v>
      </c>
      <c r="C36" s="29" t="s">
        <v>55</v>
      </c>
      <c r="D36" s="132"/>
      <c r="E36" s="132"/>
      <c r="F36" s="132">
        <v>1</v>
      </c>
      <c r="G36" s="9"/>
      <c r="H36" s="9"/>
      <c r="I36" s="7"/>
      <c r="J36" s="7"/>
      <c r="K36" s="7"/>
      <c r="L36" s="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32">
        <v>1</v>
      </c>
      <c r="Z36" s="7"/>
      <c r="AA36" s="9"/>
      <c r="AB36" s="85">
        <v>0</v>
      </c>
      <c r="AC36" s="7"/>
      <c r="AD36" s="7"/>
      <c r="AE36" s="38"/>
      <c r="AF36" s="29"/>
      <c r="AG36" s="7"/>
      <c r="AH36" s="7"/>
      <c r="AI36" s="7" t="s">
        <v>62</v>
      </c>
      <c r="AJ36" s="8" t="s">
        <v>113</v>
      </c>
      <c r="AK36" s="8" t="s">
        <v>90</v>
      </c>
      <c r="AL36" s="45" t="s">
        <v>112</v>
      </c>
      <c r="AM36" s="41" t="s">
        <v>124</v>
      </c>
    </row>
    <row r="37" spans="1:39" s="31" customFormat="1" ht="63.75" customHeight="1">
      <c r="A37" s="29"/>
      <c r="B37" s="132">
        <v>2</v>
      </c>
      <c r="C37" s="29" t="s">
        <v>56</v>
      </c>
      <c r="D37" s="132"/>
      <c r="E37" s="132"/>
      <c r="F37" s="132">
        <v>1</v>
      </c>
      <c r="G37" s="9"/>
      <c r="H37" s="9"/>
      <c r="I37" s="7"/>
      <c r="J37" s="7"/>
      <c r="K37" s="7"/>
      <c r="L37" s="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32">
        <v>1</v>
      </c>
      <c r="Z37" s="7"/>
      <c r="AA37" s="9"/>
      <c r="AB37" s="85">
        <v>0</v>
      </c>
      <c r="AC37" s="7"/>
      <c r="AD37" s="7"/>
      <c r="AE37" s="38"/>
      <c r="AF37" s="29"/>
      <c r="AG37" s="7"/>
      <c r="AH37" s="7"/>
      <c r="AI37" s="7" t="s">
        <v>62</v>
      </c>
      <c r="AJ37" s="8" t="s">
        <v>113</v>
      </c>
      <c r="AK37" s="8" t="s">
        <v>64</v>
      </c>
      <c r="AL37" s="41" t="s">
        <v>112</v>
      </c>
      <c r="AM37" s="41" t="s">
        <v>124</v>
      </c>
    </row>
    <row r="38" spans="1:39" s="31" customFormat="1" ht="27.75" customHeight="1">
      <c r="B38" s="127" t="s">
        <v>38</v>
      </c>
      <c r="C38" s="43" t="s">
        <v>140</v>
      </c>
      <c r="D38" s="132"/>
      <c r="E38" s="132"/>
      <c r="F38" s="132"/>
      <c r="G38" s="9"/>
      <c r="H38" s="9"/>
      <c r="I38" s="7"/>
      <c r="J38" s="7"/>
      <c r="K38" s="7"/>
      <c r="L38" s="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32"/>
      <c r="Z38" s="7"/>
      <c r="AA38" s="9"/>
      <c r="AB38" s="85"/>
      <c r="AC38" s="7"/>
      <c r="AD38" s="7"/>
      <c r="AE38" s="38"/>
      <c r="AF38" s="29"/>
      <c r="AG38" s="7"/>
      <c r="AH38" s="7"/>
      <c r="AI38" s="7"/>
      <c r="AJ38" s="8"/>
      <c r="AK38" s="8"/>
      <c r="AL38" s="41"/>
      <c r="AM38" s="41"/>
    </row>
    <row r="39" spans="1:39" s="31" customFormat="1" ht="27.75" customHeight="1">
      <c r="B39" s="132">
        <v>2</v>
      </c>
      <c r="C39" s="105" t="s">
        <v>141</v>
      </c>
      <c r="D39" s="106" t="s">
        <v>143</v>
      </c>
      <c r="E39" s="106">
        <v>2017</v>
      </c>
      <c r="F39" s="106">
        <v>1</v>
      </c>
      <c r="G39" s="9"/>
      <c r="H39" s="9"/>
      <c r="I39" s="7"/>
      <c r="J39" s="7"/>
      <c r="K39" s="7"/>
      <c r="L39" s="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06">
        <v>1</v>
      </c>
      <c r="Z39" s="7"/>
      <c r="AA39" s="9"/>
      <c r="AB39" s="85">
        <v>0</v>
      </c>
      <c r="AC39" s="7"/>
      <c r="AD39" s="7"/>
      <c r="AE39" s="38"/>
      <c r="AF39" s="29"/>
      <c r="AG39" s="103">
        <v>1230000</v>
      </c>
      <c r="AH39" s="103">
        <v>1230000</v>
      </c>
      <c r="AI39" s="7" t="s">
        <v>62</v>
      </c>
      <c r="AJ39" s="8"/>
      <c r="AK39" s="8" t="s">
        <v>64</v>
      </c>
      <c r="AL39" s="41" t="s">
        <v>161</v>
      </c>
      <c r="AM39" s="41" t="s">
        <v>162</v>
      </c>
    </row>
    <row r="40" spans="1:39" s="31" customFormat="1" ht="27.75" customHeight="1">
      <c r="B40" s="132">
        <v>3</v>
      </c>
      <c r="C40" s="105" t="s">
        <v>141</v>
      </c>
      <c r="D40" s="106" t="s">
        <v>144</v>
      </c>
      <c r="E40" s="106">
        <v>2017</v>
      </c>
      <c r="F40" s="106">
        <v>1</v>
      </c>
      <c r="G40" s="9"/>
      <c r="H40" s="9"/>
      <c r="I40" s="7"/>
      <c r="J40" s="7"/>
      <c r="K40" s="7"/>
      <c r="L40" s="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06">
        <v>1</v>
      </c>
      <c r="Z40" s="7"/>
      <c r="AA40" s="9"/>
      <c r="AB40" s="85">
        <v>0</v>
      </c>
      <c r="AC40" s="7"/>
      <c r="AD40" s="7"/>
      <c r="AE40" s="38"/>
      <c r="AF40" s="29"/>
      <c r="AG40" s="103">
        <v>1230000</v>
      </c>
      <c r="AH40" s="103">
        <v>1230000</v>
      </c>
      <c r="AI40" s="7" t="s">
        <v>62</v>
      </c>
      <c r="AJ40" s="8"/>
      <c r="AK40" s="8" t="s">
        <v>160</v>
      </c>
      <c r="AL40" s="41" t="s">
        <v>161</v>
      </c>
      <c r="AM40" s="41" t="s">
        <v>162</v>
      </c>
    </row>
    <row r="41" spans="1:39" s="31" customFormat="1" ht="27.75" customHeight="1">
      <c r="B41" s="132">
        <v>4</v>
      </c>
      <c r="C41" s="105" t="s">
        <v>141</v>
      </c>
      <c r="D41" s="106" t="s">
        <v>145</v>
      </c>
      <c r="E41" s="106">
        <v>2017</v>
      </c>
      <c r="F41" s="106">
        <v>1</v>
      </c>
      <c r="G41" s="9"/>
      <c r="H41" s="9"/>
      <c r="I41" s="7"/>
      <c r="J41" s="7"/>
      <c r="K41" s="7"/>
      <c r="L41" s="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06">
        <v>1</v>
      </c>
      <c r="Z41" s="7"/>
      <c r="AA41" s="9"/>
      <c r="AB41" s="85">
        <v>0</v>
      </c>
      <c r="AC41" s="7"/>
      <c r="AD41" s="7"/>
      <c r="AE41" s="38"/>
      <c r="AF41" s="29"/>
      <c r="AG41" s="103">
        <v>1230000</v>
      </c>
      <c r="AH41" s="103">
        <v>1230000</v>
      </c>
      <c r="AI41" s="7" t="s">
        <v>62</v>
      </c>
      <c r="AJ41" s="8"/>
      <c r="AK41" s="8" t="s">
        <v>64</v>
      </c>
      <c r="AL41" s="41" t="s">
        <v>161</v>
      </c>
      <c r="AM41" s="41" t="s">
        <v>162</v>
      </c>
    </row>
    <row r="42" spans="1:39" s="31" customFormat="1" ht="27.75" customHeight="1">
      <c r="B42" s="132">
        <v>5</v>
      </c>
      <c r="C42" s="105" t="s">
        <v>141</v>
      </c>
      <c r="D42" s="106" t="s">
        <v>146</v>
      </c>
      <c r="E42" s="106">
        <v>2017</v>
      </c>
      <c r="F42" s="106">
        <v>1</v>
      </c>
      <c r="G42" s="9"/>
      <c r="H42" s="9"/>
      <c r="I42" s="7"/>
      <c r="J42" s="7"/>
      <c r="K42" s="7"/>
      <c r="L42" s="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06">
        <v>1</v>
      </c>
      <c r="Z42" s="7"/>
      <c r="AA42" s="9"/>
      <c r="AB42" s="85">
        <v>0</v>
      </c>
      <c r="AC42" s="7"/>
      <c r="AD42" s="7"/>
      <c r="AE42" s="38"/>
      <c r="AF42" s="29"/>
      <c r="AG42" s="103">
        <v>1230000</v>
      </c>
      <c r="AH42" s="103">
        <v>1230000</v>
      </c>
      <c r="AI42" s="7" t="s">
        <v>62</v>
      </c>
      <c r="AJ42" s="8"/>
      <c r="AK42" s="8" t="s">
        <v>64</v>
      </c>
      <c r="AL42" s="41" t="s">
        <v>161</v>
      </c>
      <c r="AM42" s="41" t="s">
        <v>162</v>
      </c>
    </row>
    <row r="43" spans="1:39" s="31" customFormat="1" ht="27.75" customHeight="1">
      <c r="B43" s="132">
        <v>6</v>
      </c>
      <c r="C43" s="105" t="s">
        <v>147</v>
      </c>
      <c r="D43" s="106" t="s">
        <v>148</v>
      </c>
      <c r="E43" s="106">
        <v>2017</v>
      </c>
      <c r="F43" s="106">
        <v>1</v>
      </c>
      <c r="G43" s="9"/>
      <c r="H43" s="9"/>
      <c r="I43" s="7"/>
      <c r="J43" s="7"/>
      <c r="K43" s="7"/>
      <c r="L43" s="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06">
        <v>1</v>
      </c>
      <c r="Z43" s="7"/>
      <c r="AA43" s="9"/>
      <c r="AB43" s="85">
        <v>0</v>
      </c>
      <c r="AC43" s="7"/>
      <c r="AD43" s="7"/>
      <c r="AE43" s="38"/>
      <c r="AF43" s="29"/>
      <c r="AG43" s="103">
        <v>4050000</v>
      </c>
      <c r="AH43" s="103">
        <v>4050000</v>
      </c>
      <c r="AI43" s="7" t="s">
        <v>62</v>
      </c>
      <c r="AJ43" s="8"/>
      <c r="AK43" s="8" t="s">
        <v>64</v>
      </c>
      <c r="AL43" s="41" t="s">
        <v>161</v>
      </c>
      <c r="AM43" s="41" t="s">
        <v>162</v>
      </c>
    </row>
    <row r="44" spans="1:39" s="31" customFormat="1" ht="27.75" customHeight="1">
      <c r="B44" s="132">
        <v>7</v>
      </c>
      <c r="C44" s="105" t="s">
        <v>149</v>
      </c>
      <c r="D44" s="106" t="s">
        <v>150</v>
      </c>
      <c r="E44" s="106">
        <v>2017</v>
      </c>
      <c r="F44" s="106">
        <v>1</v>
      </c>
      <c r="G44" s="9"/>
      <c r="H44" s="9"/>
      <c r="I44" s="7"/>
      <c r="J44" s="7"/>
      <c r="K44" s="7"/>
      <c r="L44" s="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06">
        <v>1</v>
      </c>
      <c r="Z44" s="7"/>
      <c r="AA44" s="9"/>
      <c r="AB44" s="85">
        <v>0</v>
      </c>
      <c r="AC44" s="7"/>
      <c r="AD44" s="7"/>
      <c r="AE44" s="38"/>
      <c r="AF44" s="29"/>
      <c r="AG44" s="103">
        <v>3540000</v>
      </c>
      <c r="AH44" s="103">
        <v>3540000</v>
      </c>
      <c r="AI44" s="7" t="s">
        <v>62</v>
      </c>
      <c r="AJ44" s="8"/>
      <c r="AK44" s="8" t="s">
        <v>64</v>
      </c>
      <c r="AL44" s="41" t="s">
        <v>161</v>
      </c>
      <c r="AM44" s="41" t="s">
        <v>162</v>
      </c>
    </row>
    <row r="45" spans="1:39" s="31" customFormat="1" ht="27.75" customHeight="1">
      <c r="B45" s="132">
        <v>8</v>
      </c>
      <c r="C45" s="105" t="s">
        <v>149</v>
      </c>
      <c r="D45" s="106" t="s">
        <v>151</v>
      </c>
      <c r="E45" s="106">
        <v>2017</v>
      </c>
      <c r="F45" s="106">
        <v>1</v>
      </c>
      <c r="G45" s="9"/>
      <c r="H45" s="9"/>
      <c r="I45" s="7"/>
      <c r="J45" s="7"/>
      <c r="K45" s="7"/>
      <c r="L45" s="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06">
        <v>1</v>
      </c>
      <c r="Z45" s="7"/>
      <c r="AA45" s="9"/>
      <c r="AB45" s="85">
        <v>0</v>
      </c>
      <c r="AC45" s="7"/>
      <c r="AD45" s="7"/>
      <c r="AE45" s="38"/>
      <c r="AF45" s="29"/>
      <c r="AG45" s="103">
        <v>3540000</v>
      </c>
      <c r="AH45" s="103">
        <v>3540000</v>
      </c>
      <c r="AI45" s="7" t="s">
        <v>62</v>
      </c>
      <c r="AJ45" s="8"/>
      <c r="AK45" s="8" t="s">
        <v>64</v>
      </c>
      <c r="AL45" s="41" t="s">
        <v>161</v>
      </c>
      <c r="AM45" s="41" t="s">
        <v>162</v>
      </c>
    </row>
    <row r="46" spans="1:39" s="31" customFormat="1" ht="27.75" customHeight="1">
      <c r="B46" s="132">
        <v>9</v>
      </c>
      <c r="C46" s="105" t="s">
        <v>152</v>
      </c>
      <c r="D46" s="106" t="s">
        <v>153</v>
      </c>
      <c r="E46" s="106">
        <v>2015</v>
      </c>
      <c r="F46" s="106">
        <v>1</v>
      </c>
      <c r="G46" s="9"/>
      <c r="H46" s="9"/>
      <c r="I46" s="7"/>
      <c r="J46" s="7"/>
      <c r="K46" s="7"/>
      <c r="L46" s="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06">
        <v>1</v>
      </c>
      <c r="Z46" s="7"/>
      <c r="AA46" s="9"/>
      <c r="AB46" s="85">
        <v>0</v>
      </c>
      <c r="AC46" s="7"/>
      <c r="AD46" s="7"/>
      <c r="AE46" s="38"/>
      <c r="AF46" s="29"/>
      <c r="AG46" s="103">
        <v>352000</v>
      </c>
      <c r="AH46" s="103">
        <v>352000</v>
      </c>
      <c r="AI46" s="7" t="s">
        <v>62</v>
      </c>
      <c r="AJ46" s="8"/>
      <c r="AK46" s="8" t="s">
        <v>64</v>
      </c>
      <c r="AL46" s="41" t="s">
        <v>161</v>
      </c>
      <c r="AM46" s="41" t="s">
        <v>162</v>
      </c>
    </row>
    <row r="47" spans="1:39" s="31" customFormat="1" ht="27.75" customHeight="1">
      <c r="B47" s="132">
        <v>10</v>
      </c>
      <c r="C47" s="105" t="s">
        <v>152</v>
      </c>
      <c r="D47" s="106" t="s">
        <v>154</v>
      </c>
      <c r="E47" s="106">
        <v>2015</v>
      </c>
      <c r="F47" s="106">
        <v>1</v>
      </c>
      <c r="G47" s="9"/>
      <c r="H47" s="9"/>
      <c r="I47" s="7"/>
      <c r="J47" s="7"/>
      <c r="K47" s="7"/>
      <c r="L47" s="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106">
        <v>1</v>
      </c>
      <c r="Z47" s="7"/>
      <c r="AA47" s="9"/>
      <c r="AB47" s="85">
        <v>0</v>
      </c>
      <c r="AC47" s="7"/>
      <c r="AD47" s="7"/>
      <c r="AE47" s="38"/>
      <c r="AF47" s="29"/>
      <c r="AG47" s="103">
        <v>352000</v>
      </c>
      <c r="AH47" s="103">
        <v>352000</v>
      </c>
      <c r="AI47" s="7" t="s">
        <v>62</v>
      </c>
      <c r="AJ47" s="8"/>
      <c r="AK47" s="8" t="s">
        <v>64</v>
      </c>
      <c r="AL47" s="41" t="s">
        <v>161</v>
      </c>
      <c r="AM47" s="41" t="s">
        <v>162</v>
      </c>
    </row>
    <row r="48" spans="1:39" s="31" customFormat="1" ht="27.75" customHeight="1">
      <c r="B48" s="132">
        <v>11</v>
      </c>
      <c r="C48" s="105" t="s">
        <v>152</v>
      </c>
      <c r="D48" s="106" t="s">
        <v>155</v>
      </c>
      <c r="E48" s="106">
        <v>2015</v>
      </c>
      <c r="F48" s="106">
        <v>1</v>
      </c>
      <c r="G48" s="9"/>
      <c r="H48" s="9"/>
      <c r="I48" s="7"/>
      <c r="J48" s="7"/>
      <c r="K48" s="7"/>
      <c r="L48" s="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106">
        <v>1</v>
      </c>
      <c r="Z48" s="7"/>
      <c r="AA48" s="9"/>
      <c r="AB48" s="85">
        <v>0</v>
      </c>
      <c r="AC48" s="7"/>
      <c r="AD48" s="7"/>
      <c r="AE48" s="38"/>
      <c r="AF48" s="29"/>
      <c r="AG48" s="103">
        <v>352000</v>
      </c>
      <c r="AH48" s="103">
        <v>352000</v>
      </c>
      <c r="AI48" s="7" t="s">
        <v>62</v>
      </c>
      <c r="AJ48" s="8"/>
      <c r="AK48" s="8" t="s">
        <v>64</v>
      </c>
      <c r="AL48" s="41" t="s">
        <v>161</v>
      </c>
      <c r="AM48" s="41" t="s">
        <v>162</v>
      </c>
    </row>
    <row r="49" spans="1:40" s="31" customFormat="1" ht="27.75" customHeight="1">
      <c r="B49" s="132">
        <v>12</v>
      </c>
      <c r="C49" s="105" t="s">
        <v>156</v>
      </c>
      <c r="D49" s="106" t="s">
        <v>157</v>
      </c>
      <c r="E49" s="106"/>
      <c r="F49" s="106">
        <v>5</v>
      </c>
      <c r="G49" s="9"/>
      <c r="H49" s="9"/>
      <c r="I49" s="7"/>
      <c r="J49" s="7"/>
      <c r="K49" s="7"/>
      <c r="L49" s="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06">
        <v>5</v>
      </c>
      <c r="Z49" s="7"/>
      <c r="AA49" s="9"/>
      <c r="AB49" s="85">
        <v>0</v>
      </c>
      <c r="AC49" s="7"/>
      <c r="AD49" s="7"/>
      <c r="AE49" s="38"/>
      <c r="AF49" s="29"/>
      <c r="AG49" s="103">
        <v>150000</v>
      </c>
      <c r="AH49" s="103">
        <v>750000</v>
      </c>
      <c r="AI49" s="7" t="s">
        <v>62</v>
      </c>
      <c r="AJ49" s="8"/>
      <c r="AK49" s="8" t="s">
        <v>64</v>
      </c>
      <c r="AL49" s="41" t="s">
        <v>161</v>
      </c>
      <c r="AM49" s="41" t="s">
        <v>162</v>
      </c>
    </row>
    <row r="50" spans="1:40" s="31" customFormat="1" ht="27.75" customHeight="1">
      <c r="B50" s="132">
        <v>13</v>
      </c>
      <c r="C50" s="105" t="s">
        <v>158</v>
      </c>
      <c r="D50" s="106" t="s">
        <v>159</v>
      </c>
      <c r="E50" s="106"/>
      <c r="F50" s="106">
        <v>2</v>
      </c>
      <c r="G50" s="9"/>
      <c r="H50" s="9"/>
      <c r="I50" s="7"/>
      <c r="J50" s="7"/>
      <c r="K50" s="7"/>
      <c r="L50" s="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06">
        <v>2</v>
      </c>
      <c r="Z50" s="7"/>
      <c r="AA50" s="9"/>
      <c r="AB50" s="85">
        <v>0</v>
      </c>
      <c r="AC50" s="7"/>
      <c r="AD50" s="7"/>
      <c r="AE50" s="38"/>
      <c r="AF50" s="29"/>
      <c r="AG50" s="103">
        <v>480000</v>
      </c>
      <c r="AH50" s="103">
        <v>960000</v>
      </c>
      <c r="AI50" s="7" t="s">
        <v>62</v>
      </c>
      <c r="AJ50" s="8"/>
      <c r="AK50" s="8" t="s">
        <v>64</v>
      </c>
      <c r="AL50" s="41" t="s">
        <v>161</v>
      </c>
      <c r="AM50" s="41" t="s">
        <v>162</v>
      </c>
    </row>
    <row r="51" spans="1:40" s="31" customFormat="1" ht="20.25" customHeight="1">
      <c r="B51" s="132">
        <v>14</v>
      </c>
      <c r="C51" s="105" t="s">
        <v>165</v>
      </c>
      <c r="D51" s="106" t="s">
        <v>166</v>
      </c>
      <c r="E51" s="132"/>
      <c r="F51" s="132">
        <v>1</v>
      </c>
      <c r="G51" s="9"/>
      <c r="H51" s="9"/>
      <c r="I51" s="7"/>
      <c r="J51" s="7"/>
      <c r="K51" s="7"/>
      <c r="L51" s="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132">
        <v>1</v>
      </c>
      <c r="Z51" s="7"/>
      <c r="AA51" s="9"/>
      <c r="AB51" s="85" t="s">
        <v>167</v>
      </c>
      <c r="AC51" s="7"/>
      <c r="AD51" s="7"/>
      <c r="AE51" s="38"/>
      <c r="AF51" s="29"/>
      <c r="AG51" s="103">
        <v>1100000</v>
      </c>
      <c r="AH51" s="103">
        <v>1100000</v>
      </c>
      <c r="AI51" s="7" t="s">
        <v>62</v>
      </c>
      <c r="AJ51" s="8"/>
      <c r="AK51" s="8" t="s">
        <v>64</v>
      </c>
      <c r="AL51" s="41" t="s">
        <v>161</v>
      </c>
      <c r="AM51" s="41" t="s">
        <v>162</v>
      </c>
    </row>
    <row r="52" spans="1:40" s="31" customFormat="1" ht="18.75" customHeight="1">
      <c r="B52" s="132">
        <v>15</v>
      </c>
      <c r="C52" s="105" t="s">
        <v>158</v>
      </c>
      <c r="D52" s="106" t="s">
        <v>168</v>
      </c>
      <c r="E52" s="132"/>
      <c r="F52" s="132">
        <v>1</v>
      </c>
      <c r="G52" s="9"/>
      <c r="H52" s="9"/>
      <c r="I52" s="7"/>
      <c r="J52" s="7"/>
      <c r="K52" s="7"/>
      <c r="L52" s="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132">
        <v>1</v>
      </c>
      <c r="Z52" s="7"/>
      <c r="AA52" s="9"/>
      <c r="AB52" s="85" t="s">
        <v>167</v>
      </c>
      <c r="AC52" s="7"/>
      <c r="AD52" s="7"/>
      <c r="AE52" s="38"/>
      <c r="AF52" s="29"/>
      <c r="AG52" s="7"/>
      <c r="AH52" s="7"/>
      <c r="AI52" s="7" t="s">
        <v>62</v>
      </c>
      <c r="AJ52" s="8"/>
      <c r="AK52" s="8" t="s">
        <v>64</v>
      </c>
      <c r="AL52" s="41" t="s">
        <v>161</v>
      </c>
      <c r="AM52" s="41" t="s">
        <v>162</v>
      </c>
    </row>
    <row r="53" spans="1:40" s="31" customFormat="1" ht="21" customHeight="1">
      <c r="B53" s="132">
        <v>16</v>
      </c>
      <c r="C53" s="37" t="s">
        <v>169</v>
      </c>
      <c r="D53" s="132" t="s">
        <v>170</v>
      </c>
      <c r="E53" s="132"/>
      <c r="F53" s="132">
        <v>1</v>
      </c>
      <c r="G53" s="9"/>
      <c r="H53" s="9"/>
      <c r="I53" s="7"/>
      <c r="J53" s="7"/>
      <c r="K53" s="7"/>
      <c r="L53" s="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132">
        <v>1</v>
      </c>
      <c r="Z53" s="7"/>
      <c r="AA53" s="9"/>
      <c r="AB53" s="85" t="s">
        <v>167</v>
      </c>
      <c r="AC53" s="7"/>
      <c r="AD53" s="7"/>
      <c r="AE53" s="38"/>
      <c r="AF53" s="29"/>
      <c r="AG53" s="103">
        <v>500000</v>
      </c>
      <c r="AH53" s="138">
        <v>500000</v>
      </c>
      <c r="AI53" s="7" t="s">
        <v>62</v>
      </c>
      <c r="AJ53" s="8"/>
      <c r="AK53" s="8" t="s">
        <v>64</v>
      </c>
      <c r="AL53" s="41" t="s">
        <v>161</v>
      </c>
      <c r="AM53" s="41" t="s">
        <v>162</v>
      </c>
    </row>
    <row r="54" spans="1:40" s="31" customFormat="1" ht="19.5" customHeight="1">
      <c r="B54" s="132">
        <v>17</v>
      </c>
      <c r="C54" s="42" t="s">
        <v>171</v>
      </c>
      <c r="D54" s="132" t="s">
        <v>172</v>
      </c>
      <c r="E54" s="132"/>
      <c r="F54" s="132">
        <v>1</v>
      </c>
      <c r="G54" s="9"/>
      <c r="H54" s="9"/>
      <c r="I54" s="7"/>
      <c r="J54" s="7"/>
      <c r="K54" s="7"/>
      <c r="L54" s="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132">
        <v>1</v>
      </c>
      <c r="Z54" s="7"/>
      <c r="AA54" s="9"/>
      <c r="AB54" s="85" t="s">
        <v>167</v>
      </c>
      <c r="AC54" s="7"/>
      <c r="AD54" s="7"/>
      <c r="AE54" s="38"/>
      <c r="AF54" s="29"/>
      <c r="AG54" s="139">
        <v>2000000</v>
      </c>
      <c r="AH54" s="140">
        <v>2000000</v>
      </c>
      <c r="AI54" s="7" t="s">
        <v>62</v>
      </c>
      <c r="AJ54" s="8"/>
      <c r="AK54" s="8" t="s">
        <v>64</v>
      </c>
      <c r="AL54" s="41" t="s">
        <v>161</v>
      </c>
      <c r="AM54" s="41" t="s">
        <v>162</v>
      </c>
    </row>
    <row r="55" spans="1:40" s="31" customFormat="1" ht="14.25" customHeight="1">
      <c r="B55" s="107"/>
      <c r="C55" s="108" t="s">
        <v>181</v>
      </c>
      <c r="D55" s="109"/>
      <c r="E55" s="108"/>
      <c r="F55" s="107"/>
      <c r="G55" s="107"/>
      <c r="H55" s="110"/>
      <c r="I55" s="110"/>
      <c r="J55" s="110"/>
      <c r="K55" s="111"/>
      <c r="L55" s="111"/>
      <c r="M55" s="112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07"/>
      <c r="AA55" s="111"/>
      <c r="AB55" s="110"/>
      <c r="AC55" s="113"/>
      <c r="AD55" s="111"/>
      <c r="AE55" s="111"/>
      <c r="AF55" s="114"/>
      <c r="AG55" s="115"/>
      <c r="AH55" s="116">
        <f>SUM(AH24:AH54)</f>
        <v>59656000</v>
      </c>
      <c r="AI55" s="117"/>
      <c r="AJ55" s="107"/>
      <c r="AK55" s="107"/>
      <c r="AL55" s="118"/>
      <c r="AM55" s="119"/>
      <c r="AN55" s="120"/>
    </row>
    <row r="56" spans="1:40" s="31" customFormat="1" ht="14.25" customHeight="1">
      <c r="B56" s="46"/>
      <c r="D56" s="46"/>
      <c r="E56" s="46"/>
      <c r="F56" s="46"/>
      <c r="G56" s="47"/>
      <c r="H56" s="47"/>
      <c r="I56" s="48"/>
      <c r="J56" s="48"/>
      <c r="K56" s="48"/>
      <c r="L56" s="49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6"/>
      <c r="Z56" s="48"/>
      <c r="AA56" s="47"/>
      <c r="AB56" s="88"/>
      <c r="AC56" s="48"/>
      <c r="AD56" s="48"/>
      <c r="AE56" s="50"/>
      <c r="AG56" s="48"/>
      <c r="AH56" s="48"/>
      <c r="AI56" s="48"/>
      <c r="AJ56" s="49"/>
      <c r="AK56" s="49"/>
      <c r="AL56" s="51"/>
      <c r="AM56" s="51"/>
    </row>
    <row r="57" spans="1:40" s="15" customFormat="1">
      <c r="A57" s="123"/>
      <c r="E57" s="123"/>
      <c r="F57" s="52"/>
      <c r="K57" s="123"/>
      <c r="X57" s="123"/>
      <c r="AA57" s="123"/>
      <c r="AB57" s="89"/>
      <c r="AG57" s="100"/>
      <c r="AH57" s="100"/>
      <c r="AI57" s="146" t="s">
        <v>173</v>
      </c>
      <c r="AJ57" s="146"/>
      <c r="AK57" s="146"/>
      <c r="AL57" s="146"/>
      <c r="AM57" s="146"/>
    </row>
    <row r="58" spans="1:40" s="15" customFormat="1">
      <c r="A58" s="123"/>
      <c r="B58" s="15" t="s">
        <v>83</v>
      </c>
      <c r="E58" s="146" t="s">
        <v>86</v>
      </c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01"/>
      <c r="AH58" s="101"/>
      <c r="AI58" s="146" t="s">
        <v>74</v>
      </c>
      <c r="AJ58" s="146"/>
      <c r="AK58" s="146" t="s">
        <v>72</v>
      </c>
      <c r="AL58" s="146"/>
      <c r="AM58" s="146"/>
    </row>
    <row r="59" spans="1:40" s="15" customFormat="1" ht="21" customHeight="1">
      <c r="A59" s="123" t="s">
        <v>84</v>
      </c>
      <c r="B59" s="123" t="s">
        <v>84</v>
      </c>
      <c r="C59" s="15" t="s">
        <v>118</v>
      </c>
      <c r="D59" s="10"/>
      <c r="E59" s="123"/>
      <c r="F59" s="52"/>
      <c r="K59" s="123"/>
      <c r="X59" s="123"/>
      <c r="AA59" s="123"/>
      <c r="AB59" s="89"/>
      <c r="AG59" s="100"/>
      <c r="AH59" s="100"/>
      <c r="AK59" s="123"/>
      <c r="AM59" s="95"/>
    </row>
    <row r="60" spans="1:40" s="15" customFormat="1" ht="21" customHeight="1">
      <c r="A60" s="123" t="s">
        <v>84</v>
      </c>
      <c r="B60" s="123" t="s">
        <v>84</v>
      </c>
      <c r="C60" s="15" t="s">
        <v>120</v>
      </c>
      <c r="D60" s="10"/>
      <c r="E60" s="123"/>
      <c r="F60" s="52"/>
      <c r="K60" s="123"/>
      <c r="X60" s="123"/>
      <c r="AA60" s="123"/>
      <c r="AB60" s="89"/>
      <c r="AG60" s="100"/>
      <c r="AH60" s="100"/>
      <c r="AK60" s="123"/>
      <c r="AM60" s="95"/>
    </row>
    <row r="61" spans="1:40" s="15" customFormat="1" ht="21" customHeight="1">
      <c r="A61" s="123" t="s">
        <v>84</v>
      </c>
      <c r="B61" s="123" t="s">
        <v>84</v>
      </c>
      <c r="C61" s="15" t="s">
        <v>129</v>
      </c>
      <c r="D61" s="10"/>
      <c r="E61" s="123"/>
      <c r="F61" s="52"/>
      <c r="K61" s="123"/>
      <c r="X61" s="123"/>
      <c r="AA61" s="123"/>
      <c r="AB61" s="89"/>
      <c r="AG61" s="100"/>
      <c r="AH61" s="100"/>
      <c r="AK61" s="123"/>
      <c r="AM61" s="95"/>
    </row>
    <row r="62" spans="1:40" s="15" customFormat="1" ht="21" customHeight="1">
      <c r="A62" s="123" t="s">
        <v>84</v>
      </c>
      <c r="B62" s="123" t="s">
        <v>84</v>
      </c>
      <c r="C62" s="15" t="s">
        <v>175</v>
      </c>
      <c r="D62" s="10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01"/>
      <c r="AH62" s="101"/>
      <c r="AI62" s="146" t="s">
        <v>174</v>
      </c>
      <c r="AJ62" s="146"/>
      <c r="AK62" s="146" t="s">
        <v>125</v>
      </c>
      <c r="AL62" s="146"/>
      <c r="AM62" s="146"/>
    </row>
    <row r="63" spans="1:40" s="15" customFormat="1" ht="23.25" customHeight="1">
      <c r="B63" s="123"/>
      <c r="D63" s="10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01"/>
      <c r="AH63" s="101"/>
      <c r="AI63" s="146"/>
      <c r="AJ63" s="146"/>
      <c r="AK63" s="146"/>
      <c r="AL63" s="146"/>
      <c r="AM63" s="146"/>
    </row>
    <row r="64" spans="1:40" s="31" customFormat="1" ht="49.5" customHeight="1">
      <c r="A64" s="31">
        <v>0</v>
      </c>
      <c r="B64" s="132">
        <v>1</v>
      </c>
      <c r="C64" s="105" t="s">
        <v>141</v>
      </c>
      <c r="D64" s="106" t="s">
        <v>142</v>
      </c>
      <c r="E64" s="106">
        <v>2017</v>
      </c>
      <c r="F64" s="106">
        <v>0</v>
      </c>
      <c r="G64" s="9"/>
      <c r="H64" s="9"/>
      <c r="I64" s="7"/>
      <c r="J64" s="7"/>
      <c r="K64" s="7"/>
      <c r="L64" s="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106">
        <v>1</v>
      </c>
      <c r="Z64" s="7"/>
      <c r="AA64" s="9"/>
      <c r="AB64" s="85" t="s">
        <v>134</v>
      </c>
      <c r="AC64" s="7"/>
      <c r="AD64" s="7"/>
      <c r="AE64" s="38"/>
      <c r="AF64" s="29"/>
      <c r="AG64" s="103">
        <v>1230000</v>
      </c>
      <c r="AH64" s="103">
        <v>1230000</v>
      </c>
      <c r="AI64" s="7" t="s">
        <v>62</v>
      </c>
      <c r="AJ64" s="8"/>
      <c r="AK64" s="8" t="s">
        <v>64</v>
      </c>
      <c r="AL64" s="41" t="s">
        <v>180</v>
      </c>
      <c r="AM64" s="41" t="s">
        <v>179</v>
      </c>
    </row>
    <row r="93" spans="1:39">
      <c r="A93" s="161" t="s">
        <v>91</v>
      </c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</row>
    <row r="95" spans="1:39" s="31" customFormat="1" ht="36.75" customHeight="1">
      <c r="A95" s="29"/>
      <c r="B95" s="36">
        <v>1</v>
      </c>
      <c r="C95" s="55" t="s">
        <v>50</v>
      </c>
      <c r="D95" s="56"/>
      <c r="E95" s="132"/>
      <c r="F95" s="8">
        <v>1</v>
      </c>
      <c r="G95" s="9"/>
      <c r="H95" s="9"/>
      <c r="I95" s="9"/>
      <c r="J95" s="7"/>
      <c r="K95" s="7"/>
      <c r="L95" s="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132">
        <v>1</v>
      </c>
      <c r="Z95" s="7"/>
      <c r="AA95" s="9"/>
      <c r="AB95" s="85"/>
      <c r="AC95" s="7"/>
      <c r="AD95" s="7"/>
      <c r="AE95" s="57"/>
      <c r="AF95" s="29"/>
      <c r="AG95" s="7"/>
      <c r="AH95" s="7"/>
      <c r="AI95" s="7" t="s">
        <v>62</v>
      </c>
      <c r="AJ95" s="8" t="s">
        <v>63</v>
      </c>
      <c r="AK95" s="8" t="s">
        <v>67</v>
      </c>
      <c r="AL95" s="41" t="s">
        <v>65</v>
      </c>
      <c r="AM95" s="42" t="s">
        <v>89</v>
      </c>
    </row>
    <row r="96" spans="1:39" s="31" customFormat="1" ht="45.75" customHeight="1">
      <c r="A96" s="29"/>
      <c r="B96" s="132">
        <v>2</v>
      </c>
      <c r="C96" s="29" t="s">
        <v>51</v>
      </c>
      <c r="D96" s="58"/>
      <c r="E96" s="132"/>
      <c r="F96" s="132">
        <v>2</v>
      </c>
      <c r="G96" s="9"/>
      <c r="H96" s="9"/>
      <c r="I96" s="9"/>
      <c r="J96" s="7"/>
      <c r="K96" s="7"/>
      <c r="L96" s="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132">
        <v>2</v>
      </c>
      <c r="Z96" s="7"/>
      <c r="AA96" s="9"/>
      <c r="AB96" s="86"/>
      <c r="AC96" s="7"/>
      <c r="AD96" s="7"/>
      <c r="AE96" s="40"/>
      <c r="AF96" s="29"/>
      <c r="AG96" s="7"/>
      <c r="AH96" s="7"/>
      <c r="AI96" s="7" t="s">
        <v>62</v>
      </c>
      <c r="AJ96" s="132" t="s">
        <v>63</v>
      </c>
      <c r="AK96" s="8" t="s">
        <v>67</v>
      </c>
      <c r="AL96" s="41" t="s">
        <v>65</v>
      </c>
      <c r="AM96" s="42" t="s">
        <v>89</v>
      </c>
    </row>
    <row r="97" spans="1:39" s="31" customFormat="1" ht="26.25" customHeight="1">
      <c r="A97" s="29"/>
      <c r="B97" s="36">
        <v>11</v>
      </c>
      <c r="C97" s="29" t="s">
        <v>57</v>
      </c>
      <c r="D97" s="58"/>
      <c r="E97" s="132"/>
      <c r="F97" s="132">
        <v>1</v>
      </c>
      <c r="G97" s="9"/>
      <c r="H97" s="9"/>
      <c r="I97" s="7"/>
      <c r="J97" s="7"/>
      <c r="K97" s="7"/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132">
        <v>1</v>
      </c>
      <c r="Z97" s="7"/>
      <c r="AA97" s="9"/>
      <c r="AB97" s="85"/>
      <c r="AC97" s="7"/>
      <c r="AD97" s="7"/>
      <c r="AE97" s="38"/>
      <c r="AF97" s="29"/>
      <c r="AG97" s="7"/>
      <c r="AH97" s="7"/>
      <c r="AI97" s="7" t="s">
        <v>62</v>
      </c>
      <c r="AJ97" s="132" t="s">
        <v>63</v>
      </c>
      <c r="AK97" s="8" t="s">
        <v>90</v>
      </c>
      <c r="AL97" s="7"/>
      <c r="AM97" s="42" t="s">
        <v>69</v>
      </c>
    </row>
    <row r="98" spans="1:39" s="31" customFormat="1" ht="36.75" customHeight="1">
      <c r="A98" s="29"/>
      <c r="B98" s="132">
        <v>12</v>
      </c>
      <c r="C98" s="29" t="s">
        <v>52</v>
      </c>
      <c r="D98" s="58"/>
      <c r="E98" s="132"/>
      <c r="F98" s="132">
        <v>1</v>
      </c>
      <c r="G98" s="9"/>
      <c r="H98" s="9"/>
      <c r="I98" s="7"/>
      <c r="J98" s="7"/>
      <c r="K98" s="7"/>
      <c r="L98" s="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132">
        <v>1</v>
      </c>
      <c r="Z98" s="7"/>
      <c r="AA98" s="9"/>
      <c r="AB98" s="85"/>
      <c r="AC98" s="7"/>
      <c r="AD98" s="7"/>
      <c r="AE98" s="38"/>
      <c r="AF98" s="29"/>
      <c r="AG98" s="7"/>
      <c r="AH98" s="7"/>
      <c r="AI98" s="7" t="s">
        <v>62</v>
      </c>
      <c r="AJ98" s="132" t="s">
        <v>63</v>
      </c>
      <c r="AK98" s="8" t="s">
        <v>68</v>
      </c>
      <c r="AL98" s="41" t="s">
        <v>65</v>
      </c>
      <c r="AM98" s="42" t="s">
        <v>89</v>
      </c>
    </row>
    <row r="99" spans="1:39" s="31" customFormat="1" ht="18.75" customHeight="1">
      <c r="A99" s="29"/>
      <c r="B99" s="132">
        <v>14</v>
      </c>
      <c r="C99" s="39" t="s">
        <v>58</v>
      </c>
      <c r="D99" s="58"/>
      <c r="E99" s="132"/>
      <c r="F99" s="59">
        <v>1</v>
      </c>
      <c r="G99" s="9"/>
      <c r="H99" s="9"/>
      <c r="I99" s="7"/>
      <c r="J99" s="7"/>
      <c r="K99" s="7"/>
      <c r="L99" s="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59">
        <v>1</v>
      </c>
      <c r="Z99" s="7"/>
      <c r="AA99" s="9"/>
      <c r="AB99" s="85"/>
      <c r="AC99" s="7"/>
      <c r="AD99" s="7"/>
      <c r="AE99" s="38"/>
      <c r="AF99" s="29"/>
      <c r="AG99" s="7"/>
      <c r="AH99" s="7"/>
      <c r="AI99" s="7" t="s">
        <v>62</v>
      </c>
      <c r="AJ99" s="39" t="s">
        <v>66</v>
      </c>
      <c r="AK99" s="8" t="s">
        <v>67</v>
      </c>
      <c r="AL99" s="39" t="s">
        <v>61</v>
      </c>
      <c r="AM99" s="42" t="s">
        <v>89</v>
      </c>
    </row>
    <row r="100" spans="1:39" s="31" customFormat="1" ht="18.75" customHeight="1">
      <c r="A100" s="29"/>
      <c r="B100" s="36">
        <v>15</v>
      </c>
      <c r="C100" s="37" t="s">
        <v>88</v>
      </c>
      <c r="D100" s="58"/>
      <c r="E100" s="132"/>
      <c r="F100" s="132">
        <v>1</v>
      </c>
      <c r="G100" s="9"/>
      <c r="H100" s="9"/>
      <c r="I100" s="7"/>
      <c r="J100" s="7"/>
      <c r="K100" s="7"/>
      <c r="L100" s="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59">
        <v>1</v>
      </c>
      <c r="Z100" s="7"/>
      <c r="AA100" s="9"/>
      <c r="AB100" s="85"/>
      <c r="AC100" s="7"/>
      <c r="AD100" s="7"/>
      <c r="AE100" s="38"/>
      <c r="AF100" s="29"/>
      <c r="AG100" s="7"/>
      <c r="AH100" s="7"/>
      <c r="AI100" s="7" t="s">
        <v>62</v>
      </c>
      <c r="AJ100" s="39" t="s">
        <v>66</v>
      </c>
      <c r="AK100" s="8" t="s">
        <v>68</v>
      </c>
      <c r="AL100" s="39" t="s">
        <v>61</v>
      </c>
      <c r="AM100" s="42" t="s">
        <v>89</v>
      </c>
    </row>
  </sheetData>
  <mergeCells count="47">
    <mergeCell ref="B9:AM9"/>
    <mergeCell ref="AA1:AM1"/>
    <mergeCell ref="AA2:AM2"/>
    <mergeCell ref="B3:AM3"/>
    <mergeCell ref="AA4:AM4"/>
    <mergeCell ref="B6:AM6"/>
    <mergeCell ref="B7:AM7"/>
    <mergeCell ref="F17:Q17"/>
    <mergeCell ref="H19:H20"/>
    <mergeCell ref="I19:J19"/>
    <mergeCell ref="AL17:AL20"/>
    <mergeCell ref="AJ17:AJ20"/>
    <mergeCell ref="AC18:AC20"/>
    <mergeCell ref="AD18:AD20"/>
    <mergeCell ref="AB18:AB20"/>
    <mergeCell ref="AB17:AD17"/>
    <mergeCell ref="A17:A20"/>
    <mergeCell ref="B17:B20"/>
    <mergeCell ref="C17:C20"/>
    <mergeCell ref="D17:D20"/>
    <mergeCell ref="E17:E20"/>
    <mergeCell ref="A93:AL93"/>
    <mergeCell ref="E58:AF58"/>
    <mergeCell ref="AI58:AJ58"/>
    <mergeCell ref="AK58:AM58"/>
    <mergeCell ref="E62:AF62"/>
    <mergeCell ref="AI62:AJ62"/>
    <mergeCell ref="AK63:AM63"/>
    <mergeCell ref="AK62:AM62"/>
    <mergeCell ref="E63:AF63"/>
    <mergeCell ref="AI63:AJ63"/>
    <mergeCell ref="AI57:AM57"/>
    <mergeCell ref="AM17:AM20"/>
    <mergeCell ref="F18:F20"/>
    <mergeCell ref="G18:G20"/>
    <mergeCell ref="H18:J18"/>
    <mergeCell ref="Y18:Y20"/>
    <mergeCell ref="Z18:Z20"/>
    <mergeCell ref="AA18:AA20"/>
    <mergeCell ref="Y17:AA17"/>
    <mergeCell ref="AE17:AE20"/>
    <mergeCell ref="AF17:AF20"/>
    <mergeCell ref="AI17:AI20"/>
    <mergeCell ref="AK17:AK20"/>
    <mergeCell ref="AG17:AG18"/>
    <mergeCell ref="AH17:AH18"/>
    <mergeCell ref="AJ35:AL35"/>
  </mergeCells>
  <printOptions horizontalCentered="1"/>
  <pageMargins left="0.23622047244094491" right="0.23622047244094491" top="0.44" bottom="0.74803149606299213" header="0.31496062992125984" footer="0.31496062992125984"/>
  <pageSetup paperSize="9" scale="80" orientation="landscape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AM74"/>
  <sheetViews>
    <sheetView tabSelected="1" topLeftCell="A18" zoomScaleSheetLayoutView="102" workbookViewId="0">
      <selection activeCell="AH24" sqref="AH24"/>
    </sheetView>
  </sheetViews>
  <sheetFormatPr defaultRowHeight="15.75"/>
  <cols>
    <col min="1" max="1" width="0.140625" style="10" customWidth="1"/>
    <col min="2" max="2" width="5.5703125" style="13" customWidth="1"/>
    <col min="3" max="3" width="37" style="10" customWidth="1"/>
    <col min="4" max="4" width="7.7109375" style="10" customWidth="1"/>
    <col min="5" max="5" width="7.42578125" style="10" customWidth="1"/>
    <col min="6" max="6" width="7.5703125" style="13" customWidth="1"/>
    <col min="7" max="7" width="11.5703125" style="14" hidden="1" customWidth="1"/>
    <col min="8" max="8" width="12.140625" style="10" hidden="1" customWidth="1"/>
    <col min="9" max="9" width="11.28515625" style="10" hidden="1" customWidth="1"/>
    <col min="10" max="10" width="12.42578125" style="10" hidden="1" customWidth="1"/>
    <col min="11" max="11" width="10.140625" style="10" hidden="1" customWidth="1"/>
    <col min="12" max="12" width="12.5703125" style="13" hidden="1" customWidth="1"/>
    <col min="13" max="13" width="10.85546875" style="10" hidden="1" customWidth="1"/>
    <col min="14" max="15" width="9.28515625" style="10" hidden="1" customWidth="1"/>
    <col min="16" max="16" width="10" style="10" hidden="1" customWidth="1"/>
    <col min="17" max="17" width="9.5703125" style="10" hidden="1" customWidth="1"/>
    <col min="18" max="18" width="9.42578125" style="10" hidden="1" customWidth="1"/>
    <col min="19" max="19" width="9" style="10" hidden="1" customWidth="1"/>
    <col min="20" max="20" width="11.28515625" style="10" hidden="1" customWidth="1"/>
    <col min="21" max="21" width="11.5703125" style="10" hidden="1" customWidth="1"/>
    <col min="22" max="23" width="10.5703125" style="10" hidden="1" customWidth="1"/>
    <col min="24" max="24" width="0.140625" style="10" hidden="1" customWidth="1"/>
    <col min="25" max="25" width="7.7109375" style="13" customWidth="1"/>
    <col min="26" max="26" width="12" style="10" hidden="1" customWidth="1"/>
    <col min="27" max="27" width="5.5703125" style="10" hidden="1" customWidth="1"/>
    <col min="28" max="28" width="8" style="54" customWidth="1"/>
    <col min="29" max="29" width="6.140625" style="10" hidden="1" customWidth="1"/>
    <col min="30" max="30" width="5.5703125" style="10" hidden="1" customWidth="1"/>
    <col min="31" max="31" width="7.140625" style="10" hidden="1" customWidth="1"/>
    <col min="32" max="32" width="5.42578125" style="10" hidden="1" customWidth="1"/>
    <col min="33" max="33" width="11.85546875" style="10" customWidth="1"/>
    <col min="34" max="34" width="13" style="10" customWidth="1"/>
    <col min="35" max="35" width="16.140625" style="10" customWidth="1"/>
    <col min="36" max="36" width="12.7109375" style="10" customWidth="1"/>
    <col min="37" max="37" width="10.42578125" style="13" customWidth="1"/>
    <col min="38" max="39" width="12.7109375" style="10" customWidth="1"/>
    <col min="40" max="16384" width="9.140625" style="10"/>
  </cols>
  <sheetData>
    <row r="1" spans="1:39" ht="15.75" customHeight="1">
      <c r="B1" s="11" t="s">
        <v>41</v>
      </c>
      <c r="C1" s="12"/>
      <c r="D1" s="12"/>
      <c r="I1" s="15"/>
      <c r="J1" s="15"/>
      <c r="K1" s="16" t="s">
        <v>0</v>
      </c>
      <c r="L1" s="15"/>
      <c r="M1" s="15"/>
      <c r="N1" s="15"/>
      <c r="O1" s="15"/>
      <c r="Q1" s="16"/>
      <c r="R1" s="16"/>
      <c r="S1" s="16"/>
      <c r="T1" s="16"/>
      <c r="U1" s="16"/>
      <c r="V1" s="16"/>
      <c r="W1" s="16"/>
      <c r="X1" s="16"/>
      <c r="AA1" s="146" t="s">
        <v>0</v>
      </c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 ht="15" customHeight="1">
      <c r="B2" s="17" t="s">
        <v>42</v>
      </c>
      <c r="L2" s="10"/>
      <c r="P2" s="18"/>
      <c r="Q2" s="18"/>
      <c r="R2" s="18"/>
      <c r="S2" s="18"/>
      <c r="T2" s="18"/>
      <c r="U2" s="18"/>
      <c r="V2" s="18"/>
      <c r="W2" s="18"/>
      <c r="X2" s="18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</row>
    <row r="3" spans="1:39" ht="22.5" hidden="1" customHeight="1">
      <c r="B3" s="146" t="s">
        <v>1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</row>
    <row r="4" spans="1:39" ht="15" customHeight="1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</row>
    <row r="5" spans="1:39" ht="1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3"/>
      <c r="AB5" s="13"/>
      <c r="AC5" s="13"/>
      <c r="AD5" s="13"/>
      <c r="AE5" s="13"/>
      <c r="AF5" s="13"/>
      <c r="AG5" s="137"/>
      <c r="AH5" s="137"/>
      <c r="AI5" s="13"/>
      <c r="AJ5" s="13"/>
      <c r="AL5" s="13"/>
      <c r="AM5" s="13"/>
    </row>
    <row r="6" spans="1:39" ht="21" customHeight="1">
      <c r="B6" s="146" t="s">
        <v>127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</row>
    <row r="7" spans="1:39" ht="21" customHeight="1">
      <c r="B7" s="146" t="s">
        <v>116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</row>
    <row r="8" spans="1:39" ht="9" customHeight="1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35"/>
      <c r="AH8" s="135"/>
      <c r="AI8" s="16"/>
      <c r="AJ8" s="16"/>
      <c r="AK8" s="16"/>
      <c r="AL8" s="16"/>
      <c r="AM8" s="16"/>
    </row>
    <row r="9" spans="1:39" ht="15" customHeight="1">
      <c r="A9" s="12" t="s">
        <v>70</v>
      </c>
      <c r="B9" s="169" t="s">
        <v>128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</row>
    <row r="10" spans="1:39" ht="15" customHeight="1">
      <c r="A10" s="19" t="s">
        <v>123</v>
      </c>
      <c r="D10" s="10" t="s">
        <v>71</v>
      </c>
      <c r="E10" s="16"/>
      <c r="F10" s="10"/>
      <c r="G10" s="10"/>
      <c r="H10" s="19"/>
      <c r="I10" s="16"/>
      <c r="K10" s="19" t="s">
        <v>2</v>
      </c>
      <c r="L10" s="16"/>
      <c r="M10" s="20"/>
      <c r="S10" s="19"/>
      <c r="T10" s="21"/>
      <c r="W10" s="22"/>
      <c r="X10" s="16"/>
      <c r="Y10" s="10"/>
      <c r="Z10" s="16"/>
      <c r="AA10" s="16"/>
      <c r="AB10" s="19"/>
      <c r="AI10" s="19" t="s">
        <v>72</v>
      </c>
    </row>
    <row r="11" spans="1:39" ht="15" customHeight="1">
      <c r="A11" s="19" t="s">
        <v>73</v>
      </c>
      <c r="D11" s="10" t="s">
        <v>74</v>
      </c>
      <c r="E11" s="13"/>
      <c r="F11" s="10"/>
      <c r="G11" s="10"/>
      <c r="H11" s="19"/>
      <c r="I11" s="16"/>
      <c r="K11" s="19"/>
      <c r="L11" s="16"/>
      <c r="M11" s="20"/>
      <c r="S11" s="19"/>
      <c r="T11" s="21"/>
      <c r="W11" s="22"/>
      <c r="X11" s="16"/>
      <c r="Y11" s="10"/>
      <c r="Z11" s="16"/>
      <c r="AA11" s="16"/>
      <c r="AB11" s="19"/>
      <c r="AI11" s="10" t="s">
        <v>75</v>
      </c>
    </row>
    <row r="12" spans="1:39" ht="15" customHeight="1">
      <c r="A12" s="19" t="s">
        <v>76</v>
      </c>
      <c r="D12" s="10" t="s">
        <v>77</v>
      </c>
      <c r="E12" s="16"/>
      <c r="F12" s="10"/>
      <c r="G12" s="10"/>
      <c r="H12" s="19"/>
      <c r="I12" s="16"/>
      <c r="K12" s="19" t="s">
        <v>3</v>
      </c>
      <c r="L12" s="16"/>
      <c r="M12" s="20"/>
      <c r="S12" s="19"/>
      <c r="T12" s="21"/>
      <c r="W12" s="22"/>
      <c r="X12" s="16"/>
      <c r="Y12" s="10"/>
      <c r="Z12" s="16"/>
      <c r="AA12" s="16"/>
      <c r="AB12" s="19"/>
      <c r="AI12" s="10" t="s">
        <v>78</v>
      </c>
    </row>
    <row r="13" spans="1:39" ht="15" customHeight="1">
      <c r="A13" s="19" t="s">
        <v>82</v>
      </c>
      <c r="B13" s="10"/>
      <c r="D13" s="10" t="s">
        <v>86</v>
      </c>
      <c r="F13" s="10"/>
      <c r="G13" s="10"/>
      <c r="L13" s="10"/>
      <c r="Y13" s="10"/>
      <c r="AB13" s="10"/>
      <c r="AI13" s="10" t="s">
        <v>79</v>
      </c>
    </row>
    <row r="14" spans="1:39" ht="15" customHeight="1">
      <c r="A14" s="19" t="s">
        <v>80</v>
      </c>
      <c r="B14" s="10"/>
      <c r="F14" s="10"/>
      <c r="G14" s="10"/>
      <c r="L14" s="10"/>
      <c r="Y14" s="10"/>
      <c r="AB14" s="10"/>
    </row>
    <row r="15" spans="1:39" ht="15.75" customHeight="1">
      <c r="A15" s="19" t="s">
        <v>4</v>
      </c>
      <c r="B15" s="10"/>
      <c r="E15" s="13"/>
      <c r="F15" s="14"/>
      <c r="G15" s="10"/>
      <c r="K15" s="13"/>
      <c r="L15" s="10"/>
      <c r="X15" s="13"/>
      <c r="Y15" s="10"/>
      <c r="AA15" s="24"/>
      <c r="AB15" s="10"/>
    </row>
    <row r="16" spans="1:39" ht="3" customHeight="1">
      <c r="AB16" s="24"/>
    </row>
    <row r="17" spans="1:39" ht="51.75" customHeight="1">
      <c r="A17" s="162" t="s">
        <v>5</v>
      </c>
      <c r="B17" s="147" t="s">
        <v>5</v>
      </c>
      <c r="C17" s="158" t="s">
        <v>6</v>
      </c>
      <c r="D17" s="149" t="s">
        <v>102</v>
      </c>
      <c r="E17" s="149" t="s">
        <v>8</v>
      </c>
      <c r="F17" s="147" t="s">
        <v>43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25"/>
      <c r="S17" s="25"/>
      <c r="T17" s="25"/>
      <c r="U17" s="25"/>
      <c r="V17" s="25"/>
      <c r="W17" s="25"/>
      <c r="X17" s="26"/>
      <c r="Y17" s="156" t="s">
        <v>44</v>
      </c>
      <c r="Z17" s="155"/>
      <c r="AA17" s="155"/>
      <c r="AB17" s="156" t="s">
        <v>45</v>
      </c>
      <c r="AC17" s="155"/>
      <c r="AD17" s="155"/>
      <c r="AE17" s="147" t="s">
        <v>9</v>
      </c>
      <c r="AF17" s="147" t="s">
        <v>10</v>
      </c>
      <c r="AG17" s="173" t="s">
        <v>182</v>
      </c>
      <c r="AH17" s="173" t="s">
        <v>164</v>
      </c>
      <c r="AI17" s="147" t="s">
        <v>11</v>
      </c>
      <c r="AJ17" s="147" t="s">
        <v>12</v>
      </c>
      <c r="AK17" s="147" t="s">
        <v>13</v>
      </c>
      <c r="AL17" s="149" t="s">
        <v>47</v>
      </c>
      <c r="AM17" s="147" t="s">
        <v>48</v>
      </c>
    </row>
    <row r="18" spans="1:39" ht="43.5" customHeight="1">
      <c r="A18" s="163"/>
      <c r="B18" s="158"/>
      <c r="C18" s="158"/>
      <c r="D18" s="164"/>
      <c r="E18" s="150"/>
      <c r="F18" s="149" t="s">
        <v>46</v>
      </c>
      <c r="G18" s="152" t="s">
        <v>14</v>
      </c>
      <c r="H18" s="155" t="s">
        <v>15</v>
      </c>
      <c r="I18" s="155"/>
      <c r="J18" s="155"/>
      <c r="K18" s="26" t="s">
        <v>16</v>
      </c>
      <c r="L18" s="25" t="s">
        <v>17</v>
      </c>
      <c r="M18" s="26"/>
      <c r="N18" s="26" t="s">
        <v>16</v>
      </c>
      <c r="O18" s="26" t="s">
        <v>16</v>
      </c>
      <c r="P18" s="26" t="s">
        <v>16</v>
      </c>
      <c r="Q18" s="26" t="s">
        <v>18</v>
      </c>
      <c r="R18" s="26" t="s">
        <v>18</v>
      </c>
      <c r="S18" s="26" t="s">
        <v>18</v>
      </c>
      <c r="T18" s="26" t="s">
        <v>18</v>
      </c>
      <c r="U18" s="26" t="s">
        <v>18</v>
      </c>
      <c r="V18" s="26" t="s">
        <v>18</v>
      </c>
      <c r="W18" s="26" t="s">
        <v>19</v>
      </c>
      <c r="X18" s="26"/>
      <c r="Y18" s="149" t="s">
        <v>46</v>
      </c>
      <c r="Z18" s="152" t="s">
        <v>20</v>
      </c>
      <c r="AA18" s="152" t="s">
        <v>21</v>
      </c>
      <c r="AB18" s="149" t="s">
        <v>46</v>
      </c>
      <c r="AC18" s="152" t="s">
        <v>20</v>
      </c>
      <c r="AD18" s="152" t="s">
        <v>22</v>
      </c>
      <c r="AE18" s="147"/>
      <c r="AF18" s="147"/>
      <c r="AG18" s="174"/>
      <c r="AH18" s="174"/>
      <c r="AI18" s="157"/>
      <c r="AJ18" s="157"/>
      <c r="AK18" s="158"/>
      <c r="AL18" s="164"/>
      <c r="AM18" s="157"/>
    </row>
    <row r="19" spans="1:39" ht="5.25" hidden="1" customHeight="1">
      <c r="A19" s="163"/>
      <c r="B19" s="158"/>
      <c r="C19" s="158"/>
      <c r="D19" s="164"/>
      <c r="E19" s="150"/>
      <c r="F19" s="150"/>
      <c r="G19" s="153"/>
      <c r="H19" s="152" t="s">
        <v>23</v>
      </c>
      <c r="I19" s="155" t="s">
        <v>24</v>
      </c>
      <c r="J19" s="155"/>
      <c r="K19" s="26" t="s">
        <v>25</v>
      </c>
      <c r="L19" s="25" t="s">
        <v>26</v>
      </c>
      <c r="M19" s="26" t="s">
        <v>27</v>
      </c>
      <c r="N19" s="26" t="s">
        <v>25</v>
      </c>
      <c r="O19" s="26" t="s">
        <v>25</v>
      </c>
      <c r="P19" s="26" t="s">
        <v>25</v>
      </c>
      <c r="Q19" s="26" t="s">
        <v>28</v>
      </c>
      <c r="R19" s="26" t="s">
        <v>28</v>
      </c>
      <c r="S19" s="26" t="s">
        <v>28</v>
      </c>
      <c r="T19" s="26" t="s">
        <v>28</v>
      </c>
      <c r="U19" s="26" t="s">
        <v>28</v>
      </c>
      <c r="V19" s="26" t="s">
        <v>28</v>
      </c>
      <c r="W19" s="26" t="s">
        <v>25</v>
      </c>
      <c r="X19" s="26" t="s">
        <v>29</v>
      </c>
      <c r="Y19" s="150"/>
      <c r="Z19" s="153"/>
      <c r="AA19" s="153"/>
      <c r="AB19" s="150"/>
      <c r="AC19" s="153"/>
      <c r="AD19" s="153"/>
      <c r="AE19" s="147"/>
      <c r="AF19" s="147"/>
      <c r="AG19" s="174"/>
      <c r="AH19" s="174"/>
      <c r="AI19" s="157"/>
      <c r="AJ19" s="157"/>
      <c r="AK19" s="158"/>
      <c r="AL19" s="164"/>
      <c r="AM19" s="157"/>
    </row>
    <row r="20" spans="1:39" ht="2.25" hidden="1" customHeight="1">
      <c r="A20" s="163"/>
      <c r="B20" s="158"/>
      <c r="C20" s="158"/>
      <c r="D20" s="165"/>
      <c r="E20" s="151"/>
      <c r="F20" s="151"/>
      <c r="G20" s="154"/>
      <c r="H20" s="159"/>
      <c r="I20" s="28" t="s">
        <v>30</v>
      </c>
      <c r="J20" s="27" t="s">
        <v>31</v>
      </c>
      <c r="K20" s="26" t="s">
        <v>32</v>
      </c>
      <c r="L20" s="25" t="s">
        <v>33</v>
      </c>
      <c r="M20" s="26" t="s">
        <v>34</v>
      </c>
      <c r="N20" s="26" t="s">
        <v>32</v>
      </c>
      <c r="O20" s="26" t="s">
        <v>35</v>
      </c>
      <c r="P20" s="26" t="s">
        <v>35</v>
      </c>
      <c r="Q20" s="26" t="s">
        <v>35</v>
      </c>
      <c r="R20" s="26" t="s">
        <v>35</v>
      </c>
      <c r="S20" s="26" t="s">
        <v>35</v>
      </c>
      <c r="T20" s="26" t="s">
        <v>35</v>
      </c>
      <c r="U20" s="26" t="s">
        <v>35</v>
      </c>
      <c r="V20" s="26" t="s">
        <v>35</v>
      </c>
      <c r="W20" s="26" t="s">
        <v>35</v>
      </c>
      <c r="X20" s="26" t="s">
        <v>36</v>
      </c>
      <c r="Y20" s="151"/>
      <c r="Z20" s="154"/>
      <c r="AA20" s="154"/>
      <c r="AB20" s="151"/>
      <c r="AC20" s="154"/>
      <c r="AD20" s="154"/>
      <c r="AE20" s="147"/>
      <c r="AF20" s="147"/>
      <c r="AG20" s="175"/>
      <c r="AH20" s="175"/>
      <c r="AI20" s="157"/>
      <c r="AJ20" s="157"/>
      <c r="AK20" s="158"/>
      <c r="AL20" s="165"/>
      <c r="AM20" s="157"/>
    </row>
    <row r="21" spans="1:39" s="31" customFormat="1" ht="18.75" customHeight="1">
      <c r="A21" s="29"/>
      <c r="B21" s="25" t="s">
        <v>37</v>
      </c>
      <c r="C21" s="25" t="s">
        <v>38</v>
      </c>
      <c r="D21" s="25" t="s">
        <v>39</v>
      </c>
      <c r="E21" s="25" t="s">
        <v>40</v>
      </c>
      <c r="F21" s="25">
        <v>1</v>
      </c>
      <c r="G21" s="26">
        <v>2</v>
      </c>
      <c r="H21" s="30">
        <v>3</v>
      </c>
      <c r="I21" s="30">
        <v>4</v>
      </c>
      <c r="J21" s="26">
        <v>5</v>
      </c>
      <c r="K21" s="30">
        <v>7</v>
      </c>
      <c r="L21" s="26">
        <v>8</v>
      </c>
      <c r="M21" s="30">
        <v>9</v>
      </c>
      <c r="N21" s="26">
        <v>10</v>
      </c>
      <c r="O21" s="26"/>
      <c r="P21" s="30">
        <v>6</v>
      </c>
      <c r="Q21" s="30"/>
      <c r="R21" s="30"/>
      <c r="S21" s="30"/>
      <c r="T21" s="30"/>
      <c r="U21" s="30"/>
      <c r="V21" s="30"/>
      <c r="W21" s="30"/>
      <c r="X21" s="30">
        <v>5</v>
      </c>
      <c r="Y21" s="25">
        <v>2</v>
      </c>
      <c r="Z21" s="26">
        <v>7</v>
      </c>
      <c r="AA21" s="26">
        <v>8</v>
      </c>
      <c r="AB21" s="26">
        <v>3</v>
      </c>
      <c r="AC21" s="25">
        <v>10</v>
      </c>
      <c r="AD21" s="30">
        <v>11</v>
      </c>
      <c r="AE21" s="25"/>
      <c r="AF21" s="25"/>
      <c r="AG21" s="136"/>
      <c r="AH21" s="136"/>
      <c r="AI21" s="25">
        <v>4</v>
      </c>
      <c r="AJ21" s="25">
        <v>5</v>
      </c>
      <c r="AK21" s="25">
        <v>6</v>
      </c>
      <c r="AL21" s="25">
        <v>7</v>
      </c>
      <c r="AM21" s="25">
        <v>8</v>
      </c>
    </row>
    <row r="22" spans="1:39" s="31" customFormat="1" ht="26.25" customHeight="1">
      <c r="A22" s="29"/>
      <c r="B22" s="32" t="s">
        <v>105</v>
      </c>
      <c r="C22" s="33" t="s">
        <v>126</v>
      </c>
      <c r="D22" s="25"/>
      <c r="E22" s="25"/>
      <c r="F22" s="25"/>
      <c r="G22" s="26"/>
      <c r="H22" s="30"/>
      <c r="I22" s="30"/>
      <c r="J22" s="26"/>
      <c r="K22" s="30"/>
      <c r="L22" s="26"/>
      <c r="M22" s="30"/>
      <c r="N22" s="26"/>
      <c r="O22" s="26"/>
      <c r="P22" s="30"/>
      <c r="Q22" s="30"/>
      <c r="R22" s="30"/>
      <c r="S22" s="30"/>
      <c r="T22" s="30"/>
      <c r="U22" s="30"/>
      <c r="V22" s="30"/>
      <c r="W22" s="30"/>
      <c r="X22" s="30"/>
      <c r="Y22" s="25"/>
      <c r="Z22" s="26"/>
      <c r="AA22" s="26"/>
      <c r="AB22" s="26"/>
      <c r="AC22" s="25"/>
      <c r="AD22" s="30"/>
      <c r="AE22" s="25"/>
      <c r="AF22" s="25"/>
      <c r="AG22" s="136"/>
      <c r="AH22" s="136"/>
      <c r="AI22" s="25"/>
      <c r="AJ22" s="25"/>
      <c r="AK22" s="25"/>
      <c r="AL22" s="60" t="s">
        <v>117</v>
      </c>
      <c r="AM22" s="25"/>
    </row>
    <row r="23" spans="1:39" s="31" customFormat="1" ht="26.25" customHeight="1">
      <c r="A23" s="29"/>
      <c r="B23" s="8">
        <v>1</v>
      </c>
      <c r="C23" s="61" t="s">
        <v>92</v>
      </c>
      <c r="D23" s="8" t="s">
        <v>93</v>
      </c>
      <c r="E23" s="62" t="s">
        <v>104</v>
      </c>
      <c r="F23" s="8">
        <v>12</v>
      </c>
      <c r="G23" s="8">
        <v>12</v>
      </c>
      <c r="H23" s="8">
        <v>12</v>
      </c>
      <c r="I23" s="8">
        <v>12</v>
      </c>
      <c r="J23" s="8">
        <v>12</v>
      </c>
      <c r="K23" s="8">
        <v>12</v>
      </c>
      <c r="L23" s="8">
        <v>12</v>
      </c>
      <c r="M23" s="8">
        <v>12</v>
      </c>
      <c r="N23" s="8">
        <v>12</v>
      </c>
      <c r="O23" s="8">
        <v>12</v>
      </c>
      <c r="P23" s="8">
        <v>12</v>
      </c>
      <c r="Q23" s="8">
        <v>12</v>
      </c>
      <c r="R23" s="8">
        <v>12</v>
      </c>
      <c r="S23" s="8">
        <v>12</v>
      </c>
      <c r="T23" s="8">
        <v>12</v>
      </c>
      <c r="U23" s="8">
        <v>12</v>
      </c>
      <c r="V23" s="8">
        <v>12</v>
      </c>
      <c r="W23" s="8">
        <v>12</v>
      </c>
      <c r="X23" s="8">
        <v>12</v>
      </c>
      <c r="Y23" s="8">
        <v>12</v>
      </c>
      <c r="Z23" s="8"/>
      <c r="AA23" s="8"/>
      <c r="AB23" s="8">
        <v>0</v>
      </c>
      <c r="AC23" s="7"/>
      <c r="AD23" s="7"/>
      <c r="AE23" s="38"/>
      <c r="AF23" s="29"/>
      <c r="AG23" s="29"/>
      <c r="AH23" s="29"/>
      <c r="AI23" s="8" t="s">
        <v>62</v>
      </c>
      <c r="AJ23" s="8" t="s">
        <v>103</v>
      </c>
      <c r="AK23" s="8" t="s">
        <v>64</v>
      </c>
      <c r="AL23" s="41"/>
      <c r="AM23" s="29"/>
    </row>
    <row r="24" spans="1:39" s="31" customFormat="1" ht="26.25" customHeight="1">
      <c r="A24" s="29"/>
      <c r="B24" s="8">
        <v>2</v>
      </c>
      <c r="C24" s="61" t="s">
        <v>94</v>
      </c>
      <c r="D24" s="8" t="s">
        <v>93</v>
      </c>
      <c r="E24" s="62" t="s">
        <v>104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1</v>
      </c>
      <c r="Z24" s="8"/>
      <c r="AA24" s="8"/>
      <c r="AB24" s="8">
        <v>0</v>
      </c>
      <c r="AC24" s="7"/>
      <c r="AD24" s="7"/>
      <c r="AE24" s="38"/>
      <c r="AF24" s="29"/>
      <c r="AG24" s="29"/>
      <c r="AH24" s="29"/>
      <c r="AI24" s="8" t="s">
        <v>62</v>
      </c>
      <c r="AJ24" s="8" t="s">
        <v>103</v>
      </c>
      <c r="AK24" s="8" t="s">
        <v>64</v>
      </c>
      <c r="AL24" s="29"/>
      <c r="AM24" s="29"/>
    </row>
    <row r="25" spans="1:39" s="31" customFormat="1" ht="26.25" customHeight="1">
      <c r="A25" s="29"/>
      <c r="B25" s="8">
        <v>3</v>
      </c>
      <c r="C25" s="61" t="s">
        <v>95</v>
      </c>
      <c r="D25" s="8" t="s">
        <v>93</v>
      </c>
      <c r="E25" s="62" t="s">
        <v>104</v>
      </c>
      <c r="F25" s="8">
        <v>6</v>
      </c>
      <c r="G25" s="8">
        <v>6</v>
      </c>
      <c r="H25" s="8">
        <v>6</v>
      </c>
      <c r="I25" s="8">
        <v>6</v>
      </c>
      <c r="J25" s="8">
        <v>6</v>
      </c>
      <c r="K25" s="8">
        <v>6</v>
      </c>
      <c r="L25" s="8">
        <v>6</v>
      </c>
      <c r="M25" s="8">
        <v>6</v>
      </c>
      <c r="N25" s="8">
        <v>6</v>
      </c>
      <c r="O25" s="8">
        <v>6</v>
      </c>
      <c r="P25" s="8">
        <v>6</v>
      </c>
      <c r="Q25" s="8">
        <v>6</v>
      </c>
      <c r="R25" s="8">
        <v>6</v>
      </c>
      <c r="S25" s="8">
        <v>6</v>
      </c>
      <c r="T25" s="8">
        <v>6</v>
      </c>
      <c r="U25" s="8">
        <v>6</v>
      </c>
      <c r="V25" s="8">
        <v>6</v>
      </c>
      <c r="W25" s="8">
        <v>6</v>
      </c>
      <c r="X25" s="8">
        <v>6</v>
      </c>
      <c r="Y25" s="8">
        <v>6</v>
      </c>
      <c r="Z25" s="8"/>
      <c r="AA25" s="8"/>
      <c r="AB25" s="8">
        <v>0</v>
      </c>
      <c r="AC25" s="7"/>
      <c r="AD25" s="7"/>
      <c r="AE25" s="38"/>
      <c r="AF25" s="29"/>
      <c r="AG25" s="29"/>
      <c r="AH25" s="29"/>
      <c r="AI25" s="8" t="s">
        <v>62</v>
      </c>
      <c r="AJ25" s="8" t="s">
        <v>103</v>
      </c>
      <c r="AK25" s="8" t="s">
        <v>64</v>
      </c>
      <c r="AL25" s="29"/>
      <c r="AM25" s="29"/>
    </row>
    <row r="26" spans="1:39" s="31" customFormat="1" ht="26.25" customHeight="1">
      <c r="A26" s="29"/>
      <c r="B26" s="8">
        <v>4</v>
      </c>
      <c r="C26" s="61" t="s">
        <v>96</v>
      </c>
      <c r="D26" s="8" t="s">
        <v>93</v>
      </c>
      <c r="E26" s="62" t="s">
        <v>104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8">
        <v>1</v>
      </c>
      <c r="X26" s="8">
        <v>1</v>
      </c>
      <c r="Y26" s="8">
        <v>1</v>
      </c>
      <c r="Z26" s="8"/>
      <c r="AA26" s="8"/>
      <c r="AB26" s="8">
        <v>0</v>
      </c>
      <c r="AC26" s="7"/>
      <c r="AD26" s="7"/>
      <c r="AE26" s="38"/>
      <c r="AF26" s="29"/>
      <c r="AG26" s="29"/>
      <c r="AH26" s="29"/>
      <c r="AI26" s="8" t="s">
        <v>62</v>
      </c>
      <c r="AJ26" s="8" t="s">
        <v>103</v>
      </c>
      <c r="AK26" s="8" t="s">
        <v>64</v>
      </c>
      <c r="AL26" s="29"/>
      <c r="AM26" s="29"/>
    </row>
    <row r="27" spans="1:39" s="31" customFormat="1" ht="26.25" customHeight="1">
      <c r="A27" s="29"/>
      <c r="B27" s="8">
        <v>5</v>
      </c>
      <c r="C27" s="61" t="s">
        <v>97</v>
      </c>
      <c r="D27" s="8" t="s">
        <v>98</v>
      </c>
      <c r="E27" s="62" t="s">
        <v>104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/>
      <c r="AA27" s="8"/>
      <c r="AB27" s="8">
        <v>0</v>
      </c>
      <c r="AC27" s="7"/>
      <c r="AD27" s="7"/>
      <c r="AE27" s="38"/>
      <c r="AF27" s="29"/>
      <c r="AG27" s="29"/>
      <c r="AH27" s="29"/>
      <c r="AI27" s="8" t="s">
        <v>62</v>
      </c>
      <c r="AJ27" s="8" t="s">
        <v>103</v>
      </c>
      <c r="AK27" s="8" t="s">
        <v>64</v>
      </c>
      <c r="AL27" s="7"/>
      <c r="AM27" s="29"/>
    </row>
    <row r="28" spans="1:39" s="31" customFormat="1" ht="38.25" customHeight="1">
      <c r="A28" s="29"/>
      <c r="B28" s="8">
        <v>6</v>
      </c>
      <c r="C28" s="63" t="s">
        <v>99</v>
      </c>
      <c r="D28" s="8" t="s">
        <v>98</v>
      </c>
      <c r="E28" s="62" t="s">
        <v>104</v>
      </c>
      <c r="F28" s="8">
        <v>6</v>
      </c>
      <c r="G28" s="8">
        <v>6</v>
      </c>
      <c r="H28" s="8">
        <v>6</v>
      </c>
      <c r="I28" s="8">
        <v>6</v>
      </c>
      <c r="J28" s="8">
        <v>6</v>
      </c>
      <c r="K28" s="8">
        <v>6</v>
      </c>
      <c r="L28" s="8">
        <v>6</v>
      </c>
      <c r="M28" s="8">
        <v>6</v>
      </c>
      <c r="N28" s="8">
        <v>6</v>
      </c>
      <c r="O28" s="8">
        <v>6</v>
      </c>
      <c r="P28" s="8">
        <v>6</v>
      </c>
      <c r="Q28" s="8">
        <v>6</v>
      </c>
      <c r="R28" s="8">
        <v>6</v>
      </c>
      <c r="S28" s="8">
        <v>6</v>
      </c>
      <c r="T28" s="8">
        <v>6</v>
      </c>
      <c r="U28" s="8">
        <v>6</v>
      </c>
      <c r="V28" s="8">
        <v>6</v>
      </c>
      <c r="W28" s="8">
        <v>6</v>
      </c>
      <c r="X28" s="8">
        <v>6</v>
      </c>
      <c r="Y28" s="8">
        <v>6</v>
      </c>
      <c r="Z28" s="8"/>
      <c r="AA28" s="8"/>
      <c r="AB28" s="8">
        <v>0</v>
      </c>
      <c r="AC28" s="7"/>
      <c r="AD28" s="7"/>
      <c r="AE28" s="38"/>
      <c r="AF28" s="29"/>
      <c r="AG28" s="29"/>
      <c r="AH28" s="29"/>
      <c r="AI28" s="8" t="s">
        <v>62</v>
      </c>
      <c r="AJ28" s="8" t="s">
        <v>103</v>
      </c>
      <c r="AK28" s="8" t="s">
        <v>64</v>
      </c>
      <c r="AL28" s="7"/>
      <c r="AM28" s="29"/>
    </row>
    <row r="29" spans="1:39" s="31" customFormat="1" ht="38.25" customHeight="1">
      <c r="A29" s="29"/>
      <c r="B29" s="8">
        <v>7</v>
      </c>
      <c r="C29" s="63" t="s">
        <v>100</v>
      </c>
      <c r="D29" s="8" t="s">
        <v>93</v>
      </c>
      <c r="E29" s="62" t="s">
        <v>104</v>
      </c>
      <c r="F29" s="8">
        <v>2</v>
      </c>
      <c r="G29" s="8">
        <v>2</v>
      </c>
      <c r="H29" s="8">
        <v>2</v>
      </c>
      <c r="I29" s="8">
        <v>2</v>
      </c>
      <c r="J29" s="8">
        <v>2</v>
      </c>
      <c r="K29" s="8">
        <v>2</v>
      </c>
      <c r="L29" s="8">
        <v>2</v>
      </c>
      <c r="M29" s="8">
        <v>2</v>
      </c>
      <c r="N29" s="8">
        <v>2</v>
      </c>
      <c r="O29" s="8">
        <v>2</v>
      </c>
      <c r="P29" s="8">
        <v>2</v>
      </c>
      <c r="Q29" s="8">
        <v>2</v>
      </c>
      <c r="R29" s="8">
        <v>2</v>
      </c>
      <c r="S29" s="8">
        <v>2</v>
      </c>
      <c r="T29" s="8">
        <v>2</v>
      </c>
      <c r="U29" s="8">
        <v>2</v>
      </c>
      <c r="V29" s="8">
        <v>2</v>
      </c>
      <c r="W29" s="8">
        <v>2</v>
      </c>
      <c r="X29" s="8">
        <v>2</v>
      </c>
      <c r="Y29" s="8">
        <v>2</v>
      </c>
      <c r="Z29" s="8"/>
      <c r="AA29" s="8"/>
      <c r="AB29" s="8">
        <v>0</v>
      </c>
      <c r="AC29" s="7"/>
      <c r="AD29" s="7"/>
      <c r="AE29" s="38"/>
      <c r="AF29" s="29"/>
      <c r="AG29" s="141">
        <v>44440000</v>
      </c>
      <c r="AH29" s="142">
        <f>+Y29*AG29</f>
        <v>88880000</v>
      </c>
      <c r="AI29" s="8" t="s">
        <v>62</v>
      </c>
      <c r="AJ29" s="8" t="s">
        <v>103</v>
      </c>
      <c r="AK29" s="8" t="s">
        <v>64</v>
      </c>
      <c r="AL29" s="7"/>
      <c r="AM29" s="29"/>
    </row>
    <row r="30" spans="1:39" s="31" customFormat="1" ht="27.75" customHeight="1">
      <c r="A30" s="29"/>
      <c r="B30" s="8">
        <v>8</v>
      </c>
      <c r="C30" s="61" t="s">
        <v>101</v>
      </c>
      <c r="D30" s="8" t="s">
        <v>93</v>
      </c>
      <c r="E30" s="62" t="s">
        <v>104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/>
      <c r="AA30" s="8"/>
      <c r="AB30" s="8">
        <v>0</v>
      </c>
      <c r="AC30" s="7"/>
      <c r="AD30" s="7"/>
      <c r="AE30" s="38"/>
      <c r="AF30" s="29"/>
      <c r="AG30" s="29"/>
      <c r="AH30" s="29"/>
      <c r="AI30" s="8" t="s">
        <v>62</v>
      </c>
      <c r="AJ30" s="8" t="s">
        <v>103</v>
      </c>
      <c r="AK30" s="8" t="s">
        <v>64</v>
      </c>
      <c r="AL30" s="7"/>
      <c r="AM30" s="29"/>
    </row>
    <row r="31" spans="1:39" s="145" customFormat="1" ht="15" customHeight="1">
      <c r="A31" s="143"/>
      <c r="B31" s="143" t="s">
        <v>181</v>
      </c>
      <c r="C31" s="143" t="s">
        <v>181</v>
      </c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>
        <f>SUM(AH11:AH30)</f>
        <v>88880000</v>
      </c>
      <c r="AI31" s="144"/>
      <c r="AJ31" s="144"/>
      <c r="AK31" s="144"/>
      <c r="AL31" s="144"/>
    </row>
    <row r="32" spans="1:39" s="15" customFormat="1">
      <c r="A32" s="16"/>
      <c r="E32" s="16"/>
      <c r="F32" s="52"/>
      <c r="K32" s="16"/>
      <c r="X32" s="16"/>
      <c r="AA32" s="16"/>
      <c r="AB32" s="53"/>
      <c r="AJ32" s="146" t="s">
        <v>130</v>
      </c>
      <c r="AK32" s="146"/>
      <c r="AL32" s="146"/>
      <c r="AM32" s="146"/>
    </row>
    <row r="33" spans="1:39" s="15" customFormat="1">
      <c r="A33" s="16"/>
      <c r="B33" s="15" t="s">
        <v>83</v>
      </c>
      <c r="E33" s="146" t="s">
        <v>86</v>
      </c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35"/>
      <c r="AH33" s="135"/>
      <c r="AI33" s="146" t="s">
        <v>74</v>
      </c>
      <c r="AJ33" s="146"/>
      <c r="AK33" s="146" t="s">
        <v>72</v>
      </c>
      <c r="AL33" s="146"/>
      <c r="AM33" s="146"/>
    </row>
    <row r="34" spans="1:39" s="15" customFormat="1" ht="21" customHeight="1">
      <c r="A34" s="16" t="s">
        <v>84</v>
      </c>
      <c r="B34" s="16" t="s">
        <v>84</v>
      </c>
      <c r="C34" s="15" t="s">
        <v>118</v>
      </c>
      <c r="D34" s="10"/>
      <c r="E34" s="16"/>
      <c r="F34" s="52"/>
      <c r="K34" s="16"/>
      <c r="X34" s="16"/>
      <c r="AA34" s="16"/>
      <c r="AB34" s="53"/>
      <c r="AK34" s="16"/>
    </row>
    <row r="35" spans="1:39" s="15" customFormat="1" ht="21" customHeight="1">
      <c r="A35" s="16" t="s">
        <v>84</v>
      </c>
      <c r="B35" s="16" t="s">
        <v>84</v>
      </c>
      <c r="C35" s="15" t="s">
        <v>119</v>
      </c>
      <c r="D35" s="10"/>
      <c r="E35" s="16"/>
      <c r="F35" s="52"/>
      <c r="K35" s="16"/>
      <c r="X35" s="16"/>
      <c r="AA35" s="16"/>
      <c r="AB35" s="53"/>
      <c r="AK35" s="16"/>
    </row>
    <row r="36" spans="1:39" s="15" customFormat="1" ht="21" customHeight="1">
      <c r="A36" s="16" t="s">
        <v>84</v>
      </c>
      <c r="B36" s="16" t="s">
        <v>84</v>
      </c>
      <c r="C36" s="15" t="s">
        <v>120</v>
      </c>
      <c r="D36" s="10"/>
      <c r="E36" s="16"/>
      <c r="F36" s="52"/>
      <c r="K36" s="16"/>
      <c r="X36" s="16"/>
      <c r="AA36" s="16"/>
      <c r="AB36" s="53"/>
      <c r="AK36" s="16"/>
    </row>
    <row r="37" spans="1:39" s="15" customFormat="1" ht="21" customHeight="1">
      <c r="A37" s="16" t="s">
        <v>84</v>
      </c>
      <c r="B37" s="16" t="s">
        <v>84</v>
      </c>
      <c r="C37" s="15" t="s">
        <v>121</v>
      </c>
      <c r="D37" s="10"/>
      <c r="E37" s="146" t="s">
        <v>81</v>
      </c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35"/>
      <c r="AH37" s="135"/>
      <c r="AI37" s="146" t="s">
        <v>85</v>
      </c>
      <c r="AJ37" s="146"/>
      <c r="AK37" s="146" t="s">
        <v>125</v>
      </c>
      <c r="AL37" s="146"/>
      <c r="AM37" s="146"/>
    </row>
    <row r="38" spans="1:39" s="15" customFormat="1" ht="19.5" customHeight="1">
      <c r="B38" s="16" t="s">
        <v>84</v>
      </c>
      <c r="C38" s="15" t="s">
        <v>129</v>
      </c>
      <c r="D38" s="10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35"/>
      <c r="AH38" s="135"/>
      <c r="AI38" s="146"/>
      <c r="AJ38" s="146"/>
      <c r="AK38" s="146"/>
      <c r="AL38" s="146"/>
      <c r="AM38" s="146"/>
    </row>
    <row r="67" spans="1:39" s="64" customFormat="1" ht="14.25">
      <c r="A67" s="176" t="s">
        <v>91</v>
      </c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</row>
    <row r="69" spans="1:39" s="2" customFormat="1" ht="36.75" customHeight="1">
      <c r="A69" s="4"/>
      <c r="B69" s="65">
        <v>1</v>
      </c>
      <c r="C69" s="66" t="s">
        <v>50</v>
      </c>
      <c r="D69" s="67"/>
      <c r="E69" s="5"/>
      <c r="F69" s="6">
        <v>1</v>
      </c>
      <c r="G69" s="3"/>
      <c r="H69" s="3"/>
      <c r="I69" s="3"/>
      <c r="J69" s="1"/>
      <c r="K69" s="1"/>
      <c r="L69" s="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5">
        <v>1</v>
      </c>
      <c r="Z69" s="1"/>
      <c r="AA69" s="3"/>
      <c r="AB69" s="68"/>
      <c r="AC69" s="1"/>
      <c r="AD69" s="1"/>
      <c r="AE69" s="69"/>
      <c r="AF69" s="4"/>
      <c r="AG69" s="4"/>
      <c r="AH69" s="4"/>
      <c r="AI69" s="1" t="s">
        <v>62</v>
      </c>
      <c r="AJ69" s="6" t="s">
        <v>63</v>
      </c>
      <c r="AK69" s="6" t="s">
        <v>67</v>
      </c>
      <c r="AL69" s="70" t="s">
        <v>65</v>
      </c>
      <c r="AM69" s="4" t="s">
        <v>89</v>
      </c>
    </row>
    <row r="70" spans="1:39" s="2" customFormat="1" ht="45.75" customHeight="1">
      <c r="A70" s="4"/>
      <c r="B70" s="5">
        <v>2</v>
      </c>
      <c r="C70" s="4" t="s">
        <v>51</v>
      </c>
      <c r="D70" s="71"/>
      <c r="E70" s="5"/>
      <c r="F70" s="5">
        <v>2</v>
      </c>
      <c r="G70" s="3"/>
      <c r="H70" s="3"/>
      <c r="I70" s="3"/>
      <c r="J70" s="1"/>
      <c r="K70" s="1"/>
      <c r="L70" s="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5">
        <v>2</v>
      </c>
      <c r="Z70" s="1"/>
      <c r="AA70" s="3"/>
      <c r="AB70" s="72"/>
      <c r="AC70" s="1"/>
      <c r="AD70" s="1"/>
      <c r="AE70" s="73"/>
      <c r="AF70" s="4"/>
      <c r="AG70" s="4"/>
      <c r="AH70" s="4"/>
      <c r="AI70" s="1" t="s">
        <v>62</v>
      </c>
      <c r="AJ70" s="5" t="s">
        <v>63</v>
      </c>
      <c r="AK70" s="6" t="s">
        <v>67</v>
      </c>
      <c r="AL70" s="70" t="s">
        <v>65</v>
      </c>
      <c r="AM70" s="4" t="s">
        <v>89</v>
      </c>
    </row>
    <row r="71" spans="1:39" s="2" customFormat="1" ht="26.25" customHeight="1">
      <c r="A71" s="4"/>
      <c r="B71" s="65">
        <v>11</v>
      </c>
      <c r="C71" s="4" t="s">
        <v>57</v>
      </c>
      <c r="D71" s="71"/>
      <c r="E71" s="5"/>
      <c r="F71" s="5">
        <v>1</v>
      </c>
      <c r="G71" s="3"/>
      <c r="H71" s="3"/>
      <c r="I71" s="1"/>
      <c r="J71" s="1"/>
      <c r="K71" s="1"/>
      <c r="L71" s="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5">
        <v>1</v>
      </c>
      <c r="Z71" s="1"/>
      <c r="AA71" s="3"/>
      <c r="AB71" s="68"/>
      <c r="AC71" s="1"/>
      <c r="AD71" s="1"/>
      <c r="AE71" s="74"/>
      <c r="AF71" s="4"/>
      <c r="AG71" s="4"/>
      <c r="AH71" s="4"/>
      <c r="AI71" s="1" t="s">
        <v>62</v>
      </c>
      <c r="AJ71" s="5" t="s">
        <v>63</v>
      </c>
      <c r="AK71" s="6" t="s">
        <v>90</v>
      </c>
      <c r="AL71" s="1"/>
      <c r="AM71" s="4" t="s">
        <v>69</v>
      </c>
    </row>
    <row r="72" spans="1:39" s="2" customFormat="1" ht="36.75" customHeight="1">
      <c r="A72" s="4"/>
      <c r="B72" s="5">
        <v>12</v>
      </c>
      <c r="C72" s="4" t="s">
        <v>52</v>
      </c>
      <c r="D72" s="71"/>
      <c r="E72" s="5"/>
      <c r="F72" s="5">
        <v>1</v>
      </c>
      <c r="G72" s="3"/>
      <c r="H72" s="3"/>
      <c r="I72" s="1"/>
      <c r="J72" s="1"/>
      <c r="K72" s="1"/>
      <c r="L72" s="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5">
        <v>1</v>
      </c>
      <c r="Z72" s="1"/>
      <c r="AA72" s="3"/>
      <c r="AB72" s="68"/>
      <c r="AC72" s="1"/>
      <c r="AD72" s="1"/>
      <c r="AE72" s="74"/>
      <c r="AF72" s="4"/>
      <c r="AG72" s="4"/>
      <c r="AH72" s="4"/>
      <c r="AI72" s="1" t="s">
        <v>62</v>
      </c>
      <c r="AJ72" s="5" t="s">
        <v>63</v>
      </c>
      <c r="AK72" s="6" t="s">
        <v>68</v>
      </c>
      <c r="AL72" s="70" t="s">
        <v>65</v>
      </c>
      <c r="AM72" s="4" t="s">
        <v>89</v>
      </c>
    </row>
    <row r="73" spans="1:39" s="2" customFormat="1" ht="18.75" customHeight="1">
      <c r="A73" s="4"/>
      <c r="B73" s="5">
        <v>14</v>
      </c>
      <c r="C73" s="75" t="s">
        <v>58</v>
      </c>
      <c r="D73" s="71"/>
      <c r="E73" s="5"/>
      <c r="F73" s="76">
        <v>1</v>
      </c>
      <c r="G73" s="3"/>
      <c r="H73" s="3"/>
      <c r="I73" s="1"/>
      <c r="J73" s="1"/>
      <c r="K73" s="1"/>
      <c r="L73" s="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6">
        <v>1</v>
      </c>
      <c r="Z73" s="1"/>
      <c r="AA73" s="3"/>
      <c r="AB73" s="68"/>
      <c r="AC73" s="1"/>
      <c r="AD73" s="1"/>
      <c r="AE73" s="74"/>
      <c r="AF73" s="4"/>
      <c r="AG73" s="4"/>
      <c r="AH73" s="4"/>
      <c r="AI73" s="1" t="s">
        <v>62</v>
      </c>
      <c r="AJ73" s="75" t="s">
        <v>66</v>
      </c>
      <c r="AK73" s="6" t="s">
        <v>67</v>
      </c>
      <c r="AL73" s="75" t="s">
        <v>61</v>
      </c>
      <c r="AM73" s="4" t="s">
        <v>89</v>
      </c>
    </row>
    <row r="74" spans="1:39" s="2" customFormat="1" ht="18.75" customHeight="1">
      <c r="A74" s="4"/>
      <c r="B74" s="65">
        <v>15</v>
      </c>
      <c r="C74" s="77" t="s">
        <v>88</v>
      </c>
      <c r="D74" s="71"/>
      <c r="E74" s="5"/>
      <c r="F74" s="5">
        <v>1</v>
      </c>
      <c r="G74" s="3"/>
      <c r="H74" s="3"/>
      <c r="I74" s="1"/>
      <c r="J74" s="1"/>
      <c r="K74" s="1"/>
      <c r="L74" s="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6">
        <v>1</v>
      </c>
      <c r="Z74" s="1"/>
      <c r="AA74" s="3"/>
      <c r="AB74" s="68"/>
      <c r="AC74" s="1"/>
      <c r="AD74" s="1"/>
      <c r="AE74" s="74"/>
      <c r="AF74" s="4"/>
      <c r="AG74" s="4"/>
      <c r="AH74" s="4"/>
      <c r="AI74" s="1" t="s">
        <v>62</v>
      </c>
      <c r="AJ74" s="75" t="s">
        <v>66</v>
      </c>
      <c r="AK74" s="6" t="s">
        <v>68</v>
      </c>
      <c r="AL74" s="75" t="s">
        <v>61</v>
      </c>
      <c r="AM74" s="4" t="s">
        <v>89</v>
      </c>
    </row>
  </sheetData>
  <mergeCells count="46">
    <mergeCell ref="AJ32:AM32"/>
    <mergeCell ref="E33:AF33"/>
    <mergeCell ref="AI33:AJ33"/>
    <mergeCell ref="AK33:AM33"/>
    <mergeCell ref="E37:AF37"/>
    <mergeCell ref="AI37:AJ37"/>
    <mergeCell ref="AK37:AM37"/>
    <mergeCell ref="B9:AM9"/>
    <mergeCell ref="B7:AM7"/>
    <mergeCell ref="AD18:AD20"/>
    <mergeCell ref="AB18:AB20"/>
    <mergeCell ref="AF17:AF20"/>
    <mergeCell ref="AI17:AI20"/>
    <mergeCell ref="AM17:AM20"/>
    <mergeCell ref="AA1:AM1"/>
    <mergeCell ref="AA2:AM2"/>
    <mergeCell ref="B3:AM3"/>
    <mergeCell ref="AA4:AM4"/>
    <mergeCell ref="B6:AM6"/>
    <mergeCell ref="AK17:AK20"/>
    <mergeCell ref="AL17:AL20"/>
    <mergeCell ref="A17:A20"/>
    <mergeCell ref="B17:B20"/>
    <mergeCell ref="C17:C20"/>
    <mergeCell ref="D17:D20"/>
    <mergeCell ref="E17:E20"/>
    <mergeCell ref="F17:Q17"/>
    <mergeCell ref="H19:H20"/>
    <mergeCell ref="AJ17:AJ20"/>
    <mergeCell ref="AC18:AC20"/>
    <mergeCell ref="AG17:AG20"/>
    <mergeCell ref="AH17:AH20"/>
    <mergeCell ref="AK38:AM38"/>
    <mergeCell ref="A67:AL67"/>
    <mergeCell ref="AA18:AA20"/>
    <mergeCell ref="Y17:AA17"/>
    <mergeCell ref="AB17:AD17"/>
    <mergeCell ref="AE17:AE20"/>
    <mergeCell ref="E38:AF38"/>
    <mergeCell ref="AI38:AJ38"/>
    <mergeCell ref="I19:J19"/>
    <mergeCell ref="F18:F20"/>
    <mergeCell ref="G18:G20"/>
    <mergeCell ref="H18:J18"/>
    <mergeCell ref="Y18:Y20"/>
    <mergeCell ref="Z18:Z20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G24" sqref="G24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1.Dinh dương 2022 (TB VP)</vt:lpstr>
      <vt:lpstr>2.Dinh duong 2022 (TB Điện)</vt:lpstr>
      <vt:lpstr>Sheet1</vt:lpstr>
      <vt:lpstr>'1.Dinh dương 2022 (TB VP)'!Print_Titles</vt:lpstr>
      <vt:lpstr>'2.Dinh duong 2022 (TB Điện)'!Print_Titles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2026-05-06T02:45:11Z</cp:lastPrinted>
  <dcterms:created xsi:type="dcterms:W3CDTF">2019-01-08T07:18:38Z</dcterms:created>
  <dcterms:modified xsi:type="dcterms:W3CDTF">2026-06-16T09:18:37Z</dcterms:modified>
</cp:coreProperties>
</file>